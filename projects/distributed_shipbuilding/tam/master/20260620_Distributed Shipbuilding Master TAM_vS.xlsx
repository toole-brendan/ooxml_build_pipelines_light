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.xml" ContentType="application/vnd.openxmlformats-officedocument.spreadsheetml.table+xml"/>
  <Override PartName="/xl/comments3.xml" ContentType="application/vnd.openxmlformats-officedocument.spreadsheetml.comments+xml"/>
  <Override PartName="/xl/comments9.xml" ContentType="application/vnd.openxmlformats-officedocument.spreadsheetml.comment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6800"/>
  </bookViews>
  <sheets>
    <sheet name="Executive Summary" sheetId="1" r:id="rId1"/>
    <sheet name="Methodology" sheetId="2" r:id="rId2"/>
    <sheet name="Assumptions" sheetId="3" r:id="rId3"/>
    <sheet name="Virginia TAM" sheetId="4" r:id="rId4"/>
    <sheet name="Columbia TAM" sheetId="5" r:id="rId5"/>
    <sheet name="DDG-51 TAM" sheetId="6" r:id="rId6"/>
    <sheet name="SCN Budget" sheetId="7" r:id="rId7"/>
    <sheet name="Place of Performance" sheetId="8" r:id="rId8"/>
    <sheet name="OBBBA Mandatory" sheetId="9" r:id="rId9"/>
    <sheet name="FYDP Outyears" sheetId="10" r:id="rId10"/>
    <sheet name="Deflators" sheetId="11" r:id="rId11"/>
    <sheet name="Checks" sheetId="12" r:id="rId12"/>
  </sheets>
  <calcPr calcId="191029" fullCalcOnLoad="1" forceFullCalc="1"/>
</workbook>
</file>

<file path=xl/comments3.xml><?xml version="1.0" encoding="utf-8"?>
<comments xmlns="http://schemas.openxmlformats.org/spreadsheetml/2006/main">
  <authors>
    <author>Model</author>
  </authors>
  <commentList>
    <comment ref="C9" authorId="0">
      <text>
        <r>
          <rPr>
            <sz val="8"/>
            <color indexed="81"/>
            <rFont val="Arial"/>
            <family val="2"/>
          </rPr>
          <t xml:space="preserve">P-10 Ship Construction EOQ only; excludes adds and terminal GFE.</t>
        </r>
      </text>
    </comment>
    <comment ref="C24" authorId="0">
      <text>
        <r>
          <rPr>
            <sz val="8"/>
            <color indexed="81"/>
            <rFont val="Arial"/>
            <family val="2"/>
          </rPr>
          <t xml:space="preserve">HII FY2026 target: outsourcing hours +30% y/y.</t>
        </r>
      </text>
    </comment>
    <comment ref="C25" authorId="0">
      <text>
        <r>
          <rPr>
            <sz val="8"/>
            <color indexed="81"/>
            <rFont val="Arial"/>
            <family val="2"/>
          </rPr>
          <t xml:space="preserve">HII FY2026 target: shipbuilding throughput +15%.</t>
        </r>
      </text>
    </comment>
    <comment ref="C26" authorId="0">
      <text>
        <r>
          <rPr>
            <sz val="8"/>
            <color indexed="81"/>
            <rFont val="Arial"/>
            <family val="2"/>
          </rPr>
          <t xml:space="preserve">Intensity growth = 1.30 / 1.15 - 1 = 13.0%; applied once.</t>
        </r>
      </text>
    </comment>
    <comment ref="C27" authorId="0">
      <text>
        <r>
          <rPr>
            <sz val="8"/>
            <color indexed="81"/>
            <rFont val="Arial"/>
            <family val="2"/>
          </rPr>
          <t xml:space="preserve">Growth applies to HII's 55% DDG BC share; BIW held flat.</t>
        </r>
      </text>
    </comment>
  </commentList>
</comments>
</file>

<file path=xl/comments9.xml><?xml version="1.0" encoding="utf-8"?>
<comments xmlns="http://schemas.openxmlformats.org/spreadsheetml/2006/main">
  <authors>
    <author>Model</author>
  </authors>
  <commentList>
    <comment ref="D9" authorId="0">
      <text>
        <r>
          <rPr>
            <sz val="8"/>
            <color indexed="81"/>
            <rFont val="Arial"/>
            <family val="2"/>
          </rPr>
          <t xml:space="preserve">Second FY2026 Virginia-class submarine; full ship procurement (no cost-category breakout)</t>
        </r>
      </text>
    </comment>
    <comment ref="D10" authorId="0">
      <text>
        <r>
          <rPr>
            <sz val="8"/>
            <color indexed="81"/>
            <rFont val="Arial"/>
            <family val="2"/>
          </rPr>
          <t xml:space="preserve">Two DDG-51 (DDG 147/149) under current MYP; covers BC + GFE (no breakout)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numFmts count="7">
    <numFmt numFmtId="164" formatCode="#,##0.0;-#,##0.0;&quot;-&quot;"/>
    <numFmt numFmtId="165" formatCode="0.0%;-0.0%;&quot;-&quot;"/>
    <numFmt numFmtId="166" formatCode="&quot;$&quot;#,##0&quot;M&quot;"/>
    <numFmt numFmtId="167" formatCode="&quot;$&quot;0.0&quot;B&quot;"/>
    <numFmt numFmtId="168" formatCode="#,##0;-#,##0;&quot;-&quot;"/>
    <numFmt numFmtId="169" formatCode="yyyy\-mm\-dd"/>
    <numFmt numFmtId="170" formatCode="0.00;-0.00;&quot;-&quot;"/>
  </numFmts>
  <fonts count="10">
    <font>
      <sz val="8"/>
      <name val="Arial"/>
      <color rgb="FF000000"/>
    </font>
    <font>
      <sz val="8"/>
      <name val="Arial"/>
      <b/>
      <color rgb="FF000000"/>
    </font>
    <font>
      <sz val="8"/>
      <name val="Arial"/>
      <b/>
      <color rgb="FFFFFFFF"/>
    </font>
    <font>
      <sz val="8"/>
      <name val="Arial"/>
      <color rgb="FF0000FF"/>
    </font>
    <font>
      <sz val="8"/>
      <name val="Arial"/>
      <color rgb="FF008000"/>
    </font>
    <font>
      <sz val="8"/>
      <name val="Arial"/>
      <i/>
      <color rgb="FF000000"/>
    </font>
    <font>
      <sz val="8"/>
      <name val="Arial"/>
      <i/>
      <color rgb="FF0000FF"/>
    </font>
    <font>
      <sz val="8"/>
      <name val="Arial"/>
      <i/>
      <color rgb="FF008000"/>
    </font>
    <font>
      <sz val="8"/>
      <name val="Arial"/>
      <b/>
      <i/>
      <color rgb="FF000000"/>
    </font>
    <font>
      <sz val="8"/>
      <name val="Arial"/>
      <i/>
      <color rgb="FF808080"/>
    </font>
  </fonts>
  <fills count="7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808080"/>
      </patternFill>
    </fill>
    <fill>
      <patternFill patternType="solid">
        <fgColor rgb="FFF2F2F2"/>
      </patternFill>
    </fill>
    <fill>
      <patternFill patternType="solid">
        <fgColor rgb="FFFFFACD"/>
      </patternFill>
    </fill>
    <fill>
      <patternFill patternType="solid">
        <fgColor rgb="FFFFF2CC"/>
      </patternFill>
    </fill>
  </fills>
  <borders count="10">
    <border>
      <left/>
      <right/>
      <top/>
      <bottom/>
    </border>
    <border>
      <left/>
      <right/>
      <top/>
      <bottom style="thin">
        <color rgb="FF000000"/>
      </bottom>
    </border>
    <border>
      <left/>
      <right/>
      <top style="medium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/>
    <xf numFmtId="164" fontId="0" fillId="0" borderId="0" xfId="0" applyNumberFormat="1"/>
    <xf numFmtId="164" fontId="3" fillId="0" borderId="0" xfId="0" applyNumberFormat="1" applyFont="1"/>
    <xf numFmtId="165" fontId="5" fillId="0" borderId="0" xfId="0" applyNumberFormat="1" applyFont="1"/>
    <xf numFmtId="165" fontId="6" fillId="0" borderId="0" xfId="0" applyNumberFormat="1" applyFont="1"/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164" fontId="4" fillId="0" borderId="0" xfId="0" applyNumberFormat="1" applyFont="1"/>
    <xf numFmtId="165" fontId="7" fillId="0" borderId="0" xfId="0" applyNumberFormat="1" applyFont="1"/>
    <xf numFmtId="164" fontId="1" fillId="0" borderId="2" xfId="0" applyNumberFormat="1" applyFont="1" applyBorder="1"/>
    <xf numFmtId="165" fontId="8" fillId="0" borderId="2" xfId="0" applyNumberFormat="1" applyFont="1" applyBorder="1"/>
    <xf numFmtId="164" fontId="3" fillId="0" borderId="2" xfId="0" applyNumberFormat="1" applyFont="1" applyBorder="1"/>
    <xf numFmtId="0" fontId="0" fillId="0" borderId="2" xfId="0" applyBorder="1"/>
    <xf numFmtId="165" fontId="6" fillId="0" borderId="2" xfId="0" applyNumberFormat="1" applyFont="1" applyBorder="1"/>
    <xf numFmtId="164" fontId="4" fillId="0" borderId="2" xfId="0" applyNumberFormat="1" applyFont="1" applyBorder="1"/>
    <xf numFmtId="165" fontId="7" fillId="0" borderId="2" xfId="0" applyNumberFormat="1" applyFont="1" applyBorder="1"/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" fillId="0" borderId="1" xfId="0" applyFont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0" fillId="5" borderId="8" xfId="0" applyFill="1" applyBorder="1" applyAlignment="1">
      <alignment horizontal="left" vertical="center"/>
    </xf>
    <xf numFmtId="0" fontId="0" fillId="5" borderId="6" xfId="0" applyFill="1" applyBorder="1" applyAlignment="1">
      <alignment horizontal="left" vertical="center"/>
    </xf>
    <xf numFmtId="166" fontId="0" fillId="5" borderId="6" xfId="0" applyNumberFormat="1" applyFill="1" applyBorder="1"/>
    <xf numFmtId="166" fontId="0" fillId="5" borderId="1" xfId="0" applyNumberFormat="1" applyFill="1" applyBorder="1"/>
    <xf numFmtId="166" fontId="0" fillId="5" borderId="7" xfId="0" applyNumberFormat="1" applyFill="1" applyBorder="1"/>
    <xf numFmtId="166" fontId="0" fillId="5" borderId="9" xfId="0" applyNumberFormat="1" applyFill="1" applyBorder="1"/>
    <xf numFmtId="166" fontId="0" fillId="5" borderId="0" xfId="0" applyNumberFormat="1" applyFill="1"/>
    <xf numFmtId="167" fontId="0" fillId="5" borderId="6" xfId="0" applyNumberFormat="1" applyFill="1" applyBorder="1"/>
    <xf numFmtId="167" fontId="0" fillId="5" borderId="1" xfId="0" applyNumberFormat="1" applyFill="1" applyBorder="1"/>
    <xf numFmtId="167" fontId="0" fillId="5" borderId="7" xfId="0" applyNumberFormat="1" applyFill="1" applyBorder="1"/>
    <xf numFmtId="167" fontId="0" fillId="5" borderId="9" xfId="0" applyNumberFormat="1" applyFill="1" applyBorder="1"/>
    <xf numFmtId="167" fontId="0" fillId="5" borderId="0" xfId="0" applyNumberFormat="1" applyFill="1"/>
    <xf numFmtId="165" fontId="0" fillId="5" borderId="6" xfId="0" applyNumberFormat="1" applyFill="1" applyBorder="1"/>
    <xf numFmtId="165" fontId="0" fillId="5" borderId="1" xfId="0" applyNumberFormat="1" applyFill="1" applyBorder="1"/>
    <xf numFmtId="165" fontId="0" fillId="5" borderId="7" xfId="0" applyNumberFormat="1" applyFill="1" applyBorder="1"/>
    <xf numFmtId="165" fontId="0" fillId="5" borderId="9" xfId="0" applyNumberFormat="1" applyFill="1" applyBorder="1"/>
    <xf numFmtId="165" fontId="0" fillId="5" borderId="0" xfId="0" applyNumberFormat="1" applyFill="1"/>
    <xf numFmtId="0" fontId="9" fillId="0" borderId="0" xfId="0" applyFont="1" applyAlignment="1">
      <alignment horizontal="left" vertical="center"/>
    </xf>
    <xf numFmtId="168" fontId="0" fillId="0" borderId="0" xfId="0" applyNumberFormat="1"/>
    <xf numFmtId="168" fontId="3" fillId="0" borderId="0" xfId="0" applyNumberFormat="1" applyFont="1"/>
    <xf numFmtId="168" fontId="4" fillId="0" borderId="0" xfId="0" applyNumberFormat="1" applyFont="1"/>
    <xf numFmtId="168" fontId="1" fillId="0" borderId="2" xfId="0" applyNumberFormat="1" applyFont="1" applyBorder="1"/>
    <xf numFmtId="168" fontId="3" fillId="0" borderId="2" xfId="0" applyNumberFormat="1" applyFont="1" applyBorder="1"/>
    <xf numFmtId="168" fontId="4" fillId="0" borderId="2" xfId="0" applyNumberFormat="1" applyFont="1" applyBorder="1"/>
    <xf numFmtId="169" fontId="3" fillId="0" borderId="0" xfId="0" applyNumberFormat="1" applyFont="1"/>
    <xf numFmtId="169" fontId="3" fillId="0" borderId="2" xfId="0" applyNumberFormat="1" applyFont="1" applyBorder="1"/>
    <xf numFmtId="169" fontId="4" fillId="0" borderId="0" xfId="0" applyNumberFormat="1" applyFont="1"/>
    <xf numFmtId="169" fontId="4" fillId="0" borderId="2" xfId="0" applyNumberFormat="1" applyFont="1" applyBorder="1"/>
    <xf numFmtId="169" fontId="0" fillId="0" borderId="0" xfId="0" applyNumberFormat="1"/>
    <xf numFmtId="169" fontId="1" fillId="0" borderId="2" xfId="0" applyNumberFormat="1" applyFont="1" applyBorder="1"/>
    <xf numFmtId="0" fontId="5" fillId="0" borderId="0" xfId="0" applyFont="1"/>
    <xf numFmtId="170" fontId="0" fillId="0" borderId="0" xfId="0" applyNumberFormat="1"/>
    <xf numFmtId="164" fontId="3" fillId="6" borderId="0" xfId="0" applyNumberFormat="1" applyFont="1" applyFill="1"/>
    <xf numFmtId="165" fontId="6" fillId="6" borderId="0" xfId="0" applyNumberFormat="1" applyFont="1" applyFill="1"/>
    <xf numFmtId="168" fontId="3" fillId="6" borderId="0" xfId="0" applyNumberFormat="1" applyFont="1" applyFill="1"/>
  </cellXfs>
  <cellStyles count="1">
    <cellStyle name="Normal" xfId="0" builtinId="0"/>
  </cellStyles>
  <dxfs count="2">
    <dxf/>
    <dxf>
      <font>
        <color rgb="FF9C0006"/>
      </font>
      <fill>
        <patternFill>
          <bgColor rgb="FFFFC7CE"/>
        </patternFill>
      </fill>
    </dxf>
  </dxfs>
  <tableStyles count="1" defaultTableStyle="WorkbookCore_NoFormatTable" defaultPivotStyle="PivotStyleLight16">
    <tableStyle name="WorkbookCore_NoFormatTable" pivot="0" table="1" count="13">
      <tableStyleElement type="wholeTable" dxfId="0"/>
      <tableStyleElement type="headerRow" dxfId="0"/>
      <tableStyleElement type="totalRow" dxfId="0"/>
      <tableStyleElement type="firstColumn" dxfId="0"/>
      <tableStyleElement type="lastColumn" dxfId="0"/>
      <tableStyleElement type="firstHeaderCell" dxfId="0"/>
      <tableStyleElement type="lastHeaderCell" dxfId="0"/>
      <tableStyleElement type="firstTotalCell" dxfId="0"/>
      <tableStyleElement type="lastTotalCell" dxfId="0"/>
      <tableStyleElement type="firstRowStripe" dxfId="0" size="1"/>
      <tableStyleElement type="secondRowStripe" dxfId="0" size="1"/>
      <tableStyleElement type="firstColumnStripe" dxfId="0" size="1"/>
      <tableStyleElement type="secondColumnStripe" dxfId="0" size="1"/>
    </tableStyle>
  </table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id="1" name="tbl_pop_corpus" displayName="tbl_pop_corpus" ref="B25:O76" totalsRowShown="0">
  <autoFilter ref="B25:O76"/>
  <tableColumns count="14">
    <tableColumn id="1" name="Program"/>
    <tableColumn id="2" name="Date"/>
    <tableColumn id="3" name="PIID"/>
    <tableColumn id="4" name="Prime"/>
    <tableColumn id="5" name="Work Type"/>
    <tableColumn id="6" name="Stream"/>
    <tableColumn id="7" name="Master"/>
    <tableColumn id="8" name="FY18-22 vintage"/>
    <tableColumn id="9" name="$M"/>
    <tableColumn id="10" name="Prime %"/>
    <tableColumn id="11" name="Co-prime %"/>
    <tableColumn id="12" name="Other US %"/>
    <tableColumn id="13" name="Foreign %"/>
    <tableColumn id="14" name="Source"/>
  </tableColumns>
  <tableStyleInfo name="WorkbookCore_NoFormatTable" showFirstColumn="0" showLastColumn="0" showRowStripes="0" showColumnStripes="0"/>
</table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62626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22" customWidth="1"/>
    <col min="3" max="3" width="11" customWidth="1"/>
    <col min="4" max="4" width="11" customWidth="1"/>
    <col min="5" max="5" width="11" customWidth="1"/>
    <col min="6" max="6" width="11" customWidth="1"/>
    <col min="7" max="7" width="11" customWidth="1"/>
    <col min="8" max="8" width="11" customWidth="1"/>
    <col min="9" max="9" width="11" customWidth="1"/>
  </cols>
  <sheetData>
    <row r="1"/>
    <row r="2">
      <c r="A2" s="0" t="inlineStr">
        <is>
          <t xml:space="preserve">x</t>
        </is>
      </c>
      <c r="B2" s="8" t="inlineStr">
        <is>
          <t xml:space="preserve">Executive Summary</t>
        </is>
      </c>
      <c r="C2" s="8"/>
      <c r="D2" s="8"/>
      <c r="E2" s="8"/>
      <c r="F2" s="8"/>
      <c r="G2" s="8"/>
      <c r="H2" s="8"/>
      <c r="I2" s="8"/>
    </row>
    <row r="3" outlineLevel="1">
      <c r="B3" s="56" t="inlineStr">
        <is>
          <t xml:space="preserve">Portfolio outsourced TAM, FY2022-31, constant FY2026 $M</t>
        </is>
      </c>
    </row>
    <row r="4" outlineLevel="1"/>
    <row r="5" outlineLevel="1"/>
    <row r="6" outlineLevel="1">
      <c r="A6" s="0" t="inlineStr">
        <is>
          <t xml:space="preserve">x</t>
        </is>
      </c>
      <c r="B6" s="9" t="inlineStr">
        <is>
          <t xml:space="preserve">§1 - Scope</t>
        </is>
      </c>
      <c r="C6" s="9"/>
      <c r="D6" s="9"/>
      <c r="E6" s="9"/>
      <c r="F6" s="9"/>
      <c r="G6" s="9"/>
      <c r="H6" s="9"/>
      <c r="I6" s="9"/>
    </row>
    <row r="7" outlineLevel="2"/>
    <row r="8" outlineLevel="2">
      <c r="B8" s="0" t="inlineStr">
        <is>
          <t xml:space="preserve">Question</t>
        </is>
      </c>
      <c r="C8" s="0" t="inlineStr">
        <is>
          <t xml:space="preserve">Portfolio outsourced new-construction TAM</t>
        </is>
      </c>
    </row>
    <row r="9" outlineLevel="2">
      <c r="B9" s="0" t="inlineStr">
        <is>
          <t xml:space="preserve">Definition</t>
        </is>
      </c>
      <c r="C9" s="0" t="inlineStr">
        <is>
          <t xml:space="preserve">BC base x supplier coefficient, plus applicable overlays</t>
        </is>
      </c>
    </row>
    <row r="10" outlineLevel="2">
      <c r="B10" s="0" t="inlineStr">
        <is>
          <t xml:space="preserve">Programs</t>
        </is>
      </c>
      <c r="C10" s="0" t="inlineStr">
        <is>
          <t xml:space="preserve">Virginia, Columbia, DDG-51</t>
        </is>
      </c>
    </row>
    <row r="11" outlineLevel="2">
      <c r="B11" s="0" t="inlineStr">
        <is>
          <t xml:space="preserve">Window</t>
        </is>
      </c>
      <c r="C11" s="0" t="inlineStr">
        <is>
          <t xml:space="preserve">FY2022-31, constant FY2026 $M</t>
        </is>
      </c>
    </row>
    <row r="12" outlineLevel="2"/>
    <row r="13" outlineLevel="2"/>
    <row r="14" outlineLevel="1">
      <c r="A14" s="0" t="inlineStr">
        <is>
          <t xml:space="preserve">x</t>
        </is>
      </c>
      <c r="B14" s="9" t="inlineStr">
        <is>
          <t xml:space="preserve">§2 - FY2022-27 outsourced TAM ($M)</t>
        </is>
      </c>
      <c r="C14" s="9"/>
      <c r="D14" s="9"/>
      <c r="E14" s="9"/>
      <c r="F14" s="9"/>
      <c r="G14" s="9"/>
      <c r="H14" s="9"/>
      <c r="I14" s="9"/>
    </row>
    <row r="15" outlineLevel="2"/>
    <row r="16" outlineLevel="2">
      <c r="B16" s="2" t="inlineStr">
        <is>
          <t xml:space="preserve">Program</t>
        </is>
      </c>
      <c r="C16" s="22" t="inlineStr">
        <is>
          <t xml:space="preserve">FY2022</t>
        </is>
      </c>
      <c r="D16" s="22" t="inlineStr">
        <is>
          <t xml:space="preserve">FY2023</t>
        </is>
      </c>
      <c r="E16" s="22" t="inlineStr">
        <is>
          <t xml:space="preserve">FY2024</t>
        </is>
      </c>
      <c r="F16" s="22" t="inlineStr">
        <is>
          <t xml:space="preserve">FY2025</t>
        </is>
      </c>
      <c r="G16" s="22" t="inlineStr">
        <is>
          <t xml:space="preserve">FY2026E</t>
        </is>
      </c>
      <c r="H16" s="22" t="inlineStr">
        <is>
          <t xml:space="preserve">FY2027E</t>
        </is>
      </c>
      <c r="I16" s="22" t="inlineStr">
        <is>
          <t xml:space="preserve">BC coeff</t>
        </is>
      </c>
    </row>
    <row r="17" outlineLevel="2">
      <c r="B17" s="0" t="inlineStr">
        <is>
          <t xml:space="preserve">Virginia</t>
        </is>
      </c>
      <c r="C17" s="11">
        <f>'Virginia TAM'!C25</f>
      </c>
      <c r="D17" s="11">
        <f>'Virginia TAM'!D25</f>
      </c>
      <c r="E17" s="11">
        <f>'Virginia TAM'!E25</f>
      </c>
      <c r="F17" s="11">
        <f>'Virginia TAM'!F25</f>
      </c>
      <c r="G17" s="11">
        <f>'Virginia TAM'!G25</f>
      </c>
      <c r="H17" s="11">
        <f>'Virginia TAM'!H25</f>
      </c>
      <c r="I17" s="12">
        <f>'Virginia TAM'!C34</f>
      </c>
    </row>
    <row r="18" outlineLevel="2">
      <c r="B18" s="0" t="inlineStr">
        <is>
          <t xml:space="preserve">Columbia</t>
        </is>
      </c>
      <c r="C18" s="11">
        <f>'Columbia TAM'!C22</f>
      </c>
      <c r="D18" s="11">
        <f>'Columbia TAM'!D22</f>
      </c>
      <c r="E18" s="11">
        <f>'Columbia TAM'!E22</f>
      </c>
      <c r="F18" s="11">
        <f>'Columbia TAM'!F22</f>
      </c>
      <c r="G18" s="11">
        <f>'Columbia TAM'!G22</f>
      </c>
      <c r="H18" s="11">
        <f>'Columbia TAM'!H22</f>
      </c>
      <c r="I18" s="12">
        <f>'Columbia TAM'!C30</f>
      </c>
    </row>
    <row r="19" outlineLevel="2">
      <c r="B19" s="0" t="inlineStr">
        <is>
          <t xml:space="preserve">DDG-51</t>
        </is>
      </c>
      <c r="C19" s="11">
        <f>'DDG-51 TAM'!C28</f>
      </c>
      <c r="D19" s="11">
        <f>'DDG-51 TAM'!D28</f>
      </c>
      <c r="E19" s="11">
        <f>'DDG-51 TAM'!E28</f>
      </c>
      <c r="F19" s="11">
        <f>'DDG-51 TAM'!F28</f>
      </c>
      <c r="G19" s="11">
        <f>'DDG-51 TAM'!G28</f>
      </c>
      <c r="H19" s="11">
        <f>'DDG-51 TAM'!H28</f>
      </c>
      <c r="I19" s="12">
        <f>'DDG-51 TAM'!C38</f>
      </c>
    </row>
    <row r="20" outlineLevel="2">
      <c r="B20" s="3" t="inlineStr">
        <is>
          <t xml:space="preserve">Total</t>
        </is>
      </c>
      <c r="C20" s="13">
        <f>SUM(C17:C19)</f>
      </c>
      <c r="D20" s="13">
        <f>SUM(D17:D19)</f>
      </c>
      <c r="E20" s="13">
        <f>SUM(E17:E19)</f>
      </c>
      <c r="F20" s="13">
        <f>SUM(F17:F19)</f>
      </c>
      <c r="G20" s="13">
        <f>SUM(G17:G19)</f>
      </c>
      <c r="H20" s="13">
        <f>SUM(H17:H19)</f>
      </c>
      <c r="I20" s="16"/>
    </row>
    <row r="21" outlineLevel="2">
      <c r="B21" s="56" t="inlineStr">
        <is>
          <t xml:space="preserve">E = estimate: FY2026-27 budget request (FY2026 incl. OBBBA).</t>
        </is>
      </c>
    </row>
    <row r="22" outlineLevel="2"/>
    <row r="23" outlineLevel="2"/>
    <row r="24" outlineLevel="1">
      <c r="A24" s="0" t="inlineStr">
        <is>
          <t xml:space="preserve">x</t>
        </is>
      </c>
      <c r="B24" s="9" t="inlineStr">
        <is>
          <t xml:space="preserve">§3 - FY2028-31 outlook ($M)</t>
        </is>
      </c>
      <c r="C24" s="9"/>
      <c r="D24" s="9"/>
      <c r="E24" s="9"/>
      <c r="F24" s="9"/>
    </row>
    <row r="25" outlineLevel="2"/>
    <row r="26" outlineLevel="2">
      <c r="B26" s="2" t="inlineStr">
        <is>
          <t xml:space="preserve">Outyear ($M)</t>
        </is>
      </c>
      <c r="C26" s="22" t="inlineStr">
        <is>
          <t xml:space="preserve">FY2028E</t>
        </is>
      </c>
      <c r="D26" s="22" t="inlineStr">
        <is>
          <t xml:space="preserve">FY2029E</t>
        </is>
      </c>
      <c r="E26" s="22" t="inlineStr">
        <is>
          <t xml:space="preserve">FY2030E</t>
        </is>
      </c>
      <c r="F26" s="22" t="inlineStr">
        <is>
          <t xml:space="preserve">FY2031E</t>
        </is>
      </c>
    </row>
    <row r="27" outlineLevel="2">
      <c r="B27" s="0" t="inlineStr">
        <is>
          <t xml:space="preserve">Virginia low</t>
        </is>
      </c>
      <c r="C27" s="11">
        <f>'Virginia TAM'!C56</f>
      </c>
      <c r="D27" s="11">
        <f>'Virginia TAM'!D56</f>
      </c>
      <c r="E27" s="11">
        <f>'Virginia TAM'!E56</f>
      </c>
      <c r="F27" s="11">
        <f>'Virginia TAM'!F56</f>
      </c>
    </row>
    <row r="28" outlineLevel="2">
      <c r="B28" s="0" t="inlineStr">
        <is>
          <t xml:space="preserve">Columbia low</t>
        </is>
      </c>
      <c r="C28" s="11">
        <f>'Columbia TAM'!C51</f>
      </c>
      <c r="D28" s="11">
        <f>'Columbia TAM'!D51</f>
      </c>
      <c r="E28" s="11">
        <f>'Columbia TAM'!E51</f>
      </c>
      <c r="F28" s="11">
        <f>'Columbia TAM'!F51</f>
      </c>
    </row>
    <row r="29" outlineLevel="2">
      <c r="B29" s="0" t="inlineStr">
        <is>
          <t xml:space="preserve">DDG-51 low</t>
        </is>
      </c>
      <c r="C29" s="11">
        <f>'DDG-51 TAM'!C62</f>
      </c>
      <c r="D29" s="11">
        <f>'DDG-51 TAM'!D62</f>
      </c>
      <c r="E29" s="11">
        <f>'DDG-51 TAM'!E62</f>
      </c>
      <c r="F29" s="11">
        <f>'DDG-51 TAM'!F62</f>
      </c>
    </row>
    <row r="30" outlineLevel="2">
      <c r="B30" s="3" t="inlineStr">
        <is>
          <t xml:space="preserve">Total low</t>
        </is>
      </c>
      <c r="C30" s="13">
        <f>SUM(C27:C29)</f>
      </c>
      <c r="D30" s="13">
        <f>SUM(D27:D29)</f>
      </c>
      <c r="E30" s="13">
        <f>SUM(E27:E29)</f>
      </c>
      <c r="F30" s="13">
        <f>SUM(F27:F29)</f>
      </c>
    </row>
    <row r="31" outlineLevel="2">
      <c r="B31" s="0" t="inlineStr">
        <is>
          <t xml:space="preserve">Virginia high</t>
        </is>
      </c>
      <c r="C31" s="11">
        <f>'Virginia TAM'!C57</f>
      </c>
      <c r="D31" s="11">
        <f>'Virginia TAM'!D57</f>
      </c>
      <c r="E31" s="11">
        <f>'Virginia TAM'!E57</f>
      </c>
      <c r="F31" s="11">
        <f>'Virginia TAM'!F57</f>
      </c>
    </row>
    <row r="32" outlineLevel="2">
      <c r="B32" s="0" t="inlineStr">
        <is>
          <t xml:space="preserve">Columbia high</t>
        </is>
      </c>
      <c r="C32" s="11">
        <f>'Columbia TAM'!C52</f>
      </c>
      <c r="D32" s="11">
        <f>'Columbia TAM'!D52</f>
      </c>
      <c r="E32" s="11">
        <f>'Columbia TAM'!E52</f>
      </c>
      <c r="F32" s="11">
        <f>'Columbia TAM'!F52</f>
      </c>
    </row>
    <row r="33" outlineLevel="2">
      <c r="B33" s="0" t="inlineStr">
        <is>
          <t xml:space="preserve">DDG-51 high</t>
        </is>
      </c>
      <c r="C33" s="11">
        <f>'DDG-51 TAM'!C63</f>
      </c>
      <c r="D33" s="11">
        <f>'DDG-51 TAM'!D63</f>
      </c>
      <c r="E33" s="11">
        <f>'DDG-51 TAM'!E63</f>
      </c>
      <c r="F33" s="11">
        <f>'DDG-51 TAM'!F63</f>
      </c>
    </row>
    <row r="34" outlineLevel="2">
      <c r="B34" s="3" t="inlineStr">
        <is>
          <t xml:space="preserve">Total high</t>
        </is>
      </c>
      <c r="C34" s="13">
        <f>SUM(C31:C33)</f>
      </c>
      <c r="D34" s="13">
        <f>SUM(D31:D33)</f>
      </c>
      <c r="E34" s="13">
        <f>SUM(E31:E33)</f>
      </c>
      <c r="F34" s="13">
        <f>SUM(F31:F33)</f>
      </c>
    </row>
    <row r="35" outlineLevel="2">
      <c r="B35" s="56" t="inlineStr">
        <is>
          <t xml:space="preserve">Low holds coefficients flat; high applies Assumptions §4.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C5E5E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34" customWidth="1"/>
    <col min="3" max="3" width="80" customWidth="1"/>
  </cols>
  <sheetData>
    <row r="1"/>
    <row r="2">
      <c r="A2" s="0" t="inlineStr">
        <is>
          <t xml:space="preserve">x</t>
        </is>
      </c>
      <c r="B2" s="8" t="inlineStr">
        <is>
          <t xml:space="preserve">Methodology</t>
        </is>
      </c>
      <c r="C2" s="8"/>
    </row>
    <row r="3" outlineLevel="1">
      <c r="B3" s="56" t="inlineStr">
        <is>
          <t xml:space="preserve">TAM definition, formula, scope, coefficient basis, and sources</t>
        </is>
      </c>
    </row>
    <row r="4" outlineLevel="1"/>
    <row r="5" outlineLevel="1"/>
    <row r="6" outlineLevel="1">
      <c r="A6" s="0" t="inlineStr">
        <is>
          <t xml:space="preserve">x</t>
        </is>
      </c>
      <c r="B6" s="9" t="inlineStr">
        <is>
          <t xml:space="preserve">§1 - Scope</t>
        </is>
      </c>
      <c r="C6" s="9"/>
    </row>
    <row r="7" outlineLevel="2"/>
    <row r="8" outlineLevel="2">
      <c r="B8" s="1" t="inlineStr">
        <is>
          <t xml:space="preserve">Question</t>
        </is>
      </c>
      <c r="C8" s="0" t="inlineStr">
        <is>
          <t xml:space="preserve">Supplier-addressable TAM for Virginia, Columbia, and DDG-51 new construction.</t>
        </is>
      </c>
    </row>
    <row r="9" outlineLevel="2">
      <c r="B9" s="1" t="inlineStr">
        <is>
          <t xml:space="preserve">Market</t>
        </is>
      </c>
      <c r="C9" s="0" t="inlineStr">
        <is>
          <t xml:space="preserve">New-construction work outsourced away from the prime/co-prime yards.</t>
        </is>
      </c>
    </row>
    <row r="10" outlineLevel="2">
      <c r="B10" s="1" t="inlineStr">
        <is>
          <t xml:space="preserve">Basis</t>
        </is>
      </c>
      <c r="C10" s="0" t="inlineStr">
        <is>
          <t xml:space="preserve">Built from SCN budget + DoD award place-of-performance, not sparse subawards.</t>
        </is>
      </c>
    </row>
    <row r="11" outlineLevel="2"/>
    <row r="12" outlineLevel="2"/>
    <row r="13" outlineLevel="1">
      <c r="A13" s="0" t="inlineStr">
        <is>
          <t xml:space="preserve">x</t>
        </is>
      </c>
      <c r="B13" s="9" t="inlineStr">
        <is>
          <t xml:space="preserve">§2 - Formula</t>
        </is>
      </c>
      <c r="C13" s="9"/>
    </row>
    <row r="14" outlineLevel="2"/>
    <row r="15" outlineLevel="2">
      <c r="B15" s="0" t="inlineStr">
        <is>
          <t xml:space="preserve">TAM = BC base x BC coeff + OBBBA BC base x BC coeff + AP/LLTM base x AP coeff</t>
        </is>
      </c>
    </row>
    <row r="16" outlineLevel="2">
      <c r="B16" s="1" t="inlineStr">
        <is>
          <t xml:space="preserve">BC base</t>
        </is>
      </c>
      <c r="C16" s="0" t="inlineStr">
        <is>
          <t xml:space="preserve">P-5c Basic Construction $/program/FY (SCN Budget), constant FY2026 $; GFE excluded.</t>
        </is>
      </c>
    </row>
    <row r="17" outlineLevel="2">
      <c r="B17" s="1" t="inlineStr">
        <is>
          <t xml:space="preserve">BC coefficient</t>
        </is>
      </c>
      <c r="C17" s="0" t="inlineStr">
        <is>
          <t xml:space="preserve">Award $-share landing away from the prime/co-prime yards (Place of Performance).</t>
        </is>
      </c>
    </row>
    <row r="18" outlineLevel="2">
      <c r="B18" s="1" t="inlineStr">
        <is>
          <t xml:space="preserve">OBBBA BC base</t>
        </is>
      </c>
      <c r="C18" s="0" t="inlineStr">
        <is>
          <t xml:space="preserve">BC slice of the OBBBA mandatory award (gross x BC share).</t>
        </is>
      </c>
    </row>
    <row r="19" outlineLevel="2">
      <c r="B19" s="1" t="inlineStr">
        <is>
          <t xml:space="preserve">AP/LLTM</t>
        </is>
      </c>
      <c r="C19" s="0" t="inlineStr">
        <is>
          <t xml:space="preserve">DDG only: P-10 Ship Construction EOQ x AP coeff (subs hold LLTM inside BC).</t>
        </is>
      </c>
    </row>
    <row r="20" outlineLevel="2"/>
    <row r="21" outlineLevel="2"/>
    <row r="22" outlineLevel="1">
      <c r="A22" s="0" t="inlineStr">
        <is>
          <t xml:space="preserve">x</t>
        </is>
      </c>
      <c r="B22" s="9" t="inlineStr">
        <is>
          <t xml:space="preserve">§3 - Coefficients</t>
        </is>
      </c>
      <c r="C22" s="9"/>
    </row>
    <row r="23" outlineLevel="2"/>
    <row r="24" outlineLevel="2">
      <c r="B24" s="1" t="inlineStr">
        <is>
          <t xml:space="preserve">Virginia (~34%)</t>
        </is>
      </c>
      <c r="C24" s="0" t="inlineStr">
        <is>
          <t xml:space="preserve">$-weighted Block V master (33% + 1%) + disclosed announcements; master dominates.</t>
        </is>
      </c>
    </row>
    <row r="25" outlineLevel="2">
      <c r="B25" s="1" t="inlineStr">
        <is>
          <t xml:space="preserve">Columbia (~22%)</t>
        </is>
      </c>
      <c r="C25" s="0" t="inlineStr">
        <is>
          <t xml:space="preserve">Build I construction master (other-US 22% + foreign 0%).</t>
        </is>
      </c>
    </row>
    <row r="26" outlineLevel="2">
      <c r="B26" s="1" t="inlineStr">
        <is>
          <t xml:space="preserve">DDG-51 (~25.3%)</t>
        </is>
      </c>
      <c r="C26" s="0" t="inlineStr">
        <is>
          <t xml:space="preserve">MYP-corrected FY23-27 masters + disclosed corpus; FY2022 uses FY18-22 vintage (~22%).</t>
        </is>
      </c>
    </row>
    <row r="27" outlineLevel="2"/>
    <row r="28" outlineLevel="2"/>
    <row r="29" outlineLevel="1">
      <c r="A29" s="0" t="inlineStr">
        <is>
          <t xml:space="preserve">x</t>
        </is>
      </c>
      <c r="B29" s="9" t="inlineStr">
        <is>
          <t xml:space="preserve">§4 - Sources</t>
        </is>
      </c>
      <c r="C29" s="9"/>
    </row>
    <row r="30" outlineLevel="2"/>
    <row r="31" outlineLevel="2">
      <c r="B31" s="2" t="inlineStr">
        <is>
          <t xml:space="preserve">Source</t>
        </is>
      </c>
      <c r="C31" s="2" t="inlineStr">
        <is>
          <t xml:space="preserve">Use</t>
        </is>
      </c>
    </row>
    <row r="32" outlineLevel="2">
      <c r="B32" s="0" t="inlineStr">
        <is>
          <t xml:space="preserve">PB2027 SCN P-5c</t>
        </is>
      </c>
      <c r="C32" s="0" t="inlineStr">
        <is>
          <t xml:space="preserve">BC base + cost-category breakdown (SCN Budget)</t>
        </is>
      </c>
    </row>
    <row r="33" outlineLevel="2">
      <c r="B33" s="0" t="inlineStr">
        <is>
          <t xml:space="preserve">PB2027 SCN P-40</t>
        </is>
      </c>
      <c r="C33" s="0" t="inlineStr">
        <is>
          <t xml:space="preserve">FY2025-31 FYDP outyears (FYDP Outyears)</t>
        </is>
      </c>
    </row>
    <row r="34" outlineLevel="2">
      <c r="B34" s="0" t="inlineStr">
        <is>
          <t xml:space="preserve">PB2027 SCN P-10</t>
        </is>
      </c>
      <c r="C34" s="0" t="inlineStr">
        <is>
          <t xml:space="preserve">DDG Ship Construction EOQ (AP/LLTM base)</t>
        </is>
      </c>
    </row>
    <row r="35" outlineLevel="2">
      <c r="B35" s="0" t="inlineStr">
        <is>
          <t xml:space="preserve">DoD award announcements</t>
        </is>
      </c>
      <c r="C35" s="0" t="inlineStr">
        <is>
          <t xml:space="preserve">place-of-performance corpus + construction masters</t>
        </is>
      </c>
    </row>
    <row r="36" outlineLevel="2">
      <c r="B36" s="0" t="inlineStr">
        <is>
          <t xml:space="preserve">Virginia Block V / Columbia Build I</t>
        </is>
      </c>
      <c r="C36" s="0" t="inlineStr">
        <is>
          <t xml:space="preserve">submarine applied BC coefficients</t>
        </is>
      </c>
    </row>
    <row r="37" outlineLevel="2">
      <c r="B37" s="0" t="inlineStr">
        <is>
          <t xml:space="preserve">DDG MYP awards</t>
        </is>
      </c>
      <c r="C37" s="0" t="inlineStr">
        <is>
          <t xml:space="preserve">DDG applied BC coefficient (MYP-corrected)</t>
        </is>
      </c>
    </row>
    <row r="38" outlineLevel="2">
      <c r="B38" s="0" t="inlineStr">
        <is>
          <t xml:space="preserve">OBBBA Sec. 20002</t>
        </is>
      </c>
      <c r="C38" s="0" t="inlineStr">
        <is>
          <t xml:space="preserve">mandatory new-construction overlay (OBBBA Mandatory)</t>
        </is>
      </c>
    </row>
    <row r="39" outlineLevel="2">
      <c r="B39" s="0" t="inlineStr">
        <is>
          <t xml:space="preserve">Green Book Table 5-4</t>
        </is>
      </c>
      <c r="C39" s="0" t="inlineStr">
        <is>
          <t xml:space="preserve">constant-FY2026 deflators (Deflators)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556B2F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40" customWidth="1"/>
    <col min="3" max="3" width="18" customWidth="1"/>
    <col min="4" max="4" width="13" customWidth="1"/>
    <col min="5" max="5" width="12" customWidth="1"/>
    <col min="6" max="6" width="12" customWidth="1"/>
    <col min="7" max="7" width="13" customWidth="1"/>
    <col min="8" max="8" width="12" customWidth="1"/>
  </cols>
  <sheetData>
    <row r="1"/>
    <row r="2">
      <c r="A2" s="0" t="inlineStr">
        <is>
          <t xml:space="preserve">x</t>
        </is>
      </c>
      <c r="B2" s="8" t="inlineStr">
        <is>
          <t xml:space="preserve">Assumptions</t>
        </is>
      </c>
      <c r="C2" s="8"/>
      <c r="D2" s="8"/>
      <c r="E2" s="8"/>
      <c r="F2" s="8"/>
      <c r="G2" s="8"/>
      <c r="H2" s="8"/>
    </row>
    <row r="3" outlineLevel="1">
      <c r="B3" s="56" t="inlineStr">
        <is>
          <t xml:space="preserve">Editable supplier-share, OBBBA, and outyear assumptions</t>
        </is>
      </c>
    </row>
    <row r="4" outlineLevel="1"/>
    <row r="5" outlineLevel="1"/>
    <row r="6" outlineLevel="1">
      <c r="A6" s="0" t="inlineStr">
        <is>
          <t xml:space="preserve">x</t>
        </is>
      </c>
      <c r="B6" s="9" t="inlineStr">
        <is>
          <t xml:space="preserve">§2 - DDG AP/LLTM supplier coefficient</t>
        </is>
      </c>
      <c r="C6" s="9"/>
      <c r="D6" s="9"/>
      <c r="E6" s="9"/>
      <c r="F6" s="9"/>
      <c r="G6" s="9"/>
      <c r="H6" s="9"/>
    </row>
    <row r="7" outlineLevel="2"/>
    <row r="8" outlineLevel="2">
      <c r="B8" s="2" t="inlineStr">
        <is>
          <t xml:space="preserve">Knob</t>
        </is>
      </c>
      <c r="C8" s="22" t="inlineStr">
        <is>
          <t xml:space="preserve">Value</t>
        </is>
      </c>
    </row>
    <row r="9" outlineLevel="2">
      <c r="B9" s="0" t="inlineStr">
        <is>
          <t xml:space="preserve">DDG AP/LLTM supplier coefficient</t>
        </is>
      </c>
      <c r="C9" s="59">
        <v>1.0</v>
      </c>
    </row>
    <row r="10" outlineLevel="2"/>
    <row r="11" outlineLevel="2"/>
    <row r="12" outlineLevel="1">
      <c r="A12" s="0" t="inlineStr">
        <is>
          <t xml:space="preserve">x</t>
        </is>
      </c>
      <c r="B12" s="9" t="inlineStr">
        <is>
          <t xml:space="preserve">§3 - OBBBA BC shares</t>
        </is>
      </c>
      <c r="C12" s="9"/>
      <c r="D12" s="9"/>
      <c r="E12" s="9"/>
      <c r="F12" s="9"/>
      <c r="G12" s="9"/>
      <c r="H12" s="9"/>
    </row>
    <row r="13" outlineLevel="2"/>
    <row r="14" outlineLevel="2">
      <c r="B14" s="2" t="inlineStr">
        <is>
          <t xml:space="preserve">Control</t>
        </is>
      </c>
      <c r="C14" s="22" t="inlineStr">
        <is>
          <t xml:space="preserve">Observed</t>
        </is>
      </c>
      <c r="D14" s="22" t="inlineStr">
        <is>
          <t xml:space="preserve">Adjustment</t>
        </is>
      </c>
      <c r="E14" s="22" t="inlineStr">
        <is>
          <t xml:space="preserve">Modeled</t>
        </is>
      </c>
    </row>
    <row r="15" outlineLevel="2">
      <c r="B15" s="0" t="inlineStr">
        <is>
          <t xml:space="preserve">Virginia OBBBA BC share (Sec. 20002(16))</t>
        </is>
      </c>
      <c r="C15" s="12">
        <f>'SCN Budget'!G34</f>
      </c>
      <c r="D15" s="59">
        <v>0</v>
      </c>
      <c r="E15" s="6">
        <f>C15+D15</f>
      </c>
    </row>
    <row r="16" outlineLevel="2">
      <c r="B16" s="0" t="inlineStr">
        <is>
          <t xml:space="preserve">DDG-51 OBBBA BC share (Sec. 20002(17))</t>
        </is>
      </c>
      <c r="C16" s="59">
        <v>0.628</v>
      </c>
      <c r="D16" s="59">
        <v>0</v>
      </c>
      <c r="E16" s="6">
        <f>C16+D16</f>
      </c>
    </row>
    <row r="17" outlineLevel="2"/>
    <row r="18" outlineLevel="2">
      <c r="B18" s="0" t="inlineStr">
        <is>
          <t xml:space="preserve">FY2027 execution spillover</t>
        </is>
      </c>
      <c r="C18" s="59">
        <v>0</v>
      </c>
    </row>
    <row r="19" outlineLevel="2"/>
    <row r="20" outlineLevel="2"/>
    <row r="21" outlineLevel="1">
      <c r="A21" s="0" t="inlineStr">
        <is>
          <t xml:space="preserve">x</t>
        </is>
      </c>
      <c r="B21" s="9" t="inlineStr">
        <is>
          <t xml:space="preserve">§4 - Outyear intensity growth</t>
        </is>
      </c>
      <c r="C21" s="9"/>
      <c r="D21" s="9"/>
      <c r="E21" s="9"/>
      <c r="F21" s="9"/>
      <c r="G21" s="9"/>
      <c r="H21" s="9"/>
    </row>
    <row r="22" outlineLevel="2"/>
    <row r="23" outlineLevel="2">
      <c r="B23" s="2" t="inlineStr">
        <is>
          <t xml:space="preserve">Knob</t>
        </is>
      </c>
      <c r="C23" s="22" t="inlineStr">
        <is>
          <t xml:space="preserve">Value</t>
        </is>
      </c>
    </row>
    <row r="24" outlineLevel="2">
      <c r="B24" s="0" t="inlineStr">
        <is>
          <t xml:space="preserve">HII outsourcing-hours growth</t>
        </is>
      </c>
      <c r="C24" s="59">
        <v>0.3</v>
      </c>
    </row>
    <row r="25" outlineLevel="2">
      <c r="B25" s="0" t="inlineStr">
        <is>
          <t xml:space="preserve">HII shipbuilding-throughput growth</t>
        </is>
      </c>
      <c r="C25" s="59">
        <v>0.15</v>
      </c>
    </row>
    <row r="26" outlineLevel="2">
      <c r="B26" s="1" t="inlineStr">
        <is>
          <t xml:space="preserve">Outsourcing intensity growth</t>
        </is>
      </c>
      <c r="C26" s="6">
        <f>(1+C24)/(1+C25)-1</f>
      </c>
    </row>
    <row r="27" outlineLevel="2">
      <c r="B27" s="0" t="inlineStr">
        <is>
          <t xml:space="preserve">DDG-51 HII share of BC</t>
        </is>
      </c>
      <c r="C27" s="59">
        <v>0.55</v>
      </c>
    </row>
  </sheetData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48596B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4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3" customWidth="1"/>
  </cols>
  <sheetData>
    <row r="1"/>
    <row r="2">
      <c r="A2" s="0" t="inlineStr">
        <is>
          <t xml:space="preserve">x</t>
        </is>
      </c>
      <c r="B2" s="8" t="inlineStr">
        <is>
          <t xml:space="preserve">Virginia TAM</t>
        </is>
      </c>
      <c r="C2" s="8"/>
      <c r="D2" s="8"/>
      <c r="E2" s="8"/>
      <c r="F2" s="8"/>
      <c r="G2" s="8"/>
      <c r="H2" s="8"/>
      <c r="I2" s="8"/>
    </row>
    <row r="3" outlineLevel="1">
      <c r="B3" s="56" t="inlineStr">
        <is>
          <t xml:space="preserve">Virginia BC and OBBBA TAM, FY2022-31</t>
        </is>
      </c>
    </row>
    <row r="4" outlineLevel="1"/>
    <row r="5" outlineLevel="1"/>
    <row r="6" outlineLevel="1">
      <c r="A6" s="0" t="inlineStr">
        <is>
          <t xml:space="preserve">x</t>
        </is>
      </c>
      <c r="B6" s="9" t="inlineStr">
        <is>
          <t xml:space="preserve">§1 - Headline TAM</t>
        </is>
      </c>
      <c r="C6" s="9"/>
      <c r="D6" s="9"/>
      <c r="E6" s="9"/>
      <c r="F6" s="9"/>
      <c r="G6" s="9"/>
      <c r="H6" s="9"/>
      <c r="I6" s="9"/>
    </row>
    <row r="7" outlineLevel="2"/>
    <row r="8" outlineLevel="2">
      <c r="B8" s="2" t="inlineStr">
        <is>
          <t xml:space="preserve">Measure</t>
        </is>
      </c>
      <c r="C8" s="22" t="inlineStr">
        <is>
          <t xml:space="preserve">Value</t>
        </is>
      </c>
    </row>
    <row r="9" outlineLevel="2">
      <c r="B9" s="1" t="inlineStr">
        <is>
          <t xml:space="preserve">Cumulative TAM (FY22-27) $M</t>
        </is>
      </c>
      <c r="C9" s="4">
        <f>C31</f>
      </c>
    </row>
    <row r="10" outlineLevel="2">
      <c r="B10" s="1" t="inlineStr">
        <is>
          <t xml:space="preserve">Average annual TAM $M/yr</t>
        </is>
      </c>
      <c r="C10" s="4">
        <f>C32</f>
      </c>
    </row>
    <row r="11" outlineLevel="2">
      <c r="B11" s="0" t="inlineStr">
        <is>
          <t xml:space="preserve">Applied BC supplier coefficient</t>
        </is>
      </c>
      <c r="C11" s="6">
        <f>C34</f>
      </c>
    </row>
    <row r="12" outlineLevel="2">
      <c r="B12" s="0" t="inlineStr">
        <is>
          <t xml:space="preserve">incl. OBBBA mandatory TAM $M</t>
        </is>
      </c>
      <c r="C12" s="4">
        <f>C33</f>
      </c>
    </row>
    <row r="13" outlineLevel="2">
      <c r="B13" s="0" t="inlineStr">
        <is>
          <t xml:space="preserve">Implied outyear (FY28-31) low $M/yr</t>
        </is>
      </c>
      <c r="C13" s="4">
        <f>C59</f>
      </c>
    </row>
    <row r="14" outlineLevel="2">
      <c r="B14" s="0" t="inlineStr">
        <is>
          <t xml:space="preserve">Implied outyear (FY28-31) high $M/yr</t>
        </is>
      </c>
      <c r="C14" s="4">
        <f>C60</f>
      </c>
    </row>
    <row r="15" outlineLevel="2"/>
    <row r="16" outlineLevel="2"/>
    <row r="17" outlineLevel="1">
      <c r="A17" s="0" t="inlineStr">
        <is>
          <t xml:space="preserve">x</t>
        </is>
      </c>
      <c r="B17" s="9" t="inlineStr">
        <is>
          <t xml:space="preserve">§2 - TAM by fiscal year ($M, constant FY2026)</t>
        </is>
      </c>
      <c r="C17" s="9"/>
      <c r="D17" s="9"/>
      <c r="E17" s="9"/>
      <c r="F17" s="9"/>
      <c r="G17" s="9"/>
      <c r="H17" s="9"/>
      <c r="I17" s="9"/>
    </row>
    <row r="18" outlineLevel="2"/>
    <row r="19" outlineLevel="2">
      <c r="B19" s="2" t="inlineStr">
        <is>
          <t xml:space="preserve">Metric</t>
        </is>
      </c>
      <c r="C19" s="22" t="inlineStr">
        <is>
          <t xml:space="preserve">FY2022</t>
        </is>
      </c>
      <c r="D19" s="22" t="inlineStr">
        <is>
          <t xml:space="preserve">FY2023</t>
        </is>
      </c>
      <c r="E19" s="22" t="inlineStr">
        <is>
          <t xml:space="preserve">FY2024</t>
        </is>
      </c>
      <c r="F19" s="22" t="inlineStr">
        <is>
          <t xml:space="preserve">FY2025</t>
        </is>
      </c>
      <c r="G19" s="22" t="inlineStr">
        <is>
          <t xml:space="preserve">FY2026</t>
        </is>
      </c>
      <c r="H19" s="22" t="inlineStr">
        <is>
          <t xml:space="preserve">FY2027</t>
        </is>
      </c>
      <c r="I19" s="22" t="inlineStr">
        <is>
          <t xml:space="preserve">FY22-27</t>
        </is>
      </c>
    </row>
    <row r="20" outlineLevel="2">
      <c r="B20" s="0" t="inlineStr">
        <is>
          <t xml:space="preserve">BC base (P-5c Basic Construction)</t>
        </is>
      </c>
      <c r="C20" s="11">
        <f>'SCN Budget'!C50</f>
      </c>
      <c r="D20" s="11">
        <f>'SCN Budget'!D50</f>
      </c>
      <c r="E20" s="11">
        <f>'SCN Budget'!E50</f>
      </c>
      <c r="F20" s="11">
        <f>'SCN Budget'!F50</f>
      </c>
      <c r="G20" s="11">
        <f>'SCN Budget'!G50</f>
      </c>
      <c r="H20" s="11">
        <f>'SCN Budget'!H50</f>
      </c>
      <c r="I20" s="4">
        <f>SUM(C20:H20)</f>
      </c>
    </row>
    <row r="21" outlineLevel="2">
      <c r="B21" s="0" t="inlineStr">
        <is>
          <t xml:space="preserve">OBBBA mandatory BC base</t>
        </is>
      </c>
      <c r="C21" s="11">
        <f>'OBBBA Mandatory'!C24</f>
      </c>
      <c r="D21" s="11">
        <f>'OBBBA Mandatory'!D24</f>
      </c>
      <c r="E21" s="11">
        <f>'OBBBA Mandatory'!E24</f>
      </c>
      <c r="F21" s="11">
        <f>'OBBBA Mandatory'!F24</f>
      </c>
      <c r="G21" s="11">
        <f>'OBBBA Mandatory'!G24</f>
      </c>
      <c r="H21" s="11">
        <f>'OBBBA Mandatory'!H24</f>
      </c>
      <c r="I21" s="4">
        <f>SUM(C21:H21)</f>
      </c>
    </row>
    <row r="22" outlineLevel="2">
      <c r="B22" s="0" t="inlineStr">
        <is>
          <t xml:space="preserve">Applied BC coefficient (from Place of Performance)</t>
        </is>
      </c>
      <c r="C22" s="12">
        <f>'Place of Performance'!E11</f>
      </c>
      <c r="D22" s="12">
        <f>'Place of Performance'!E11</f>
      </c>
      <c r="E22" s="12">
        <f>'Place of Performance'!E11</f>
      </c>
      <c r="F22" s="12">
        <f>'Place of Performance'!E11</f>
      </c>
      <c r="G22" s="12">
        <f>'Place of Performance'!E11</f>
      </c>
      <c r="H22" s="12">
        <f>'Place of Performance'!E11</f>
      </c>
    </row>
    <row r="23" outlineLevel="2">
      <c r="B23" s="0" t="inlineStr">
        <is>
          <t xml:space="preserve">TAM - BC stream</t>
        </is>
      </c>
      <c r="C23" s="4">
        <f>C20*C$22</f>
      </c>
      <c r="D23" s="4">
        <f>D20*D$22</f>
      </c>
      <c r="E23" s="4">
        <f>E20*E$22</f>
      </c>
      <c r="F23" s="4">
        <f>F20*F$22</f>
      </c>
      <c r="G23" s="4">
        <f>G20*G$22</f>
      </c>
      <c r="H23" s="4">
        <f>H20*H$22</f>
      </c>
      <c r="I23" s="4">
        <f>SUM(C23:H23)</f>
      </c>
    </row>
    <row r="24" outlineLevel="2">
      <c r="B24" s="0" t="inlineStr">
        <is>
          <t xml:space="preserve">TAM - OBBBA mandatory stream</t>
        </is>
      </c>
      <c r="C24" s="4">
        <f>C21*C$22</f>
      </c>
      <c r="D24" s="4">
        <f>D21*D$22</f>
      </c>
      <c r="E24" s="4">
        <f>E21*E$22</f>
      </c>
      <c r="F24" s="4">
        <f>F21*F$22</f>
      </c>
      <c r="G24" s="4">
        <f>G21*G$22</f>
      </c>
      <c r="H24" s="4">
        <f>H21*H$22</f>
      </c>
      <c r="I24" s="4">
        <f>SUM(C24:H24)</f>
      </c>
    </row>
    <row r="25" outlineLevel="2">
      <c r="B25" s="3" t="inlineStr">
        <is>
          <t xml:space="preserve">TAM (all streams)</t>
        </is>
      </c>
      <c r="C25" s="13">
        <f>SUM(C23:C24)</f>
      </c>
      <c r="D25" s="13">
        <f>SUM(D23:D24)</f>
      </c>
      <c r="E25" s="13">
        <f>SUM(E23:E24)</f>
      </c>
      <c r="F25" s="13">
        <f>SUM(F23:F24)</f>
      </c>
      <c r="G25" s="13">
        <f>SUM(G23:G24)</f>
      </c>
      <c r="H25" s="13">
        <f>SUM(H23:H24)</f>
      </c>
      <c r="I25" s="13">
        <f>SUM(C25:H25)</f>
      </c>
    </row>
    <row r="26" outlineLevel="2"/>
    <row r="27" outlineLevel="2"/>
    <row r="28" outlineLevel="2">
      <c r="A28" s="0" t="inlineStr">
        <is>
          <t xml:space="preserve">x</t>
        </is>
      </c>
      <c r="B28" s="10" t="inlineStr">
        <is>
          <t xml:space="preserve">§2a - Roll-up &amp; applied coefficient</t>
        </is>
      </c>
      <c r="C28" s="10"/>
      <c r="D28" s="10"/>
      <c r="E28" s="10"/>
      <c r="F28" s="10"/>
      <c r="G28" s="10"/>
      <c r="H28" s="10"/>
      <c r="I28" s="10"/>
    </row>
    <row r="29" outlineLevel="3"/>
    <row r="30" outlineLevel="3">
      <c r="B30" s="2" t="inlineStr">
        <is>
          <t xml:space="preserve">Measure</t>
        </is>
      </c>
      <c r="C30" s="22" t="inlineStr">
        <is>
          <t xml:space="preserve">Value</t>
        </is>
      </c>
    </row>
    <row r="31" outlineLevel="3">
      <c r="B31" s="1" t="inlineStr">
        <is>
          <t xml:space="preserve">Cumulative TAM (FY22-27) $M</t>
        </is>
      </c>
      <c r="C31" s="4">
        <f>I25</f>
      </c>
    </row>
    <row r="32" outlineLevel="3">
      <c r="B32" s="1" t="inlineStr">
        <is>
          <t xml:space="preserve">Average annual TAM $M/yr</t>
        </is>
      </c>
      <c r="C32" s="4">
        <f>C31/6</f>
      </c>
    </row>
    <row r="33" outlineLevel="3">
      <c r="B33" s="0" t="inlineStr">
        <is>
          <t xml:space="preserve">of which OBBBA mandatory TAM (cumulative) $M</t>
        </is>
      </c>
      <c r="C33" s="4">
        <f>I24</f>
      </c>
    </row>
    <row r="34" outlineLevel="3">
      <c r="B34" s="0" t="inlineStr">
        <is>
          <t xml:space="preserve">Applied BC supplier coefficient</t>
        </is>
      </c>
      <c r="C34" s="6">
        <f>'Place of Performance'!E11</f>
      </c>
    </row>
    <row r="35" outlineLevel="3"/>
    <row r="36" outlineLevel="3"/>
    <row r="37" outlineLevel="1">
      <c r="A37" s="0" t="inlineStr">
        <is>
          <t xml:space="preserve">x</t>
        </is>
      </c>
      <c r="B37" s="9" t="inlineStr">
        <is>
          <t xml:space="preserve">§3 - Penetration and outyears ($M)</t>
        </is>
      </c>
      <c r="C37" s="9"/>
      <c r="D37" s="9"/>
      <c r="E37" s="9"/>
      <c r="F37" s="9"/>
      <c r="G37" s="9"/>
      <c r="H37" s="9"/>
      <c r="I37" s="9"/>
    </row>
    <row r="38" outlineLevel="2"/>
    <row r="39" outlineLevel="2">
      <c r="B39" s="2" t="inlineStr">
        <is>
          <t xml:space="preserve">Metric</t>
        </is>
      </c>
      <c r="C39" s="22" t="inlineStr">
        <is>
          <t xml:space="preserve">FY2022</t>
        </is>
      </c>
      <c r="D39" s="22" t="inlineStr">
        <is>
          <t xml:space="preserve">FY2023</t>
        </is>
      </c>
      <c r="E39" s="22" t="inlineStr">
        <is>
          <t xml:space="preserve">FY2024</t>
        </is>
      </c>
      <c r="F39" s="22" t="inlineStr">
        <is>
          <t xml:space="preserve">FY2025</t>
        </is>
      </c>
      <c r="G39" s="22" t="inlineStr">
        <is>
          <t xml:space="preserve">FY2026</t>
        </is>
      </c>
      <c r="H39" s="22" t="inlineStr">
        <is>
          <t xml:space="preserve">FY2027</t>
        </is>
      </c>
    </row>
    <row r="40" outlineLevel="2">
      <c r="B40" s="1" t="inlineStr">
        <is>
          <t xml:space="preserve">Outsourced TAM, all streams ($M)</t>
        </is>
      </c>
      <c r="C40" s="4">
        <f>N(C25)</f>
      </c>
      <c r="D40" s="4">
        <f>N(D25)</f>
      </c>
      <c r="E40" s="4">
        <f>N(E25)</f>
      </c>
      <c r="F40" s="4">
        <f>N(F25)</f>
      </c>
      <c r="G40" s="4">
        <f>N(G25)</f>
      </c>
      <c r="H40" s="4">
        <f>N(H25)</f>
      </c>
    </row>
    <row r="41" outlineLevel="2">
      <c r="B41" s="0" t="inlineStr">
        <is>
          <t xml:space="preserve">Total ship spend: P-5c Total Ship Estimate ($M)</t>
        </is>
      </c>
      <c r="C41" s="11">
        <f>'SCN Budget'!C40</f>
      </c>
      <c r="D41" s="11">
        <f>'SCN Budget'!D40</f>
      </c>
      <c r="E41" s="11">
        <f>'SCN Budget'!E40</f>
      </c>
      <c r="F41" s="11">
        <f>'SCN Budget'!F40</f>
      </c>
      <c r="G41" s="11">
        <f>'SCN Budget'!G40</f>
      </c>
      <c r="H41" s="11">
        <f>'SCN Budget'!H40</f>
      </c>
    </row>
    <row r="42" outlineLevel="2">
      <c r="B42" s="0" t="inlineStr">
        <is>
          <t xml:space="preserve">plus OBBBA gross award ($M; FY27 via spillover)</t>
        </is>
      </c>
      <c r="C42" s="11">
        <f>'OBBBA Mandatory'!C18</f>
      </c>
      <c r="D42" s="11">
        <f>'OBBBA Mandatory'!D18</f>
      </c>
      <c r="E42" s="11">
        <f>'OBBBA Mandatory'!E18</f>
      </c>
      <c r="F42" s="11">
        <f>'OBBBA Mandatory'!F18</f>
      </c>
      <c r="G42" s="11">
        <f>'OBBBA Mandatory'!G18</f>
      </c>
      <c r="H42" s="11">
        <f>'OBBBA Mandatory'!H18</f>
      </c>
    </row>
    <row r="43" outlineLevel="2">
      <c r="B43" s="3" t="inlineStr">
        <is>
          <t xml:space="preserve">Total ship spend incl. OBBBA ($M)</t>
        </is>
      </c>
      <c r="C43" s="13">
        <f>C41+N(C42)</f>
      </c>
      <c r="D43" s="13">
        <f>D41+N(D42)</f>
      </c>
      <c r="E43" s="13">
        <f>E41+N(E42)</f>
      </c>
      <c r="F43" s="13">
        <f>F41+N(F42)</f>
      </c>
      <c r="G43" s="13">
        <f>G41+N(G42)</f>
      </c>
      <c r="H43" s="13">
        <f>H41+N(H42)</f>
      </c>
    </row>
    <row r="44" outlineLevel="2">
      <c r="B44" s="1" t="inlineStr">
        <is>
          <t xml:space="preserve">Penetration: TAM / total ship spend</t>
        </is>
      </c>
      <c r="C44" s="6">
        <f>IF(C43=0,"",C40/C43)</f>
      </c>
      <c r="D44" s="6">
        <f>IF(D43=0,"",D40/D43)</f>
      </c>
      <c r="E44" s="6">
        <f>IF(E43=0,"",E40/E43)</f>
      </c>
      <c r="F44" s="6">
        <f>IF(F43=0,"",F40/F43)</f>
      </c>
      <c r="G44" s="6">
        <f>IF(G43=0,"",G40/G43)</f>
      </c>
      <c r="H44" s="6">
        <f>IF(H43=0,"",H40/H43)</f>
      </c>
    </row>
    <row r="45" outlineLevel="2"/>
    <row r="46" outlineLevel="2">
      <c r="B46" s="2" t="inlineStr">
        <is>
          <t xml:space="preserve">Measure</t>
        </is>
      </c>
      <c r="C46" s="22" t="inlineStr">
        <is>
          <t xml:space="preserve">Value</t>
        </is>
      </c>
    </row>
    <row r="47" outlineLevel="2">
      <c r="B47" s="0" t="inlineStr">
        <is>
          <t xml:space="preserve">FY22-25 average penetration</t>
        </is>
      </c>
      <c r="C47" s="6">
        <f>SUM(C40:F40)/SUM(C43:F43)</f>
      </c>
    </row>
    <row r="48" outlineLevel="2">
      <c r="B48" s="1" t="inlineStr">
        <is>
          <t xml:space="preserve">Forecast BC share</t>
        </is>
      </c>
      <c r="C48" s="6">
        <f>SUM(C20:F20)/SUM(C41:F41)</f>
      </c>
    </row>
    <row r="49" outlineLevel="2">
      <c r="B49" s="0" t="inlineStr">
        <is>
          <t xml:space="preserve">Outyear BC coefficient, low</t>
        </is>
      </c>
      <c r="C49" s="12">
        <f>'Place of Performance'!E11</f>
      </c>
    </row>
    <row r="50" outlineLevel="2">
      <c r="B50" s="0" t="inlineStr">
        <is>
          <t xml:space="preserve">Outsourcing intensity growth</t>
        </is>
      </c>
      <c r="C50" s="12">
        <f>'Assumptions'!C26</f>
      </c>
    </row>
    <row r="51" outlineLevel="2">
      <c r="B51" s="1" t="inlineStr">
        <is>
          <t xml:space="preserve">Outyear BC coefficient, high</t>
        </is>
      </c>
      <c r="C51" s="6">
        <f>C49*(1+C50)</f>
      </c>
    </row>
    <row r="52" outlineLevel="2"/>
    <row r="53" outlineLevel="2">
      <c r="B53" s="2" t="inlineStr">
        <is>
          <t xml:space="preserve">Outyear ($M)</t>
        </is>
      </c>
      <c r="C53" s="22" t="inlineStr">
        <is>
          <t xml:space="preserve">FY2028</t>
        </is>
      </c>
      <c r="D53" s="22" t="inlineStr">
        <is>
          <t xml:space="preserve">FY2029</t>
        </is>
      </c>
      <c r="E53" s="22" t="inlineStr">
        <is>
          <t xml:space="preserve">FY2030</t>
        </is>
      </c>
      <c r="F53" s="22" t="inlineStr">
        <is>
          <t xml:space="preserve">FY2031</t>
        </is>
      </c>
    </row>
    <row r="54" outlineLevel="2">
      <c r="B54" s="1" t="inlineStr">
        <is>
          <t xml:space="preserve">FYDP gross</t>
        </is>
      </c>
      <c r="C54" s="11">
        <f>'FYDP Outyears'!F42</f>
      </c>
      <c r="D54" s="11">
        <f>'FYDP Outyears'!G42</f>
      </c>
      <c r="E54" s="11">
        <f>'FYDP Outyears'!H42</f>
      </c>
      <c r="F54" s="11">
        <f>'FYDP Outyears'!I42</f>
      </c>
    </row>
    <row r="55" outlineLevel="2">
      <c r="B55" s="0" t="inlineStr">
        <is>
          <t xml:space="preserve">Outyear BC base</t>
        </is>
      </c>
      <c r="C55" s="4">
        <f>C54*$C$48</f>
      </c>
      <c r="D55" s="4">
        <f>D54*$C$48</f>
      </c>
      <c r="E55" s="4">
        <f>E54*$C$48</f>
      </c>
      <c r="F55" s="4">
        <f>F54*$C$48</f>
      </c>
    </row>
    <row r="56" outlineLevel="2">
      <c r="B56" s="1" t="inlineStr">
        <is>
          <t xml:space="preserve">Outsourced BC, low</t>
        </is>
      </c>
      <c r="C56" s="4">
        <f>C55*$C$49</f>
      </c>
      <c r="D56" s="4">
        <f>D55*$C$49</f>
      </c>
      <c r="E56" s="4">
        <f>E55*$C$49</f>
      </c>
      <c r="F56" s="4">
        <f>F55*$C$49</f>
      </c>
    </row>
    <row r="57" outlineLevel="2">
      <c r="B57" s="1" t="inlineStr">
        <is>
          <t xml:space="preserve">Outsourced BC, high</t>
        </is>
      </c>
      <c r="C57" s="4">
        <f>C55*$C$51</f>
      </c>
      <c r="D57" s="4">
        <f>D55*$C$51</f>
      </c>
      <c r="E57" s="4">
        <f>E55*$C$51</f>
      </c>
      <c r="F57" s="4">
        <f>F55*$C$51</f>
      </c>
    </row>
    <row r="58" outlineLevel="2"/>
    <row r="59" outlineLevel="2">
      <c r="B59" s="0" t="inlineStr">
        <is>
          <t xml:space="preserve">Outyear low average</t>
        </is>
      </c>
      <c r="C59" s="4">
        <f>AVERAGE(C56:F56)</f>
      </c>
    </row>
    <row r="60" outlineLevel="2">
      <c r="B60" s="0" t="inlineStr">
        <is>
          <t xml:space="preserve">Outyear high average</t>
        </is>
      </c>
      <c r="C60" s="4">
        <f>AVERAGE(C57:F57)</f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48596B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4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3" customWidth="1"/>
  </cols>
  <sheetData>
    <row r="1"/>
    <row r="2">
      <c r="A2" s="0" t="inlineStr">
        <is>
          <t xml:space="preserve">x</t>
        </is>
      </c>
      <c r="B2" s="8" t="inlineStr">
        <is>
          <t xml:space="preserve">Columbia TAM</t>
        </is>
      </c>
      <c r="C2" s="8"/>
      <c r="D2" s="8"/>
      <c r="E2" s="8"/>
      <c r="F2" s="8"/>
      <c r="G2" s="8"/>
      <c r="H2" s="8"/>
      <c r="I2" s="8"/>
    </row>
    <row r="3" outlineLevel="1">
      <c r="B3" s="56" t="inlineStr">
        <is>
          <t xml:space="preserve">Columbia BC TAM, FY2022-31</t>
        </is>
      </c>
    </row>
    <row r="4" outlineLevel="1"/>
    <row r="5" outlineLevel="1"/>
    <row r="6" outlineLevel="1">
      <c r="A6" s="0" t="inlineStr">
        <is>
          <t xml:space="preserve">x</t>
        </is>
      </c>
      <c r="B6" s="9" t="inlineStr">
        <is>
          <t xml:space="preserve">§1 - Headline TAM</t>
        </is>
      </c>
      <c r="C6" s="9"/>
      <c r="D6" s="9"/>
      <c r="E6" s="9"/>
      <c r="F6" s="9"/>
      <c r="G6" s="9"/>
      <c r="H6" s="9"/>
      <c r="I6" s="9"/>
    </row>
    <row r="7" outlineLevel="2"/>
    <row r="8" outlineLevel="2">
      <c r="B8" s="2" t="inlineStr">
        <is>
          <t xml:space="preserve">Measure</t>
        </is>
      </c>
      <c r="C8" s="22" t="inlineStr">
        <is>
          <t xml:space="preserve">Value</t>
        </is>
      </c>
    </row>
    <row r="9" outlineLevel="2">
      <c r="B9" s="1" t="inlineStr">
        <is>
          <t xml:space="preserve">Cumulative TAM (FY22-27) $M</t>
        </is>
      </c>
      <c r="C9" s="4">
        <f>C28</f>
      </c>
    </row>
    <row r="10" outlineLevel="2">
      <c r="B10" s="1" t="inlineStr">
        <is>
          <t xml:space="preserve">Average annual TAM $M/yr</t>
        </is>
      </c>
      <c r="C10" s="4">
        <f>C29</f>
      </c>
    </row>
    <row r="11" outlineLevel="2">
      <c r="B11" s="0" t="inlineStr">
        <is>
          <t xml:space="preserve">Applied BC supplier coefficient</t>
        </is>
      </c>
      <c r="C11" s="6">
        <f>C30</f>
      </c>
    </row>
    <row r="12" outlineLevel="2">
      <c r="B12" s="0" t="inlineStr">
        <is>
          <t xml:space="preserve">Implied outyear (FY28-31) low $M/yr</t>
        </is>
      </c>
      <c r="C12" s="4">
        <f>C54</f>
      </c>
    </row>
    <row r="13" outlineLevel="2">
      <c r="B13" s="0" t="inlineStr">
        <is>
          <t xml:space="preserve">Implied outyear (FY28-31) high $M/yr</t>
        </is>
      </c>
      <c r="C13" s="4">
        <f>C55</f>
      </c>
    </row>
    <row r="14" outlineLevel="2"/>
    <row r="15" outlineLevel="2"/>
    <row r="16" outlineLevel="1">
      <c r="A16" s="0" t="inlineStr">
        <is>
          <t xml:space="preserve">x</t>
        </is>
      </c>
      <c r="B16" s="9" t="inlineStr">
        <is>
          <t xml:space="preserve">§2 - TAM by fiscal year ($M, constant FY2026)</t>
        </is>
      </c>
      <c r="C16" s="9"/>
      <c r="D16" s="9"/>
      <c r="E16" s="9"/>
      <c r="F16" s="9"/>
      <c r="G16" s="9"/>
      <c r="H16" s="9"/>
      <c r="I16" s="9"/>
    </row>
    <row r="17" outlineLevel="2"/>
    <row r="18" outlineLevel="2">
      <c r="B18" s="2" t="inlineStr">
        <is>
          <t xml:space="preserve">Metric</t>
        </is>
      </c>
      <c r="C18" s="22" t="inlineStr">
        <is>
          <t xml:space="preserve">FY2022</t>
        </is>
      </c>
      <c r="D18" s="22" t="inlineStr">
        <is>
          <t xml:space="preserve">FY2023</t>
        </is>
      </c>
      <c r="E18" s="22" t="inlineStr">
        <is>
          <t xml:space="preserve">FY2024</t>
        </is>
      </c>
      <c r="F18" s="22" t="inlineStr">
        <is>
          <t xml:space="preserve">FY2025</t>
        </is>
      </c>
      <c r="G18" s="22" t="inlineStr">
        <is>
          <t xml:space="preserve">FY2026</t>
        </is>
      </c>
      <c r="H18" s="22" t="inlineStr">
        <is>
          <t xml:space="preserve">FY2027</t>
        </is>
      </c>
      <c r="I18" s="22" t="inlineStr">
        <is>
          <t xml:space="preserve">FY22-27</t>
        </is>
      </c>
    </row>
    <row r="19" outlineLevel="2">
      <c r="B19" s="0" t="inlineStr">
        <is>
          <t xml:space="preserve">BC base (P-5c Basic Construction)</t>
        </is>
      </c>
      <c r="C19" s="11">
        <f>'SCN Budget'!C87</f>
      </c>
      <c r="D19" s="11">
        <f>'SCN Budget'!D87</f>
      </c>
      <c r="E19" s="11">
        <f>'SCN Budget'!E87</f>
      </c>
      <c r="F19" s="11">
        <f>'SCN Budget'!F87</f>
      </c>
      <c r="G19" s="11">
        <f>'SCN Budget'!G87</f>
      </c>
      <c r="H19" s="11">
        <f>'SCN Budget'!H87</f>
      </c>
      <c r="I19" s="4">
        <f>SUM(C19:H19)</f>
      </c>
    </row>
    <row r="20" outlineLevel="2">
      <c r="B20" s="0" t="inlineStr">
        <is>
          <t xml:space="preserve">Applied BC coefficient (from Place of Performance)</t>
        </is>
      </c>
      <c r="C20" s="12">
        <f>'Place of Performance'!E12</f>
      </c>
      <c r="D20" s="12">
        <f>'Place of Performance'!E12</f>
      </c>
      <c r="E20" s="12">
        <f>'Place of Performance'!E12</f>
      </c>
      <c r="F20" s="12">
        <f>'Place of Performance'!E12</f>
      </c>
      <c r="G20" s="12">
        <f>'Place of Performance'!E12</f>
      </c>
      <c r="H20" s="12">
        <f>'Place of Performance'!E12</f>
      </c>
    </row>
    <row r="21" outlineLevel="2">
      <c r="B21" s="0" t="inlineStr">
        <is>
          <t xml:space="preserve">TAM - BC stream</t>
        </is>
      </c>
      <c r="C21" s="4">
        <f>C19*C$20</f>
      </c>
      <c r="D21" s="4">
        <f>D19*D$20</f>
      </c>
      <c r="E21" s="4">
        <f>E19*E$20</f>
      </c>
      <c r="F21" s="4">
        <f>F19*F$20</f>
      </c>
      <c r="G21" s="4">
        <f>G19*G$20</f>
      </c>
      <c r="H21" s="4">
        <f>H19*H$20</f>
      </c>
      <c r="I21" s="4">
        <f>SUM(C21:H21)</f>
      </c>
    </row>
    <row r="22" outlineLevel="2">
      <c r="B22" s="3" t="inlineStr">
        <is>
          <t xml:space="preserve">TAM (all streams)</t>
        </is>
      </c>
      <c r="C22" s="13">
        <f>SUM(C21:C21)</f>
      </c>
      <c r="D22" s="13">
        <f>SUM(D21:D21)</f>
      </c>
      <c r="E22" s="13">
        <f>SUM(E21:E21)</f>
      </c>
      <c r="F22" s="13">
        <f>SUM(F21:F21)</f>
      </c>
      <c r="G22" s="13">
        <f>SUM(G21:G21)</f>
      </c>
      <c r="H22" s="13">
        <f>SUM(H21:H21)</f>
      </c>
      <c r="I22" s="13">
        <f>SUM(C22:H22)</f>
      </c>
    </row>
    <row r="23" outlineLevel="2"/>
    <row r="24" outlineLevel="2"/>
    <row r="25" outlineLevel="2">
      <c r="A25" s="0" t="inlineStr">
        <is>
          <t xml:space="preserve">x</t>
        </is>
      </c>
      <c r="B25" s="10" t="inlineStr">
        <is>
          <t xml:space="preserve">§2a - Roll-up &amp; applied coefficient</t>
        </is>
      </c>
      <c r="C25" s="10"/>
      <c r="D25" s="10"/>
      <c r="E25" s="10"/>
      <c r="F25" s="10"/>
      <c r="G25" s="10"/>
      <c r="H25" s="10"/>
      <c r="I25" s="10"/>
    </row>
    <row r="26" outlineLevel="3"/>
    <row r="27" outlineLevel="3">
      <c r="B27" s="2" t="inlineStr">
        <is>
          <t xml:space="preserve">Measure</t>
        </is>
      </c>
      <c r="C27" s="22" t="inlineStr">
        <is>
          <t xml:space="preserve">Value</t>
        </is>
      </c>
    </row>
    <row r="28" outlineLevel="3">
      <c r="B28" s="1" t="inlineStr">
        <is>
          <t xml:space="preserve">Cumulative TAM (FY22-27) $M</t>
        </is>
      </c>
      <c r="C28" s="4">
        <f>I22</f>
      </c>
    </row>
    <row r="29" outlineLevel="3">
      <c r="B29" s="1" t="inlineStr">
        <is>
          <t xml:space="preserve">Average annual TAM $M/yr</t>
        </is>
      </c>
      <c r="C29" s="4">
        <f>C28/6</f>
      </c>
    </row>
    <row r="30" outlineLevel="3">
      <c r="B30" s="0" t="inlineStr">
        <is>
          <t xml:space="preserve">Applied BC supplier coefficient</t>
        </is>
      </c>
      <c r="C30" s="6">
        <f>'Place of Performance'!E12</f>
      </c>
    </row>
    <row r="31" outlineLevel="3"/>
    <row r="32" outlineLevel="3"/>
    <row r="33" outlineLevel="1">
      <c r="A33" s="0" t="inlineStr">
        <is>
          <t xml:space="preserve">x</t>
        </is>
      </c>
      <c r="B33" s="9" t="inlineStr">
        <is>
          <t xml:space="preserve">§3 - Penetration and outyears ($M)</t>
        </is>
      </c>
      <c r="C33" s="9"/>
      <c r="D33" s="9"/>
      <c r="E33" s="9"/>
      <c r="F33" s="9"/>
      <c r="G33" s="9"/>
      <c r="H33" s="9"/>
      <c r="I33" s="9"/>
    </row>
    <row r="34" outlineLevel="2"/>
    <row r="35" outlineLevel="2">
      <c r="B35" s="2" t="inlineStr">
        <is>
          <t xml:space="preserve">Metric</t>
        </is>
      </c>
      <c r="C35" s="22" t="inlineStr">
        <is>
          <t xml:space="preserve">FY2022</t>
        </is>
      </c>
      <c r="D35" s="22" t="inlineStr">
        <is>
          <t xml:space="preserve">FY2023</t>
        </is>
      </c>
      <c r="E35" s="22" t="inlineStr">
        <is>
          <t xml:space="preserve">FY2024</t>
        </is>
      </c>
      <c r="F35" s="22" t="inlineStr">
        <is>
          <t xml:space="preserve">FY2025</t>
        </is>
      </c>
      <c r="G35" s="22" t="inlineStr">
        <is>
          <t xml:space="preserve">FY2026</t>
        </is>
      </c>
      <c r="H35" s="22" t="inlineStr">
        <is>
          <t xml:space="preserve">FY2027</t>
        </is>
      </c>
    </row>
    <row r="36" outlineLevel="2">
      <c r="B36" s="1" t="inlineStr">
        <is>
          <t xml:space="preserve">Outsourced TAM, all streams ($M)</t>
        </is>
      </c>
      <c r="C36" s="4">
        <f>N(C22)</f>
      </c>
      <c r="D36" s="4">
        <f>N(D22)</f>
      </c>
      <c r="E36" s="4">
        <f>N(E22)</f>
      </c>
      <c r="F36" s="4">
        <f>N(F22)</f>
      </c>
      <c r="G36" s="4">
        <f>N(G22)</f>
      </c>
      <c r="H36" s="4">
        <f>N(H22)</f>
      </c>
    </row>
    <row r="37" outlineLevel="2">
      <c r="B37" s="0" t="inlineStr">
        <is>
          <t xml:space="preserve">Total ship spend: P-5c Total Ship Estimate ($M)</t>
        </is>
      </c>
      <c r="C37" s="11">
        <f>'SCN Budget'!C77</f>
      </c>
      <c r="D37" s="11">
        <f>'SCN Budget'!D77</f>
      </c>
      <c r="E37" s="11">
        <f>'SCN Budget'!E77</f>
      </c>
      <c r="F37" s="11">
        <f>'SCN Budget'!F77</f>
      </c>
      <c r="G37" s="11">
        <f>'SCN Budget'!G77</f>
      </c>
      <c r="H37" s="11">
        <f>'SCN Budget'!H77</f>
      </c>
    </row>
    <row r="38" outlineLevel="2">
      <c r="B38" s="3" t="inlineStr">
        <is>
          <t xml:space="preserve">Total ship spend ($M)</t>
        </is>
      </c>
      <c r="C38" s="13">
        <f>N(C37)</f>
      </c>
      <c r="D38" s="13">
        <f>N(D37)</f>
      </c>
      <c r="E38" s="13">
        <f>N(E37)</f>
      </c>
      <c r="F38" s="13">
        <f>N(F37)</f>
      </c>
      <c r="G38" s="13">
        <f>N(G37)</f>
      </c>
      <c r="H38" s="13">
        <f>N(H37)</f>
      </c>
    </row>
    <row r="39" outlineLevel="2">
      <c r="B39" s="1" t="inlineStr">
        <is>
          <t xml:space="preserve">Penetration: TAM / total ship spend</t>
        </is>
      </c>
      <c r="C39" s="6">
        <f>IF(C38=0,"",C36/C38)</f>
      </c>
      <c r="D39" s="6">
        <f>IF(D38=0,"",D36/D38)</f>
      </c>
      <c r="E39" s="6">
        <f>IF(E38=0,"",E36/E38)</f>
      </c>
      <c r="F39" s="6">
        <f>IF(F38=0,"",F36/F38)</f>
      </c>
      <c r="G39" s="6">
        <f>IF(G38=0,"",G36/G38)</f>
      </c>
      <c r="H39" s="6">
        <f>IF(H38=0,"",H36/H38)</f>
      </c>
    </row>
    <row r="40" outlineLevel="2"/>
    <row r="41" outlineLevel="2">
      <c r="B41" s="2" t="inlineStr">
        <is>
          <t xml:space="preserve">Measure</t>
        </is>
      </c>
      <c r="C41" s="22" t="inlineStr">
        <is>
          <t xml:space="preserve">Value</t>
        </is>
      </c>
    </row>
    <row r="42" outlineLevel="2">
      <c r="B42" s="0" t="inlineStr">
        <is>
          <t xml:space="preserve">FY22-25 average penetration</t>
        </is>
      </c>
      <c r="C42" s="6">
        <f>SUM(C36:F36)/SUM(C38:F38)</f>
      </c>
    </row>
    <row r="43" outlineLevel="2">
      <c r="B43" s="1" t="inlineStr">
        <is>
          <t xml:space="preserve">Forecast BC share</t>
        </is>
      </c>
      <c r="C43" s="6">
        <f>SUM(C19:F19)/SUM(C37:F37)</f>
      </c>
    </row>
    <row r="44" outlineLevel="2">
      <c r="B44" s="0" t="inlineStr">
        <is>
          <t xml:space="preserve">Outyear BC coefficient, low</t>
        </is>
      </c>
      <c r="C44" s="12">
        <f>'Place of Performance'!E12</f>
      </c>
    </row>
    <row r="45" outlineLevel="2">
      <c r="B45" s="0" t="inlineStr">
        <is>
          <t xml:space="preserve">Outsourcing intensity growth</t>
        </is>
      </c>
      <c r="C45" s="12">
        <f>'Assumptions'!C26</f>
      </c>
    </row>
    <row r="46" outlineLevel="2">
      <c r="B46" s="1" t="inlineStr">
        <is>
          <t xml:space="preserve">Outyear BC coefficient, high</t>
        </is>
      </c>
      <c r="C46" s="6">
        <f>C44*(1+C45)</f>
      </c>
    </row>
    <row r="47" outlineLevel="2"/>
    <row r="48" outlineLevel="2">
      <c r="B48" s="2" t="inlineStr">
        <is>
          <t xml:space="preserve">Outyear ($M)</t>
        </is>
      </c>
      <c r="C48" s="22" t="inlineStr">
        <is>
          <t xml:space="preserve">FY2028</t>
        </is>
      </c>
      <c r="D48" s="22" t="inlineStr">
        <is>
          <t xml:space="preserve">FY2029</t>
        </is>
      </c>
      <c r="E48" s="22" t="inlineStr">
        <is>
          <t xml:space="preserve">FY2030</t>
        </is>
      </c>
      <c r="F48" s="22" t="inlineStr">
        <is>
          <t xml:space="preserve">FY2031</t>
        </is>
      </c>
    </row>
    <row r="49" outlineLevel="2">
      <c r="B49" s="1" t="inlineStr">
        <is>
          <t xml:space="preserve">FYDP gross</t>
        </is>
      </c>
      <c r="C49" s="11">
        <f>'FYDP Outyears'!F43</f>
      </c>
      <c r="D49" s="11">
        <f>'FYDP Outyears'!G43</f>
      </c>
      <c r="E49" s="11">
        <f>'FYDP Outyears'!H43</f>
      </c>
      <c r="F49" s="11">
        <f>'FYDP Outyears'!I43</f>
      </c>
    </row>
    <row r="50" outlineLevel="2">
      <c r="B50" s="0" t="inlineStr">
        <is>
          <t xml:space="preserve">Outyear BC base</t>
        </is>
      </c>
      <c r="C50" s="4">
        <f>C49*$C$43</f>
      </c>
      <c r="D50" s="4">
        <f>D49*$C$43</f>
      </c>
      <c r="E50" s="4">
        <f>E49*$C$43</f>
      </c>
      <c r="F50" s="4">
        <f>F49*$C$43</f>
      </c>
    </row>
    <row r="51" outlineLevel="2">
      <c r="B51" s="1" t="inlineStr">
        <is>
          <t xml:space="preserve">Outsourced BC, low</t>
        </is>
      </c>
      <c r="C51" s="4">
        <f>C50*$C$44</f>
      </c>
      <c r="D51" s="4">
        <f>D50*$C$44</f>
      </c>
      <c r="E51" s="4">
        <f>E50*$C$44</f>
      </c>
      <c r="F51" s="4">
        <f>F50*$C$44</f>
      </c>
    </row>
    <row r="52" outlineLevel="2">
      <c r="B52" s="1" t="inlineStr">
        <is>
          <t xml:space="preserve">Outsourced BC, high</t>
        </is>
      </c>
      <c r="C52" s="4">
        <f>C50*$C$46</f>
      </c>
      <c r="D52" s="4">
        <f>D50*$C$46</f>
      </c>
      <c r="E52" s="4">
        <f>E50*$C$46</f>
      </c>
      <c r="F52" s="4">
        <f>F50*$C$46</f>
      </c>
    </row>
    <row r="53" outlineLevel="2"/>
    <row r="54" outlineLevel="2">
      <c r="B54" s="0" t="inlineStr">
        <is>
          <t xml:space="preserve">Outyear low average</t>
        </is>
      </c>
      <c r="C54" s="4">
        <f>AVERAGE(C51:F51)</f>
      </c>
    </row>
    <row r="55" outlineLevel="2">
      <c r="B55" s="0" t="inlineStr">
        <is>
          <t xml:space="preserve">Outyear high average</t>
        </is>
      </c>
      <c r="C55" s="4">
        <f>AVERAGE(C52:F52)</f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48596B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4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3" customWidth="1"/>
  </cols>
  <sheetData>
    <row r="1"/>
    <row r="2">
      <c r="A2" s="0" t="inlineStr">
        <is>
          <t xml:space="preserve">x</t>
        </is>
      </c>
      <c r="B2" s="8" t="inlineStr">
        <is>
          <t xml:space="preserve">DDG-51 TAM</t>
        </is>
      </c>
      <c r="C2" s="8"/>
      <c r="D2" s="8"/>
      <c r="E2" s="8"/>
      <c r="F2" s="8"/>
      <c r="G2" s="8"/>
      <c r="H2" s="8"/>
      <c r="I2" s="8"/>
    </row>
    <row r="3" outlineLevel="1">
      <c r="B3" s="56" t="inlineStr">
        <is>
          <t xml:space="preserve">DDG-51 BC, AP/LLTM, and OBBBA TAM, FY2022-31</t>
        </is>
      </c>
    </row>
    <row r="4" outlineLevel="1"/>
    <row r="5" outlineLevel="1"/>
    <row r="6" outlineLevel="1">
      <c r="A6" s="0" t="inlineStr">
        <is>
          <t xml:space="preserve">x</t>
        </is>
      </c>
      <c r="B6" s="9" t="inlineStr">
        <is>
          <t xml:space="preserve">§1 - Headline TAM</t>
        </is>
      </c>
      <c r="C6" s="9"/>
      <c r="D6" s="9"/>
      <c r="E6" s="9"/>
      <c r="F6" s="9"/>
      <c r="G6" s="9"/>
      <c r="H6" s="9"/>
      <c r="I6" s="9"/>
    </row>
    <row r="7" outlineLevel="2"/>
    <row r="8" outlineLevel="2">
      <c r="B8" s="2" t="inlineStr">
        <is>
          <t xml:space="preserve">Measure</t>
        </is>
      </c>
      <c r="C8" s="22" t="inlineStr">
        <is>
          <t xml:space="preserve">Value</t>
        </is>
      </c>
    </row>
    <row r="9" outlineLevel="2">
      <c r="B9" s="1" t="inlineStr">
        <is>
          <t xml:space="preserve">Cumulative TAM (FY22-27) $M</t>
        </is>
      </c>
      <c r="C9" s="4">
        <f>C34</f>
      </c>
    </row>
    <row r="10" outlineLevel="2">
      <c r="B10" s="1" t="inlineStr">
        <is>
          <t xml:space="preserve">Average annual TAM $M/yr</t>
        </is>
      </c>
      <c r="C10" s="4">
        <f>C35</f>
      </c>
    </row>
    <row r="11" outlineLevel="2">
      <c r="B11" s="0" t="inlineStr">
        <is>
          <t xml:space="preserve">Applied BC supplier coefficient</t>
        </is>
      </c>
      <c r="C11" s="6">
        <f>C38</f>
      </c>
    </row>
    <row r="12" outlineLevel="2">
      <c r="B12" s="0" t="inlineStr">
        <is>
          <t xml:space="preserve">incl. OBBBA mandatory TAM $M</t>
        </is>
      </c>
      <c r="C12" s="4">
        <f>C36</f>
      </c>
    </row>
    <row r="13" outlineLevel="2">
      <c r="B13" s="0" t="inlineStr">
        <is>
          <t xml:space="preserve">incl. AP/LLTM TAM $M</t>
        </is>
      </c>
      <c r="C13" s="4">
        <f>I27</f>
      </c>
    </row>
    <row r="14" outlineLevel="2">
      <c r="B14" s="0" t="inlineStr">
        <is>
          <t xml:space="preserve">Implied outyear (FY28-31) low $M/yr</t>
        </is>
      </c>
      <c r="C14" s="4">
        <f>C65</f>
      </c>
    </row>
    <row r="15" outlineLevel="2">
      <c r="B15" s="0" t="inlineStr">
        <is>
          <t xml:space="preserve">Implied outyear (FY28-31) high $M/yr</t>
        </is>
      </c>
      <c r="C15" s="4">
        <f>C66</f>
      </c>
    </row>
    <row r="16" outlineLevel="2"/>
    <row r="17" outlineLevel="2"/>
    <row r="18" outlineLevel="1">
      <c r="A18" s="0" t="inlineStr">
        <is>
          <t xml:space="preserve">x</t>
        </is>
      </c>
      <c r="B18" s="9" t="inlineStr">
        <is>
          <t xml:space="preserve">§2 - TAM by fiscal year ($M, constant FY2026)</t>
        </is>
      </c>
      <c r="C18" s="9"/>
      <c r="D18" s="9"/>
      <c r="E18" s="9"/>
      <c r="F18" s="9"/>
      <c r="G18" s="9"/>
      <c r="H18" s="9"/>
      <c r="I18" s="9"/>
    </row>
    <row r="19" outlineLevel="2"/>
    <row r="20" outlineLevel="2">
      <c r="B20" s="2" t="inlineStr">
        <is>
          <t xml:space="preserve">Metric</t>
        </is>
      </c>
      <c r="C20" s="22" t="inlineStr">
        <is>
          <t xml:space="preserve">FY2022</t>
        </is>
      </c>
      <c r="D20" s="22" t="inlineStr">
        <is>
          <t xml:space="preserve">FY2023</t>
        </is>
      </c>
      <c r="E20" s="22" t="inlineStr">
        <is>
          <t xml:space="preserve">FY2024</t>
        </is>
      </c>
      <c r="F20" s="22" t="inlineStr">
        <is>
          <t xml:space="preserve">FY2025</t>
        </is>
      </c>
      <c r="G20" s="22" t="inlineStr">
        <is>
          <t xml:space="preserve">FY2026</t>
        </is>
      </c>
      <c r="H20" s="22" t="inlineStr">
        <is>
          <t xml:space="preserve">FY2027</t>
        </is>
      </c>
      <c r="I20" s="22" t="inlineStr">
        <is>
          <t xml:space="preserve">FY22-27</t>
        </is>
      </c>
    </row>
    <row r="21" outlineLevel="2">
      <c r="B21" s="0" t="inlineStr">
        <is>
          <t xml:space="preserve">BC base (P-5c Basic Construction)</t>
        </is>
      </c>
      <c r="C21" s="11">
        <f>'SCN Budget'!C120</f>
      </c>
      <c r="D21" s="11">
        <f>'SCN Budget'!D120</f>
      </c>
      <c r="E21" s="11">
        <f>'SCN Budget'!E120</f>
      </c>
      <c r="F21" s="11">
        <f>'SCN Budget'!F120</f>
      </c>
      <c r="G21" s="11">
        <f>'SCN Budget'!G120</f>
      </c>
      <c r="H21" s="11">
        <f>'SCN Budget'!H120</f>
      </c>
      <c r="I21" s="4">
        <f>SUM(C21:H21)</f>
      </c>
    </row>
    <row r="22" outlineLevel="2">
      <c r="B22" s="0" t="inlineStr">
        <is>
          <t xml:space="preserve">OBBBA mandatory BC base</t>
        </is>
      </c>
      <c r="C22" s="11">
        <f>'OBBBA Mandatory'!C37</f>
      </c>
      <c r="D22" s="11">
        <f>'OBBBA Mandatory'!D37</f>
      </c>
      <c r="E22" s="11">
        <f>'OBBBA Mandatory'!E37</f>
      </c>
      <c r="F22" s="11">
        <f>'OBBBA Mandatory'!F37</f>
      </c>
      <c r="G22" s="11">
        <f>'OBBBA Mandatory'!G37</f>
      </c>
      <c r="H22" s="11">
        <f>'OBBBA Mandatory'!H37</f>
      </c>
      <c r="I22" s="4">
        <f>SUM(C22:H22)</f>
      </c>
    </row>
    <row r="23" outlineLevel="2">
      <c r="B23" s="0" t="inlineStr">
        <is>
          <t xml:space="preserve">AP/LLTM base (P-10 Ship Construction EOQ)</t>
        </is>
      </c>
      <c r="C23" s="11">
        <f>'SCN Budget'!C128</f>
      </c>
      <c r="D23" s="11">
        <f>'SCN Budget'!D128</f>
      </c>
      <c r="E23" s="11">
        <f>'SCN Budget'!E128</f>
      </c>
      <c r="F23" s="11">
        <f>'SCN Budget'!F128</f>
      </c>
      <c r="G23" s="11">
        <f>'SCN Budget'!G128</f>
      </c>
      <c r="H23" s="11">
        <f>'SCN Budget'!H128</f>
      </c>
      <c r="I23" s="4">
        <f>SUM(C23:H23)</f>
      </c>
    </row>
    <row r="24" outlineLevel="2">
      <c r="B24" s="0" t="inlineStr">
        <is>
          <t xml:space="preserve">Applied BC coefficient (from Place of Performance)</t>
        </is>
      </c>
      <c r="C24" s="12">
        <f>'Place of Performance'!E14</f>
      </c>
      <c r="D24" s="12">
        <f>'Place of Performance'!E13</f>
      </c>
      <c r="E24" s="12">
        <f>'Place of Performance'!E13</f>
      </c>
      <c r="F24" s="12">
        <f>'Place of Performance'!E13</f>
      </c>
      <c r="G24" s="12">
        <f>'Place of Performance'!E13</f>
      </c>
      <c r="H24" s="12">
        <f>'Place of Performance'!E13</f>
      </c>
    </row>
    <row r="25" outlineLevel="2">
      <c r="B25" s="0" t="inlineStr">
        <is>
          <t xml:space="preserve">TAM - BC stream</t>
        </is>
      </c>
      <c r="C25" s="4">
        <f>C21*C$24</f>
      </c>
      <c r="D25" s="4">
        <f>D21*D$24</f>
      </c>
      <c r="E25" s="4">
        <f>E21*E$24</f>
      </c>
      <c r="F25" s="4">
        <f>F21*F$24</f>
      </c>
      <c r="G25" s="4">
        <f>G21*G$24</f>
      </c>
      <c r="H25" s="4">
        <f>H21*H$24</f>
      </c>
      <c r="I25" s="4">
        <f>SUM(C25:H25)</f>
      </c>
    </row>
    <row r="26" outlineLevel="2">
      <c r="B26" s="0" t="inlineStr">
        <is>
          <t xml:space="preserve">TAM - OBBBA mandatory stream</t>
        </is>
      </c>
      <c r="C26" s="4">
        <f>C22*C$24</f>
      </c>
      <c r="D26" s="4">
        <f>D22*D$24</f>
      </c>
      <c r="E26" s="4">
        <f>E22*E$24</f>
      </c>
      <c r="F26" s="4">
        <f>F22*F$24</f>
      </c>
      <c r="G26" s="4">
        <f>G22*G$24</f>
      </c>
      <c r="H26" s="4">
        <f>H22*H$24</f>
      </c>
      <c r="I26" s="4">
        <f>SUM(C26:H26)</f>
      </c>
    </row>
    <row r="27" outlineLevel="2">
      <c r="B27" s="0" t="inlineStr">
        <is>
          <t xml:space="preserve">TAM - AP/LLTM stream</t>
        </is>
      </c>
      <c r="C27" s="4">
        <f>C23*'Assumptions'!C9</f>
      </c>
      <c r="D27" s="4">
        <f>D23*'Assumptions'!C9</f>
      </c>
      <c r="E27" s="4">
        <f>E23*'Assumptions'!C9</f>
      </c>
      <c r="F27" s="4">
        <f>F23*'Assumptions'!C9</f>
      </c>
      <c r="G27" s="4">
        <f>G23*'Assumptions'!C9</f>
      </c>
      <c r="H27" s="4">
        <f>H23*'Assumptions'!C9</f>
      </c>
      <c r="I27" s="4">
        <f>SUM(C27:H27)</f>
      </c>
    </row>
    <row r="28" outlineLevel="2">
      <c r="B28" s="3" t="inlineStr">
        <is>
          <t xml:space="preserve">TAM (all streams)</t>
        </is>
      </c>
      <c r="C28" s="13">
        <f>SUM(C25:C27)</f>
      </c>
      <c r="D28" s="13">
        <f>SUM(D25:D27)</f>
      </c>
      <c r="E28" s="13">
        <f>SUM(E25:E27)</f>
      </c>
      <c r="F28" s="13">
        <f>SUM(F25:F27)</f>
      </c>
      <c r="G28" s="13">
        <f>SUM(G25:G27)</f>
      </c>
      <c r="H28" s="13">
        <f>SUM(H25:H27)</f>
      </c>
      <c r="I28" s="13">
        <f>SUM(C28:H28)</f>
      </c>
    </row>
    <row r="29" outlineLevel="2"/>
    <row r="30" outlineLevel="2"/>
    <row r="31" outlineLevel="2">
      <c r="A31" s="0" t="inlineStr">
        <is>
          <t xml:space="preserve">x</t>
        </is>
      </c>
      <c r="B31" s="10" t="inlineStr">
        <is>
          <t xml:space="preserve">§2a - Roll-up &amp; applied coefficient</t>
        </is>
      </c>
      <c r="C31" s="10"/>
      <c r="D31" s="10"/>
      <c r="E31" s="10"/>
      <c r="F31" s="10"/>
      <c r="G31" s="10"/>
      <c r="H31" s="10"/>
      <c r="I31" s="10"/>
    </row>
    <row r="32" outlineLevel="3"/>
    <row r="33" outlineLevel="3">
      <c r="B33" s="2" t="inlineStr">
        <is>
          <t xml:space="preserve">Measure</t>
        </is>
      </c>
      <c r="C33" s="22" t="inlineStr">
        <is>
          <t xml:space="preserve">Value</t>
        </is>
      </c>
    </row>
    <row r="34" outlineLevel="3">
      <c r="B34" s="1" t="inlineStr">
        <is>
          <t xml:space="preserve">Cumulative TAM (FY22-27) $M</t>
        </is>
      </c>
      <c r="C34" s="4">
        <f>I28</f>
      </c>
    </row>
    <row r="35" outlineLevel="3">
      <c r="B35" s="1" t="inlineStr">
        <is>
          <t xml:space="preserve">Average annual TAM $M/yr</t>
        </is>
      </c>
      <c r="C35" s="4">
        <f>C34/6</f>
      </c>
    </row>
    <row r="36" outlineLevel="3">
      <c r="B36" s="0" t="inlineStr">
        <is>
          <t xml:space="preserve">of which OBBBA mandatory TAM (cumulative) $M</t>
        </is>
      </c>
      <c r="C36" s="4">
        <f>I26</f>
      </c>
    </row>
    <row r="37" outlineLevel="3">
      <c r="B37" s="0" t="inlineStr">
        <is>
          <t xml:space="preserve">of which AP/LLTM TAM (cumulative) $M</t>
        </is>
      </c>
      <c r="C37" s="4">
        <f>I27</f>
      </c>
    </row>
    <row r="38" outlineLevel="3">
      <c r="B38" s="0" t="inlineStr">
        <is>
          <t xml:space="preserve">Applied BC supplier coefficient</t>
        </is>
      </c>
      <c r="C38" s="6">
        <f>'Place of Performance'!E13</f>
      </c>
    </row>
    <row r="39" outlineLevel="3">
      <c r="B39" s="0" t="inlineStr">
        <is>
          <t xml:space="preserve">Applied BC coefficient, FY2022 vintage</t>
        </is>
      </c>
      <c r="C39" s="6">
        <f>'Place of Performance'!E14</f>
      </c>
    </row>
    <row r="40" outlineLevel="3"/>
    <row r="41" outlineLevel="3"/>
    <row r="42" outlineLevel="1">
      <c r="A42" s="0" t="inlineStr">
        <is>
          <t xml:space="preserve">x</t>
        </is>
      </c>
      <c r="B42" s="9" t="inlineStr">
        <is>
          <t xml:space="preserve">§3 - Penetration and outyears ($M)</t>
        </is>
      </c>
      <c r="C42" s="9"/>
      <c r="D42" s="9"/>
      <c r="E42" s="9"/>
      <c r="F42" s="9"/>
      <c r="G42" s="9"/>
      <c r="H42" s="9"/>
      <c r="I42" s="9"/>
    </row>
    <row r="43" outlineLevel="2"/>
    <row r="44" outlineLevel="2">
      <c r="B44" s="2" t="inlineStr">
        <is>
          <t xml:space="preserve">Metric</t>
        </is>
      </c>
      <c r="C44" s="22" t="inlineStr">
        <is>
          <t xml:space="preserve">FY2022</t>
        </is>
      </c>
      <c r="D44" s="22" t="inlineStr">
        <is>
          <t xml:space="preserve">FY2023</t>
        </is>
      </c>
      <c r="E44" s="22" t="inlineStr">
        <is>
          <t xml:space="preserve">FY2024</t>
        </is>
      </c>
      <c r="F44" s="22" t="inlineStr">
        <is>
          <t xml:space="preserve">FY2025</t>
        </is>
      </c>
      <c r="G44" s="22" t="inlineStr">
        <is>
          <t xml:space="preserve">FY2026</t>
        </is>
      </c>
      <c r="H44" s="22" t="inlineStr">
        <is>
          <t xml:space="preserve">FY2027</t>
        </is>
      </c>
    </row>
    <row r="45" outlineLevel="2">
      <c r="B45" s="1" t="inlineStr">
        <is>
          <t xml:space="preserve">Outsourced TAM, all streams ($M)</t>
        </is>
      </c>
      <c r="C45" s="4">
        <f>N(C28)</f>
      </c>
      <c r="D45" s="4">
        <f>N(D28)</f>
      </c>
      <c r="E45" s="4">
        <f>N(E28)</f>
      </c>
      <c r="F45" s="4">
        <f>N(F28)</f>
      </c>
      <c r="G45" s="4">
        <f>N(G28)</f>
      </c>
      <c r="H45" s="4">
        <f>N(H28)</f>
      </c>
    </row>
    <row r="46" outlineLevel="2">
      <c r="B46" s="0" t="inlineStr">
        <is>
          <t xml:space="preserve">Total ship spend: P-5c Total Ship Estimate ($M)</t>
        </is>
      </c>
      <c r="C46" s="11">
        <f>'SCN Budget'!C112</f>
      </c>
      <c r="D46" s="11">
        <f>'SCN Budget'!D112</f>
      </c>
      <c r="E46" s="11">
        <f>'SCN Budget'!E112</f>
      </c>
      <c r="F46" s="11">
        <f>'SCN Budget'!F112</f>
      </c>
      <c r="G46" s="11">
        <f>'SCN Budget'!G112</f>
      </c>
      <c r="H46" s="11">
        <f>'SCN Budget'!H112</f>
      </c>
    </row>
    <row r="47" outlineLevel="2">
      <c r="B47" s="0" t="inlineStr">
        <is>
          <t xml:space="preserve">plus OBBBA gross award ($M)</t>
        </is>
      </c>
      <c r="C47" s="4">
        <f>N('OBBBA Mandatory'!C32)</f>
      </c>
      <c r="D47" s="4">
        <f>N('OBBBA Mandatory'!D32)</f>
      </c>
      <c r="E47" s="4">
        <f>N('OBBBA Mandatory'!E32)</f>
      </c>
      <c r="F47" s="4">
        <f>N('OBBBA Mandatory'!F32)</f>
      </c>
      <c r="G47" s="4">
        <f>N('OBBBA Mandatory'!G32)</f>
      </c>
      <c r="H47" s="4">
        <f>N('OBBBA Mandatory'!H32)</f>
      </c>
    </row>
    <row r="48" outlineLevel="2">
      <c r="B48" s="3" t="inlineStr">
        <is>
          <t xml:space="preserve">Total ship spend incl. OBBBA ($M)</t>
        </is>
      </c>
      <c r="C48" s="13">
        <f>C46+N(C47)</f>
      </c>
      <c r="D48" s="13">
        <f>D46+N(D47)</f>
      </c>
      <c r="E48" s="13">
        <f>E46+N(E47)</f>
      </c>
      <c r="F48" s="13">
        <f>F46+N(F47)</f>
      </c>
      <c r="G48" s="13">
        <f>G46+N(G47)</f>
      </c>
      <c r="H48" s="13">
        <f>H46+N(H47)</f>
      </c>
    </row>
    <row r="49" outlineLevel="2">
      <c r="B49" s="1" t="inlineStr">
        <is>
          <t xml:space="preserve">Penetration: TAM / total ship spend</t>
        </is>
      </c>
      <c r="C49" s="6">
        <f>IF(C48=0,"",C45/C48)</f>
      </c>
      <c r="D49" s="6">
        <f>IF(D48=0,"",D45/D48)</f>
      </c>
      <c r="E49" s="6">
        <f>IF(E48=0,"",E45/E48)</f>
      </c>
      <c r="F49" s="6">
        <f>IF(F48=0,"",F45/F48)</f>
      </c>
      <c r="G49" s="6">
        <f>IF(G48=0,"",G45/G48)</f>
      </c>
      <c r="H49" s="6">
        <f>IF(H48=0,"",H45/H48)</f>
      </c>
    </row>
    <row r="50" outlineLevel="2"/>
    <row r="51" outlineLevel="2">
      <c r="B51" s="2" t="inlineStr">
        <is>
          <t xml:space="preserve">Measure</t>
        </is>
      </c>
      <c r="C51" s="22" t="inlineStr">
        <is>
          <t xml:space="preserve">Value</t>
        </is>
      </c>
    </row>
    <row r="52" outlineLevel="2">
      <c r="B52" s="0" t="inlineStr">
        <is>
          <t xml:space="preserve">FY22-25 average penetration</t>
        </is>
      </c>
      <c r="C52" s="6">
        <f>SUM(C45:F45)/SUM(C48:F48)</f>
      </c>
    </row>
    <row r="53" outlineLevel="2">
      <c r="B53" s="1" t="inlineStr">
        <is>
          <t xml:space="preserve">Forecast BC share</t>
        </is>
      </c>
      <c r="C53" s="6">
        <f>SUM(C21:F21)/SUM(C46:F46)</f>
      </c>
    </row>
    <row r="54" outlineLevel="2">
      <c r="B54" s="0" t="inlineStr">
        <is>
          <t xml:space="preserve">Outyear BC coefficient, low</t>
        </is>
      </c>
      <c r="C54" s="12">
        <f>'Place of Performance'!E13</f>
      </c>
    </row>
    <row r="55" outlineLevel="2">
      <c r="B55" s="0" t="inlineStr">
        <is>
          <t xml:space="preserve">Outsourcing intensity growth</t>
        </is>
      </c>
      <c r="C55" s="12">
        <f>'Assumptions'!C26</f>
      </c>
    </row>
    <row r="56" outlineLevel="2">
      <c r="B56" s="0" t="inlineStr">
        <is>
          <t xml:space="preserve">HII share of DDG BC</t>
        </is>
      </c>
      <c r="C56" s="12">
        <f>'Assumptions'!C27</f>
      </c>
    </row>
    <row r="57" outlineLevel="2">
      <c r="B57" s="1" t="inlineStr">
        <is>
          <t xml:space="preserve">Outyear BC coefficient, high</t>
        </is>
      </c>
      <c r="C57" s="6">
        <f>C54*(1+C56*C55)</f>
      </c>
    </row>
    <row r="58" outlineLevel="2"/>
    <row r="59" outlineLevel="2">
      <c r="B59" s="2" t="inlineStr">
        <is>
          <t xml:space="preserve">Outyear ($M)</t>
        </is>
      </c>
      <c r="C59" s="22" t="inlineStr">
        <is>
          <t xml:space="preserve">FY2028</t>
        </is>
      </c>
      <c r="D59" s="22" t="inlineStr">
        <is>
          <t xml:space="preserve">FY2029</t>
        </is>
      </c>
      <c r="E59" s="22" t="inlineStr">
        <is>
          <t xml:space="preserve">FY2030</t>
        </is>
      </c>
      <c r="F59" s="22" t="inlineStr">
        <is>
          <t xml:space="preserve">FY2031</t>
        </is>
      </c>
    </row>
    <row r="60" outlineLevel="2">
      <c r="B60" s="1" t="inlineStr">
        <is>
          <t xml:space="preserve">FYDP gross</t>
        </is>
      </c>
      <c r="C60" s="11">
        <f>'FYDP Outyears'!F44</f>
      </c>
      <c r="D60" s="11">
        <f>'FYDP Outyears'!G44</f>
      </c>
      <c r="E60" s="11">
        <f>'FYDP Outyears'!H44</f>
      </c>
      <c r="F60" s="11">
        <f>'FYDP Outyears'!I44</f>
      </c>
    </row>
    <row r="61" outlineLevel="2">
      <c r="B61" s="0" t="inlineStr">
        <is>
          <t xml:space="preserve">Outyear BC base</t>
        </is>
      </c>
      <c r="C61" s="4">
        <f>C60*$C$53</f>
      </c>
      <c r="D61" s="4">
        <f>D60*$C$53</f>
      </c>
      <c r="E61" s="4">
        <f>E60*$C$53</f>
      </c>
      <c r="F61" s="4">
        <f>F60*$C$53</f>
      </c>
    </row>
    <row r="62" outlineLevel="2">
      <c r="B62" s="1" t="inlineStr">
        <is>
          <t xml:space="preserve">Outsourced BC, low</t>
        </is>
      </c>
      <c r="C62" s="4">
        <f>C61*$C$54</f>
      </c>
      <c r="D62" s="4">
        <f>D61*$C$54</f>
      </c>
      <c r="E62" s="4">
        <f>E61*$C$54</f>
      </c>
      <c r="F62" s="4">
        <f>F61*$C$54</f>
      </c>
    </row>
    <row r="63" outlineLevel="2">
      <c r="B63" s="1" t="inlineStr">
        <is>
          <t xml:space="preserve">Outsourced BC, high</t>
        </is>
      </c>
      <c r="C63" s="4">
        <f>C61*$C$57</f>
      </c>
      <c r="D63" s="4">
        <f>D61*$C$57</f>
      </c>
      <c r="E63" s="4">
        <f>E61*$C$57</f>
      </c>
      <c r="F63" s="4">
        <f>F61*$C$57</f>
      </c>
    </row>
    <row r="64" outlineLevel="2"/>
    <row r="65" outlineLevel="2">
      <c r="B65" s="0" t="inlineStr">
        <is>
          <t xml:space="preserve">Outyear low average</t>
        </is>
      </c>
      <c r="C65" s="4">
        <f>AVERAGE(C62:F62)</f>
      </c>
    </row>
    <row r="66" outlineLevel="2">
      <c r="B66" s="0" t="inlineStr">
        <is>
          <t xml:space="preserve">Outyear high average</t>
        </is>
      </c>
      <c r="C66" s="4">
        <f>AVERAGE(C63:F63)</f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203864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40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3" customWidth="1"/>
  </cols>
  <sheetData>
    <row r="1"/>
    <row r="2">
      <c r="A2" s="0" t="inlineStr">
        <is>
          <t xml:space="preserve">x</t>
        </is>
      </c>
      <c r="B2" s="8" t="inlineStr">
        <is>
          <t xml:space="preserve">SCN Budget</t>
        </is>
      </c>
      <c r="C2" s="8"/>
      <c r="D2" s="8"/>
      <c r="E2" s="8"/>
      <c r="F2" s="8"/>
      <c r="G2" s="8"/>
      <c r="H2" s="8"/>
      <c r="I2" s="8"/>
    </row>
    <row r="3" outlineLevel="1">
      <c r="B3" s="56" t="inlineStr">
        <is>
          <t xml:space="preserve">PB2027 P-5c cost categories and constant-dollar BC bases</t>
        </is>
      </c>
    </row>
    <row r="4" outlineLevel="1"/>
    <row r="5" outlineLevel="1"/>
    <row r="6" outlineLevel="1">
      <c r="A6" s="0" t="inlineStr">
        <is>
          <t xml:space="preserve">x</t>
        </is>
      </c>
      <c r="B6" s="9" t="inlineStr">
        <is>
          <t xml:space="preserve">§1 - Basic Construction by program</t>
        </is>
      </c>
      <c r="C6" s="9"/>
      <c r="D6" s="9"/>
      <c r="E6" s="9"/>
      <c r="F6" s="9"/>
      <c r="G6" s="9"/>
      <c r="H6" s="9"/>
      <c r="I6" s="9"/>
    </row>
    <row r="7" outlineLevel="2"/>
    <row r="8" outlineLevel="2">
      <c r="B8" s="2" t="inlineStr">
        <is>
          <t xml:space="preserve">Measure</t>
        </is>
      </c>
      <c r="C8" s="22" t="inlineStr">
        <is>
          <t xml:space="preserve">FY2022</t>
        </is>
      </c>
      <c r="D8" s="22" t="inlineStr">
        <is>
          <t xml:space="preserve">FY2023</t>
        </is>
      </c>
      <c r="E8" s="22" t="inlineStr">
        <is>
          <t xml:space="preserve">FY2024</t>
        </is>
      </c>
      <c r="F8" s="22" t="inlineStr">
        <is>
          <t xml:space="preserve">FY2025</t>
        </is>
      </c>
      <c r="G8" s="22" t="inlineStr">
        <is>
          <t xml:space="preserve">FY2026</t>
        </is>
      </c>
      <c r="H8" s="22" t="inlineStr">
        <is>
          <t xml:space="preserve">FY2027</t>
        </is>
      </c>
      <c r="I8" s="22" t="inlineStr">
        <is>
          <t xml:space="preserve">Total</t>
        </is>
      </c>
    </row>
    <row r="9" outlineLevel="2">
      <c r="B9" s="1" t="inlineStr">
        <is>
          <t xml:space="preserve">Virginia Basic Construction</t>
        </is>
      </c>
      <c r="C9" s="4">
        <f>'SCN Budget'!C50</f>
      </c>
      <c r="D9" s="4">
        <f>'SCN Budget'!D50</f>
      </c>
      <c r="E9" s="4">
        <f>'SCN Budget'!E50</f>
      </c>
      <c r="F9" s="4">
        <f>'SCN Budget'!F50</f>
      </c>
      <c r="G9" s="4">
        <f>'SCN Budget'!G50</f>
      </c>
      <c r="H9" s="4">
        <f>'SCN Budget'!H50</f>
      </c>
      <c r="I9" s="4">
        <f>SUM(C9:H9)</f>
      </c>
    </row>
    <row r="10" outlineLevel="2">
      <c r="B10" s="1" t="inlineStr">
        <is>
          <t xml:space="preserve">Columbia Basic Construction</t>
        </is>
      </c>
      <c r="C10" s="4">
        <f>'SCN Budget'!C87</f>
      </c>
      <c r="D10" s="4">
        <f>'SCN Budget'!D87</f>
      </c>
      <c r="E10" s="4">
        <f>'SCN Budget'!E87</f>
      </c>
      <c r="F10" s="4">
        <f>'SCN Budget'!F87</f>
      </c>
      <c r="G10" s="4">
        <f>'SCN Budget'!G87</f>
      </c>
      <c r="H10" s="4">
        <f>'SCN Budget'!H87</f>
      </c>
      <c r="I10" s="4">
        <f>SUM(C10:H10)</f>
      </c>
    </row>
    <row r="11" outlineLevel="2">
      <c r="B11" s="1" t="inlineStr">
        <is>
          <t xml:space="preserve">DDG-51 Basic Construction</t>
        </is>
      </c>
      <c r="C11" s="4">
        <f>'SCN Budget'!C120</f>
      </c>
      <c r="D11" s="4">
        <f>'SCN Budget'!D120</f>
      </c>
      <c r="E11" s="4">
        <f>'SCN Budget'!E120</f>
      </c>
      <c r="F11" s="4">
        <f>'SCN Budget'!F120</f>
      </c>
      <c r="G11" s="4">
        <f>'SCN Budget'!G120</f>
      </c>
      <c r="H11" s="4">
        <f>'SCN Budget'!H120</f>
      </c>
      <c r="I11" s="4">
        <f>SUM(C11:H11)</f>
      </c>
    </row>
    <row r="12" outlineLevel="2">
      <c r="B12" s="3" t="inlineStr">
        <is>
          <t xml:space="preserve">Portfolio Basic Construction</t>
        </is>
      </c>
      <c r="C12" s="13">
        <f>N('SCN Budget'!C50)+N('SCN Budget'!C87)+N('SCN Budget'!C120)</f>
      </c>
      <c r="D12" s="13">
        <f>N('SCN Budget'!D50)+N('SCN Budget'!D87)+N('SCN Budget'!D120)</f>
      </c>
      <c r="E12" s="13">
        <f>N('SCN Budget'!E50)+N('SCN Budget'!E87)+N('SCN Budget'!E120)</f>
      </c>
      <c r="F12" s="13">
        <f>N('SCN Budget'!F50)+N('SCN Budget'!F87)+N('SCN Budget'!F120)</f>
      </c>
      <c r="G12" s="13">
        <f>N('SCN Budget'!G50)+N('SCN Budget'!G87)+N('SCN Budget'!G120)</f>
      </c>
      <c r="H12" s="13">
        <f>N('SCN Budget'!H50)+N('SCN Budget'!H87)+N('SCN Budget'!H120)</f>
      </c>
      <c r="I12" s="13">
        <f>SUM(C12:H12)</f>
      </c>
    </row>
    <row r="13" outlineLevel="2">
      <c r="B13" s="1" t="inlineStr">
        <is>
          <t xml:space="preserve">Constant-FY2026 factor (then-year x this; from Deflators)</t>
        </is>
      </c>
      <c r="C13" s="57">
        <f>'Deflators'!D9</f>
      </c>
      <c r="D13" s="57">
        <f>'Deflators'!D10</f>
      </c>
      <c r="E13" s="57">
        <f>'Deflators'!D11</f>
      </c>
      <c r="F13" s="57">
        <f>'Deflators'!D12</f>
      </c>
      <c r="G13" s="57">
        <f>'Deflators'!D13</f>
      </c>
      <c r="H13" s="57">
        <f>'Deflators'!D14</f>
      </c>
    </row>
    <row r="14" outlineLevel="2"/>
    <row r="15" outlineLevel="2"/>
    <row r="16" outlineLevel="1">
      <c r="A16" s="0" t="inlineStr">
        <is>
          <t xml:space="preserve">x</t>
        </is>
      </c>
      <c r="B16" s="9" t="inlineStr">
        <is>
          <t xml:space="preserve">§2 - Virginia P-5c</t>
        </is>
      </c>
      <c r="C16" s="9"/>
      <c r="D16" s="9"/>
      <c r="E16" s="9"/>
      <c r="F16" s="9"/>
      <c r="G16" s="9"/>
      <c r="H16" s="9"/>
      <c r="I16" s="9"/>
    </row>
    <row r="17" outlineLevel="2"/>
    <row r="18" outlineLevel="2">
      <c r="B18" s="2" t="inlineStr">
        <is>
          <t xml:space="preserve">Metric</t>
        </is>
      </c>
      <c r="C18" s="22" t="inlineStr">
        <is>
          <t xml:space="preserve">FY2022</t>
        </is>
      </c>
      <c r="D18" s="22" t="inlineStr">
        <is>
          <t xml:space="preserve">FY2023</t>
        </is>
      </c>
      <c r="E18" s="22" t="inlineStr">
        <is>
          <t xml:space="preserve">FY2024</t>
        </is>
      </c>
      <c r="F18" s="22" t="inlineStr">
        <is>
          <t xml:space="preserve">FY2025</t>
        </is>
      </c>
      <c r="G18" s="22" t="inlineStr">
        <is>
          <t xml:space="preserve">FY2026</t>
        </is>
      </c>
      <c r="H18" s="22" t="inlineStr">
        <is>
          <t xml:space="preserve">FY2027</t>
        </is>
      </c>
    </row>
    <row r="19" outlineLevel="2">
      <c r="B19" s="1" t="inlineStr">
        <is>
          <t xml:space="preserve">Total Ship Estimate</t>
        </is>
      </c>
      <c r="C19" s="5">
        <v>6915.757</v>
      </c>
      <c r="D19" s="5">
        <v>7250.579</v>
      </c>
      <c r="E19" s="5">
        <v>11377.643</v>
      </c>
      <c r="F19" s="5">
        <v>9500.534</v>
      </c>
      <c r="G19" s="5">
        <v>5389.109</v>
      </c>
      <c r="H19" s="5">
        <v>11437.036</v>
      </c>
    </row>
    <row r="20" outlineLevel="2">
      <c r="B20" s="1" t="inlineStr">
        <is>
          <t xml:space="preserve">Plans Costs</t>
        </is>
      </c>
      <c r="C20" s="5">
        <v>252.399</v>
      </c>
      <c r="D20" s="5">
        <v>192.169</v>
      </c>
      <c r="E20" s="5">
        <v>207.166</v>
      </c>
      <c r="F20" s="5">
        <v>2595.816</v>
      </c>
      <c r="G20" s="5">
        <v>219.603</v>
      </c>
      <c r="H20" s="5">
        <v>223.443</v>
      </c>
    </row>
    <row r="21" outlineLevel="2">
      <c r="B21" s="1" t="inlineStr">
        <is>
          <t xml:space="preserve">Propulsion Equipment</t>
        </is>
      </c>
      <c r="C21" s="5">
        <v>1046.83</v>
      </c>
      <c r="D21" s="5">
        <v>1083.115</v>
      </c>
      <c r="E21" s="5">
        <v>1121.47</v>
      </c>
      <c r="F21" s="5">
        <v>1004.95</v>
      </c>
      <c r="G21" s="5">
        <v>1035.07</v>
      </c>
      <c r="H21" s="5">
        <v>1273.09</v>
      </c>
    </row>
    <row r="22" outlineLevel="2">
      <c r="B22" s="1" t="inlineStr">
        <is>
          <t xml:space="preserve">Electronics</t>
        </is>
      </c>
      <c r="C22" s="5">
        <v>540.536</v>
      </c>
      <c r="D22" s="5">
        <v>551.346</v>
      </c>
      <c r="E22" s="5">
        <v>562.372</v>
      </c>
      <c r="F22" s="5">
        <v>313.264</v>
      </c>
      <c r="G22" s="5">
        <v>598.515</v>
      </c>
      <c r="H22" s="5">
        <v>624.898</v>
      </c>
    </row>
    <row r="23" outlineLevel="2">
      <c r="B23" s="1" t="inlineStr">
        <is>
          <t xml:space="preserve">Hull, Mechanical, Electrical (HM&amp;E)</t>
        </is>
      </c>
      <c r="C23" s="5">
        <v>139.293</v>
      </c>
      <c r="D23" s="5">
        <v>141.566</v>
      </c>
      <c r="E23" s="5">
        <v>144.189</v>
      </c>
      <c r="F23" s="5">
        <v>98.937</v>
      </c>
      <c r="G23" s="5">
        <v>150.015</v>
      </c>
      <c r="H23" s="5">
        <v>153.016</v>
      </c>
    </row>
    <row r="24" outlineLevel="2">
      <c r="B24" s="1" t="inlineStr">
        <is>
          <t xml:space="preserve">Ordnance</t>
        </is>
      </c>
      <c r="C24" s="5"/>
      <c r="D24" s="5"/>
      <c r="E24" s="5"/>
      <c r="F24" s="5"/>
      <c r="G24" s="5"/>
      <c r="H24" s="5"/>
    </row>
    <row r="25" outlineLevel="2">
      <c r="B25" s="1" t="inlineStr">
        <is>
          <t xml:space="preserve">Other Cost</t>
        </is>
      </c>
      <c r="C25" s="5">
        <v>67.806</v>
      </c>
      <c r="D25" s="5">
        <v>69.162</v>
      </c>
      <c r="E25" s="5">
        <v>70.546</v>
      </c>
      <c r="F25" s="5">
        <v>35.978</v>
      </c>
      <c r="G25" s="5">
        <v>73.395</v>
      </c>
      <c r="H25" s="5">
        <v>74.863</v>
      </c>
    </row>
    <row r="26" outlineLevel="2">
      <c r="B26" s="1" t="inlineStr">
        <is>
          <t xml:space="preserve">Technology Insertion</t>
        </is>
      </c>
      <c r="C26" s="5">
        <v>15.398</v>
      </c>
      <c r="D26" s="5">
        <v>15.706</v>
      </c>
      <c r="E26" s="5">
        <v>16.02</v>
      </c>
      <c r="F26" s="5">
        <v>16.34</v>
      </c>
      <c r="G26" s="5">
        <v>16.667</v>
      </c>
      <c r="H26" s="5">
        <v>17.001</v>
      </c>
    </row>
    <row r="27" outlineLevel="2">
      <c r="B27" s="1" t="inlineStr">
        <is>
          <t xml:space="preserve">GFE Sum</t>
        </is>
      </c>
      <c r="C27" s="5">
        <v>1587.366</v>
      </c>
      <c r="D27" s="5">
        <v>1634.461</v>
      </c>
      <c r="E27" s="5">
        <v>1683.842</v>
      </c>
      <c r="F27" s="5">
        <v>1318.214</v>
      </c>
      <c r="G27" s="5">
        <v>1633.585</v>
      </c>
      <c r="H27" s="5">
        <v>1897.988</v>
      </c>
    </row>
    <row r="28" outlineLevel="2">
      <c r="B28" s="1" t="inlineStr">
        <is>
          <t xml:space="preserve">Change Orders</t>
        </is>
      </c>
      <c r="C28" s="5">
        <v>95.212</v>
      </c>
      <c r="D28" s="5">
        <v>102.067</v>
      </c>
      <c r="E28" s="5">
        <v>185.118</v>
      </c>
      <c r="F28" s="5">
        <v>108.705</v>
      </c>
      <c r="G28" s="5">
        <v>159.052</v>
      </c>
      <c r="H28" s="5">
        <v>181.415</v>
      </c>
    </row>
    <row r="29" outlineLevel="2">
      <c r="B29" s="1" t="inlineStr">
        <is>
          <t xml:space="preserve">Basic Construction (TAM base)</t>
        </is>
      </c>
      <c r="C29" s="5">
        <v>4758.283</v>
      </c>
      <c r="D29" s="5">
        <v>5095.448</v>
      </c>
      <c r="E29" s="5">
        <v>9070.762</v>
      </c>
      <c r="F29" s="5">
        <v>5326.544</v>
      </c>
      <c r="G29" s="5">
        <v>3136.792</v>
      </c>
      <c r="H29" s="5">
        <v>8889.31</v>
      </c>
    </row>
    <row r="30" outlineLevel="2"/>
    <row r="31" outlineLevel="2">
      <c r="A31" s="0" t="inlineStr">
        <is>
          <t xml:space="preserve">x</t>
        </is>
      </c>
      <c r="B31" s="10" t="inlineStr">
        <is>
          <t xml:space="preserve">§2a - Ratios</t>
        </is>
      </c>
      <c r="C31" s="10"/>
      <c r="D31" s="10"/>
      <c r="E31" s="10"/>
      <c r="F31" s="10"/>
      <c r="G31" s="10"/>
      <c r="H31" s="10"/>
      <c r="I31" s="10"/>
    </row>
    <row r="32" outlineLevel="3"/>
    <row r="33" outlineLevel="3">
      <c r="B33" s="2" t="inlineStr">
        <is>
          <t xml:space="preserve">Ratio</t>
        </is>
      </c>
      <c r="C33" s="22" t="inlineStr">
        <is>
          <t xml:space="preserve">FY2022</t>
        </is>
      </c>
      <c r="D33" s="22" t="inlineStr">
        <is>
          <t xml:space="preserve">FY2023</t>
        </is>
      </c>
      <c r="E33" s="22" t="inlineStr">
        <is>
          <t xml:space="preserve">FY2024</t>
        </is>
      </c>
      <c r="F33" s="22" t="inlineStr">
        <is>
          <t xml:space="preserve">FY2025</t>
        </is>
      </c>
      <c r="G33" s="22" t="inlineStr">
        <is>
          <t xml:space="preserve">FY2026</t>
        </is>
      </c>
      <c r="H33" s="22" t="inlineStr">
        <is>
          <t xml:space="preserve">FY2027</t>
        </is>
      </c>
    </row>
    <row r="34" outlineLevel="3">
      <c r="B34" s="1" t="inlineStr">
        <is>
          <t xml:space="preserve">BC % of Total</t>
        </is>
      </c>
      <c r="C34" s="6">
        <f>IF(C19=0,"",C29/C19)</f>
      </c>
      <c r="D34" s="6">
        <f>IF(D19=0,"",D29/D19)</f>
      </c>
      <c r="E34" s="6">
        <f>IF(E19=0,"",E29/E19)</f>
      </c>
      <c r="F34" s="6">
        <f>IF(F19=0,"",F29/F19)</f>
      </c>
      <c r="G34" s="6">
        <f>IF(G19=0,"",G29/G19)</f>
      </c>
      <c r="H34" s="6">
        <f>IF(H19=0,"",H29/H19)</f>
      </c>
    </row>
    <row r="35" outlineLevel="3">
      <c r="B35" s="1" t="inlineStr">
        <is>
          <t xml:space="preserve">GFE % of Total</t>
        </is>
      </c>
      <c r="C35" s="6">
        <f>IF(C19=0,"",C27/C19)</f>
      </c>
      <c r="D35" s="6">
        <f>IF(D19=0,"",D27/D19)</f>
      </c>
      <c r="E35" s="6">
        <f>IF(E19=0,"",E27/E19)</f>
      </c>
      <c r="F35" s="6">
        <f>IF(F19=0,"",F27/F19)</f>
      </c>
      <c r="G35" s="6">
        <f>IF(G19=0,"",G27/G19)</f>
      </c>
      <c r="H35" s="6">
        <f>IF(H19=0,"",H27/H19)</f>
      </c>
    </row>
    <row r="36" outlineLevel="3"/>
    <row r="37" outlineLevel="2">
      <c r="A37" s="0" t="inlineStr">
        <is>
          <t xml:space="preserve">x</t>
        </is>
      </c>
      <c r="B37" s="10" t="inlineStr">
        <is>
          <t xml:space="preserve">§2b - Constant FY2026 $M</t>
        </is>
      </c>
      <c r="C37" s="10"/>
      <c r="D37" s="10"/>
      <c r="E37" s="10"/>
      <c r="F37" s="10"/>
      <c r="G37" s="10"/>
      <c r="H37" s="10"/>
      <c r="I37" s="10"/>
    </row>
    <row r="38" outlineLevel="3"/>
    <row r="39" outlineLevel="3">
      <c r="B39" s="2" t="inlineStr">
        <is>
          <t xml:space="preserve">Metric</t>
        </is>
      </c>
      <c r="C39" s="22" t="inlineStr">
        <is>
          <t xml:space="preserve">FY2022</t>
        </is>
      </c>
      <c r="D39" s="22" t="inlineStr">
        <is>
          <t xml:space="preserve">FY2023</t>
        </is>
      </c>
      <c r="E39" s="22" t="inlineStr">
        <is>
          <t xml:space="preserve">FY2024</t>
        </is>
      </c>
      <c r="F39" s="22" t="inlineStr">
        <is>
          <t xml:space="preserve">FY2025</t>
        </is>
      </c>
      <c r="G39" s="22" t="inlineStr">
        <is>
          <t xml:space="preserve">FY2026</t>
        </is>
      </c>
      <c r="H39" s="22" t="inlineStr">
        <is>
          <t xml:space="preserve">FY2027</t>
        </is>
      </c>
    </row>
    <row r="40" outlineLevel="3">
      <c r="B40" s="1" t="inlineStr">
        <is>
          <t xml:space="preserve">Total Ship Estimate</t>
        </is>
      </c>
      <c r="C40" s="4">
        <f>C19*C$13</f>
      </c>
      <c r="D40" s="4">
        <f>D19*D$13</f>
      </c>
      <c r="E40" s="4">
        <f>E19*E$13</f>
      </c>
      <c r="F40" s="4">
        <f>F19*F$13</f>
      </c>
      <c r="G40" s="4">
        <f>G19*G$13</f>
      </c>
      <c r="H40" s="4">
        <f>H19*H$13</f>
      </c>
    </row>
    <row r="41" outlineLevel="3">
      <c r="B41" s="1" t="inlineStr">
        <is>
          <t xml:space="preserve">Plans Costs</t>
        </is>
      </c>
      <c r="C41" s="4">
        <f>C20*C$13</f>
      </c>
      <c r="D41" s="4">
        <f>D20*D$13</f>
      </c>
      <c r="E41" s="4">
        <f>E20*E$13</f>
      </c>
      <c r="F41" s="4">
        <f>F20*F$13</f>
      </c>
      <c r="G41" s="4">
        <f>G20*G$13</f>
      </c>
      <c r="H41" s="4">
        <f>H20*H$13</f>
      </c>
    </row>
    <row r="42" outlineLevel="3">
      <c r="B42" s="1" t="inlineStr">
        <is>
          <t xml:space="preserve">Propulsion Equipment</t>
        </is>
      </c>
      <c r="C42" s="4">
        <f>C21*C$13</f>
      </c>
      <c r="D42" s="4">
        <f>D21*D$13</f>
      </c>
      <c r="E42" s="4">
        <f>E21*E$13</f>
      </c>
      <c r="F42" s="4">
        <f>F21*F$13</f>
      </c>
      <c r="G42" s="4">
        <f>G21*G$13</f>
      </c>
      <c r="H42" s="4">
        <f>H21*H$13</f>
      </c>
    </row>
    <row r="43" outlineLevel="3">
      <c r="B43" s="1" t="inlineStr">
        <is>
          <t xml:space="preserve">Electronics</t>
        </is>
      </c>
      <c r="C43" s="4">
        <f>C22*C$13</f>
      </c>
      <c r="D43" s="4">
        <f>D22*D$13</f>
      </c>
      <c r="E43" s="4">
        <f>E22*E$13</f>
      </c>
      <c r="F43" s="4">
        <f>F22*F$13</f>
      </c>
      <c r="G43" s="4">
        <f>G22*G$13</f>
      </c>
      <c r="H43" s="4">
        <f>H22*H$13</f>
      </c>
    </row>
    <row r="44" outlineLevel="3">
      <c r="B44" s="1" t="inlineStr">
        <is>
          <t xml:space="preserve">Hull, Mechanical, Electrical (HM&amp;E)</t>
        </is>
      </c>
      <c r="C44" s="4">
        <f>C23*C$13</f>
      </c>
      <c r="D44" s="4">
        <f>D23*D$13</f>
      </c>
      <c r="E44" s="4">
        <f>E23*E$13</f>
      </c>
      <c r="F44" s="4">
        <f>F23*F$13</f>
      </c>
      <c r="G44" s="4">
        <f>G23*G$13</f>
      </c>
      <c r="H44" s="4">
        <f>H23*H$13</f>
      </c>
    </row>
    <row r="45" outlineLevel="3">
      <c r="B45" s="1" t="inlineStr">
        <is>
          <t xml:space="preserve">Ordnance</t>
        </is>
      </c>
      <c r="C45" s="4">
        <f>C24*C$13</f>
      </c>
      <c r="D45" s="4">
        <f>D24*D$13</f>
      </c>
      <c r="E45" s="4">
        <f>E24*E$13</f>
      </c>
      <c r="F45" s="4">
        <f>F24*F$13</f>
      </c>
      <c r="G45" s="4">
        <f>G24*G$13</f>
      </c>
      <c r="H45" s="4">
        <f>H24*H$13</f>
      </c>
    </row>
    <row r="46" outlineLevel="3">
      <c r="B46" s="1" t="inlineStr">
        <is>
          <t xml:space="preserve">Other Cost</t>
        </is>
      </c>
      <c r="C46" s="4">
        <f>C25*C$13</f>
      </c>
      <c r="D46" s="4">
        <f>D25*D$13</f>
      </c>
      <c r="E46" s="4">
        <f>E25*E$13</f>
      </c>
      <c r="F46" s="4">
        <f>F25*F$13</f>
      </c>
      <c r="G46" s="4">
        <f>G25*G$13</f>
      </c>
      <c r="H46" s="4">
        <f>H25*H$13</f>
      </c>
    </row>
    <row r="47" outlineLevel="3">
      <c r="B47" s="1" t="inlineStr">
        <is>
          <t xml:space="preserve">Technology Insertion</t>
        </is>
      </c>
      <c r="C47" s="4">
        <f>C26*C$13</f>
      </c>
      <c r="D47" s="4">
        <f>D26*D$13</f>
      </c>
      <c r="E47" s="4">
        <f>E26*E$13</f>
      </c>
      <c r="F47" s="4">
        <f>F26*F$13</f>
      </c>
      <c r="G47" s="4">
        <f>G26*G$13</f>
      </c>
      <c r="H47" s="4">
        <f>H26*H$13</f>
      </c>
    </row>
    <row r="48" outlineLevel="3">
      <c r="B48" s="1" t="inlineStr">
        <is>
          <t xml:space="preserve">GFE Sum</t>
        </is>
      </c>
      <c r="C48" s="4">
        <f>C27*C$13</f>
      </c>
      <c r="D48" s="4">
        <f>D27*D$13</f>
      </c>
      <c r="E48" s="4">
        <f>E27*E$13</f>
      </c>
      <c r="F48" s="4">
        <f>F27*F$13</f>
      </c>
      <c r="G48" s="4">
        <f>G27*G$13</f>
      </c>
      <c r="H48" s="4">
        <f>H27*H$13</f>
      </c>
    </row>
    <row r="49" outlineLevel="3">
      <c r="B49" s="1" t="inlineStr">
        <is>
          <t xml:space="preserve">Change Orders</t>
        </is>
      </c>
      <c r="C49" s="4">
        <f>C28*C$13</f>
      </c>
      <c r="D49" s="4">
        <f>D28*D$13</f>
      </c>
      <c r="E49" s="4">
        <f>E28*E$13</f>
      </c>
      <c r="F49" s="4">
        <f>F28*F$13</f>
      </c>
      <c r="G49" s="4">
        <f>G28*G$13</f>
      </c>
      <c r="H49" s="4">
        <f>H28*H$13</f>
      </c>
    </row>
    <row r="50" outlineLevel="3">
      <c r="B50" s="1" t="inlineStr">
        <is>
          <t xml:space="preserve">Basic Construction (TAM base)</t>
        </is>
      </c>
      <c r="C50" s="4">
        <f>C29*C$13</f>
      </c>
      <c r="D50" s="4">
        <f>D29*D$13</f>
      </c>
      <c r="E50" s="4">
        <f>E29*E$13</f>
      </c>
      <c r="F50" s="4">
        <f>F29*F$13</f>
      </c>
      <c r="G50" s="4">
        <f>G29*G$13</f>
      </c>
      <c r="H50" s="4">
        <f>H29*H$13</f>
      </c>
    </row>
    <row r="51" outlineLevel="3"/>
    <row r="52" outlineLevel="3"/>
    <row r="53" outlineLevel="1">
      <c r="A53" s="0" t="inlineStr">
        <is>
          <t xml:space="preserve">x</t>
        </is>
      </c>
      <c r="B53" s="9" t="inlineStr">
        <is>
          <t xml:space="preserve">§3 - Columbia P-5c</t>
        </is>
      </c>
      <c r="C53" s="9"/>
      <c r="D53" s="9"/>
      <c r="E53" s="9"/>
      <c r="F53" s="9"/>
      <c r="G53" s="9"/>
      <c r="H53" s="9"/>
      <c r="I53" s="9"/>
    </row>
    <row r="54" outlineLevel="2"/>
    <row r="55" outlineLevel="2">
      <c r="B55" s="2" t="inlineStr">
        <is>
          <t xml:space="preserve">Metric</t>
        </is>
      </c>
      <c r="C55" s="22" t="inlineStr">
        <is>
          <t xml:space="preserve">FY2022</t>
        </is>
      </c>
      <c r="D55" s="22" t="inlineStr">
        <is>
          <t xml:space="preserve">FY2023</t>
        </is>
      </c>
      <c r="E55" s="22" t="inlineStr">
        <is>
          <t xml:space="preserve">FY2024</t>
        </is>
      </c>
      <c r="F55" s="22" t="inlineStr">
        <is>
          <t xml:space="preserve">FY2025</t>
        </is>
      </c>
      <c r="G55" s="22" t="inlineStr">
        <is>
          <t xml:space="preserve">FY2026</t>
        </is>
      </c>
      <c r="H55" s="22" t="inlineStr">
        <is>
          <t xml:space="preserve">FY2027</t>
        </is>
      </c>
    </row>
    <row r="56" outlineLevel="2">
      <c r="B56" s="1" t="inlineStr">
        <is>
          <t xml:space="preserve">Total Ship Estimate</t>
        </is>
      </c>
      <c r="C56" s="5"/>
      <c r="D56" s="5"/>
      <c r="E56" s="5">
        <v>10688.811</v>
      </c>
      <c r="F56" s="5"/>
      <c r="G56" s="5">
        <v>10744.317</v>
      </c>
      <c r="H56" s="5">
        <v>10486.369</v>
      </c>
    </row>
    <row r="57" outlineLevel="2">
      <c r="B57" s="1" t="inlineStr">
        <is>
          <t xml:space="preserve">Plans Costs</t>
        </is>
      </c>
      <c r="C57" s="5"/>
      <c r="D57" s="5"/>
      <c r="E57" s="5">
        <v>1443.3</v>
      </c>
      <c r="F57" s="5"/>
      <c r="G57" s="5">
        <v>1095.773</v>
      </c>
      <c r="H57" s="5">
        <v>861.527</v>
      </c>
    </row>
    <row r="58" outlineLevel="2">
      <c r="B58" s="1" t="inlineStr">
        <is>
          <t xml:space="preserve">Propulsion Equipment</t>
        </is>
      </c>
      <c r="C58" s="5"/>
      <c r="D58" s="5"/>
      <c r="E58" s="5">
        <v>1613.999</v>
      </c>
      <c r="F58" s="5"/>
      <c r="G58" s="5">
        <v>1294.878</v>
      </c>
      <c r="H58" s="5">
        <v>1541.973</v>
      </c>
    </row>
    <row r="59" outlineLevel="2">
      <c r="B59" s="1" t="inlineStr">
        <is>
          <t xml:space="preserve">Electronics</t>
        </is>
      </c>
      <c r="C59" s="5"/>
      <c r="D59" s="5"/>
      <c r="E59" s="5">
        <v>349.701</v>
      </c>
      <c r="F59" s="5"/>
      <c r="G59" s="5">
        <v>361.283</v>
      </c>
      <c r="H59" s="5">
        <v>367.634</v>
      </c>
    </row>
    <row r="60" outlineLevel="2">
      <c r="B60" s="1" t="inlineStr">
        <is>
          <t xml:space="preserve">Hull, Mechanical, Electrical (HM&amp;E)</t>
        </is>
      </c>
      <c r="C60" s="5"/>
      <c r="D60" s="5"/>
      <c r="E60" s="5">
        <v>119.107</v>
      </c>
      <c r="F60" s="5"/>
      <c r="G60" s="5">
        <v>102.496</v>
      </c>
      <c r="H60" s="5">
        <v>101.71</v>
      </c>
    </row>
    <row r="61" outlineLevel="2">
      <c r="B61" s="1" t="inlineStr">
        <is>
          <t xml:space="preserve">Ordnance</t>
        </is>
      </c>
      <c r="C61" s="5"/>
      <c r="D61" s="5"/>
      <c r="E61" s="5">
        <v>596.757</v>
      </c>
      <c r="F61" s="5"/>
      <c r="G61" s="5">
        <v>468.84</v>
      </c>
      <c r="H61" s="5">
        <v>512.585</v>
      </c>
    </row>
    <row r="62" outlineLevel="2">
      <c r="B62" s="1" t="inlineStr">
        <is>
          <t xml:space="preserve">Other Cost</t>
        </is>
      </c>
      <c r="C62" s="5"/>
      <c r="D62" s="5"/>
      <c r="E62" s="5">
        <v>66.618</v>
      </c>
      <c r="F62" s="5"/>
      <c r="G62" s="5">
        <v>43.887</v>
      </c>
      <c r="H62" s="5">
        <v>40.078</v>
      </c>
    </row>
    <row r="63" outlineLevel="2">
      <c r="B63" s="1" t="inlineStr">
        <is>
          <t xml:space="preserve">Technology Insertion</t>
        </is>
      </c>
      <c r="C63" s="5"/>
      <c r="D63" s="5"/>
      <c r="E63" s="5"/>
      <c r="F63" s="5"/>
      <c r="G63" s="5"/>
      <c r="H63" s="5"/>
    </row>
    <row r="64" outlineLevel="2">
      <c r="B64" s="1" t="inlineStr">
        <is>
          <t xml:space="preserve">GFE Sum</t>
        </is>
      </c>
      <c r="C64" s="5"/>
      <c r="D64" s="5"/>
      <c r="E64" s="5">
        <v>2560.457</v>
      </c>
      <c r="F64" s="5"/>
      <c r="G64" s="5">
        <v>2125.001</v>
      </c>
      <c r="H64" s="5">
        <v>2422.192</v>
      </c>
    </row>
    <row r="65" outlineLevel="2">
      <c r="B65" s="1" t="inlineStr">
        <is>
          <t xml:space="preserve">Change Orders</t>
        </is>
      </c>
      <c r="C65" s="5"/>
      <c r="D65" s="5"/>
      <c r="E65" s="5">
        <v>143.242</v>
      </c>
      <c r="F65" s="5"/>
      <c r="G65" s="5">
        <v>217.392</v>
      </c>
      <c r="H65" s="5">
        <v>207.129</v>
      </c>
    </row>
    <row r="66" outlineLevel="2">
      <c r="B66" s="1" t="inlineStr">
        <is>
          <t xml:space="preserve">Basic Construction (TAM base)</t>
        </is>
      </c>
      <c r="C66" s="5"/>
      <c r="D66" s="5"/>
      <c r="E66" s="5">
        <v>6356.087</v>
      </c>
      <c r="F66" s="5"/>
      <c r="G66" s="5">
        <v>7159.768</v>
      </c>
      <c r="H66" s="5">
        <v>6853.733</v>
      </c>
    </row>
    <row r="67" outlineLevel="2"/>
    <row r="68" outlineLevel="2">
      <c r="A68" s="0" t="inlineStr">
        <is>
          <t xml:space="preserve">x</t>
        </is>
      </c>
      <c r="B68" s="10" t="inlineStr">
        <is>
          <t xml:space="preserve">§3a - Ratios</t>
        </is>
      </c>
      <c r="C68" s="10"/>
      <c r="D68" s="10"/>
      <c r="E68" s="10"/>
      <c r="F68" s="10"/>
      <c r="G68" s="10"/>
      <c r="H68" s="10"/>
      <c r="I68" s="10"/>
    </row>
    <row r="69" outlineLevel="3"/>
    <row r="70" outlineLevel="3">
      <c r="B70" s="2" t="inlineStr">
        <is>
          <t xml:space="preserve">Ratio</t>
        </is>
      </c>
      <c r="C70" s="22" t="inlineStr">
        <is>
          <t xml:space="preserve">FY2022</t>
        </is>
      </c>
      <c r="D70" s="22" t="inlineStr">
        <is>
          <t xml:space="preserve">FY2023</t>
        </is>
      </c>
      <c r="E70" s="22" t="inlineStr">
        <is>
          <t xml:space="preserve">FY2024</t>
        </is>
      </c>
      <c r="F70" s="22" t="inlineStr">
        <is>
          <t xml:space="preserve">FY2025</t>
        </is>
      </c>
      <c r="G70" s="22" t="inlineStr">
        <is>
          <t xml:space="preserve">FY2026</t>
        </is>
      </c>
      <c r="H70" s="22" t="inlineStr">
        <is>
          <t xml:space="preserve">FY2027</t>
        </is>
      </c>
    </row>
    <row r="71" outlineLevel="3">
      <c r="B71" s="1" t="inlineStr">
        <is>
          <t xml:space="preserve">BC % of Total</t>
        </is>
      </c>
      <c r="C71" s="6">
        <f>IF(C56=0,"",C66/C56)</f>
      </c>
      <c r="D71" s="6">
        <f>IF(D56=0,"",D66/D56)</f>
      </c>
      <c r="E71" s="6">
        <f>IF(E56=0,"",E66/E56)</f>
      </c>
      <c r="F71" s="6">
        <f>IF(F56=0,"",F66/F56)</f>
      </c>
      <c r="G71" s="6">
        <f>IF(G56=0,"",G66/G56)</f>
      </c>
      <c r="H71" s="6">
        <f>IF(H56=0,"",H66/H56)</f>
      </c>
    </row>
    <row r="72" outlineLevel="3">
      <c r="B72" s="1" t="inlineStr">
        <is>
          <t xml:space="preserve">GFE % of Total</t>
        </is>
      </c>
      <c r="C72" s="6">
        <f>IF(C56=0,"",C64/C56)</f>
      </c>
      <c r="D72" s="6">
        <f>IF(D56=0,"",D64/D56)</f>
      </c>
      <c r="E72" s="6">
        <f>IF(E56=0,"",E64/E56)</f>
      </c>
      <c r="F72" s="6">
        <f>IF(F56=0,"",F64/F56)</f>
      </c>
      <c r="G72" s="6">
        <f>IF(G56=0,"",G64/G56)</f>
      </c>
      <c r="H72" s="6">
        <f>IF(H56=0,"",H64/H56)</f>
      </c>
    </row>
    <row r="73" outlineLevel="3"/>
    <row r="74" outlineLevel="2">
      <c r="A74" s="0" t="inlineStr">
        <is>
          <t xml:space="preserve">x</t>
        </is>
      </c>
      <c r="B74" s="10" t="inlineStr">
        <is>
          <t xml:space="preserve">§3b - Constant FY2026 $M</t>
        </is>
      </c>
      <c r="C74" s="10"/>
      <c r="D74" s="10"/>
      <c r="E74" s="10"/>
      <c r="F74" s="10"/>
      <c r="G74" s="10"/>
      <c r="H74" s="10"/>
      <c r="I74" s="10"/>
    </row>
    <row r="75" outlineLevel="3"/>
    <row r="76" outlineLevel="3">
      <c r="B76" s="2" t="inlineStr">
        <is>
          <t xml:space="preserve">Metric</t>
        </is>
      </c>
      <c r="C76" s="22" t="inlineStr">
        <is>
          <t xml:space="preserve">FY2022</t>
        </is>
      </c>
      <c r="D76" s="22" t="inlineStr">
        <is>
          <t xml:space="preserve">FY2023</t>
        </is>
      </c>
      <c r="E76" s="22" t="inlineStr">
        <is>
          <t xml:space="preserve">FY2024</t>
        </is>
      </c>
      <c r="F76" s="22" t="inlineStr">
        <is>
          <t xml:space="preserve">FY2025</t>
        </is>
      </c>
      <c r="G76" s="22" t="inlineStr">
        <is>
          <t xml:space="preserve">FY2026</t>
        </is>
      </c>
      <c r="H76" s="22" t="inlineStr">
        <is>
          <t xml:space="preserve">FY2027</t>
        </is>
      </c>
    </row>
    <row r="77" outlineLevel="3">
      <c r="B77" s="1" t="inlineStr">
        <is>
          <t xml:space="preserve">Total Ship Estimate</t>
        </is>
      </c>
      <c r="C77" s="4">
        <f>C56*C$13</f>
      </c>
      <c r="D77" s="4">
        <f>D56*D$13</f>
      </c>
      <c r="E77" s="4">
        <f>E56*E$13</f>
      </c>
      <c r="F77" s="4">
        <f>F56*F$13</f>
      </c>
      <c r="G77" s="4">
        <f>G56*G$13</f>
      </c>
      <c r="H77" s="4">
        <f>H56*H$13</f>
      </c>
    </row>
    <row r="78" outlineLevel="3">
      <c r="B78" s="1" t="inlineStr">
        <is>
          <t xml:space="preserve">Plans Costs</t>
        </is>
      </c>
      <c r="C78" s="4">
        <f>C57*C$13</f>
      </c>
      <c r="D78" s="4">
        <f>D57*D$13</f>
      </c>
      <c r="E78" s="4">
        <f>E57*E$13</f>
      </c>
      <c r="F78" s="4">
        <f>F57*F$13</f>
      </c>
      <c r="G78" s="4">
        <f>G57*G$13</f>
      </c>
      <c r="H78" s="4">
        <f>H57*H$13</f>
      </c>
    </row>
    <row r="79" outlineLevel="3">
      <c r="B79" s="1" t="inlineStr">
        <is>
          <t xml:space="preserve">Propulsion Equipment</t>
        </is>
      </c>
      <c r="C79" s="4">
        <f>C58*C$13</f>
      </c>
      <c r="D79" s="4">
        <f>D58*D$13</f>
      </c>
      <c r="E79" s="4">
        <f>E58*E$13</f>
      </c>
      <c r="F79" s="4">
        <f>F58*F$13</f>
      </c>
      <c r="G79" s="4">
        <f>G58*G$13</f>
      </c>
      <c r="H79" s="4">
        <f>H58*H$13</f>
      </c>
    </row>
    <row r="80" outlineLevel="3">
      <c r="B80" s="1" t="inlineStr">
        <is>
          <t xml:space="preserve">Electronics</t>
        </is>
      </c>
      <c r="C80" s="4">
        <f>C59*C$13</f>
      </c>
      <c r="D80" s="4">
        <f>D59*D$13</f>
      </c>
      <c r="E80" s="4">
        <f>E59*E$13</f>
      </c>
      <c r="F80" s="4">
        <f>F59*F$13</f>
      </c>
      <c r="G80" s="4">
        <f>G59*G$13</f>
      </c>
      <c r="H80" s="4">
        <f>H59*H$13</f>
      </c>
    </row>
    <row r="81" outlineLevel="3">
      <c r="B81" s="1" t="inlineStr">
        <is>
          <t xml:space="preserve">Hull, Mechanical, Electrical (HM&amp;E)</t>
        </is>
      </c>
      <c r="C81" s="4">
        <f>C60*C$13</f>
      </c>
      <c r="D81" s="4">
        <f>D60*D$13</f>
      </c>
      <c r="E81" s="4">
        <f>E60*E$13</f>
      </c>
      <c r="F81" s="4">
        <f>F60*F$13</f>
      </c>
      <c r="G81" s="4">
        <f>G60*G$13</f>
      </c>
      <c r="H81" s="4">
        <f>H60*H$13</f>
      </c>
    </row>
    <row r="82" outlineLevel="3">
      <c r="B82" s="1" t="inlineStr">
        <is>
          <t xml:space="preserve">Ordnance</t>
        </is>
      </c>
      <c r="C82" s="4">
        <f>C61*C$13</f>
      </c>
      <c r="D82" s="4">
        <f>D61*D$13</f>
      </c>
      <c r="E82" s="4">
        <f>E61*E$13</f>
      </c>
      <c r="F82" s="4">
        <f>F61*F$13</f>
      </c>
      <c r="G82" s="4">
        <f>G61*G$13</f>
      </c>
      <c r="H82" s="4">
        <f>H61*H$13</f>
      </c>
    </row>
    <row r="83" outlineLevel="3">
      <c r="B83" s="1" t="inlineStr">
        <is>
          <t xml:space="preserve">Other Cost</t>
        </is>
      </c>
      <c r="C83" s="4">
        <f>C62*C$13</f>
      </c>
      <c r="D83" s="4">
        <f>D62*D$13</f>
      </c>
      <c r="E83" s="4">
        <f>E62*E$13</f>
      </c>
      <c r="F83" s="4">
        <f>F62*F$13</f>
      </c>
      <c r="G83" s="4">
        <f>G62*G$13</f>
      </c>
      <c r="H83" s="4">
        <f>H62*H$13</f>
      </c>
    </row>
    <row r="84" outlineLevel="3">
      <c r="B84" s="1" t="inlineStr">
        <is>
          <t xml:space="preserve">Technology Insertion</t>
        </is>
      </c>
      <c r="C84" s="4">
        <f>C63*C$13</f>
      </c>
      <c r="D84" s="4">
        <f>D63*D$13</f>
      </c>
      <c r="E84" s="4">
        <f>E63*E$13</f>
      </c>
      <c r="F84" s="4">
        <f>F63*F$13</f>
      </c>
      <c r="G84" s="4">
        <f>G63*G$13</f>
      </c>
      <c r="H84" s="4">
        <f>H63*H$13</f>
      </c>
    </row>
    <row r="85" outlineLevel="3">
      <c r="B85" s="1" t="inlineStr">
        <is>
          <t xml:space="preserve">GFE Sum</t>
        </is>
      </c>
      <c r="C85" s="4">
        <f>C64*C$13</f>
      </c>
      <c r="D85" s="4">
        <f>D64*D$13</f>
      </c>
      <c r="E85" s="4">
        <f>E64*E$13</f>
      </c>
      <c r="F85" s="4">
        <f>F64*F$13</f>
      </c>
      <c r="G85" s="4">
        <f>G64*G$13</f>
      </c>
      <c r="H85" s="4">
        <f>H64*H$13</f>
      </c>
    </row>
    <row r="86" outlineLevel="3">
      <c r="B86" s="1" t="inlineStr">
        <is>
          <t xml:space="preserve">Change Orders</t>
        </is>
      </c>
      <c r="C86" s="4">
        <f>C65*C$13</f>
      </c>
      <c r="D86" s="4">
        <f>D65*D$13</f>
      </c>
      <c r="E86" s="4">
        <f>E65*E$13</f>
      </c>
      <c r="F86" s="4">
        <f>F65*F$13</f>
      </c>
      <c r="G86" s="4">
        <f>G65*G$13</f>
      </c>
      <c r="H86" s="4">
        <f>H65*H$13</f>
      </c>
    </row>
    <row r="87" outlineLevel="3">
      <c r="B87" s="1" t="inlineStr">
        <is>
          <t xml:space="preserve">Basic Construction (TAM base)</t>
        </is>
      </c>
      <c r="C87" s="4">
        <f>C66*C$13</f>
      </c>
      <c r="D87" s="4">
        <f>D66*D$13</f>
      </c>
      <c r="E87" s="4">
        <f>E66*E$13</f>
      </c>
      <c r="F87" s="4">
        <f>F66*F$13</f>
      </c>
      <c r="G87" s="4">
        <f>G66*G$13</f>
      </c>
      <c r="H87" s="4">
        <f>H66*H$13</f>
      </c>
    </row>
    <row r="88" outlineLevel="3"/>
    <row r="89" outlineLevel="3"/>
    <row r="90" outlineLevel="1">
      <c r="A90" s="0" t="inlineStr">
        <is>
          <t xml:space="preserve">x</t>
        </is>
      </c>
      <c r="B90" s="9" t="inlineStr">
        <is>
          <t xml:space="preserve">§4 - DDG-51 P-5c</t>
        </is>
      </c>
      <c r="C90" s="9"/>
      <c r="D90" s="9"/>
      <c r="E90" s="9"/>
      <c r="F90" s="9"/>
      <c r="G90" s="9"/>
      <c r="H90" s="9"/>
      <c r="I90" s="9"/>
    </row>
    <row r="91" outlineLevel="2"/>
    <row r="92" outlineLevel="2">
      <c r="B92" s="2" t="inlineStr">
        <is>
          <t xml:space="preserve">Metric</t>
        </is>
      </c>
      <c r="C92" s="22" t="inlineStr">
        <is>
          <t xml:space="preserve">FY2022</t>
        </is>
      </c>
      <c r="D92" s="22" t="inlineStr">
        <is>
          <t xml:space="preserve">FY2023</t>
        </is>
      </c>
      <c r="E92" s="22" t="inlineStr">
        <is>
          <t xml:space="preserve">FY2024</t>
        </is>
      </c>
      <c r="F92" s="22" t="inlineStr">
        <is>
          <t xml:space="preserve">FY2025</t>
        </is>
      </c>
      <c r="G92" s="22" t="inlineStr">
        <is>
          <t xml:space="preserve">FY2026</t>
        </is>
      </c>
      <c r="H92" s="22" t="inlineStr">
        <is>
          <t xml:space="preserve">FY2027</t>
        </is>
      </c>
    </row>
    <row r="93" outlineLevel="2">
      <c r="B93" s="1" t="inlineStr">
        <is>
          <t xml:space="preserve">Total Ship Estimate</t>
        </is>
      </c>
      <c r="C93" s="5">
        <v>4072.882</v>
      </c>
      <c r="D93" s="5">
        <v>7949.54</v>
      </c>
      <c r="E93" s="5">
        <v>5492.33</v>
      </c>
      <c r="F93" s="5">
        <v>7858.814</v>
      </c>
      <c r="G93" s="5">
        <v>306.125</v>
      </c>
      <c r="H93" s="5">
        <v>4256.914</v>
      </c>
    </row>
    <row r="94" outlineLevel="2">
      <c r="B94" s="1" t="inlineStr">
        <is>
          <t xml:space="preserve">Plans Costs</t>
        </is>
      </c>
      <c r="C94" s="5">
        <v>86.682</v>
      </c>
      <c r="D94" s="5">
        <v>92.152</v>
      </c>
      <c r="E94" s="5">
        <v>82.697</v>
      </c>
      <c r="F94" s="5">
        <v>83.596</v>
      </c>
      <c r="G94" s="5"/>
      <c r="H94" s="5">
        <v>87.927</v>
      </c>
    </row>
    <row r="95" outlineLevel="2">
      <c r="B95" s="1" t="inlineStr">
        <is>
          <t xml:space="preserve">Electronics</t>
        </is>
      </c>
      <c r="C95" s="5">
        <v>546.096</v>
      </c>
      <c r="D95" s="5">
        <v>949.051</v>
      </c>
      <c r="E95" s="5">
        <v>619.811</v>
      </c>
      <c r="F95" s="5">
        <v>950.971</v>
      </c>
      <c r="G95" s="5">
        <v>23.521</v>
      </c>
      <c r="H95" s="5">
        <v>414.741</v>
      </c>
    </row>
    <row r="96" outlineLevel="2">
      <c r="B96" s="1" t="inlineStr">
        <is>
          <t xml:space="preserve">Ordnance</t>
        </is>
      </c>
      <c r="C96" s="5">
        <v>1161.682</v>
      </c>
      <c r="D96" s="5">
        <v>1835.479</v>
      </c>
      <c r="E96" s="5">
        <v>1187.455</v>
      </c>
      <c r="F96" s="5">
        <v>1816.641</v>
      </c>
      <c r="G96" s="5"/>
      <c r="H96" s="5">
        <v>784.486</v>
      </c>
    </row>
    <row r="97" outlineLevel="2">
      <c r="B97" s="1" t="inlineStr">
        <is>
          <t xml:space="preserve">Hull, Mechanical, Electrical (HM&amp;E)</t>
        </is>
      </c>
      <c r="C97" s="5">
        <v>164.03</v>
      </c>
      <c r="D97" s="5">
        <v>295.732</v>
      </c>
      <c r="E97" s="5">
        <v>100.673</v>
      </c>
      <c r="F97" s="5">
        <v>154.029</v>
      </c>
      <c r="G97" s="5"/>
      <c r="H97" s="5">
        <v>66.009</v>
      </c>
    </row>
    <row r="98" outlineLevel="2">
      <c r="B98" s="1" t="inlineStr">
        <is>
          <t xml:space="preserve">Other Cost</t>
        </is>
      </c>
      <c r="C98" s="5">
        <v>76.985</v>
      </c>
      <c r="D98" s="5">
        <v>82.196</v>
      </c>
      <c r="E98" s="5">
        <v>87.684</v>
      </c>
      <c r="F98" s="5">
        <v>88.492</v>
      </c>
      <c r="G98" s="5"/>
      <c r="H98" s="5">
        <v>89.974</v>
      </c>
    </row>
    <row r="99" outlineLevel="2">
      <c r="B99" s="1" t="inlineStr">
        <is>
          <t xml:space="preserve">GFE Sum</t>
        </is>
      </c>
      <c r="C99" s="5">
        <v>1707.778</v>
      </c>
      <c r="D99" s="5">
        <v>2784.53</v>
      </c>
      <c r="E99" s="5">
        <v>1807.266</v>
      </c>
      <c r="F99" s="5">
        <v>2767.612</v>
      </c>
      <c r="G99" s="5">
        <v>23.521</v>
      </c>
      <c r="H99" s="5">
        <v>1199.227</v>
      </c>
    </row>
    <row r="100" outlineLevel="2">
      <c r="B100" s="1" t="inlineStr">
        <is>
          <t xml:space="preserve">Change Orders</t>
        </is>
      </c>
      <c r="C100" s="5">
        <v>77.417</v>
      </c>
      <c r="D100" s="5">
        <v>136.767</v>
      </c>
      <c r="E100" s="5">
        <v>91.552</v>
      </c>
      <c r="F100" s="5">
        <v>136.872</v>
      </c>
      <c r="G100" s="5"/>
      <c r="H100" s="5">
        <v>94.222</v>
      </c>
    </row>
    <row r="101" outlineLevel="2">
      <c r="B101" s="1" t="inlineStr">
        <is>
          <t xml:space="preserve">Basic Construction (TAM base)</t>
        </is>
      </c>
      <c r="C101" s="5">
        <v>1959.99</v>
      </c>
      <c r="D101" s="5">
        <v>4558.163</v>
      </c>
      <c r="E101" s="5">
        <v>3322.458</v>
      </c>
      <c r="F101" s="5">
        <v>4628.213</v>
      </c>
      <c r="G101" s="5">
        <v>282.604</v>
      </c>
      <c r="H101" s="5">
        <v>2719.555</v>
      </c>
    </row>
    <row r="102" outlineLevel="2"/>
    <row r="103" outlineLevel="2">
      <c r="A103" s="0" t="inlineStr">
        <is>
          <t xml:space="preserve">x</t>
        </is>
      </c>
      <c r="B103" s="10" t="inlineStr">
        <is>
          <t xml:space="preserve">§4a - Ratios</t>
        </is>
      </c>
      <c r="C103" s="10"/>
      <c r="D103" s="10"/>
      <c r="E103" s="10"/>
      <c r="F103" s="10"/>
      <c r="G103" s="10"/>
      <c r="H103" s="10"/>
      <c r="I103" s="10"/>
    </row>
    <row r="104" outlineLevel="3"/>
    <row r="105" outlineLevel="3">
      <c r="B105" s="2" t="inlineStr">
        <is>
          <t xml:space="preserve">Ratio</t>
        </is>
      </c>
      <c r="C105" s="22" t="inlineStr">
        <is>
          <t xml:space="preserve">FY2022</t>
        </is>
      </c>
      <c r="D105" s="22" t="inlineStr">
        <is>
          <t xml:space="preserve">FY2023</t>
        </is>
      </c>
      <c r="E105" s="22" t="inlineStr">
        <is>
          <t xml:space="preserve">FY2024</t>
        </is>
      </c>
      <c r="F105" s="22" t="inlineStr">
        <is>
          <t xml:space="preserve">FY2025</t>
        </is>
      </c>
      <c r="G105" s="22" t="inlineStr">
        <is>
          <t xml:space="preserve">FY2026</t>
        </is>
      </c>
      <c r="H105" s="22" t="inlineStr">
        <is>
          <t xml:space="preserve">FY2027</t>
        </is>
      </c>
    </row>
    <row r="106" outlineLevel="3">
      <c r="B106" s="1" t="inlineStr">
        <is>
          <t xml:space="preserve">BC % of Total</t>
        </is>
      </c>
      <c r="C106" s="6">
        <f>IF(C93=0,"",C101/C93)</f>
      </c>
      <c r="D106" s="6">
        <f>IF(D93=0,"",D101/D93)</f>
      </c>
      <c r="E106" s="6">
        <f>IF(E93=0,"",E101/E93)</f>
      </c>
      <c r="F106" s="6">
        <f>IF(F93=0,"",F101/F93)</f>
      </c>
      <c r="G106" s="6">
        <f>IF(G93=0,"",G101/G93)</f>
      </c>
      <c r="H106" s="6">
        <f>IF(H93=0,"",H101/H93)</f>
      </c>
    </row>
    <row r="107" outlineLevel="3">
      <c r="B107" s="1" t="inlineStr">
        <is>
          <t xml:space="preserve">GFE % of Total</t>
        </is>
      </c>
      <c r="C107" s="6">
        <f>IF(C93=0,"",C99/C93)</f>
      </c>
      <c r="D107" s="6">
        <f>IF(D93=0,"",D99/D93)</f>
      </c>
      <c r="E107" s="6">
        <f>IF(E93=0,"",E99/E93)</f>
      </c>
      <c r="F107" s="6">
        <f>IF(F93=0,"",F99/F93)</f>
      </c>
      <c r="G107" s="6">
        <f>IF(G93=0,"",G99/G93)</f>
      </c>
      <c r="H107" s="6">
        <f>IF(H93=0,"",H99/H93)</f>
      </c>
    </row>
    <row r="108" outlineLevel="3"/>
    <row r="109" outlineLevel="2">
      <c r="A109" s="0" t="inlineStr">
        <is>
          <t xml:space="preserve">x</t>
        </is>
      </c>
      <c r="B109" s="10" t="inlineStr">
        <is>
          <t xml:space="preserve">§4b - Constant FY2026 $M</t>
        </is>
      </c>
      <c r="C109" s="10"/>
      <c r="D109" s="10"/>
      <c r="E109" s="10"/>
      <c r="F109" s="10"/>
      <c r="G109" s="10"/>
      <c r="H109" s="10"/>
      <c r="I109" s="10"/>
    </row>
    <row r="110" outlineLevel="3"/>
    <row r="111" outlineLevel="3">
      <c r="B111" s="2" t="inlineStr">
        <is>
          <t xml:space="preserve">Metric</t>
        </is>
      </c>
      <c r="C111" s="22" t="inlineStr">
        <is>
          <t xml:space="preserve">FY2022</t>
        </is>
      </c>
      <c r="D111" s="22" t="inlineStr">
        <is>
          <t xml:space="preserve">FY2023</t>
        </is>
      </c>
      <c r="E111" s="22" t="inlineStr">
        <is>
          <t xml:space="preserve">FY2024</t>
        </is>
      </c>
      <c r="F111" s="22" t="inlineStr">
        <is>
          <t xml:space="preserve">FY2025</t>
        </is>
      </c>
      <c r="G111" s="22" t="inlineStr">
        <is>
          <t xml:space="preserve">FY2026</t>
        </is>
      </c>
      <c r="H111" s="22" t="inlineStr">
        <is>
          <t xml:space="preserve">FY2027</t>
        </is>
      </c>
    </row>
    <row r="112" outlineLevel="3">
      <c r="B112" s="1" t="inlineStr">
        <is>
          <t xml:space="preserve">Total Ship Estimate</t>
        </is>
      </c>
      <c r="C112" s="4">
        <f>C93*C$13</f>
      </c>
      <c r="D112" s="4">
        <f>D93*D$13</f>
      </c>
      <c r="E112" s="4">
        <f>E93*E$13</f>
      </c>
      <c r="F112" s="4">
        <f>F93*F$13</f>
      </c>
      <c r="G112" s="4">
        <f>G93*G$13</f>
      </c>
      <c r="H112" s="4">
        <f>H93*H$13</f>
      </c>
    </row>
    <row r="113" outlineLevel="3">
      <c r="B113" s="1" t="inlineStr">
        <is>
          <t xml:space="preserve">Plans Costs</t>
        </is>
      </c>
      <c r="C113" s="4">
        <f>C94*C$13</f>
      </c>
      <c r="D113" s="4">
        <f>D94*D$13</f>
      </c>
      <c r="E113" s="4">
        <f>E94*E$13</f>
      </c>
      <c r="F113" s="4">
        <f>F94*F$13</f>
      </c>
      <c r="G113" s="4">
        <f>G94*G$13</f>
      </c>
      <c r="H113" s="4">
        <f>H94*H$13</f>
      </c>
    </row>
    <row r="114" outlineLevel="3">
      <c r="B114" s="1" t="inlineStr">
        <is>
          <t xml:space="preserve">Electronics</t>
        </is>
      </c>
      <c r="C114" s="4">
        <f>C95*C$13</f>
      </c>
      <c r="D114" s="4">
        <f>D95*D$13</f>
      </c>
      <c r="E114" s="4">
        <f>E95*E$13</f>
      </c>
      <c r="F114" s="4">
        <f>F95*F$13</f>
      </c>
      <c r="G114" s="4">
        <f>G95*G$13</f>
      </c>
      <c r="H114" s="4">
        <f>H95*H$13</f>
      </c>
    </row>
    <row r="115" outlineLevel="3">
      <c r="B115" s="1" t="inlineStr">
        <is>
          <t xml:space="preserve">Ordnance</t>
        </is>
      </c>
      <c r="C115" s="4">
        <f>C96*C$13</f>
      </c>
      <c r="D115" s="4">
        <f>D96*D$13</f>
      </c>
      <c r="E115" s="4">
        <f>E96*E$13</f>
      </c>
      <c r="F115" s="4">
        <f>F96*F$13</f>
      </c>
      <c r="G115" s="4">
        <f>G96*G$13</f>
      </c>
      <c r="H115" s="4">
        <f>H96*H$13</f>
      </c>
    </row>
    <row r="116" outlineLevel="3">
      <c r="B116" s="1" t="inlineStr">
        <is>
          <t xml:space="preserve">Hull, Mechanical, Electrical (HM&amp;E)</t>
        </is>
      </c>
      <c r="C116" s="4">
        <f>C97*C$13</f>
      </c>
      <c r="D116" s="4">
        <f>D97*D$13</f>
      </c>
      <c r="E116" s="4">
        <f>E97*E$13</f>
      </c>
      <c r="F116" s="4">
        <f>F97*F$13</f>
      </c>
      <c r="G116" s="4">
        <f>G97*G$13</f>
      </c>
      <c r="H116" s="4">
        <f>H97*H$13</f>
      </c>
    </row>
    <row r="117" outlineLevel="3">
      <c r="B117" s="1" t="inlineStr">
        <is>
          <t xml:space="preserve">Other Cost</t>
        </is>
      </c>
      <c r="C117" s="4">
        <f>C98*C$13</f>
      </c>
      <c r="D117" s="4">
        <f>D98*D$13</f>
      </c>
      <c r="E117" s="4">
        <f>E98*E$13</f>
      </c>
      <c r="F117" s="4">
        <f>F98*F$13</f>
      </c>
      <c r="G117" s="4">
        <f>G98*G$13</f>
      </c>
      <c r="H117" s="4">
        <f>H98*H$13</f>
      </c>
    </row>
    <row r="118" outlineLevel="3">
      <c r="B118" s="1" t="inlineStr">
        <is>
          <t xml:space="preserve">GFE Sum</t>
        </is>
      </c>
      <c r="C118" s="4">
        <f>C99*C$13</f>
      </c>
      <c r="D118" s="4">
        <f>D99*D$13</f>
      </c>
      <c r="E118" s="4">
        <f>E99*E$13</f>
      </c>
      <c r="F118" s="4">
        <f>F99*F$13</f>
      </c>
      <c r="G118" s="4">
        <f>G99*G$13</f>
      </c>
      <c r="H118" s="4">
        <f>H99*H$13</f>
      </c>
    </row>
    <row r="119" outlineLevel="3">
      <c r="B119" s="1" t="inlineStr">
        <is>
          <t xml:space="preserve">Change Orders</t>
        </is>
      </c>
      <c r="C119" s="4">
        <f>C100*C$13</f>
      </c>
      <c r="D119" s="4">
        <f>D100*D$13</f>
      </c>
      <c r="E119" s="4">
        <f>E100*E$13</f>
      </c>
      <c r="F119" s="4">
        <f>F100*F$13</f>
      </c>
      <c r="G119" s="4">
        <f>G100*G$13</f>
      </c>
      <c r="H119" s="4">
        <f>H100*H$13</f>
      </c>
    </row>
    <row r="120" outlineLevel="3">
      <c r="B120" s="1" t="inlineStr">
        <is>
          <t xml:space="preserve">Basic Construction (TAM base)</t>
        </is>
      </c>
      <c r="C120" s="4">
        <f>C101*C$13</f>
      </c>
      <c r="D120" s="4">
        <f>D101*D$13</f>
      </c>
      <c r="E120" s="4">
        <f>E101*E$13</f>
      </c>
      <c r="F120" s="4">
        <f>F101*F$13</f>
      </c>
      <c r="G120" s="4">
        <f>G101*G$13</f>
      </c>
      <c r="H120" s="4">
        <f>H101*H$13</f>
      </c>
    </row>
    <row r="121" outlineLevel="3"/>
    <row r="122" outlineLevel="3"/>
    <row r="123" outlineLevel="1">
      <c r="A123" s="0" t="inlineStr">
        <is>
          <t xml:space="preserve">x</t>
        </is>
      </c>
      <c r="B123" s="9" t="inlineStr">
        <is>
          <t xml:space="preserve">§5 - DDG-51 AP/LLTM (P-10 EOQ)</t>
        </is>
      </c>
      <c r="C123" s="9"/>
      <c r="D123" s="9"/>
      <c r="E123" s="9"/>
      <c r="F123" s="9"/>
      <c r="G123" s="9"/>
      <c r="H123" s="9"/>
      <c r="I123" s="9"/>
    </row>
    <row r="124" outlineLevel="2"/>
    <row r="125" outlineLevel="2">
      <c r="B125" s="2" t="inlineStr">
        <is>
          <t xml:space="preserve">Metric</t>
        </is>
      </c>
      <c r="C125" s="22" t="inlineStr">
        <is>
          <t xml:space="preserve">FY2022</t>
        </is>
      </c>
      <c r="D125" s="22" t="inlineStr">
        <is>
          <t xml:space="preserve">FY2023</t>
        </is>
      </c>
      <c r="E125" s="22" t="inlineStr">
        <is>
          <t xml:space="preserve">FY2024</t>
        </is>
      </c>
      <c r="F125" s="22" t="inlineStr">
        <is>
          <t xml:space="preserve">FY2025</t>
        </is>
      </c>
      <c r="G125" s="22" t="inlineStr">
        <is>
          <t xml:space="preserve">FY2026</t>
        </is>
      </c>
      <c r="H125" s="22" t="inlineStr">
        <is>
          <t xml:space="preserve">FY2027</t>
        </is>
      </c>
    </row>
    <row r="126" outlineLevel="2">
      <c r="B126" s="0" t="inlineStr">
        <is>
          <t xml:space="preserve">CY AP gross, then-year $ (P-1; memo)</t>
        </is>
      </c>
      <c r="C126" s="5">
        <v>0.0</v>
      </c>
      <c r="D126" s="5">
        <v>0.0</v>
      </c>
      <c r="E126" s="5">
        <v>0.0</v>
      </c>
      <c r="F126" s="5">
        <v>83.224</v>
      </c>
      <c r="G126" s="5">
        <v>1750.0</v>
      </c>
      <c r="H126" s="5">
        <v>0.0</v>
      </c>
    </row>
    <row r="127" outlineLevel="2">
      <c r="B127" s="1" t="inlineStr">
        <is>
          <t xml:space="preserve">Ship Construction EOQ, then-year $ (P-10)</t>
        </is>
      </c>
      <c r="C127" s="5">
        <v>0.0</v>
      </c>
      <c r="D127" s="5">
        <v>0.0</v>
      </c>
      <c r="E127" s="5">
        <v>0.0</v>
      </c>
      <c r="F127" s="5">
        <v>41.5</v>
      </c>
      <c r="G127" s="5">
        <v>1000.0</v>
      </c>
      <c r="H127" s="5">
        <v>0.0</v>
      </c>
    </row>
    <row r="128" outlineLevel="2">
      <c r="B128" s="1" t="inlineStr">
        <is>
          <t xml:space="preserve">Ship Construction EOQ, constant FY2026 $M</t>
        </is>
      </c>
      <c r="C128" s="4">
        <f>C127*C$13</f>
      </c>
      <c r="D128" s="4">
        <f>D127*D$13</f>
      </c>
      <c r="E128" s="4">
        <f>E127*E$13</f>
      </c>
      <c r="F128" s="4">
        <f>F127*F$13</f>
      </c>
      <c r="G128" s="4">
        <f>G127*G$13</f>
      </c>
      <c r="H128" s="4">
        <f>H127*H$13</f>
      </c>
    </row>
    <row r="129" outlineLevel="2"/>
    <row r="130" outlineLevel="2"/>
  </sheetData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203864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20" customWidth="1"/>
    <col min="3" max="3" width="12" customWidth="1"/>
    <col min="4" max="4" width="18" customWidth="1"/>
    <col min="5" max="5" width="24" customWidth="1"/>
    <col min="6" max="6" width="18" customWidth="1"/>
    <col min="7" max="7" width="10" customWidth="1"/>
    <col min="8" max="8" width="8" customWidth="1"/>
    <col min="9" max="9" width="13" customWidth="1"/>
    <col min="10" max="10" width="12" customWidth="1"/>
    <col min="11" max="11" width="10" customWidth="1"/>
    <col min="12" max="12" width="11" customWidth="1"/>
    <col min="13" max="13" width="10" customWidth="1"/>
    <col min="14" max="14" width="10" customWidth="1"/>
    <col min="15" max="15" width="52" customWidth="1"/>
  </cols>
  <sheetData>
    <row r="1"/>
    <row r="2">
      <c r="A2" s="0" t="inlineStr">
        <is>
          <t xml:space="preserve">x</t>
        </is>
      </c>
      <c r="B2" s="8" t="inlineStr">
        <is>
          <t xml:space="preserve">Place of Performance</t>
        </is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outlineLevel="1">
      <c r="B3" s="56" t="inlineStr">
        <is>
          <t xml:space="preserve">Award place of performance and supplier coefficients</t>
        </is>
      </c>
    </row>
    <row r="4" outlineLevel="1"/>
    <row r="5" outlineLevel="1"/>
    <row r="6" outlineLevel="1">
      <c r="A6" s="0" t="inlineStr">
        <is>
          <t xml:space="preserve">x</t>
        </is>
      </c>
      <c r="B6" s="9" t="inlineStr">
        <is>
          <t xml:space="preserve">§1 - Supplier coefficients</t>
        </is>
      </c>
      <c r="C6" s="9"/>
      <c r="D6" s="9"/>
      <c r="E6" s="9"/>
      <c r="F6" s="9"/>
      <c r="G6" s="9"/>
      <c r="H6" s="9"/>
    </row>
    <row r="7" outlineLevel="2"/>
    <row r="8" outlineLevel="2">
      <c r="A8" s="0" t="inlineStr">
        <is>
          <t xml:space="preserve">x</t>
        </is>
      </c>
      <c r="B8" s="10" t="inlineStr">
        <is>
          <t xml:space="preserve">§1a - Applied coefficients</t>
        </is>
      </c>
      <c r="C8" s="10"/>
      <c r="D8" s="10"/>
      <c r="E8" s="10"/>
      <c r="F8" s="10"/>
      <c r="G8" s="10"/>
      <c r="H8" s="10"/>
    </row>
    <row r="9" outlineLevel="3"/>
    <row r="10" outlineLevel="3">
      <c r="B10" s="2" t="inlineStr">
        <is>
          <t xml:space="preserve">Basis</t>
        </is>
      </c>
      <c r="C10" s="22" t="inlineStr">
        <is>
          <t xml:space="preserve">Eligible $M</t>
        </is>
      </c>
      <c r="D10" s="22" t="inlineStr">
        <is>
          <t xml:space="preserve">Supplier $M</t>
        </is>
      </c>
      <c r="E10" s="22" t="inlineStr">
        <is>
          <t xml:space="preserve">Coefficient</t>
        </is>
      </c>
    </row>
    <row r="11" outlineLevel="3">
      <c r="B11" s="1" t="inlineStr">
        <is>
          <t xml:space="preserve">Virginia BC</t>
        </is>
      </c>
      <c r="C11" s="4">
        <f>SUMPRODUCT(('Place of Performance'!B26:B76="Virginia")*('Place of Performance'!G26:G76="BC")*'Place of Performance'!J26:J76)</f>
      </c>
      <c r="D11" s="4">
        <f>SUMPRODUCT(('Place of Performance'!B26:B76="Virginia")*('Place of Performance'!G26:G76="BC")*'Place of Performance'!J26:J76*('Place of Performance'!M26:M76+'Place of Performance'!N26:N76))</f>
      </c>
      <c r="E11" s="6">
        <f>IF(C11=0,"",D11/C11)</f>
      </c>
    </row>
    <row r="12" outlineLevel="3">
      <c r="B12" s="1" t="inlineStr">
        <is>
          <t xml:space="preserve">Columbia BC</t>
        </is>
      </c>
      <c r="C12" s="4">
        <f>SUMPRODUCT(('Place of Performance'!B26:B76="Columbia")*('Place of Performance'!G26:G76="BC")*'Place of Performance'!J26:J76)</f>
      </c>
      <c r="D12" s="4">
        <f>SUMPRODUCT(('Place of Performance'!B26:B76="Columbia")*('Place of Performance'!G26:G76="BC")*'Place of Performance'!J26:J76*('Place of Performance'!M26:M76+'Place of Performance'!N26:N76))</f>
      </c>
      <c r="E12" s="6">
        <f>IF(C12=0,"",D12/C12)</f>
      </c>
    </row>
    <row r="13" outlineLevel="3">
      <c r="B13" s="1" t="inlineStr">
        <is>
          <t xml:space="preserve">DDG-51 BC, FY23-27</t>
        </is>
      </c>
      <c r="C13" s="4">
        <f>SUMPRODUCT(('Place of Performance'!B26:B76="DDG-51")*('Place of Performance'!G26:G76="BC")*('Place of Performance'!I26:I76=0)*'Place of Performance'!J26:J76)</f>
      </c>
      <c r="D13" s="4">
        <f>SUMPRODUCT(('Place of Performance'!B26:B76="DDG-51")*('Place of Performance'!G26:G76="BC")*('Place of Performance'!I26:I76=0)*'Place of Performance'!J26:J76*('Place of Performance'!M26:M76+'Place of Performance'!N26:N76))</f>
      </c>
      <c r="E13" s="6">
        <f>IF(C13=0,"",D13/C13)</f>
      </c>
    </row>
    <row r="14" outlineLevel="3">
      <c r="B14" s="1" t="inlineStr">
        <is>
          <t xml:space="preserve">DDG-51 BC, FY2022</t>
        </is>
      </c>
      <c r="C14" s="4">
        <f>SUMPRODUCT(('Place of Performance'!B26:B76="DDG-51")*('Place of Performance'!G26:G76="BC")*('Place of Performance'!I26:I76=1)*'Place of Performance'!J26:J76)</f>
      </c>
      <c r="D14" s="4">
        <f>SUMPRODUCT(('Place of Performance'!B26:B76="DDG-51")*('Place of Performance'!G26:G76="BC")*('Place of Performance'!I26:I76=1)*'Place of Performance'!J26:J76*('Place of Performance'!M26:M76+'Place of Performance'!N26:N76))</f>
      </c>
      <c r="E14" s="6">
        <f>IF(C14=0,"",D14/C14)</f>
      </c>
    </row>
    <row r="15" outlineLevel="3"/>
    <row r="16" outlineLevel="2">
      <c r="A16" s="0" t="inlineStr">
        <is>
          <t xml:space="preserve">x</t>
        </is>
      </c>
      <c r="B16" s="10" t="inlineStr">
        <is>
          <t xml:space="preserve">§1b - Reference coefficients</t>
        </is>
      </c>
      <c r="C16" s="10"/>
      <c r="D16" s="10"/>
      <c r="E16" s="10"/>
      <c r="F16" s="10"/>
      <c r="G16" s="10"/>
      <c r="H16" s="10"/>
    </row>
    <row r="17" outlineLevel="3"/>
    <row r="18" outlineLevel="3">
      <c r="B18" s="2" t="inlineStr">
        <is>
          <t xml:space="preserve">Basis</t>
        </is>
      </c>
      <c r="C18" s="22" t="inlineStr">
        <is>
          <t xml:space="preserve">Eligible $M</t>
        </is>
      </c>
      <c r="D18" s="22" t="inlineStr">
        <is>
          <t xml:space="preserve">Supplier $M</t>
        </is>
      </c>
      <c r="E18" s="22" t="inlineStr">
        <is>
          <t xml:space="preserve">Coefficient</t>
        </is>
      </c>
    </row>
    <row r="19" outlineLevel="3">
      <c r="B19" s="0" t="inlineStr">
        <is>
          <t xml:space="preserve">DDG-51 disclosed</t>
        </is>
      </c>
      <c r="C19" s="4">
        <f>SUMPRODUCT(('Place of Performance'!B26:B76="DDG-51")*('Place of Performance'!G26:G76="BC")*('Place of Performance'!I26:I76=0)*('Place of Performance'!H26:H76=0)*'Place of Performance'!J26:J76)</f>
      </c>
      <c r="D19" s="4">
        <f>SUMPRODUCT(('Place of Performance'!B26:B76="DDG-51")*('Place of Performance'!G26:G76="BC")*('Place of Performance'!I26:I76=0)*('Place of Performance'!H26:H76=0)*'Place of Performance'!J26:J76*('Place of Performance'!M26:M76+'Place of Performance'!N26:N76))</f>
      </c>
      <c r="E19" s="6">
        <f>IF(C19=0,"",D19/C19)</f>
      </c>
    </row>
    <row r="20" outlineLevel="3">
      <c r="B20" s="0" t="inlineStr">
        <is>
          <t xml:space="preserve">Submarine AP/LLTM</t>
        </is>
      </c>
      <c r="C20" s="4">
        <f>SUMPRODUCT((('Place of Performance'!B26:B76="Virginia")+('Place of Performance'!B26:B76="Columbia"))*('Place of Performance'!G26:G76="AP_LLTM")*'Place of Performance'!J26:J76)</f>
      </c>
      <c r="D20" s="4">
        <f>SUMPRODUCT((('Place of Performance'!B26:B76="Virginia")+('Place of Performance'!B26:B76="Columbia"))*('Place of Performance'!G26:G76="AP_LLTM")*'Place of Performance'!J26:J76*('Place of Performance'!M26:M76+'Place of Performance'!N26:N76))</f>
      </c>
      <c r="E20" s="6">
        <f>IF(C20=0,"",D20/C20)</f>
      </c>
    </row>
    <row r="21" outlineLevel="2"/>
    <row r="22" outlineLevel="2"/>
    <row r="23" outlineLevel="1">
      <c r="A23" s="0" t="inlineStr">
        <is>
          <t xml:space="preserve">x</t>
        </is>
      </c>
      <c r="B23" s="9" t="inlineStr">
        <is>
          <t xml:space="preserve">§2 - Award corpus</t>
        </is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outlineLevel="2"/>
    <row r="25" outlineLevel="2">
      <c r="B25" s="2" t="inlineStr">
        <is>
          <t xml:space="preserve">Program</t>
        </is>
      </c>
      <c r="C25" s="2" t="inlineStr">
        <is>
          <t xml:space="preserve">Date</t>
        </is>
      </c>
      <c r="D25" s="2" t="inlineStr">
        <is>
          <t xml:space="preserve">PIID</t>
        </is>
      </c>
      <c r="E25" s="2" t="inlineStr">
        <is>
          <t xml:space="preserve">Prime</t>
        </is>
      </c>
      <c r="F25" s="2" t="inlineStr">
        <is>
          <t xml:space="preserve">Work Type</t>
        </is>
      </c>
      <c r="G25" s="2" t="inlineStr">
        <is>
          <t xml:space="preserve">Stream</t>
        </is>
      </c>
      <c r="H25" s="22" t="inlineStr">
        <is>
          <t xml:space="preserve">Master</t>
        </is>
      </c>
      <c r="I25" s="22" t="inlineStr">
        <is>
          <t xml:space="preserve">FY18-22 vintage</t>
        </is>
      </c>
      <c r="J25" s="22" t="inlineStr">
        <is>
          <t xml:space="preserve">$M</t>
        </is>
      </c>
      <c r="K25" s="22" t="inlineStr">
        <is>
          <t xml:space="preserve">Prime %</t>
        </is>
      </c>
      <c r="L25" s="22" t="inlineStr">
        <is>
          <t xml:space="preserve">Co-prime %</t>
        </is>
      </c>
      <c r="M25" s="22" t="inlineStr">
        <is>
          <t xml:space="preserve">Other US %</t>
        </is>
      </c>
      <c r="N25" s="22" t="inlineStr">
        <is>
          <t xml:space="preserve">Foreign %</t>
        </is>
      </c>
      <c r="O25" s="2" t="inlineStr">
        <is>
          <t xml:space="preserve">Source</t>
        </is>
      </c>
    </row>
    <row r="26" outlineLevel="2">
      <c r="B26" s="0" t="inlineStr">
        <is>
          <t xml:space="preserve">Virginia</t>
        </is>
      </c>
      <c r="C26" s="0" t="inlineStr">
        <is>
          <t xml:space="preserve">2019-12-02</t>
        </is>
      </c>
      <c r="D26" s="0" t="inlineStr">
        <is>
          <t xml:space="preserve">N00024-17-C-2100</t>
        </is>
      </c>
      <c r="E26" s="0" t="inlineStr">
        <is>
          <t xml:space="preserve">General Dynamics Electric Boat</t>
        </is>
      </c>
      <c r="F26" s="0" t="inlineStr">
        <is>
          <t xml:space="preserve">construction</t>
        </is>
      </c>
      <c r="G26" s="0" t="inlineStr">
        <is>
          <t xml:space="preserve">BC</t>
        </is>
      </c>
      <c r="H26" s="45">
        <v>1</v>
      </c>
      <c r="I26" s="45">
        <v>0</v>
      </c>
      <c r="J26" s="5">
        <v>22209.893</v>
      </c>
      <c r="K26" s="7">
        <v>0.41</v>
      </c>
      <c r="L26" s="7">
        <v>0.25</v>
      </c>
      <c r="M26" s="7">
        <v>0.33</v>
      </c>
      <c r="N26" s="7">
        <v>0.01</v>
      </c>
      <c r="O26" s="0" t="inlineStr">
        <is>
          <t xml:space="preserve">DoD Contracts 2019-12-02 (defense.gov Article 2030017); Block V, 9 boats FY19-23</t>
        </is>
      </c>
    </row>
    <row r="27" outlineLevel="2">
      <c r="B27" s="0" t="inlineStr">
        <is>
          <t xml:space="preserve">Virginia</t>
        </is>
      </c>
      <c r="C27" s="0" t="inlineStr">
        <is>
          <t xml:space="preserve">2025-04-30</t>
        </is>
      </c>
      <c r="D27" s="0" t="inlineStr">
        <is>
          <t xml:space="preserve">-</t>
        </is>
      </c>
      <c r="E27" s="0" t="inlineStr">
        <is>
          <t xml:space="preserve">-</t>
        </is>
      </c>
      <c r="F27" s="0" t="inlineStr">
        <is>
          <t xml:space="preserve">lltm_early_mfg</t>
        </is>
      </c>
      <c r="G27" s="0" t="inlineStr">
        <is>
          <t xml:space="preserve">AP_LLTM</t>
        </is>
      </c>
      <c r="H27" s="45">
        <v>0</v>
      </c>
      <c r="I27" s="45">
        <v>0</v>
      </c>
      <c r="J27" s="5">
        <v>12418.145463</v>
      </c>
      <c r="K27" s="7">
        <v>0.4</v>
      </c>
      <c r="L27" s="7">
        <v>0.32</v>
      </c>
      <c r="M27" s="7">
        <v>0.28</v>
      </c>
      <c r="N27" s="7">
        <v>0.0</v>
      </c>
      <c r="O27" s="0" t="inlineStr">
        <is>
          <t xml:space="preserve">https://www.globalsecurity.org/military/library/news/2025/04/dod-contracts_4170827.htm</t>
        </is>
      </c>
    </row>
    <row r="28" outlineLevel="2">
      <c r="B28" s="0" t="inlineStr">
        <is>
          <t xml:space="preserve">Virginia</t>
        </is>
      </c>
      <c r="C28" s="0" t="inlineStr">
        <is>
          <t xml:space="preserve">2026-05-11</t>
        </is>
      </c>
      <c r="D28" s="0" t="inlineStr">
        <is>
          <t xml:space="preserve">N00024-24-C-2110</t>
        </is>
      </c>
      <c r="E28" s="0" t="inlineStr">
        <is>
          <t xml:space="preserve">General Dynamics Electric Boat Corp.</t>
        </is>
      </c>
      <c r="F28" s="0" t="inlineStr">
        <is>
          <t xml:space="preserve">lltm_early_mfg</t>
        </is>
      </c>
      <c r="G28" s="0" t="inlineStr">
        <is>
          <t xml:space="preserve">AP_LLTM</t>
        </is>
      </c>
      <c r="H28" s="45">
        <v>0</v>
      </c>
      <c r="I28" s="45">
        <v>0</v>
      </c>
      <c r="J28" s="5">
        <v>2305.53</v>
      </c>
      <c r="K28" s="7">
        <v>0.0</v>
      </c>
      <c r="L28" s="7">
        <v>0.02</v>
      </c>
      <c r="M28" s="7">
        <v>0.98</v>
      </c>
      <c r="N28" s="7">
        <v>0.0</v>
      </c>
      <c r="O28" s="0" t="inlineStr">
        <is>
          <t xml:space="preserve">https://www.globalsecurity.org/military/library/news/2026/05/dod-contracts_4479470.htm</t>
        </is>
      </c>
    </row>
    <row r="29" outlineLevel="2">
      <c r="B29" s="0" t="inlineStr">
        <is>
          <t xml:space="preserve">Virginia</t>
        </is>
      </c>
      <c r="C29" s="0" t="inlineStr">
        <is>
          <t xml:space="preserve">2025-06-26</t>
        </is>
      </c>
      <c r="D29" s="0" t="inlineStr">
        <is>
          <t xml:space="preserve">N00024-24-C-2110</t>
        </is>
      </c>
      <c r="E29" s="0" t="inlineStr">
        <is>
          <t xml:space="preserve">-</t>
        </is>
      </c>
      <c r="F29" s="0" t="inlineStr">
        <is>
          <t xml:space="preserve">lltm_early_mfg</t>
        </is>
      </c>
      <c r="G29" s="0" t="inlineStr">
        <is>
          <t xml:space="preserve">AP_LLTM</t>
        </is>
      </c>
      <c r="H29" s="45">
        <v>0</v>
      </c>
      <c r="I29" s="45">
        <v>0</v>
      </c>
      <c r="J29" s="5">
        <v>1851.065</v>
      </c>
      <c r="K29" s="7">
        <v>0.0</v>
      </c>
      <c r="L29" s="7">
        <v>0.0</v>
      </c>
      <c r="M29" s="7">
        <v>1.0</v>
      </c>
      <c r="N29" s="7">
        <v>0.0</v>
      </c>
      <c r="O29" s="0" t="inlineStr">
        <is>
          <t xml:space="preserve">https://www.globalsecurity.org/military/library/news/2025/06/dod-contracts_4227676.htm</t>
        </is>
      </c>
    </row>
    <row r="30" outlineLevel="2">
      <c r="B30" s="0" t="inlineStr">
        <is>
          <t xml:space="preserve">Virginia</t>
        </is>
      </c>
      <c r="C30" s="0" t="inlineStr">
        <is>
          <t xml:space="preserve">2025-03-25</t>
        </is>
      </c>
      <c r="D30" s="0" t="inlineStr">
        <is>
          <t xml:space="preserve">N00024-24-C-2110</t>
        </is>
      </c>
      <c r="E30" s="0" t="inlineStr">
        <is>
          <t xml:space="preserve">-</t>
        </is>
      </c>
      <c r="F30" s="0" t="inlineStr">
        <is>
          <t xml:space="preserve">lltm_early_mfg</t>
        </is>
      </c>
      <c r="G30" s="0" t="inlineStr">
        <is>
          <t xml:space="preserve">AP_LLTM</t>
        </is>
      </c>
      <c r="H30" s="45">
        <v>0</v>
      </c>
      <c r="I30" s="45">
        <v>0</v>
      </c>
      <c r="J30" s="5">
        <v>1065.31</v>
      </c>
      <c r="K30" s="7">
        <v>0.0</v>
      </c>
      <c r="L30" s="7">
        <v>0.0</v>
      </c>
      <c r="M30" s="7">
        <v>1.0</v>
      </c>
      <c r="N30" s="7">
        <v>0.0</v>
      </c>
      <c r="O30" s="0" t="inlineStr">
        <is>
          <t xml:space="preserve">https://www.globalsecurity.org/military/library/news/2025/03/dod-contracts_4134550.htm</t>
        </is>
      </c>
    </row>
    <row r="31" outlineLevel="2">
      <c r="B31" s="0" t="inlineStr">
        <is>
          <t xml:space="preserve">Virginia</t>
        </is>
      </c>
      <c r="C31" s="0" t="inlineStr">
        <is>
          <t xml:space="preserve">2023-10-13</t>
        </is>
      </c>
      <c r="D31" s="0" t="inlineStr">
        <is>
          <t xml:space="preserve">N00024-24-C-2110</t>
        </is>
      </c>
      <c r="E31" s="0" t="inlineStr">
        <is>
          <t xml:space="preserve">General Dynamics Electric Boat Corp.</t>
        </is>
      </c>
      <c r="F31" s="0" t="inlineStr">
        <is>
          <t xml:space="preserve">lltm_early_mfg</t>
        </is>
      </c>
      <c r="G31" s="0" t="inlineStr">
        <is>
          <t xml:space="preserve">AP_LLTM</t>
        </is>
      </c>
      <c r="H31" s="45">
        <v>0</v>
      </c>
      <c r="I31" s="45">
        <v>0</v>
      </c>
      <c r="J31" s="5">
        <v>216.51</v>
      </c>
      <c r="K31" s="7">
        <v>0.0</v>
      </c>
      <c r="L31" s="7">
        <v>0.0</v>
      </c>
      <c r="M31" s="7">
        <v>1.0</v>
      </c>
      <c r="N31" s="7">
        <v>0.0</v>
      </c>
      <c r="O31" s="0" t="inlineStr">
        <is>
          <t xml:space="preserve">https://www.defense.gov/News/Contracts/Contract/Article/3557261/  (via web.archive.org)</t>
        </is>
      </c>
    </row>
    <row r="32" outlineLevel="2">
      <c r="B32" s="0" t="inlineStr">
        <is>
          <t xml:space="preserve">Virginia</t>
        </is>
      </c>
      <c r="C32" s="0" t="inlineStr">
        <is>
          <t xml:space="preserve">2025-01-08</t>
        </is>
      </c>
      <c r="D32" s="0" t="inlineStr">
        <is>
          <t xml:space="preserve">-</t>
        </is>
      </c>
      <c r="E32" s="0" t="inlineStr">
        <is>
          <t xml:space="preserve">-</t>
        </is>
      </c>
      <c r="F32" s="0" t="inlineStr">
        <is>
          <t xml:space="preserve">construction</t>
        </is>
      </c>
      <c r="G32" s="0" t="inlineStr">
        <is>
          <t xml:space="preserve">BC</t>
        </is>
      </c>
      <c r="H32" s="45">
        <v>0</v>
      </c>
      <c r="I32" s="45">
        <v>0</v>
      </c>
      <c r="J32" s="5">
        <v>188.0</v>
      </c>
      <c r="K32" s="7">
        <v>0.0</v>
      </c>
      <c r="L32" s="7">
        <v>0.02</v>
      </c>
      <c r="M32" s="7">
        <v>0.98</v>
      </c>
      <c r="N32" s="7">
        <v>0.0</v>
      </c>
      <c r="O32" s="0" t="inlineStr">
        <is>
          <t xml:space="preserve">https://www.globalsecurity.org/military/library/news/2025/01/dod-contracts_4024737.htm</t>
        </is>
      </c>
    </row>
    <row r="33" outlineLevel="2">
      <c r="B33" s="0" t="inlineStr">
        <is>
          <t xml:space="preserve">Virginia</t>
        </is>
      </c>
      <c r="C33" s="0" t="inlineStr">
        <is>
          <t xml:space="preserve">2025-07-21</t>
        </is>
      </c>
      <c r="D33" s="0" t="inlineStr">
        <is>
          <t xml:space="preserve">N00024-17-C-2100</t>
        </is>
      </c>
      <c r="E33" s="0" t="inlineStr">
        <is>
          <t xml:space="preserve">General Dynamics Electric Boat Corp.</t>
        </is>
      </c>
      <c r="F33" s="0" t="inlineStr">
        <is>
          <t xml:space="preserve">component_procurement</t>
        </is>
      </c>
      <c r="G33" s="0" t="inlineStr">
        <is>
          <t xml:space="preserve">BC</t>
        </is>
      </c>
      <c r="H33" s="45">
        <v>0</v>
      </c>
      <c r="I33" s="45">
        <v>0</v>
      </c>
      <c r="J33" s="5">
        <v>159.675741</v>
      </c>
      <c r="K33" s="7">
        <v>0.0</v>
      </c>
      <c r="L33" s="7">
        <v>0.0</v>
      </c>
      <c r="M33" s="7">
        <v>0.0</v>
      </c>
      <c r="N33" s="7">
        <v>0.0</v>
      </c>
      <c r="O33" s="0" t="inlineStr">
        <is>
          <t xml:space="preserve">https://www.globalsecurity.org/military/library/news/2025/07/dod-contracts_4250988.htm</t>
        </is>
      </c>
    </row>
    <row r="34" outlineLevel="2">
      <c r="B34" s="0" t="inlineStr">
        <is>
          <t xml:space="preserve">Virginia</t>
        </is>
      </c>
      <c r="C34" s="0" t="inlineStr">
        <is>
          <t xml:space="preserve">2024-02-23</t>
        </is>
      </c>
      <c r="D34" s="0" t="inlineStr">
        <is>
          <t xml:space="preserve">-</t>
        </is>
      </c>
      <c r="E34" s="0" t="inlineStr">
        <is>
          <t xml:space="preserve">General Dynamics Electric Boat Corp.</t>
        </is>
      </c>
      <c r="F34" s="0" t="inlineStr">
        <is>
          <t xml:space="preserve">lltm_early_mfg</t>
        </is>
      </c>
      <c r="G34" s="0" t="inlineStr">
        <is>
          <t xml:space="preserve">AP_LLTM</t>
        </is>
      </c>
      <c r="H34" s="45">
        <v>0</v>
      </c>
      <c r="I34" s="45">
        <v>0</v>
      </c>
      <c r="J34" s="5">
        <v>150.984</v>
      </c>
      <c r="K34" s="7">
        <v>0.0</v>
      </c>
      <c r="L34" s="7">
        <v>0.0</v>
      </c>
      <c r="M34" s="7">
        <v>1.0</v>
      </c>
      <c r="N34" s="7">
        <v>0.0</v>
      </c>
      <c r="O34" s="0" t="inlineStr">
        <is>
          <t xml:space="preserve">https://www.defense.gov/News/Contracts/Contract/Article/3685947/  (via web.archive.org)</t>
        </is>
      </c>
    </row>
    <row r="35" outlineLevel="2">
      <c r="B35" s="0" t="inlineStr">
        <is>
          <t xml:space="preserve">Virginia</t>
        </is>
      </c>
      <c r="C35" s="0" t="inlineStr">
        <is>
          <t xml:space="preserve">2024-01-22</t>
        </is>
      </c>
      <c r="D35" s="0" t="inlineStr">
        <is>
          <t xml:space="preserve">N00024-17-C-2100</t>
        </is>
      </c>
      <c r="E35" s="0" t="inlineStr">
        <is>
          <t xml:space="preserve">General Dynamics Electric Boat Corp.</t>
        </is>
      </c>
      <c r="F35" s="0" t="inlineStr">
        <is>
          <t xml:space="preserve">lltm_early_mfg</t>
        </is>
      </c>
      <c r="G35" s="0" t="inlineStr">
        <is>
          <t xml:space="preserve">AP_LLTM</t>
        </is>
      </c>
      <c r="H35" s="45">
        <v>0</v>
      </c>
      <c r="I35" s="45">
        <v>0</v>
      </c>
      <c r="J35" s="5">
        <v>96.437891</v>
      </c>
      <c r="K35" s="7">
        <v>0.0</v>
      </c>
      <c r="L35" s="7">
        <v>0.0</v>
      </c>
      <c r="M35" s="7">
        <v>1.0</v>
      </c>
      <c r="N35" s="7">
        <v>0.0</v>
      </c>
      <c r="O35" s="0" t="inlineStr">
        <is>
          <t xml:space="preserve">https://www.defense.gov/News/Contracts/Contract/Article/3652144/  (via web.archive.org)</t>
        </is>
      </c>
    </row>
    <row r="36" outlineLevel="2">
      <c r="B36" s="0" t="inlineStr">
        <is>
          <t xml:space="preserve">Virginia</t>
        </is>
      </c>
      <c r="C36" s="0" t="inlineStr">
        <is>
          <t xml:space="preserve">2025-08-11</t>
        </is>
      </c>
      <c r="D36" s="0" t="inlineStr">
        <is>
          <t xml:space="preserve">-</t>
        </is>
      </c>
      <c r="E36" s="0" t="inlineStr">
        <is>
          <t xml:space="preserve">-</t>
        </is>
      </c>
      <c r="F36" s="0" t="inlineStr">
        <is>
          <t xml:space="preserve">component_procurement</t>
        </is>
      </c>
      <c r="G36" s="0" t="inlineStr">
        <is>
          <t xml:space="preserve">BC</t>
        </is>
      </c>
      <c r="H36" s="45">
        <v>0</v>
      </c>
      <c r="I36" s="45">
        <v>0</v>
      </c>
      <c r="J36" s="5">
        <v>86.0</v>
      </c>
      <c r="K36" s="7">
        <v>0.0</v>
      </c>
      <c r="L36" s="7">
        <v>0.0</v>
      </c>
      <c r="M36" s="7">
        <v>0.0</v>
      </c>
      <c r="N36" s="7">
        <v>0.0</v>
      </c>
      <c r="O36" s="0" t="inlineStr">
        <is>
          <t xml:space="preserve">https://www.globalsecurity.org/military/library/news/2025/08/dod-contracts_4271589.htm</t>
        </is>
      </c>
    </row>
    <row r="37" outlineLevel="2">
      <c r="B37" s="0" t="inlineStr">
        <is>
          <t xml:space="preserve">Virginia</t>
        </is>
      </c>
      <c r="C37" s="0" t="inlineStr">
        <is>
          <t xml:space="preserve">2025-07-29</t>
        </is>
      </c>
      <c r="D37" s="0" t="inlineStr">
        <is>
          <t xml:space="preserve">-</t>
        </is>
      </c>
      <c r="E37" s="0" t="inlineStr">
        <is>
          <t xml:space="preserve">CIRCOR Naval Solutions LLC</t>
        </is>
      </c>
      <c r="F37" s="0" t="inlineStr">
        <is>
          <t xml:space="preserve">component_procurement</t>
        </is>
      </c>
      <c r="G37" s="0" t="inlineStr">
        <is>
          <t xml:space="preserve">BC</t>
        </is>
      </c>
      <c r="H37" s="45">
        <v>0</v>
      </c>
      <c r="I37" s="45">
        <v>0</v>
      </c>
      <c r="J37" s="5">
        <v>40.0</v>
      </c>
      <c r="K37" s="7">
        <v>0.0</v>
      </c>
      <c r="L37" s="7">
        <v>0.0</v>
      </c>
      <c r="M37" s="7">
        <v>0.0</v>
      </c>
      <c r="N37" s="7">
        <v>0.0</v>
      </c>
      <c r="O37" s="0" t="inlineStr">
        <is>
          <t xml:space="preserve">https://www.globalsecurity.org/military/library/news/2025/07/dod-contracts_4258695.htm</t>
        </is>
      </c>
    </row>
    <row r="38" outlineLevel="2">
      <c r="B38" s="0" t="inlineStr">
        <is>
          <t xml:space="preserve">Virginia</t>
        </is>
      </c>
      <c r="C38" s="0" t="inlineStr">
        <is>
          <t xml:space="preserve">2023-09-08</t>
        </is>
      </c>
      <c r="D38" s="0" t="inlineStr">
        <is>
          <t xml:space="preserve">N40085-23-C-0045</t>
        </is>
      </c>
      <c r="E38" s="0" t="inlineStr">
        <is>
          <t xml:space="preserve">-</t>
        </is>
      </c>
      <c r="F38" s="0" t="inlineStr">
        <is>
          <t xml:space="preserve">component_procurement</t>
        </is>
      </c>
      <c r="G38" s="0" t="inlineStr">
        <is>
          <t xml:space="preserve">BC</t>
        </is>
      </c>
      <c r="H38" s="45">
        <v>0</v>
      </c>
      <c r="I38" s="45">
        <v>0</v>
      </c>
      <c r="J38" s="5">
        <v>21.140532</v>
      </c>
      <c r="K38" s="7">
        <v>0.0</v>
      </c>
      <c r="L38" s="7">
        <v>0.0</v>
      </c>
      <c r="M38" s="7">
        <v>0.0</v>
      </c>
      <c r="N38" s="7">
        <v>0.0</v>
      </c>
      <c r="O38" s="0" t="inlineStr">
        <is>
          <t xml:space="preserve">https://www.defense.gov/News/Contracts/Contract/Article/3520839/  (via web.archive.org)</t>
        </is>
      </c>
    </row>
    <row r="39" outlineLevel="2">
      <c r="B39" s="0" t="inlineStr">
        <is>
          <t xml:space="preserve">Virginia</t>
        </is>
      </c>
      <c r="C39" s="0" t="inlineStr">
        <is>
          <t xml:space="preserve">2024-09-27</t>
        </is>
      </c>
      <c r="D39" s="0" t="inlineStr">
        <is>
          <t xml:space="preserve">-</t>
        </is>
      </c>
      <c r="E39" s="0" t="inlineStr">
        <is>
          <t xml:space="preserve">-</t>
        </is>
      </c>
      <c r="F39" s="0" t="inlineStr">
        <is>
          <t xml:space="preserve">component_procurement</t>
        </is>
      </c>
      <c r="G39" s="0" t="inlineStr">
        <is>
          <t xml:space="preserve">BC</t>
        </is>
      </c>
      <c r="H39" s="45">
        <v>0</v>
      </c>
      <c r="I39" s="45">
        <v>0</v>
      </c>
      <c r="J39" s="5">
        <v>11.10512</v>
      </c>
      <c r="K39" s="7">
        <v>0.0</v>
      </c>
      <c r="L39" s="7">
        <v>0.0</v>
      </c>
      <c r="M39" s="7">
        <v>0.0</v>
      </c>
      <c r="N39" s="7">
        <v>0.0</v>
      </c>
      <c r="O39" s="0" t="inlineStr">
        <is>
          <t xml:space="preserve">https://www.defense.gov/News/Contracts/Contract/Article/3919852/  (via web.archive.org)</t>
        </is>
      </c>
    </row>
    <row r="40" outlineLevel="2">
      <c r="B40" s="0" t="inlineStr">
        <is>
          <t xml:space="preserve">Virginia</t>
        </is>
      </c>
      <c r="C40" s="0" t="inlineStr">
        <is>
          <t xml:space="preserve">2025-03-28</t>
        </is>
      </c>
      <c r="D40" s="0" t="inlineStr">
        <is>
          <t xml:space="preserve">-</t>
        </is>
      </c>
      <c r="E40" s="0" t="inlineStr">
        <is>
          <t xml:space="preserve">-</t>
        </is>
      </c>
      <c r="F40" s="0" t="inlineStr">
        <is>
          <t xml:space="preserve">component_procurement</t>
        </is>
      </c>
      <c r="G40" s="0" t="inlineStr">
        <is>
          <t xml:space="preserve">BC</t>
        </is>
      </c>
      <c r="H40" s="45">
        <v>0</v>
      </c>
      <c r="I40" s="45">
        <v>0</v>
      </c>
      <c r="J40" s="5">
        <v>10.246959</v>
      </c>
      <c r="K40" s="7">
        <v>0.0</v>
      </c>
      <c r="L40" s="7">
        <v>0.0</v>
      </c>
      <c r="M40" s="7">
        <v>0.0</v>
      </c>
      <c r="N40" s="7">
        <v>0.0</v>
      </c>
      <c r="O40" s="0" t="inlineStr">
        <is>
          <t xml:space="preserve">https://www.globalsecurity.org/military/library/news/2025/03/dod-contracts_4138718.htm</t>
        </is>
      </c>
    </row>
    <row r="41" outlineLevel="2">
      <c r="B41" s="0" t="inlineStr">
        <is>
          <t xml:space="preserve">Virginia</t>
        </is>
      </c>
      <c r="C41" s="0" t="inlineStr">
        <is>
          <t xml:space="preserve">2025-08-22</t>
        </is>
      </c>
      <c r="D41" s="0" t="inlineStr">
        <is>
          <t xml:space="preserve">-</t>
        </is>
      </c>
      <c r="E41" s="0" t="inlineStr">
        <is>
          <t xml:space="preserve">Rolls Royce Marine North America Inc.</t>
        </is>
      </c>
      <c r="F41" s="0" t="inlineStr">
        <is>
          <t xml:space="preserve">component_procurement</t>
        </is>
      </c>
      <c r="G41" s="0" t="inlineStr">
        <is>
          <t xml:space="preserve">BC</t>
        </is>
      </c>
      <c r="H41" s="45">
        <v>0</v>
      </c>
      <c r="I41" s="45">
        <v>0</v>
      </c>
      <c r="J41" s="5">
        <v>9.877737</v>
      </c>
      <c r="K41" s="7">
        <v>0.0</v>
      </c>
      <c r="L41" s="7">
        <v>0.0</v>
      </c>
      <c r="M41" s="7">
        <v>0.0</v>
      </c>
      <c r="N41" s="7">
        <v>0.0</v>
      </c>
      <c r="O41" s="0" t="inlineStr">
        <is>
          <t xml:space="preserve">https://www.globalsecurity.org/military/library/news/2025/08/dod-contracts_4283984.htm</t>
        </is>
      </c>
    </row>
    <row r="42" outlineLevel="2">
      <c r="B42" s="0" t="inlineStr">
        <is>
          <t xml:space="preserve">Columbia</t>
        </is>
      </c>
      <c r="C42" s="0" t="inlineStr">
        <is>
          <t xml:space="preserve">2020-11-05</t>
        </is>
      </c>
      <c r="D42" s="0" t="inlineStr">
        <is>
          <t xml:space="preserve">N00024-17-C-2117</t>
        </is>
      </c>
      <c r="E42" s="0" t="inlineStr">
        <is>
          <t xml:space="preserve">General Dynamics Electric Boat</t>
        </is>
      </c>
      <c r="F42" s="0" t="inlineStr">
        <is>
          <t xml:space="preserve">construction</t>
        </is>
      </c>
      <c r="G42" s="0" t="inlineStr">
        <is>
          <t xml:space="preserve">BC</t>
        </is>
      </c>
      <c r="H42" s="45">
        <v>1</v>
      </c>
      <c r="I42" s="45">
        <v>0</v>
      </c>
      <c r="J42" s="5">
        <v>9473.511</v>
      </c>
      <c r="K42" s="7">
        <v>0.53</v>
      </c>
      <c r="L42" s="7">
        <v>0.25</v>
      </c>
      <c r="M42" s="7">
        <v>0.22</v>
      </c>
      <c r="N42" s="7">
        <v>0.0</v>
      </c>
      <c r="O42" s="0" t="inlineStr">
        <is>
          <t xml:space="preserve">DoD Contracts 2020-11-05 (defense.gov Article 2406922); Build I, SSBN 826/827</t>
        </is>
      </c>
    </row>
    <row r="43" outlineLevel="2">
      <c r="B43" s="0" t="inlineStr">
        <is>
          <t xml:space="preserve">Columbia</t>
        </is>
      </c>
      <c r="C43" s="0" t="inlineStr">
        <is>
          <t xml:space="preserve">2025-11-17</t>
        </is>
      </c>
      <c r="D43" s="0" t="inlineStr">
        <is>
          <t xml:space="preserve">N00024-17-C-2117</t>
        </is>
      </c>
      <c r="E43" s="0" t="inlineStr">
        <is>
          <t xml:space="preserve">General Dynamics Electric Boat Corp.</t>
        </is>
      </c>
      <c r="F43" s="0" t="inlineStr">
        <is>
          <t xml:space="preserve">advance_procurement</t>
        </is>
      </c>
      <c r="G43" s="0" t="inlineStr">
        <is>
          <t xml:space="preserve">AP_LLTM</t>
        </is>
      </c>
      <c r="H43" s="45">
        <v>0</v>
      </c>
      <c r="I43" s="45">
        <v>0</v>
      </c>
      <c r="J43" s="5">
        <v>698.94876</v>
      </c>
      <c r="K43" s="7">
        <v>0.85</v>
      </c>
      <c r="L43" s="7">
        <v>0.15</v>
      </c>
      <c r="M43" s="7">
        <v>0.0</v>
      </c>
      <c r="N43" s="7">
        <v>0.0</v>
      </c>
      <c r="O43" s="0" t="inlineStr">
        <is>
          <t xml:space="preserve">https://www.globalsecurity.org/military/library/news/2025/11/dod-contracts_4333778.htm</t>
        </is>
      </c>
    </row>
    <row r="44" outlineLevel="2">
      <c r="B44" s="0" t="inlineStr">
        <is>
          <t xml:space="preserve">DDG-51</t>
        </is>
      </c>
      <c r="C44" s="0" t="inlineStr">
        <is>
          <t xml:space="preserve">(MYP master)</t>
        </is>
      </c>
      <c r="D44" s="0" t="inlineStr">
        <is>
          <t xml:space="preserve">N00024-23-C-2305</t>
        </is>
      </c>
      <c r="E44" s="0" t="inlineStr">
        <is>
          <t xml:space="preserve">Bath Iron Works</t>
        </is>
      </c>
      <c r="F44" s="0" t="inlineStr">
        <is>
          <t xml:space="preserve">construction</t>
        </is>
      </c>
      <c r="G44" s="0" t="inlineStr">
        <is>
          <t xml:space="preserve">BC</t>
        </is>
      </c>
      <c r="H44" s="45">
        <v>1</v>
      </c>
      <c r="I44" s="45">
        <v>0</v>
      </c>
      <c r="J44" s="5">
        <v>6400.0</v>
      </c>
      <c r="K44" s="7">
        <v>0.69</v>
      </c>
      <c r="L44" s="7">
        <v>0.0</v>
      </c>
      <c r="M44" s="7">
        <v>0.31</v>
      </c>
      <c r="N44" s="7">
        <v>0.0</v>
      </c>
      <c r="O44" s="0" t="inlineStr">
        <is>
          <t xml:space="preserve">DDG FY23-27 MYP; POP per award bulletin, $ reconstructed from FPDS + trade press</t>
        </is>
      </c>
    </row>
    <row r="45" outlineLevel="2">
      <c r="B45" s="0" t="inlineStr">
        <is>
          <t xml:space="preserve">DDG-51</t>
        </is>
      </c>
      <c r="C45" s="0" t="inlineStr">
        <is>
          <t xml:space="preserve">(MYP master)</t>
        </is>
      </c>
      <c r="D45" s="0" t="inlineStr">
        <is>
          <t xml:space="preserve">N00024-23-C-2307</t>
        </is>
      </c>
      <c r="E45" s="0" t="inlineStr">
        <is>
          <t xml:space="preserve">Huntington Ingalls Industries</t>
        </is>
      </c>
      <c r="F45" s="0" t="inlineStr">
        <is>
          <t xml:space="preserve">construction</t>
        </is>
      </c>
      <c r="G45" s="0" t="inlineStr">
        <is>
          <t xml:space="preserve">BC</t>
        </is>
      </c>
      <c r="H45" s="45">
        <v>1</v>
      </c>
      <c r="I45" s="45">
        <v>0</v>
      </c>
      <c r="J45" s="5">
        <v>8180.0</v>
      </c>
      <c r="K45" s="7">
        <v>0.0</v>
      </c>
      <c r="L45" s="7">
        <v>0.77</v>
      </c>
      <c r="M45" s="7">
        <v>0.23</v>
      </c>
      <c r="N45" s="7">
        <v>0.0</v>
      </c>
      <c r="O45" s="0" t="inlineStr">
        <is>
          <t xml:space="preserve">DDG FY23-27 MYP; POP per award bulletin, $ reconstructed from FPDS + trade press</t>
        </is>
      </c>
    </row>
    <row r="46" outlineLevel="2">
      <c r="B46" s="0" t="inlineStr">
        <is>
          <t xml:space="preserve">DDG-51</t>
        </is>
      </c>
      <c r="C46" s="0" t="inlineStr">
        <is>
          <t xml:space="preserve">2026-04-22</t>
        </is>
      </c>
      <c r="D46" s="0" t="inlineStr">
        <is>
          <t xml:space="preserve">N00024-24-C-4212</t>
        </is>
      </c>
      <c r="E46" s="0" t="inlineStr">
        <is>
          <t xml:space="preserve">-</t>
        </is>
      </c>
      <c r="F46" s="0" t="inlineStr">
        <is>
          <t xml:space="preserve">construction</t>
        </is>
      </c>
      <c r="G46" s="0" t="inlineStr">
        <is>
          <t xml:space="preserve">BC</t>
        </is>
      </c>
      <c r="H46" s="45">
        <v>0</v>
      </c>
      <c r="I46" s="45">
        <v>0</v>
      </c>
      <c r="J46" s="5">
        <v>230.495111</v>
      </c>
      <c r="K46" s="7">
        <v>1.0</v>
      </c>
      <c r="L46" s="7">
        <v>0.0</v>
      </c>
      <c r="M46" s="7">
        <v>0.0</v>
      </c>
      <c r="N46" s="7">
        <v>0.0</v>
      </c>
      <c r="O46" s="0" t="inlineStr">
        <is>
          <t xml:space="preserve">https://www.globalsecurity.org/military/library/news/2026/04/dod-contracts_4467057.htm</t>
        </is>
      </c>
    </row>
    <row r="47" outlineLevel="2">
      <c r="B47" s="0" t="inlineStr">
        <is>
          <t xml:space="preserve">DDG-51</t>
        </is>
      </c>
      <c r="C47" s="0" t="inlineStr">
        <is>
          <t xml:space="preserve">2025-05-14</t>
        </is>
      </c>
      <c r="D47" s="0" t="inlineStr">
        <is>
          <t xml:space="preserve">N00024-24-C-4212</t>
        </is>
      </c>
      <c r="E47" s="0" t="inlineStr">
        <is>
          <t xml:space="preserve">-</t>
        </is>
      </c>
      <c r="F47" s="0" t="inlineStr">
        <is>
          <t xml:space="preserve">construction</t>
        </is>
      </c>
      <c r="G47" s="0" t="inlineStr">
        <is>
          <t xml:space="preserve">BC</t>
        </is>
      </c>
      <c r="H47" s="45">
        <v>0</v>
      </c>
      <c r="I47" s="45">
        <v>0</v>
      </c>
      <c r="J47" s="5">
        <v>216.493753</v>
      </c>
      <c r="K47" s="7">
        <v>1.0</v>
      </c>
      <c r="L47" s="7">
        <v>0.0</v>
      </c>
      <c r="M47" s="7">
        <v>0.0</v>
      </c>
      <c r="N47" s="7">
        <v>0.0</v>
      </c>
      <c r="O47" s="0" t="inlineStr">
        <is>
          <t xml:space="preserve">https://www.globalsecurity.org/military/library/news/2025/05/dod-contracts_4186522.htm</t>
        </is>
      </c>
    </row>
    <row r="48" outlineLevel="2">
      <c r="B48" s="0" t="inlineStr">
        <is>
          <t xml:space="preserve">DDG-51</t>
        </is>
      </c>
      <c r="C48" s="0" t="inlineStr">
        <is>
          <t xml:space="preserve">2024-06-14</t>
        </is>
      </c>
      <c r="D48" s="0" t="inlineStr">
        <is>
          <t xml:space="preserve">N00024-24-C-4212</t>
        </is>
      </c>
      <c r="E48" s="0" t="inlineStr">
        <is>
          <t xml:space="preserve">-</t>
        </is>
      </c>
      <c r="F48" s="0" t="inlineStr">
        <is>
          <t xml:space="preserve">construction</t>
        </is>
      </c>
      <c r="G48" s="0" t="inlineStr">
        <is>
          <t xml:space="preserve">BC</t>
        </is>
      </c>
      <c r="H48" s="45">
        <v>0</v>
      </c>
      <c r="I48" s="45">
        <v>0</v>
      </c>
      <c r="J48" s="5">
        <v>202.73309</v>
      </c>
      <c r="K48" s="7">
        <v>1.0</v>
      </c>
      <c r="L48" s="7">
        <v>0.0</v>
      </c>
      <c r="M48" s="7">
        <v>0.0</v>
      </c>
      <c r="N48" s="7">
        <v>0.0</v>
      </c>
      <c r="O48" s="0" t="inlineStr">
        <is>
          <t xml:space="preserve">https://www.defense.gov/News/Contracts/Contract/Article/3808062/  (via web.archive.org)</t>
        </is>
      </c>
    </row>
    <row r="49" outlineLevel="2">
      <c r="B49" s="0" t="inlineStr">
        <is>
          <t xml:space="preserve">DDG-51</t>
        </is>
      </c>
      <c r="C49" s="0" t="inlineStr">
        <is>
          <t xml:space="preserve">2023-09-06</t>
        </is>
      </c>
      <c r="D49" s="0" t="inlineStr">
        <is>
          <t xml:space="preserve">N00024-23-C-2305</t>
        </is>
      </c>
      <c r="E49" s="0" t="inlineStr">
        <is>
          <t xml:space="preserve">-</t>
        </is>
      </c>
      <c r="F49" s="0" t="inlineStr">
        <is>
          <t xml:space="preserve">construction</t>
        </is>
      </c>
      <c r="G49" s="0" t="inlineStr">
        <is>
          <t xml:space="preserve">BC</t>
        </is>
      </c>
      <c r="H49" s="45">
        <v>0</v>
      </c>
      <c r="I49" s="45">
        <v>0</v>
      </c>
      <c r="J49" s="5">
        <v>61.08845</v>
      </c>
      <c r="K49" s="7">
        <v>0.0</v>
      </c>
      <c r="L49" s="7">
        <v>0.0</v>
      </c>
      <c r="M49" s="7">
        <v>0.0</v>
      </c>
      <c r="N49" s="7">
        <v>0.0</v>
      </c>
      <c r="O49" s="0" t="inlineStr">
        <is>
          <t xml:space="preserve">https://www.defense.gov/News/Contracts/Contract/Article/3517358/  (via web.archive.org)</t>
        </is>
      </c>
    </row>
    <row r="50" outlineLevel="2">
      <c r="B50" s="0" t="inlineStr">
        <is>
          <t xml:space="preserve">DDG-51</t>
        </is>
      </c>
      <c r="C50" s="0" t="inlineStr">
        <is>
          <t xml:space="preserve">2023-11-17</t>
        </is>
      </c>
      <c r="D50" s="0" t="inlineStr">
        <is>
          <t xml:space="preserve">N00024-24-C-2313</t>
        </is>
      </c>
      <c r="E50" s="0" t="inlineStr">
        <is>
          <t xml:space="preserve">-</t>
        </is>
      </c>
      <c r="F50" s="0" t="inlineStr">
        <is>
          <t xml:space="preserve">construction</t>
        </is>
      </c>
      <c r="G50" s="0" t="inlineStr">
        <is>
          <t xml:space="preserve">BC</t>
        </is>
      </c>
      <c r="H50" s="45">
        <v>0</v>
      </c>
      <c r="I50" s="45">
        <v>0</v>
      </c>
      <c r="J50" s="5">
        <v>58.891505</v>
      </c>
      <c r="K50" s="7">
        <v>0.99</v>
      </c>
      <c r="L50" s="7">
        <v>0.0</v>
      </c>
      <c r="M50" s="7">
        <v>0.0</v>
      </c>
      <c r="N50" s="7">
        <v>0.0</v>
      </c>
      <c r="O50" s="0" t="inlineStr">
        <is>
          <t xml:space="preserve">https://www.defense.gov/News/Contracts/Contract/Article/3593062/  (via web.archive.org)</t>
        </is>
      </c>
    </row>
    <row r="51" outlineLevel="2">
      <c r="B51" s="0" t="inlineStr">
        <is>
          <t xml:space="preserve">DDG-51</t>
        </is>
      </c>
      <c r="C51" s="0" t="inlineStr">
        <is>
          <t xml:space="preserve">2024-03-21</t>
        </is>
      </c>
      <c r="D51" s="0" t="inlineStr">
        <is>
          <t xml:space="preserve">N00024-19-C-4452</t>
        </is>
      </c>
      <c r="E51" s="0" t="inlineStr">
        <is>
          <t xml:space="preserve">General Dynamics Bath Iron Works</t>
        </is>
      </c>
      <c r="F51" s="0" t="inlineStr">
        <is>
          <t xml:space="preserve">construction</t>
        </is>
      </c>
      <c r="G51" s="0" t="inlineStr">
        <is>
          <t xml:space="preserve">BC</t>
        </is>
      </c>
      <c r="H51" s="45">
        <v>0</v>
      </c>
      <c r="I51" s="45">
        <v>0</v>
      </c>
      <c r="J51" s="5">
        <v>44.492212</v>
      </c>
      <c r="K51" s="7">
        <v>1.0</v>
      </c>
      <c r="L51" s="7">
        <v>0.0</v>
      </c>
      <c r="M51" s="7">
        <v>0.0</v>
      </c>
      <c r="N51" s="7">
        <v>0.0</v>
      </c>
      <c r="O51" s="0" t="inlineStr">
        <is>
          <t xml:space="preserve">https://www.defense.gov/News/Contracts/Contract/Article/3714389/  (via web.archive.org)</t>
        </is>
      </c>
    </row>
    <row r="52" outlineLevel="2">
      <c r="B52" s="0" t="inlineStr">
        <is>
          <t xml:space="preserve">DDG-51</t>
        </is>
      </c>
      <c r="C52" s="0" t="inlineStr">
        <is>
          <t xml:space="preserve">2025-12-05</t>
        </is>
      </c>
      <c r="D52" s="0" t="inlineStr">
        <is>
          <t xml:space="preserve">N00024-24-C-2312</t>
        </is>
      </c>
      <c r="E52" s="0" t="inlineStr">
        <is>
          <t xml:space="preserve">Huntington Ingalls Inc.</t>
        </is>
      </c>
      <c r="F52" s="0" t="inlineStr">
        <is>
          <t xml:space="preserve">construction</t>
        </is>
      </c>
      <c r="G52" s="0" t="inlineStr">
        <is>
          <t xml:space="preserve">BC</t>
        </is>
      </c>
      <c r="H52" s="45">
        <v>0</v>
      </c>
      <c r="I52" s="45">
        <v>0</v>
      </c>
      <c r="J52" s="5">
        <v>36.38761</v>
      </c>
      <c r="K52" s="7">
        <v>0.0</v>
      </c>
      <c r="L52" s="7">
        <v>0.98</v>
      </c>
      <c r="M52" s="7">
        <v>0.0</v>
      </c>
      <c r="N52" s="7">
        <v>0.0</v>
      </c>
      <c r="O52" s="0" t="inlineStr">
        <is>
          <t xml:space="preserve">https://www.globalsecurity.org/military/library/news/2025/12/dod-contracts_4351194.htm</t>
        </is>
      </c>
    </row>
    <row r="53" outlineLevel="2">
      <c r="B53" s="0" t="inlineStr">
        <is>
          <t xml:space="preserve">DDG-51</t>
        </is>
      </c>
      <c r="C53" s="0" t="inlineStr">
        <is>
          <t xml:space="preserve">2023-11-17</t>
        </is>
      </c>
      <c r="D53" s="0" t="inlineStr">
        <is>
          <t xml:space="preserve">N00024-24-C-2312</t>
        </is>
      </c>
      <c r="E53" s="0" t="inlineStr">
        <is>
          <t xml:space="preserve">Huntington Ingalls Inc.</t>
        </is>
      </c>
      <c r="F53" s="0" t="inlineStr">
        <is>
          <t xml:space="preserve">construction</t>
        </is>
      </c>
      <c r="G53" s="0" t="inlineStr">
        <is>
          <t xml:space="preserve">BC</t>
        </is>
      </c>
      <c r="H53" s="45">
        <v>0</v>
      </c>
      <c r="I53" s="45">
        <v>0</v>
      </c>
      <c r="J53" s="5">
        <v>25.781609</v>
      </c>
      <c r="K53" s="7">
        <v>0.0</v>
      </c>
      <c r="L53" s="7">
        <v>0.98</v>
      </c>
      <c r="M53" s="7">
        <v>0.0</v>
      </c>
      <c r="N53" s="7">
        <v>0.0</v>
      </c>
      <c r="O53" s="0" t="inlineStr">
        <is>
          <t xml:space="preserve">https://www.defense.gov/News/Contracts/Contract/Article/3593062/  (via web.archive.org)</t>
        </is>
      </c>
    </row>
    <row r="54" outlineLevel="2">
      <c r="B54" s="0" t="inlineStr">
        <is>
          <t xml:space="preserve">DDG-51</t>
        </is>
      </c>
      <c r="C54" s="0" t="inlineStr">
        <is>
          <t xml:space="preserve">2024-05-13</t>
        </is>
      </c>
      <c r="D54" s="0" t="inlineStr">
        <is>
          <t xml:space="preserve">N00024-17-C-4109</t>
        </is>
      </c>
      <c r="E54" s="0" t="inlineStr">
        <is>
          <t xml:space="preserve">DRS Laurel Technologies</t>
        </is>
      </c>
      <c r="F54" s="0" t="inlineStr">
        <is>
          <t xml:space="preserve">construction</t>
        </is>
      </c>
      <c r="G54" s="0" t="inlineStr">
        <is>
          <t xml:space="preserve">BC</t>
        </is>
      </c>
      <c r="H54" s="45">
        <v>0</v>
      </c>
      <c r="I54" s="45">
        <v>0</v>
      </c>
      <c r="J54" s="5">
        <v>23.802296</v>
      </c>
      <c r="K54" s="7">
        <v>0.0</v>
      </c>
      <c r="L54" s="7">
        <v>0.0</v>
      </c>
      <c r="M54" s="7">
        <v>1.0</v>
      </c>
      <c r="N54" s="7">
        <v>0.0</v>
      </c>
      <c r="O54" s="0" t="inlineStr">
        <is>
          <t xml:space="preserve">https://www.defense.gov/News/Contracts/Contract/Article/3773612/  (via web.archive.org)</t>
        </is>
      </c>
    </row>
    <row r="55" outlineLevel="2">
      <c r="B55" s="0" t="inlineStr">
        <is>
          <t xml:space="preserve">DDG-51</t>
        </is>
      </c>
      <c r="C55" s="0" t="inlineStr">
        <is>
          <t xml:space="preserve">2024-09-03</t>
        </is>
      </c>
      <c r="D55" s="0" t="inlineStr">
        <is>
          <t xml:space="preserve">N00024-24-C-2321</t>
        </is>
      </c>
      <c r="E55" s="0" t="inlineStr">
        <is>
          <t xml:space="preserve">BAE Systems Jacksonville Ship Repair LLC</t>
        </is>
      </c>
      <c r="F55" s="0" t="inlineStr">
        <is>
          <t xml:space="preserve">construction</t>
        </is>
      </c>
      <c r="G55" s="0" t="inlineStr">
        <is>
          <t xml:space="preserve">BC</t>
        </is>
      </c>
      <c r="H55" s="45">
        <v>0</v>
      </c>
      <c r="I55" s="45">
        <v>0</v>
      </c>
      <c r="J55" s="5">
        <v>13.820527</v>
      </c>
      <c r="K55" s="7">
        <v>0.0</v>
      </c>
      <c r="L55" s="7">
        <v>0.0</v>
      </c>
      <c r="M55" s="7">
        <v>1.0</v>
      </c>
      <c r="N55" s="7">
        <v>0.0</v>
      </c>
      <c r="O55" s="0" t="inlineStr">
        <is>
          <t xml:space="preserve">https://www.defense.gov/News/Contracts/Contract/Article/3893110/  (via web.archive.org)</t>
        </is>
      </c>
    </row>
    <row r="56" outlineLevel="2">
      <c r="B56" s="0" t="inlineStr">
        <is>
          <t xml:space="preserve">DDG-51</t>
        </is>
      </c>
      <c r="C56" s="0" t="inlineStr">
        <is>
          <t xml:space="preserve">2025-02-26</t>
        </is>
      </c>
      <c r="D56" s="0" t="inlineStr">
        <is>
          <t xml:space="preserve">-</t>
        </is>
      </c>
      <c r="E56" s="0" t="inlineStr">
        <is>
          <t xml:space="preserve">-</t>
        </is>
      </c>
      <c r="F56" s="0" t="inlineStr">
        <is>
          <t xml:space="preserve">construction</t>
        </is>
      </c>
      <c r="G56" s="0" t="inlineStr">
        <is>
          <t xml:space="preserve">BC</t>
        </is>
      </c>
      <c r="H56" s="45">
        <v>0</v>
      </c>
      <c r="I56" s="45">
        <v>0</v>
      </c>
      <c r="J56" s="5">
        <v>13.06478</v>
      </c>
      <c r="K56" s="7">
        <v>0.0</v>
      </c>
      <c r="L56" s="7">
        <v>0.0</v>
      </c>
      <c r="M56" s="7">
        <v>0.0</v>
      </c>
      <c r="N56" s="7">
        <v>0.0</v>
      </c>
      <c r="O56" s="0" t="inlineStr">
        <is>
          <t xml:space="preserve">https://www.globalsecurity.org/military/library/news/2025/02/dod-contracts_4078369.htm</t>
        </is>
      </c>
    </row>
    <row r="57" outlineLevel="2">
      <c r="B57" s="0" t="inlineStr">
        <is>
          <t xml:space="preserve">DDG-51</t>
        </is>
      </c>
      <c r="C57" s="0" t="inlineStr">
        <is>
          <t xml:space="preserve">2026-05-20</t>
        </is>
      </c>
      <c r="D57" s="0" t="inlineStr">
        <is>
          <t xml:space="preserve">-</t>
        </is>
      </c>
      <c r="E57" s="0" t="inlineStr">
        <is>
          <t xml:space="preserve">Huntington-Ingalls Industries - Ingalls Shipbuilding</t>
        </is>
      </c>
      <c r="F57" s="0" t="inlineStr">
        <is>
          <t xml:space="preserve">construction</t>
        </is>
      </c>
      <c r="G57" s="0" t="inlineStr">
        <is>
          <t xml:space="preserve">BC</t>
        </is>
      </c>
      <c r="H57" s="45">
        <v>0</v>
      </c>
      <c r="I57" s="45">
        <v>0</v>
      </c>
      <c r="J57" s="5">
        <v>12.475983</v>
      </c>
      <c r="K57" s="7">
        <v>0.0</v>
      </c>
      <c r="L57" s="7">
        <v>0.0</v>
      </c>
      <c r="M57" s="7">
        <v>0.0</v>
      </c>
      <c r="N57" s="7">
        <v>0.0</v>
      </c>
      <c r="O57" s="0" t="inlineStr">
        <is>
          <t xml:space="preserve">https://www.globalsecurity.org/military/library/news/2026/05/dod-contracts_4496900.htm</t>
        </is>
      </c>
    </row>
    <row r="58" outlineLevel="2">
      <c r="B58" s="0" t="inlineStr">
        <is>
          <t xml:space="preserve">DDG-51</t>
        </is>
      </c>
      <c r="C58" s="0" t="inlineStr">
        <is>
          <t xml:space="preserve">2025-07-31</t>
        </is>
      </c>
      <c r="D58" s="0" t="inlineStr">
        <is>
          <t xml:space="preserve">N00024-17-C-4109</t>
        </is>
      </c>
      <c r="E58" s="0" t="inlineStr">
        <is>
          <t xml:space="preserve">DRS Laurel Technologies Inc.</t>
        </is>
      </c>
      <c r="F58" s="0" t="inlineStr">
        <is>
          <t xml:space="preserve">construction</t>
        </is>
      </c>
      <c r="G58" s="0" t="inlineStr">
        <is>
          <t xml:space="preserve">BC</t>
        </is>
      </c>
      <c r="H58" s="45">
        <v>0</v>
      </c>
      <c r="I58" s="45">
        <v>0</v>
      </c>
      <c r="J58" s="5">
        <v>11.526652</v>
      </c>
      <c r="K58" s="7">
        <v>0.0</v>
      </c>
      <c r="L58" s="7">
        <v>0.0</v>
      </c>
      <c r="M58" s="7">
        <v>1.0</v>
      </c>
      <c r="N58" s="7">
        <v>0.0</v>
      </c>
      <c r="O58" s="0" t="inlineStr">
        <is>
          <t xml:space="preserve">https://www.globalsecurity.org/military/library/news/2025/07/dod-contracts_4261297.htm</t>
        </is>
      </c>
    </row>
    <row r="59" outlineLevel="2">
      <c r="B59" s="0" t="inlineStr">
        <is>
          <t xml:space="preserve">DDG-51</t>
        </is>
      </c>
      <c r="C59" s="0" t="inlineStr">
        <is>
          <t xml:space="preserve">2022-09-22</t>
        </is>
      </c>
      <c r="D59" s="0" t="inlineStr">
        <is>
          <t xml:space="preserve">-</t>
        </is>
      </c>
      <c r="E59" s="0" t="inlineStr">
        <is>
          <t xml:space="preserve">-</t>
        </is>
      </c>
      <c r="F59" s="0" t="inlineStr">
        <is>
          <t xml:space="preserve">construction</t>
        </is>
      </c>
      <c r="G59" s="0" t="inlineStr">
        <is>
          <t xml:space="preserve">BC</t>
        </is>
      </c>
      <c r="H59" s="45">
        <v>0</v>
      </c>
      <c r="I59" s="45">
        <v>0</v>
      </c>
      <c r="J59" s="5">
        <v>10.214192</v>
      </c>
      <c r="K59" s="7">
        <v>0.3</v>
      </c>
      <c r="L59" s="7">
        <v>0.0</v>
      </c>
      <c r="M59" s="7">
        <v>0.7</v>
      </c>
      <c r="N59" s="7">
        <v>0.0</v>
      </c>
      <c r="O59" s="0" t="inlineStr">
        <is>
          <t xml:space="preserve">https://www.defense.gov/News/Contracts/Contract/Article/3168041/  (via web.archive.org)</t>
        </is>
      </c>
    </row>
    <row r="60" outlineLevel="2">
      <c r="B60" s="0" t="inlineStr">
        <is>
          <t xml:space="preserve">DDG-51</t>
        </is>
      </c>
      <c r="C60" s="0" t="inlineStr">
        <is>
          <t xml:space="preserve">2022-12-21</t>
        </is>
      </c>
      <c r="D60" s="0" t="inlineStr">
        <is>
          <t xml:space="preserve">N69316-23-F-6000</t>
        </is>
      </c>
      <c r="E60" s="0" t="inlineStr">
        <is>
          <t xml:space="preserve">Huntington-Ingalls Industries - Ingalls Shipbuilding</t>
        </is>
      </c>
      <c r="F60" s="0" t="inlineStr">
        <is>
          <t xml:space="preserve">construction</t>
        </is>
      </c>
      <c r="G60" s="0" t="inlineStr">
        <is>
          <t xml:space="preserve">BC</t>
        </is>
      </c>
      <c r="H60" s="45">
        <v>0</v>
      </c>
      <c r="I60" s="45">
        <v>0</v>
      </c>
      <c r="J60" s="5">
        <v>10.132041</v>
      </c>
      <c r="K60" s="7">
        <v>0.0</v>
      </c>
      <c r="L60" s="7">
        <v>0.7</v>
      </c>
      <c r="M60" s="7">
        <v>0.3</v>
      </c>
      <c r="N60" s="7">
        <v>0.0</v>
      </c>
      <c r="O60" s="0" t="inlineStr">
        <is>
          <t xml:space="preserve">https://www.defense.gov/News/Contracts/Contract/Article/3253110/  (via web.archive.org)</t>
        </is>
      </c>
    </row>
    <row r="61" outlineLevel="2">
      <c r="B61" s="0" t="inlineStr">
        <is>
          <t xml:space="preserve">DDG-51</t>
        </is>
      </c>
      <c r="C61" s="0" t="inlineStr">
        <is>
          <t xml:space="preserve">2023-03-20</t>
        </is>
      </c>
      <c r="D61" s="0" t="inlineStr">
        <is>
          <t xml:space="preserve">N00024-13-C-2305</t>
        </is>
      </c>
      <c r="E61" s="0" t="inlineStr">
        <is>
          <t xml:space="preserve">Bath Iron Works</t>
        </is>
      </c>
      <c r="F61" s="0" t="inlineStr">
        <is>
          <t xml:space="preserve">construction</t>
        </is>
      </c>
      <c r="G61" s="0" t="inlineStr">
        <is>
          <t xml:space="preserve">BC</t>
        </is>
      </c>
      <c r="H61" s="45">
        <v>0</v>
      </c>
      <c r="I61" s="45">
        <v>0</v>
      </c>
      <c r="J61" s="5">
        <v>9.609633</v>
      </c>
      <c r="K61" s="7">
        <v>0.99</v>
      </c>
      <c r="L61" s="7">
        <v>0.0</v>
      </c>
      <c r="M61" s="7">
        <v>0.0</v>
      </c>
      <c r="N61" s="7">
        <v>0.0</v>
      </c>
      <c r="O61" s="0" t="inlineStr">
        <is>
          <t xml:space="preserve">https://www.defense.gov/News/Contracts/Contract/Article/3335127/  (via web.archive.org)</t>
        </is>
      </c>
    </row>
    <row r="62" outlineLevel="2">
      <c r="B62" s="0" t="inlineStr">
        <is>
          <t xml:space="preserve">DDG-51</t>
        </is>
      </c>
      <c r="C62" s="0" t="inlineStr">
        <is>
          <t xml:space="preserve">2025-01-29</t>
        </is>
      </c>
      <c r="D62" s="0" t="inlineStr">
        <is>
          <t xml:space="preserve">-</t>
        </is>
      </c>
      <c r="E62" s="0" t="inlineStr">
        <is>
          <t xml:space="preserve">-</t>
        </is>
      </c>
      <c r="F62" s="0" t="inlineStr">
        <is>
          <t xml:space="preserve">construction</t>
        </is>
      </c>
      <c r="G62" s="0" t="inlineStr">
        <is>
          <t xml:space="preserve">BC</t>
        </is>
      </c>
      <c r="H62" s="45">
        <v>0</v>
      </c>
      <c r="I62" s="45">
        <v>0</v>
      </c>
      <c r="J62" s="5">
        <v>9.165174</v>
      </c>
      <c r="K62" s="7">
        <v>0.3</v>
      </c>
      <c r="L62" s="7">
        <v>0.0</v>
      </c>
      <c r="M62" s="7">
        <v>0.7</v>
      </c>
      <c r="N62" s="7">
        <v>0.0</v>
      </c>
      <c r="O62" s="0" t="inlineStr">
        <is>
          <t xml:space="preserve">https://www.globalsecurity.org/military/library/news/2025/01/dod-contracts_4047048.htm</t>
        </is>
      </c>
    </row>
    <row r="63" outlineLevel="2">
      <c r="B63" s="0" t="inlineStr">
        <is>
          <t xml:space="preserve">DDG-51</t>
        </is>
      </c>
      <c r="C63" s="0" t="inlineStr">
        <is>
          <t xml:space="preserve">2024-03-26</t>
        </is>
      </c>
      <c r="D63" s="0" t="inlineStr">
        <is>
          <t xml:space="preserve">N00024-19-C-2322</t>
        </is>
      </c>
      <c r="E63" s="0" t="inlineStr">
        <is>
          <t xml:space="preserve">General Dynamics Bath Iron Works</t>
        </is>
      </c>
      <c r="F63" s="0" t="inlineStr">
        <is>
          <t xml:space="preserve">construction</t>
        </is>
      </c>
      <c r="G63" s="0" t="inlineStr">
        <is>
          <t xml:space="preserve">BC</t>
        </is>
      </c>
      <c r="H63" s="45">
        <v>0</v>
      </c>
      <c r="I63" s="45">
        <v>0</v>
      </c>
      <c r="J63" s="5">
        <v>8.037986</v>
      </c>
      <c r="K63" s="7">
        <v>0.0</v>
      </c>
      <c r="L63" s="7">
        <v>0.0</v>
      </c>
      <c r="M63" s="7">
        <v>0.64</v>
      </c>
      <c r="N63" s="7">
        <v>0.0</v>
      </c>
      <c r="O63" s="0" t="inlineStr">
        <is>
          <t xml:space="preserve">https://www.defense.gov/News/Contracts/Contract/Article/3719093/  (via web.archive.org)</t>
        </is>
      </c>
    </row>
    <row r="64" outlineLevel="2">
      <c r="B64" s="0" t="inlineStr">
        <is>
          <t xml:space="preserve">DDG-51</t>
        </is>
      </c>
      <c r="C64" s="0" t="inlineStr">
        <is>
          <t xml:space="preserve">2022-12-02</t>
        </is>
      </c>
      <c r="D64" s="0" t="inlineStr">
        <is>
          <t xml:space="preserve">-</t>
        </is>
      </c>
      <c r="E64" s="0" t="inlineStr">
        <is>
          <t xml:space="preserve">-</t>
        </is>
      </c>
      <c r="F64" s="0" t="inlineStr">
        <is>
          <t xml:space="preserve">construction</t>
        </is>
      </c>
      <c r="G64" s="0" t="inlineStr">
        <is>
          <t xml:space="preserve">BC</t>
        </is>
      </c>
      <c r="H64" s="45">
        <v>0</v>
      </c>
      <c r="I64" s="45">
        <v>0</v>
      </c>
      <c r="J64" s="5">
        <v>8.000905</v>
      </c>
      <c r="K64" s="7">
        <v>0.0</v>
      </c>
      <c r="L64" s="7">
        <v>0.0</v>
      </c>
      <c r="M64" s="7">
        <v>1.0</v>
      </c>
      <c r="N64" s="7">
        <v>0.0</v>
      </c>
      <c r="O64" s="0" t="inlineStr">
        <is>
          <t xml:space="preserve">https://www.defense.gov/News/Contracts/Contract/Article/3235034/  (via web.archive.org)</t>
        </is>
      </c>
    </row>
    <row r="65" outlineLevel="2">
      <c r="B65" s="0" t="inlineStr">
        <is>
          <t xml:space="preserve">DDG-51</t>
        </is>
      </c>
      <c r="C65" s="0" t="inlineStr">
        <is>
          <t xml:space="preserve">2024-08-27</t>
        </is>
      </c>
      <c r="D65" s="0" t="inlineStr">
        <is>
          <t xml:space="preserve">N00024-13-C-2305</t>
        </is>
      </c>
      <c r="E65" s="0" t="inlineStr">
        <is>
          <t xml:space="preserve">Bath Iron Works</t>
        </is>
      </c>
      <c r="F65" s="0" t="inlineStr">
        <is>
          <t xml:space="preserve">construction</t>
        </is>
      </c>
      <c r="G65" s="0" t="inlineStr">
        <is>
          <t xml:space="preserve">BC</t>
        </is>
      </c>
      <c r="H65" s="45">
        <v>0</v>
      </c>
      <c r="I65" s="45">
        <v>0</v>
      </c>
      <c r="J65" s="5">
        <v>7.802168</v>
      </c>
      <c r="K65" s="7">
        <v>0.99</v>
      </c>
      <c r="L65" s="7">
        <v>0.0</v>
      </c>
      <c r="M65" s="7">
        <v>0.0</v>
      </c>
      <c r="N65" s="7">
        <v>0.0</v>
      </c>
      <c r="O65" s="0" t="inlineStr">
        <is>
          <t xml:space="preserve">https://www.defense.gov/News/Contracts/Contract/Article/3886803/  (via web.archive.org)</t>
        </is>
      </c>
    </row>
    <row r="66" outlineLevel="2">
      <c r="B66" s="0" t="inlineStr">
        <is>
          <t xml:space="preserve">DDG-51</t>
        </is>
      </c>
      <c r="C66" s="0" t="inlineStr">
        <is>
          <t xml:space="preserve">2025-02-20</t>
        </is>
      </c>
      <c r="D66" s="0" t="inlineStr">
        <is>
          <t xml:space="preserve">N00024-22-C-2319</t>
        </is>
      </c>
      <c r="E66" s="0" t="inlineStr">
        <is>
          <t xml:space="preserve">-</t>
        </is>
      </c>
      <c r="F66" s="0" t="inlineStr">
        <is>
          <t xml:space="preserve">construction</t>
        </is>
      </c>
      <c r="G66" s="0" t="inlineStr">
        <is>
          <t xml:space="preserve">BC</t>
        </is>
      </c>
      <c r="H66" s="45">
        <v>0</v>
      </c>
      <c r="I66" s="45">
        <v>0</v>
      </c>
      <c r="J66" s="5">
        <v>0.0</v>
      </c>
      <c r="K66" s="7">
        <v>0.0</v>
      </c>
      <c r="L66" s="7">
        <v>1.0</v>
      </c>
      <c r="M66" s="7">
        <v>0.0</v>
      </c>
      <c r="N66" s="7">
        <v>0.0</v>
      </c>
      <c r="O66" s="0" t="inlineStr">
        <is>
          <t xml:space="preserve">https://www.globalsecurity.org/military/library/news/2025/02/dod-contracts_4072252.htm</t>
        </is>
      </c>
    </row>
    <row r="67" outlineLevel="2">
      <c r="B67" s="0" t="inlineStr">
        <is>
          <t xml:space="preserve">DDG-51</t>
        </is>
      </c>
      <c r="C67" s="0" t="inlineStr">
        <is>
          <t xml:space="preserve">2025-02-21</t>
        </is>
      </c>
      <c r="D67" s="0" t="inlineStr">
        <is>
          <t xml:space="preserve">N00024-22-C-2319</t>
        </is>
      </c>
      <c r="E67" s="0" t="inlineStr">
        <is>
          <t xml:space="preserve">-</t>
        </is>
      </c>
      <c r="F67" s="0" t="inlineStr">
        <is>
          <t xml:space="preserve">construction</t>
        </is>
      </c>
      <c r="G67" s="0" t="inlineStr">
        <is>
          <t xml:space="preserve">BC</t>
        </is>
      </c>
      <c r="H67" s="45">
        <v>0</v>
      </c>
      <c r="I67" s="45">
        <v>0</v>
      </c>
      <c r="J67" s="5">
        <v>0.0</v>
      </c>
      <c r="K67" s="7">
        <v>0.0</v>
      </c>
      <c r="L67" s="7">
        <v>1.0</v>
      </c>
      <c r="M67" s="7">
        <v>0.0</v>
      </c>
      <c r="N67" s="7">
        <v>0.0</v>
      </c>
      <c r="O67" s="0" t="inlineStr">
        <is>
          <t xml:space="preserve">https://www.globalsecurity.org/military/library/news/2025/02/dod-contracts_4073782.htm</t>
        </is>
      </c>
    </row>
    <row r="68" outlineLevel="2">
      <c r="B68" s="0" t="inlineStr">
        <is>
          <t xml:space="preserve">DDG-51</t>
        </is>
      </c>
      <c r="C68" s="0" t="inlineStr">
        <is>
          <t xml:space="preserve">2025-05-16</t>
        </is>
      </c>
      <c r="D68" s="0" t="inlineStr">
        <is>
          <t xml:space="preserve">N00024-23-C-2305</t>
        </is>
      </c>
      <c r="E68" s="0" t="inlineStr">
        <is>
          <t xml:space="preserve">-</t>
        </is>
      </c>
      <c r="F68" s="0" t="inlineStr">
        <is>
          <t xml:space="preserve">construction</t>
        </is>
      </c>
      <c r="G68" s="0" t="inlineStr">
        <is>
          <t xml:space="preserve">BC</t>
        </is>
      </c>
      <c r="H68" s="45">
        <v>0</v>
      </c>
      <c r="I68" s="45">
        <v>0</v>
      </c>
      <c r="J68" s="5">
        <v>0.0</v>
      </c>
      <c r="K68" s="7">
        <v>1.0</v>
      </c>
      <c r="L68" s="7">
        <v>0.0</v>
      </c>
      <c r="M68" s="7">
        <v>0.0</v>
      </c>
      <c r="N68" s="7">
        <v>0.0</v>
      </c>
      <c r="O68" s="0" t="inlineStr">
        <is>
          <t xml:space="preserve">https://www.globalsecurity.org/military/library/news/2025/05/dod-contracts_4189244.htm</t>
        </is>
      </c>
    </row>
    <row r="69" outlineLevel="2">
      <c r="B69" s="0" t="inlineStr">
        <is>
          <t xml:space="preserve">DDG-51</t>
        </is>
      </c>
      <c r="C69" s="0" t="inlineStr">
        <is>
          <t xml:space="preserve">2025-07-17</t>
        </is>
      </c>
      <c r="D69" s="0" t="inlineStr">
        <is>
          <t xml:space="preserve">N00024-22-C-2318</t>
        </is>
      </c>
      <c r="E69" s="0" t="inlineStr">
        <is>
          <t xml:space="preserve">-</t>
        </is>
      </c>
      <c r="F69" s="0" t="inlineStr">
        <is>
          <t xml:space="preserve">construction</t>
        </is>
      </c>
      <c r="G69" s="0" t="inlineStr">
        <is>
          <t xml:space="preserve">BC</t>
        </is>
      </c>
      <c r="H69" s="45">
        <v>0</v>
      </c>
      <c r="I69" s="45">
        <v>0</v>
      </c>
      <c r="J69" s="5">
        <v>0.0</v>
      </c>
      <c r="K69" s="7">
        <v>0.99</v>
      </c>
      <c r="L69" s="7">
        <v>0.84</v>
      </c>
      <c r="M69" s="7">
        <v>0.17</v>
      </c>
      <c r="N69" s="7">
        <v>0.0</v>
      </c>
      <c r="O69" s="0" t="inlineStr">
        <is>
          <t xml:space="preserve">https://www.globalsecurity.org/military/library/news/2025/07/dod-contracts_4248652.htm</t>
        </is>
      </c>
    </row>
    <row r="70" outlineLevel="2">
      <c r="B70" s="0" t="inlineStr">
        <is>
          <t xml:space="preserve">DDG-51</t>
        </is>
      </c>
      <c r="C70" s="0" t="inlineStr">
        <is>
          <t xml:space="preserve">2025-07-31</t>
        </is>
      </c>
      <c r="D70" s="0" t="inlineStr">
        <is>
          <t xml:space="preserve">N00024-23-C-2305</t>
        </is>
      </c>
      <c r="E70" s="0" t="inlineStr">
        <is>
          <t xml:space="preserve">-</t>
        </is>
      </c>
      <c r="F70" s="0" t="inlineStr">
        <is>
          <t xml:space="preserve">construction</t>
        </is>
      </c>
      <c r="G70" s="0" t="inlineStr">
        <is>
          <t xml:space="preserve">BC</t>
        </is>
      </c>
      <c r="H70" s="45">
        <v>0</v>
      </c>
      <c r="I70" s="45">
        <v>0</v>
      </c>
      <c r="J70" s="5">
        <v>0.0</v>
      </c>
      <c r="K70" s="7">
        <v>0.69</v>
      </c>
      <c r="L70" s="7">
        <v>0.0</v>
      </c>
      <c r="M70" s="7">
        <v>0.12</v>
      </c>
      <c r="N70" s="7">
        <v>0.0</v>
      </c>
      <c r="O70" s="0" t="inlineStr">
        <is>
          <t xml:space="preserve">https://www.globalsecurity.org/military/library/news/2025/07/dod-contracts_4261297.htm</t>
        </is>
      </c>
    </row>
    <row r="71" outlineLevel="2">
      <c r="B71" s="0" t="inlineStr">
        <is>
          <t xml:space="preserve">DDG-51</t>
        </is>
      </c>
      <c r="C71" s="0" t="inlineStr">
        <is>
          <t xml:space="preserve">2023-08-01</t>
        </is>
      </c>
      <c r="D71" s="0" t="inlineStr">
        <is>
          <t xml:space="preserve">N00024-23-C-2305</t>
        </is>
      </c>
      <c r="E71" s="0" t="inlineStr">
        <is>
          <t xml:space="preserve">Bath Iron Works</t>
        </is>
      </c>
      <c r="F71" s="0" t="inlineStr">
        <is>
          <t xml:space="preserve">construction</t>
        </is>
      </c>
      <c r="G71" s="0" t="inlineStr">
        <is>
          <t xml:space="preserve">BC</t>
        </is>
      </c>
      <c r="H71" s="45">
        <v>0</v>
      </c>
      <c r="I71" s="45">
        <v>0</v>
      </c>
      <c r="J71" s="5">
        <v>0.0</v>
      </c>
      <c r="K71" s="7">
        <v>0.69</v>
      </c>
      <c r="L71" s="7">
        <v>0.0</v>
      </c>
      <c r="M71" s="7">
        <v>0.1</v>
      </c>
      <c r="N71" s="7">
        <v>0.0</v>
      </c>
      <c r="O71" s="0" t="inlineStr">
        <is>
          <t xml:space="preserve">https://www.defense.gov/News/Contracts/Contract/Article/3479250/  (via web.archive.org)</t>
        </is>
      </c>
    </row>
    <row r="72" outlineLevel="2">
      <c r="B72" s="0" t="inlineStr">
        <is>
          <t xml:space="preserve">DDG-51</t>
        </is>
      </c>
      <c r="C72" s="0" t="inlineStr">
        <is>
          <t xml:space="preserve">2023-08-01</t>
        </is>
      </c>
      <c r="D72" s="0" t="inlineStr">
        <is>
          <t xml:space="preserve">N00024-23-C-2307</t>
        </is>
      </c>
      <c r="E72" s="0" t="inlineStr">
        <is>
          <t xml:space="preserve">-</t>
        </is>
      </c>
      <c r="F72" s="0" t="inlineStr">
        <is>
          <t xml:space="preserve">construction</t>
        </is>
      </c>
      <c r="G72" s="0" t="inlineStr">
        <is>
          <t xml:space="preserve">BC</t>
        </is>
      </c>
      <c r="H72" s="45">
        <v>0</v>
      </c>
      <c r="I72" s="45">
        <v>0</v>
      </c>
      <c r="J72" s="5">
        <v>0.0</v>
      </c>
      <c r="K72" s="7">
        <v>0.0</v>
      </c>
      <c r="L72" s="7">
        <v>0.77</v>
      </c>
      <c r="M72" s="7">
        <v>0.0</v>
      </c>
      <c r="N72" s="7">
        <v>0.0</v>
      </c>
      <c r="O72" s="0" t="inlineStr">
        <is>
          <t xml:space="preserve">https://www.defense.gov/News/Contracts/Contract/Article/3479250/  (via web.archive.org)</t>
        </is>
      </c>
    </row>
    <row r="73" outlineLevel="2">
      <c r="B73" s="0" t="inlineStr">
        <is>
          <t xml:space="preserve">DDG-51</t>
        </is>
      </c>
      <c r="C73" s="0" t="inlineStr">
        <is>
          <t xml:space="preserve">2023-08-11</t>
        </is>
      </c>
      <c r="D73" s="0" t="inlineStr">
        <is>
          <t xml:space="preserve">N00024-23-C-2307</t>
        </is>
      </c>
      <c r="E73" s="0" t="inlineStr">
        <is>
          <t xml:space="preserve">Huntington Ingalls Inc.</t>
        </is>
      </c>
      <c r="F73" s="0" t="inlineStr">
        <is>
          <t xml:space="preserve">construction</t>
        </is>
      </c>
      <c r="G73" s="0" t="inlineStr">
        <is>
          <t xml:space="preserve">BC</t>
        </is>
      </c>
      <c r="H73" s="45">
        <v>0</v>
      </c>
      <c r="I73" s="45">
        <v>0</v>
      </c>
      <c r="J73" s="5">
        <v>0.0</v>
      </c>
      <c r="K73" s="7">
        <v>0.0</v>
      </c>
      <c r="L73" s="7">
        <v>0.79</v>
      </c>
      <c r="M73" s="7">
        <v>0.0</v>
      </c>
      <c r="N73" s="7">
        <v>0.0</v>
      </c>
      <c r="O73" s="0" t="inlineStr">
        <is>
          <t xml:space="preserve">https://www.defense.gov/News/Contracts/Contract/Article/3491276/  (via web.archive.org)</t>
        </is>
      </c>
    </row>
    <row r="74" outlineLevel="2">
      <c r="B74" s="0" t="inlineStr">
        <is>
          <t xml:space="preserve">DDG-51</t>
        </is>
      </c>
      <c r="C74" s="0" t="inlineStr">
        <is>
          <t xml:space="preserve">2024-07-17</t>
        </is>
      </c>
      <c r="D74" s="0" t="inlineStr">
        <is>
          <t xml:space="preserve">N00024-22-C-2318</t>
        </is>
      </c>
      <c r="E74" s="0" t="inlineStr">
        <is>
          <t xml:space="preserve">-</t>
        </is>
      </c>
      <c r="F74" s="0" t="inlineStr">
        <is>
          <t xml:space="preserve">construction</t>
        </is>
      </c>
      <c r="G74" s="0" t="inlineStr">
        <is>
          <t xml:space="preserve">BC</t>
        </is>
      </c>
      <c r="H74" s="45">
        <v>0</v>
      </c>
      <c r="I74" s="45">
        <v>0</v>
      </c>
      <c r="J74" s="5">
        <v>0.0</v>
      </c>
      <c r="K74" s="7">
        <v>0.99</v>
      </c>
      <c r="L74" s="7">
        <v>0.84</v>
      </c>
      <c r="M74" s="7">
        <v>0.17</v>
      </c>
      <c r="N74" s="7">
        <v>0.0</v>
      </c>
      <c r="O74" s="0" t="inlineStr">
        <is>
          <t xml:space="preserve">https://www.defense.gov/News/Contracts/Contract/Article/3841931/  (via web.archive.org)</t>
        </is>
      </c>
    </row>
    <row r="75" outlineLevel="2">
      <c r="B75" s="0" t="inlineStr">
        <is>
          <t xml:space="preserve">DDG-51</t>
        </is>
      </c>
      <c r="C75" s="0" t="inlineStr">
        <is>
          <t xml:space="preserve">2018-09-27</t>
        </is>
      </c>
      <c r="D75" s="0" t="inlineStr">
        <is>
          <t xml:space="preserve">N00024-18-C-2305</t>
        </is>
      </c>
      <c r="E75" s="0" t="inlineStr">
        <is>
          <t xml:space="preserve">Bath Iron Works</t>
        </is>
      </c>
      <c r="F75" s="0" t="inlineStr">
        <is>
          <t xml:space="preserve">construction</t>
        </is>
      </c>
      <c r="G75" s="0" t="inlineStr">
        <is>
          <t xml:space="preserve">BC</t>
        </is>
      </c>
      <c r="H75" s="45">
        <v>1</v>
      </c>
      <c r="I75" s="45">
        <v>1</v>
      </c>
      <c r="J75" s="5">
        <v>3904.736</v>
      </c>
      <c r="K75" s="7">
        <v>0.61</v>
      </c>
      <c r="L75" s="7">
        <v>0.0</v>
      </c>
      <c r="M75" s="7">
        <v>0.39</v>
      </c>
      <c r="N75" s="7">
        <v>0.0</v>
      </c>
      <c r="O75" s="0" t="inlineStr">
        <is>
          <t xml:space="preserve">DoD Contracts 2018-09-27 (defense.gov Article 1647166); FY18-22 MYP</t>
        </is>
      </c>
    </row>
    <row r="76" outlineLevel="2">
      <c r="B76" s="0" t="inlineStr">
        <is>
          <t xml:space="preserve">DDG-51</t>
        </is>
      </c>
      <c r="C76" s="0" t="inlineStr">
        <is>
          <t xml:space="preserve">2018-09-27</t>
        </is>
      </c>
      <c r="D76" s="0" t="inlineStr">
        <is>
          <t xml:space="preserve">N00024-18-C-2307</t>
        </is>
      </c>
      <c r="E76" s="0" t="inlineStr">
        <is>
          <t xml:space="preserve">Huntington Ingalls Industries</t>
        </is>
      </c>
      <c r="F76" s="0" t="inlineStr">
        <is>
          <t xml:space="preserve">construction</t>
        </is>
      </c>
      <c r="G76" s="0" t="inlineStr">
        <is>
          <t xml:space="preserve">BC</t>
        </is>
      </c>
      <c r="H76" s="45">
        <v>1</v>
      </c>
      <c r="I76" s="45">
        <v>1</v>
      </c>
      <c r="J76" s="5">
        <v>5104.669</v>
      </c>
      <c r="K76" s="7">
        <v>0.0</v>
      </c>
      <c r="L76" s="7">
        <v>0.91</v>
      </c>
      <c r="M76" s="7">
        <v>0.09</v>
      </c>
      <c r="N76" s="7">
        <v>0.0</v>
      </c>
      <c r="O76" s="0" t="inlineStr">
        <is>
          <t xml:space="preserve">DoD Contracts 2018-09-27 (defense.gov Article 1647166); FY18-22 MYP</t>
        </is>
      </c>
    </row>
  </sheetData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203864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44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</cols>
  <sheetData>
    <row r="1"/>
    <row r="2">
      <c r="A2" s="0" t="inlineStr">
        <is>
          <t xml:space="preserve">x</t>
        </is>
      </c>
      <c r="B2" s="8" t="inlineStr">
        <is>
          <t xml:space="preserve">OBBBA Mandatory</t>
        </is>
      </c>
      <c r="C2" s="8"/>
      <c r="D2" s="8"/>
      <c r="E2" s="8"/>
      <c r="F2" s="8"/>
      <c r="G2" s="8"/>
      <c r="H2" s="8"/>
    </row>
    <row r="3" outlineLevel="1">
      <c r="B3" s="56" t="inlineStr">
        <is>
          <t xml:space="preserve">FY2026 mandatory awards and BC/GFE bridge</t>
        </is>
      </c>
    </row>
    <row r="4" outlineLevel="1"/>
    <row r="5" outlineLevel="1"/>
    <row r="6" outlineLevel="1">
      <c r="A6" s="0" t="inlineStr">
        <is>
          <t xml:space="preserve">x</t>
        </is>
      </c>
      <c r="B6" s="9" t="inlineStr">
        <is>
          <t xml:space="preserve">§1 - Mandatory awards</t>
        </is>
      </c>
      <c r="C6" s="9"/>
      <c r="D6" s="9"/>
      <c r="E6" s="9"/>
      <c r="F6" s="9"/>
      <c r="G6" s="9"/>
      <c r="H6" s="9"/>
    </row>
    <row r="7" outlineLevel="2"/>
    <row r="8" outlineLevel="2">
      <c r="B8" s="2" t="inlineStr">
        <is>
          <t xml:space="preserve">Award</t>
        </is>
      </c>
      <c r="C8" s="2" t="inlineStr">
        <is>
          <t xml:space="preserve">Section</t>
        </is>
      </c>
      <c r="D8" s="22" t="inlineStr">
        <is>
          <t xml:space="preserve">Gross $M</t>
        </is>
      </c>
    </row>
    <row r="9" outlineLevel="2">
      <c r="B9" s="1" t="inlineStr">
        <is>
          <t xml:space="preserve">Virginia (LI 2013)</t>
        </is>
      </c>
      <c r="C9" s="0" t="inlineStr">
        <is>
          <t xml:space="preserve">20002(16)</t>
        </is>
      </c>
      <c r="D9" s="5">
        <v>4600.0</v>
      </c>
    </row>
    <row r="10" outlineLevel="2">
      <c r="B10" s="1" t="inlineStr">
        <is>
          <t xml:space="preserve">DDG-51 (LI 2122)</t>
        </is>
      </c>
      <c r="C10" s="0" t="inlineStr">
        <is>
          <t xml:space="preserve">20002(17)</t>
        </is>
      </c>
      <c r="D10" s="5">
        <v>5400.0</v>
      </c>
    </row>
    <row r="11" outlineLevel="2"/>
    <row r="12" outlineLevel="2"/>
    <row r="13" outlineLevel="1">
      <c r="A13" s="0" t="inlineStr">
        <is>
          <t xml:space="preserve">x</t>
        </is>
      </c>
      <c r="B13" s="9" t="inlineStr">
        <is>
          <t xml:space="preserve">§2 - Virginia bridge ($M)</t>
        </is>
      </c>
      <c r="C13" s="9"/>
      <c r="D13" s="9"/>
      <c r="E13" s="9"/>
      <c r="F13" s="9"/>
      <c r="G13" s="9"/>
      <c r="H13" s="9"/>
    </row>
    <row r="14" outlineLevel="2"/>
    <row r="15" outlineLevel="2">
      <c r="B15" s="2" t="inlineStr">
        <is>
          <t xml:space="preserve">Metric</t>
        </is>
      </c>
      <c r="C15" s="22" t="inlineStr">
        <is>
          <t xml:space="preserve">FY2022</t>
        </is>
      </c>
      <c r="D15" s="22" t="inlineStr">
        <is>
          <t xml:space="preserve">FY2023</t>
        </is>
      </c>
      <c r="E15" s="22" t="inlineStr">
        <is>
          <t xml:space="preserve">FY2024</t>
        </is>
      </c>
      <c r="F15" s="22" t="inlineStr">
        <is>
          <t xml:space="preserve">FY2025</t>
        </is>
      </c>
      <c r="G15" s="22" t="inlineStr">
        <is>
          <t xml:space="preserve">FY2026</t>
        </is>
      </c>
      <c r="H15" s="22" t="inlineStr">
        <is>
          <t xml:space="preserve">FY2027</t>
        </is>
      </c>
    </row>
    <row r="16" outlineLevel="2">
      <c r="B16" s="1" t="inlineStr">
        <is>
          <t xml:space="preserve">Sec. 20002(16) award, then-year $M</t>
        </is>
      </c>
      <c r="C16" s="5">
        <v>0</v>
      </c>
      <c r="D16" s="5">
        <v>0</v>
      </c>
      <c r="E16" s="5">
        <v>0</v>
      </c>
      <c r="F16" s="5">
        <v>0</v>
      </c>
      <c r="G16" s="5">
        <v>4600.0</v>
      </c>
      <c r="H16" s="5">
        <v>0</v>
      </c>
    </row>
    <row r="17" outlineLevel="2">
      <c r="B17" s="0" t="inlineStr">
        <is>
          <t xml:space="preserve">Gross award, constant FY2026 $M</t>
        </is>
      </c>
      <c r="C17" s="4">
        <f>C16*'Deflators'!D9</f>
      </c>
      <c r="D17" s="4">
        <f>D16*'Deflators'!D10</f>
      </c>
      <c r="E17" s="4">
        <f>E16*'Deflators'!D11</f>
      </c>
      <c r="F17" s="4">
        <f>F16*'Deflators'!D12</f>
      </c>
      <c r="G17" s="4">
        <f>G16*'Deflators'!D13</f>
      </c>
      <c r="H17" s="4">
        <f>H16*'Deflators'!D14</f>
      </c>
    </row>
    <row r="18" outlineLevel="2">
      <c r="B18" s="0" t="inlineStr">
        <is>
          <t xml:space="preserve">Gross award, execution-aligned, constant FY2026 $M</t>
        </is>
      </c>
      <c r="C18" s="4">
        <v>0</v>
      </c>
      <c r="D18" s="4">
        <v>0</v>
      </c>
      <c r="E18" s="4">
        <v>0</v>
      </c>
      <c r="F18" s="4">
        <v>0</v>
      </c>
      <c r="G18" s="4">
        <f>G16*(1-'Assumptions'!C18)*'Deflators'!D13</f>
      </c>
      <c r="H18" s="4">
        <f>G16*'Assumptions'!C18*'Deflators'!D14</f>
      </c>
    </row>
    <row r="19" outlineLevel="2"/>
    <row r="20" outlineLevel="2">
      <c r="A20" s="0" t="inlineStr">
        <is>
          <t xml:space="preserve">x</t>
        </is>
      </c>
      <c r="B20" s="10" t="inlineStr">
        <is>
          <t xml:space="preserve">§2a - BC/GFE split</t>
        </is>
      </c>
      <c r="C20" s="10"/>
      <c r="D20" s="10"/>
      <c r="E20" s="10"/>
      <c r="F20" s="10"/>
      <c r="G20" s="10"/>
      <c r="H20" s="10"/>
    </row>
    <row r="21" outlineLevel="3"/>
    <row r="22" outlineLevel="3">
      <c r="B22" s="2" t="inlineStr">
        <is>
          <t xml:space="preserve">Metric</t>
        </is>
      </c>
      <c r="C22" s="22" t="inlineStr">
        <is>
          <t xml:space="preserve">FY2022</t>
        </is>
      </c>
      <c r="D22" s="22" t="inlineStr">
        <is>
          <t xml:space="preserve">FY2023</t>
        </is>
      </c>
      <c r="E22" s="22" t="inlineStr">
        <is>
          <t xml:space="preserve">FY2024</t>
        </is>
      </c>
      <c r="F22" s="22" t="inlineStr">
        <is>
          <t xml:space="preserve">FY2025</t>
        </is>
      </c>
      <c r="G22" s="22" t="inlineStr">
        <is>
          <t xml:space="preserve">FY2026</t>
        </is>
      </c>
      <c r="H22" s="22" t="inlineStr">
        <is>
          <t xml:space="preserve">FY2027</t>
        </is>
      </c>
    </row>
    <row r="23" outlineLevel="3">
      <c r="B23" s="0" t="inlineStr">
        <is>
          <t xml:space="preserve">OBBBA BC base, then-year $M</t>
        </is>
      </c>
      <c r="C23" s="4">
        <f>C16*'Assumptions'!E15</f>
      </c>
      <c r="D23" s="4">
        <f>D16*'Assumptions'!E15</f>
      </c>
      <c r="E23" s="4">
        <f>E16*'Assumptions'!E15</f>
      </c>
      <c r="F23" s="4">
        <f>F16*'Assumptions'!E15</f>
      </c>
      <c r="G23" s="4">
        <f>G16*'Assumptions'!E15*(1-'Assumptions'!C18)</f>
      </c>
      <c r="H23" s="4">
        <f>H16*'Assumptions'!E15+G16*'Assumptions'!E15*'Assumptions'!C18</f>
      </c>
    </row>
    <row r="24" outlineLevel="3">
      <c r="B24" s="1" t="inlineStr">
        <is>
          <t xml:space="preserve">OBBBA BC base, constant FY2026 $M</t>
        </is>
      </c>
      <c r="C24" s="4">
        <f>C23*'Deflators'!D9</f>
      </c>
      <c r="D24" s="4">
        <f>D23*'Deflators'!D10</f>
      </c>
      <c r="E24" s="4">
        <f>E23*'Deflators'!D11</f>
      </c>
      <c r="F24" s="4">
        <f>F23*'Deflators'!D12</f>
      </c>
      <c r="G24" s="4">
        <f>G23*'Deflators'!D13</f>
      </c>
      <c r="H24" s="4">
        <f>H23*'Deflators'!D14</f>
      </c>
    </row>
    <row r="25" outlineLevel="3">
      <c r="B25" s="0" t="inlineStr">
        <is>
          <t xml:space="preserve">GFE / non-BC remainder ($M; excluded from TAM)</t>
        </is>
      </c>
      <c r="C25" s="4">
        <f>C17-C24</f>
      </c>
      <c r="D25" s="4">
        <f>D17-D24</f>
      </c>
      <c r="E25" s="4">
        <f>E17-E24</f>
      </c>
      <c r="F25" s="4">
        <f>F17-F24</f>
      </c>
      <c r="G25" s="4">
        <f>G17-G24</f>
      </c>
      <c r="H25" s="4">
        <f>H17-H24</f>
      </c>
    </row>
    <row r="26" outlineLevel="3"/>
    <row r="27" outlineLevel="3"/>
    <row r="28" outlineLevel="1">
      <c r="A28" s="0" t="inlineStr">
        <is>
          <t xml:space="preserve">x</t>
        </is>
      </c>
      <c r="B28" s="9" t="inlineStr">
        <is>
          <t xml:space="preserve">§3 - DDG-51 bridge ($M)</t>
        </is>
      </c>
      <c r="C28" s="9"/>
      <c r="D28" s="9"/>
      <c r="E28" s="9"/>
      <c r="F28" s="9"/>
      <c r="G28" s="9"/>
      <c r="H28" s="9"/>
    </row>
    <row r="29" outlineLevel="2"/>
    <row r="30" outlineLevel="2">
      <c r="B30" s="2" t="inlineStr">
        <is>
          <t xml:space="preserve">Metric</t>
        </is>
      </c>
      <c r="C30" s="22" t="inlineStr">
        <is>
          <t xml:space="preserve">FY2022</t>
        </is>
      </c>
      <c r="D30" s="22" t="inlineStr">
        <is>
          <t xml:space="preserve">FY2023</t>
        </is>
      </c>
      <c r="E30" s="22" t="inlineStr">
        <is>
          <t xml:space="preserve">FY2024</t>
        </is>
      </c>
      <c r="F30" s="22" t="inlineStr">
        <is>
          <t xml:space="preserve">FY2025</t>
        </is>
      </c>
      <c r="G30" s="22" t="inlineStr">
        <is>
          <t xml:space="preserve">FY2026</t>
        </is>
      </c>
      <c r="H30" s="22" t="inlineStr">
        <is>
          <t xml:space="preserve">FY2027</t>
        </is>
      </c>
    </row>
    <row r="31" outlineLevel="2">
      <c r="B31" s="1" t="inlineStr">
        <is>
          <t xml:space="preserve">Sec. 20002(17) award, then-year $M</t>
        </is>
      </c>
      <c r="C31" s="5">
        <v>0</v>
      </c>
      <c r="D31" s="5">
        <v>0</v>
      </c>
      <c r="E31" s="5">
        <v>0</v>
      </c>
      <c r="F31" s="5">
        <v>0</v>
      </c>
      <c r="G31" s="5">
        <v>5400.0</v>
      </c>
      <c r="H31" s="5">
        <v>0</v>
      </c>
    </row>
    <row r="32" outlineLevel="2">
      <c r="B32" s="0" t="inlineStr">
        <is>
          <t xml:space="preserve">Gross award, constant FY2026 $M</t>
        </is>
      </c>
      <c r="C32" s="4">
        <f>C31*'Deflators'!D9</f>
      </c>
      <c r="D32" s="4">
        <f>D31*'Deflators'!D10</f>
      </c>
      <c r="E32" s="4">
        <f>E31*'Deflators'!D11</f>
      </c>
      <c r="F32" s="4">
        <f>F31*'Deflators'!D12</f>
      </c>
      <c r="G32" s="4">
        <f>G31*'Deflators'!D13</f>
      </c>
      <c r="H32" s="4">
        <f>H31*'Deflators'!D14</f>
      </c>
    </row>
    <row r="33" outlineLevel="2"/>
    <row r="34" outlineLevel="2">
      <c r="A34" s="0" t="inlineStr">
        <is>
          <t xml:space="preserve">x</t>
        </is>
      </c>
      <c r="B34" s="10" t="inlineStr">
        <is>
          <t xml:space="preserve">§3a - BC/GFE split</t>
        </is>
      </c>
      <c r="C34" s="10"/>
      <c r="D34" s="10"/>
      <c r="E34" s="10"/>
      <c r="F34" s="10"/>
      <c r="G34" s="10"/>
      <c r="H34" s="10"/>
    </row>
    <row r="35" outlineLevel="3"/>
    <row r="36" outlineLevel="3">
      <c r="B36" s="2" t="inlineStr">
        <is>
          <t xml:space="preserve">Metric</t>
        </is>
      </c>
      <c r="C36" s="22" t="inlineStr">
        <is>
          <t xml:space="preserve">FY2022</t>
        </is>
      </c>
      <c r="D36" s="22" t="inlineStr">
        <is>
          <t xml:space="preserve">FY2023</t>
        </is>
      </c>
      <c r="E36" s="22" t="inlineStr">
        <is>
          <t xml:space="preserve">FY2024</t>
        </is>
      </c>
      <c r="F36" s="22" t="inlineStr">
        <is>
          <t xml:space="preserve">FY2025</t>
        </is>
      </c>
      <c r="G36" s="22" t="inlineStr">
        <is>
          <t xml:space="preserve">FY2026</t>
        </is>
      </c>
      <c r="H36" s="22" t="inlineStr">
        <is>
          <t xml:space="preserve">FY2027</t>
        </is>
      </c>
    </row>
    <row r="37" outlineLevel="3">
      <c r="B37" s="1" t="inlineStr">
        <is>
          <t xml:space="preserve">OBBBA BC base, constant FY2026 $M</t>
        </is>
      </c>
      <c r="C37" s="4">
        <f>C32*'Assumptions'!E16</f>
      </c>
      <c r="D37" s="4">
        <f>D32*'Assumptions'!E16</f>
      </c>
      <c r="E37" s="4">
        <f>E32*'Assumptions'!E16</f>
      </c>
      <c r="F37" s="4">
        <f>F32*'Assumptions'!E16</f>
      </c>
      <c r="G37" s="4">
        <f>G32*'Assumptions'!E16</f>
      </c>
      <c r="H37" s="4">
        <f>H32*'Assumptions'!E16</f>
      </c>
    </row>
    <row r="38" outlineLevel="3">
      <c r="B38" s="0" t="inlineStr">
        <is>
          <t xml:space="preserve">GFE / non-BC remainder ($M; excluded from TAM)</t>
        </is>
      </c>
      <c r="C38" s="4">
        <f>C32-C37</f>
      </c>
      <c r="D38" s="4">
        <f>D32-D37</f>
      </c>
      <c r="E38" s="4">
        <f>E32-E37</f>
      </c>
      <c r="F38" s="4">
        <f>F32-F37</f>
      </c>
      <c r="G38" s="4">
        <f>G32-G37</f>
      </c>
      <c r="H38" s="4">
        <f>H32-H37</f>
      </c>
    </row>
    <row r="39" outlineLevel="3"/>
    <row r="40" outlineLevel="3"/>
  </sheetData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203864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48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</cols>
  <sheetData>
    <row r="1"/>
    <row r="2">
      <c r="A2" s="0" t="inlineStr">
        <is>
          <t xml:space="preserve">x</t>
        </is>
      </c>
      <c r="B2" s="8" t="inlineStr">
        <is>
          <t xml:space="preserve">FYDP Outyears</t>
        </is>
      </c>
      <c r="C2" s="8"/>
      <c r="D2" s="8"/>
      <c r="E2" s="8"/>
      <c r="F2" s="8"/>
      <c r="G2" s="8"/>
      <c r="H2" s="8"/>
      <c r="I2" s="8"/>
    </row>
    <row r="3" outlineLevel="1">
      <c r="B3" s="56" t="inlineStr">
        <is>
          <t xml:space="preserve">PB2027 P-40 gross spend, FY2025-31</t>
        </is>
      </c>
    </row>
    <row r="4" outlineLevel="1"/>
    <row r="5" outlineLevel="1"/>
    <row r="6" outlineLevel="1">
      <c r="A6" s="0" t="inlineStr">
        <is>
          <t xml:space="preserve">x</t>
        </is>
      </c>
      <c r="B6" s="9" t="inlineStr">
        <is>
          <t xml:space="preserve">§1 - PB2027 P-40 Resource Summary (then-year $M)</t>
        </is>
      </c>
      <c r="C6" s="9"/>
      <c r="D6" s="9"/>
      <c r="E6" s="9"/>
      <c r="F6" s="9"/>
      <c r="G6" s="9"/>
      <c r="H6" s="9"/>
      <c r="I6" s="9"/>
    </row>
    <row r="7" outlineLevel="2"/>
    <row r="8" outlineLevel="2">
      <c r="B8" s="2" t="inlineStr">
        <is>
          <t xml:space="preserve">Field</t>
        </is>
      </c>
      <c r="C8" s="2" t="inlineStr">
        <is>
          <t xml:space="preserve">Value</t>
        </is>
      </c>
    </row>
    <row r="9" outlineLevel="2">
      <c r="B9" s="0" t="inlineStr">
        <is>
          <t xml:space="preserve">Exhibit</t>
        </is>
      </c>
      <c r="C9" s="0" t="inlineStr">
        <is>
          <t xml:space="preserve">PB2027 Navy P-40 (1611N SCN)</t>
        </is>
      </c>
    </row>
    <row r="10" outlineLevel="2">
      <c r="B10" s="0" t="inlineStr">
        <is>
          <t xml:space="preserve">Period</t>
        </is>
      </c>
      <c r="C10" s="0" t="inlineStr">
        <is>
          <t xml:space="preserve">FY2025-31; FY2027 = Total (Base+OOC), FY2028-31 = outyears</t>
        </is>
      </c>
    </row>
    <row r="11" outlineLevel="2"/>
    <row r="12" outlineLevel="2"/>
    <row r="13" outlineLevel="2">
      <c r="A13" s="0" t="inlineStr">
        <is>
          <t xml:space="preserve">x</t>
        </is>
      </c>
      <c r="B13" s="10" t="inlineStr">
        <is>
          <t xml:space="preserve">§2 - Virginia (LI 2013), then-year $M</t>
        </is>
      </c>
      <c r="C13" s="10"/>
      <c r="D13" s="10"/>
      <c r="E13" s="10"/>
      <c r="F13" s="10"/>
      <c r="G13" s="10"/>
      <c r="H13" s="10"/>
      <c r="I13" s="10"/>
    </row>
    <row r="14" outlineLevel="3"/>
    <row r="15" outlineLevel="3">
      <c r="B15" s="2" t="inlineStr">
        <is>
          <t xml:space="preserve">Metric</t>
        </is>
      </c>
      <c r="C15" s="22" t="inlineStr">
        <is>
          <t xml:space="preserve">FY2025</t>
        </is>
      </c>
      <c r="D15" s="22" t="inlineStr">
        <is>
          <t xml:space="preserve">FY2026</t>
        </is>
      </c>
      <c r="E15" s="22" t="inlineStr">
        <is>
          <t xml:space="preserve">FY2027</t>
        </is>
      </c>
      <c r="F15" s="22" t="inlineStr">
        <is>
          <t xml:space="preserve">FY2028</t>
        </is>
      </c>
      <c r="G15" s="22" t="inlineStr">
        <is>
          <t xml:space="preserve">FY2029</t>
        </is>
      </c>
      <c r="H15" s="22" t="inlineStr">
        <is>
          <t xml:space="preserve">FY2030</t>
        </is>
      </c>
      <c r="I15" s="22" t="inlineStr">
        <is>
          <t xml:space="preserve">FY2031</t>
        </is>
      </c>
    </row>
    <row r="16" outlineLevel="3">
      <c r="B16" s="1" t="inlineStr">
        <is>
          <t xml:space="preserve">Gross / Weapon System Cost, then-year $M</t>
        </is>
      </c>
      <c r="C16" s="5">
        <v>9500.534</v>
      </c>
      <c r="D16" s="5">
        <v>5389.109</v>
      </c>
      <c r="E16" s="5">
        <v>11437.036</v>
      </c>
      <c r="F16" s="5">
        <v>11284.824</v>
      </c>
      <c r="G16" s="5">
        <v>11098.426</v>
      </c>
      <c r="H16" s="5">
        <v>10196.613</v>
      </c>
      <c r="I16" s="5">
        <v>10594.23</v>
      </c>
    </row>
    <row r="17" outlineLevel="3">
      <c r="B17" s="0" t="inlineStr">
        <is>
          <t xml:space="preserve">Procurement quantity (ships)</t>
        </is>
      </c>
      <c r="C17" s="45">
        <v>1.0</v>
      </c>
      <c r="D17" s="45">
        <v>1.0</v>
      </c>
      <c r="E17" s="45">
        <v>2.0</v>
      </c>
      <c r="F17" s="45">
        <v>2.0</v>
      </c>
      <c r="G17" s="45">
        <v>2.0</v>
      </c>
      <c r="H17" s="45">
        <v>2.0</v>
      </c>
      <c r="I17" s="45">
        <v>2.0</v>
      </c>
    </row>
    <row r="18" outlineLevel="3">
      <c r="B18" s="0" t="inlineStr">
        <is>
          <t xml:space="preserve">Net Procurement (P-1), then-year $M (memo)</t>
        </is>
      </c>
      <c r="C18" s="5">
        <v>7356.904</v>
      </c>
      <c r="D18" s="5">
        <v>2740.305</v>
      </c>
      <c r="E18" s="5">
        <v>8402.316</v>
      </c>
      <c r="F18" s="5">
        <v>8149.065</v>
      </c>
      <c r="G18" s="5">
        <v>7876.466</v>
      </c>
      <c r="H18" s="5">
        <v>7283.37</v>
      </c>
      <c r="I18" s="5">
        <v>7423.079</v>
      </c>
    </row>
    <row r="19" outlineLevel="3">
      <c r="B19" s="0" t="inlineStr">
        <is>
          <t xml:space="preserve">Total Obligation Authority, then-year $M (memo)</t>
        </is>
      </c>
      <c r="C19" s="5">
        <v>13320.211</v>
      </c>
      <c r="D19" s="5">
        <v>6377.536</v>
      </c>
      <c r="E19" s="5">
        <v>13151.309</v>
      </c>
      <c r="F19" s="5">
        <v>13011.118</v>
      </c>
      <c r="G19" s="5">
        <v>14686.814</v>
      </c>
      <c r="H19" s="5">
        <v>12268.711</v>
      </c>
      <c r="I19" s="5">
        <v>12016.801</v>
      </c>
    </row>
    <row r="20" outlineLevel="3"/>
    <row r="21" outlineLevel="2">
      <c r="A21" s="0" t="inlineStr">
        <is>
          <t xml:space="preserve">x</t>
        </is>
      </c>
      <c r="B21" s="10" t="inlineStr">
        <is>
          <t xml:space="preserve">§3 - Columbia (LI 1045), then-year $M</t>
        </is>
      </c>
      <c r="C21" s="10"/>
      <c r="D21" s="10"/>
      <c r="E21" s="10"/>
      <c r="F21" s="10"/>
      <c r="G21" s="10"/>
      <c r="H21" s="10"/>
      <c r="I21" s="10"/>
    </row>
    <row r="22" outlineLevel="3"/>
    <row r="23" outlineLevel="3">
      <c r="B23" s="2" t="inlineStr">
        <is>
          <t xml:space="preserve">Metric</t>
        </is>
      </c>
      <c r="C23" s="22" t="inlineStr">
        <is>
          <t xml:space="preserve">FY2025</t>
        </is>
      </c>
      <c r="D23" s="22" t="inlineStr">
        <is>
          <t xml:space="preserve">FY2026</t>
        </is>
      </c>
      <c r="E23" s="22" t="inlineStr">
        <is>
          <t xml:space="preserve">FY2027</t>
        </is>
      </c>
      <c r="F23" s="22" t="inlineStr">
        <is>
          <t xml:space="preserve">FY2028</t>
        </is>
      </c>
      <c r="G23" s="22" t="inlineStr">
        <is>
          <t xml:space="preserve">FY2029</t>
        </is>
      </c>
      <c r="H23" s="22" t="inlineStr">
        <is>
          <t xml:space="preserve">FY2030</t>
        </is>
      </c>
      <c r="I23" s="22" t="inlineStr">
        <is>
          <t xml:space="preserve">FY2031</t>
        </is>
      </c>
    </row>
    <row r="24" outlineLevel="3">
      <c r="B24" s="1" t="inlineStr">
        <is>
          <t xml:space="preserve">Gross / Weapon System Cost, then-year $M</t>
        </is>
      </c>
      <c r="C24" s="5">
        <v>0.0</v>
      </c>
      <c r="D24" s="5">
        <v>10744.317</v>
      </c>
      <c r="E24" s="5">
        <v>10486.369</v>
      </c>
      <c r="F24" s="5">
        <v>10137.078</v>
      </c>
      <c r="G24" s="5">
        <v>10360.998</v>
      </c>
      <c r="H24" s="5">
        <v>10441.001</v>
      </c>
      <c r="I24" s="5">
        <v>10693.082</v>
      </c>
    </row>
    <row r="25" outlineLevel="3">
      <c r="B25" s="0" t="inlineStr">
        <is>
          <t xml:space="preserve">Procurement quantity (ships)</t>
        </is>
      </c>
      <c r="C25" s="45"/>
      <c r="D25" s="45">
        <v>1.0</v>
      </c>
      <c r="E25" s="45">
        <v>1.0</v>
      </c>
      <c r="F25" s="45">
        <v>1.0</v>
      </c>
      <c r="G25" s="45">
        <v>1.0</v>
      </c>
      <c r="H25" s="45">
        <v>1.0</v>
      </c>
      <c r="I25" s="45">
        <v>1.0</v>
      </c>
    </row>
    <row r="26" outlineLevel="3">
      <c r="B26" s="0" t="inlineStr">
        <is>
          <t xml:space="preserve">Net Procurement (P-1), then-year $M (memo)</t>
        </is>
      </c>
      <c r="C26" s="5">
        <v>0.0</v>
      </c>
      <c r="D26" s="5">
        <v>3928.828</v>
      </c>
      <c r="E26" s="5">
        <v>6904.785</v>
      </c>
      <c r="F26" s="5">
        <v>6379.022</v>
      </c>
      <c r="G26" s="5">
        <v>6057.819</v>
      </c>
      <c r="H26" s="5">
        <v>6011.645</v>
      </c>
      <c r="I26" s="5">
        <v>6303.401</v>
      </c>
    </row>
    <row r="27" outlineLevel="3">
      <c r="B27" s="0" t="inlineStr">
        <is>
          <t xml:space="preserve">Total Obligation Authority, then-year $M (memo)</t>
        </is>
      </c>
      <c r="C27" s="5">
        <v>9580.774</v>
      </c>
      <c r="D27" s="5">
        <v>9279.594</v>
      </c>
      <c r="E27" s="5">
        <v>15583.102</v>
      </c>
      <c r="F27" s="5">
        <v>12834.863</v>
      </c>
      <c r="G27" s="5">
        <v>11351.481</v>
      </c>
      <c r="H27" s="5">
        <v>12359.708</v>
      </c>
      <c r="I27" s="5">
        <v>12020.144</v>
      </c>
    </row>
    <row r="28" outlineLevel="3"/>
    <row r="29" outlineLevel="2">
      <c r="A29" s="0" t="inlineStr">
        <is>
          <t xml:space="preserve">x</t>
        </is>
      </c>
      <c r="B29" s="10" t="inlineStr">
        <is>
          <t xml:space="preserve">§4 - DDG-51 (LI 2122), then-year $M</t>
        </is>
      </c>
      <c r="C29" s="10"/>
      <c r="D29" s="10"/>
      <c r="E29" s="10"/>
      <c r="F29" s="10"/>
      <c r="G29" s="10"/>
      <c r="H29" s="10"/>
      <c r="I29" s="10"/>
    </row>
    <row r="30" outlineLevel="3"/>
    <row r="31" outlineLevel="3">
      <c r="B31" s="2" t="inlineStr">
        <is>
          <t xml:space="preserve">Metric</t>
        </is>
      </c>
      <c r="C31" s="22" t="inlineStr">
        <is>
          <t xml:space="preserve">FY2025</t>
        </is>
      </c>
      <c r="D31" s="22" t="inlineStr">
        <is>
          <t xml:space="preserve">FY2026</t>
        </is>
      </c>
      <c r="E31" s="22" t="inlineStr">
        <is>
          <t xml:space="preserve">FY2027</t>
        </is>
      </c>
      <c r="F31" s="22" t="inlineStr">
        <is>
          <t xml:space="preserve">FY2028</t>
        </is>
      </c>
      <c r="G31" s="22" t="inlineStr">
        <is>
          <t xml:space="preserve">FY2029</t>
        </is>
      </c>
      <c r="H31" s="22" t="inlineStr">
        <is>
          <t xml:space="preserve">FY2030</t>
        </is>
      </c>
      <c r="I31" s="22" t="inlineStr">
        <is>
          <t xml:space="preserve">FY2031</t>
        </is>
      </c>
    </row>
    <row r="32" outlineLevel="3">
      <c r="B32" s="1" t="inlineStr">
        <is>
          <t xml:space="preserve">Gross / Weapon System Cost, then-year $M</t>
        </is>
      </c>
      <c r="C32" s="5">
        <v>7858.814</v>
      </c>
      <c r="D32" s="5">
        <v>306.125</v>
      </c>
      <c r="E32" s="5">
        <v>4256.914</v>
      </c>
      <c r="F32" s="5">
        <v>4026.201</v>
      </c>
      <c r="G32" s="5">
        <v>4209.44</v>
      </c>
      <c r="H32" s="5">
        <v>6613.151</v>
      </c>
      <c r="I32" s="5">
        <v>6964.218</v>
      </c>
    </row>
    <row r="33" outlineLevel="3">
      <c r="B33" s="0" t="inlineStr">
        <is>
          <t xml:space="preserve">Procurement quantity (ships)</t>
        </is>
      </c>
      <c r="C33" s="45">
        <v>3.0</v>
      </c>
      <c r="D33" s="45"/>
      <c r="E33" s="45">
        <v>1.0</v>
      </c>
      <c r="F33" s="45">
        <v>1.0</v>
      </c>
      <c r="G33" s="45">
        <v>1.0</v>
      </c>
      <c r="H33" s="45">
        <v>2.0</v>
      </c>
      <c r="I33" s="45">
        <v>2.0</v>
      </c>
    </row>
    <row r="34" outlineLevel="3">
      <c r="B34" s="0" t="inlineStr">
        <is>
          <t xml:space="preserve">Net Procurement (P-1), then-year $M (memo)</t>
        </is>
      </c>
      <c r="C34" s="5">
        <v>6268.519</v>
      </c>
      <c r="D34" s="5">
        <v>10.773</v>
      </c>
      <c r="E34" s="5">
        <v>2954.238</v>
      </c>
      <c r="F34" s="5">
        <v>4026.201</v>
      </c>
      <c r="G34" s="5">
        <v>3707.169</v>
      </c>
      <c r="H34" s="5">
        <v>6110.88</v>
      </c>
      <c r="I34" s="5">
        <v>6461.913</v>
      </c>
    </row>
    <row r="35" outlineLevel="3">
      <c r="B35" s="0" t="inlineStr">
        <is>
          <t xml:space="preserve">Total Obligation Authority, then-year $M (memo)</t>
        </is>
      </c>
      <c r="C35" s="5">
        <v>8268.628</v>
      </c>
      <c r="D35" s="5">
        <v>1942.268</v>
      </c>
      <c r="E35" s="5">
        <v>3132.462</v>
      </c>
      <c r="F35" s="5">
        <v>6124.325</v>
      </c>
      <c r="G35" s="5">
        <v>3993.544</v>
      </c>
      <c r="H35" s="5">
        <v>6375.629</v>
      </c>
      <c r="I35" s="5">
        <v>6565.705</v>
      </c>
    </row>
    <row r="36" outlineLevel="3"/>
    <row r="37" outlineLevel="3"/>
    <row r="38" outlineLevel="1">
      <c r="A38" s="0" t="inlineStr">
        <is>
          <t xml:space="preserve">x</t>
        </is>
      </c>
      <c r="B38" s="9" t="inlineStr">
        <is>
          <t xml:space="preserve">§5 - Constant FY2026 $M</t>
        </is>
      </c>
      <c r="C38" s="9"/>
      <c r="D38" s="9"/>
      <c r="E38" s="9"/>
      <c r="F38" s="9"/>
      <c r="G38" s="9"/>
      <c r="H38" s="9"/>
      <c r="I38" s="9"/>
    </row>
    <row r="39" outlineLevel="2"/>
    <row r="40" outlineLevel="2">
      <c r="B40" s="2" t="inlineStr">
        <is>
          <t xml:space="preserve">Class</t>
        </is>
      </c>
      <c r="C40" s="22" t="inlineStr">
        <is>
          <t xml:space="preserve">FY2025</t>
        </is>
      </c>
      <c r="D40" s="22" t="inlineStr">
        <is>
          <t xml:space="preserve">FY2026</t>
        </is>
      </c>
      <c r="E40" s="22" t="inlineStr">
        <is>
          <t xml:space="preserve">FY2027</t>
        </is>
      </c>
      <c r="F40" s="22" t="inlineStr">
        <is>
          <t xml:space="preserve">FY2028</t>
        </is>
      </c>
      <c r="G40" s="22" t="inlineStr">
        <is>
          <t xml:space="preserve">FY2029</t>
        </is>
      </c>
      <c r="H40" s="22" t="inlineStr">
        <is>
          <t xml:space="preserve">FY2030</t>
        </is>
      </c>
      <c r="I40" s="22" t="inlineStr">
        <is>
          <t xml:space="preserve">FY2031</t>
        </is>
      </c>
    </row>
    <row r="41" outlineLevel="2">
      <c r="B41" s="1" t="inlineStr">
        <is>
          <t xml:space="preserve">Constant-FY2026 factor (then-year x this; from Deflators)</t>
        </is>
      </c>
      <c r="C41" s="57">
        <f>'Deflators'!D12</f>
      </c>
      <c r="D41" s="57">
        <f>'Deflators'!D13</f>
      </c>
      <c r="E41" s="57">
        <f>'Deflators'!D14</f>
      </c>
      <c r="F41" s="57">
        <f>'Deflators'!D15</f>
      </c>
      <c r="G41" s="57">
        <f>'Deflators'!D16</f>
      </c>
      <c r="H41" s="57">
        <f>'Deflators'!D17</f>
      </c>
      <c r="I41" s="57">
        <f>'Deflators'!D18</f>
      </c>
    </row>
    <row r="42" outlineLevel="2">
      <c r="B42" s="1" t="inlineStr">
        <is>
          <t xml:space="preserve">Virginia (LI 2013)</t>
        </is>
      </c>
      <c r="C42" s="4">
        <f>C16*C$41</f>
      </c>
      <c r="D42" s="4">
        <f>D16*D$41</f>
      </c>
      <c r="E42" s="4">
        <f>E16*E$41</f>
      </c>
      <c r="F42" s="4">
        <f>F16*F$41</f>
      </c>
      <c r="G42" s="4">
        <f>G16*G$41</f>
      </c>
      <c r="H42" s="4">
        <f>H16*H$41</f>
      </c>
      <c r="I42" s="4">
        <f>I16*I$41</f>
      </c>
    </row>
    <row r="43" outlineLevel="2">
      <c r="B43" s="1" t="inlineStr">
        <is>
          <t xml:space="preserve">Columbia (LI 1045)</t>
        </is>
      </c>
      <c r="C43" s="4">
        <f>C24*C$41</f>
      </c>
      <c r="D43" s="4">
        <f>D24*D$41</f>
      </c>
      <c r="E43" s="4">
        <f>E24*E$41</f>
      </c>
      <c r="F43" s="4">
        <f>F24*F$41</f>
      </c>
      <c r="G43" s="4">
        <f>G24*G$41</f>
      </c>
      <c r="H43" s="4">
        <f>H24*H$41</f>
      </c>
      <c r="I43" s="4">
        <f>I24*I$41</f>
      </c>
    </row>
    <row r="44" outlineLevel="2">
      <c r="B44" s="1" t="inlineStr">
        <is>
          <t xml:space="preserve">DDG-51 (LI 2122)</t>
        </is>
      </c>
      <c r="C44" s="4">
        <f>C32*C$41</f>
      </c>
      <c r="D44" s="4">
        <f>D32*D$41</f>
      </c>
      <c r="E44" s="4">
        <f>E32*E$41</f>
      </c>
      <c r="F44" s="4">
        <f>F32*F$41</f>
      </c>
      <c r="G44" s="4">
        <f>G32*G$41</f>
      </c>
      <c r="H44" s="4">
        <f>H32*H$41</f>
      </c>
      <c r="I44" s="4">
        <f>I32*I$41</f>
      </c>
    </row>
    <row r="45" outlineLevel="2">
      <c r="B45" s="3" t="inlineStr">
        <is>
          <t xml:space="preserve">Submarine portfolio (Va + Col), constant FY2026 $M</t>
        </is>
      </c>
      <c r="C45" s="13">
        <f>N(C42)+N(C43)</f>
      </c>
      <c r="D45" s="13">
        <f>N(D42)+N(D43)</f>
      </c>
      <c r="E45" s="13">
        <f>N(E42)+N(E43)</f>
      </c>
      <c r="F45" s="13">
        <f>N(F42)+N(F43)</f>
      </c>
      <c r="G45" s="13">
        <f>N(G42)+N(G43)</f>
      </c>
      <c r="H45" s="13">
        <f>N(H42)+N(H43)</f>
      </c>
      <c r="I45" s="13">
        <f>N(I42)+N(I43)</f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203864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10" customWidth="1"/>
    <col min="3" max="3" width="46" customWidth="1"/>
    <col min="4" max="4" width="30" customWidth="1"/>
    <col min="5" max="5" width="28" customWidth="1"/>
  </cols>
  <sheetData>
    <row r="1"/>
    <row r="2">
      <c r="A2" s="0" t="inlineStr">
        <is>
          <t xml:space="preserve">x</t>
        </is>
      </c>
      <c r="B2" s="8" t="inlineStr">
        <is>
          <t xml:space="preserve">Deflators</t>
        </is>
      </c>
      <c r="C2" s="8"/>
      <c r="D2" s="8"/>
      <c r="E2" s="8"/>
    </row>
    <row r="3" outlineLevel="1">
      <c r="B3" s="56" t="inlineStr">
        <is>
          <t xml:space="preserve">Procurement deflators rebased to FY2026</t>
        </is>
      </c>
    </row>
    <row r="4" outlineLevel="1"/>
    <row r="5" outlineLevel="1"/>
    <row r="6" outlineLevel="1">
      <c r="A6" s="0" t="inlineStr">
        <is>
          <t xml:space="preserve">x</t>
        </is>
      </c>
      <c r="B6" s="9" t="inlineStr">
        <is>
          <t xml:space="preserve">§1 - Procurement deflators</t>
        </is>
      </c>
      <c r="C6" s="9"/>
      <c r="D6" s="9"/>
      <c r="E6" s="9"/>
    </row>
    <row r="7" outlineLevel="2"/>
    <row r="8" outlineLevel="2">
      <c r="B8" s="2" t="inlineStr">
        <is>
          <t xml:space="preserve">FY</t>
        </is>
      </c>
      <c r="C8" s="22" t="inlineStr">
        <is>
          <t xml:space="preserve">Procurement deflator (FY2025=100)</t>
        </is>
      </c>
      <c r="D8" s="22" t="inlineStr">
        <is>
          <t xml:space="preserve">Factor to constant FY2026 $</t>
        </is>
      </c>
      <c r="E8" s="2" t="inlineStr">
        <is>
          <t xml:space="preserve">Basis</t>
        </is>
      </c>
    </row>
    <row r="9" outlineLevel="2">
      <c r="B9" s="1" t="inlineStr">
        <is>
          <t xml:space="preserve">FY2022</t>
        </is>
      </c>
      <c r="C9" s="5">
        <v>93.13</v>
      </c>
      <c r="D9" s="57">
        <v>1.1</v>
      </c>
      <c r="E9" s="0" t="inlineStr">
        <is>
          <t xml:space="preserve">Green Book Table 5-4</t>
        </is>
      </c>
    </row>
    <row r="10" outlineLevel="2">
      <c r="B10" s="1" t="inlineStr">
        <is>
          <t xml:space="preserve">FY2023</t>
        </is>
      </c>
      <c r="C10" s="5">
        <v>95.77</v>
      </c>
      <c r="D10" s="57">
        <v>1.07</v>
      </c>
      <c r="E10" s="0" t="inlineStr">
        <is>
          <t xml:space="preserve">Green Book Table 5-4</t>
        </is>
      </c>
    </row>
    <row r="11" outlineLevel="2">
      <c r="B11" s="1" t="inlineStr">
        <is>
          <t xml:space="preserve">FY2024</t>
        </is>
      </c>
      <c r="C11" s="5">
        <v>97.92</v>
      </c>
      <c r="D11" s="57">
        <v>1.04</v>
      </c>
      <c r="E11" s="0" t="inlineStr">
        <is>
          <t xml:space="preserve">Green Book Table 5-4</t>
        </is>
      </c>
    </row>
    <row r="12" outlineLevel="2">
      <c r="B12" s="1" t="inlineStr">
        <is>
          <t xml:space="preserve">FY2025</t>
        </is>
      </c>
      <c r="C12" s="5">
        <v>100.0</v>
      </c>
      <c r="D12" s="57">
        <v>1.02</v>
      </c>
      <c r="E12" s="0" t="inlineStr">
        <is>
          <t xml:space="preserve">Green Book Table 5-4</t>
        </is>
      </c>
    </row>
    <row r="13" outlineLevel="2">
      <c r="B13" s="1" t="inlineStr">
        <is>
          <t xml:space="preserve">FY2026</t>
        </is>
      </c>
      <c r="C13" s="5">
        <v>102.1</v>
      </c>
      <c r="D13" s="57">
        <v>1.0</v>
      </c>
      <c r="E13" s="0" t="inlineStr">
        <is>
          <t xml:space="preserve">Green Book Table 5-4</t>
        </is>
      </c>
    </row>
    <row r="14" outlineLevel="2">
      <c r="B14" s="1" t="inlineStr">
        <is>
          <t xml:space="preserve">FY2027</t>
        </is>
      </c>
      <c r="C14" s="5">
        <v>104.24</v>
      </c>
      <c r="D14" s="57">
        <v>0.98</v>
      </c>
      <c r="E14" s="0" t="inlineStr">
        <is>
          <t xml:space="preserve">Green Book Table 5-4</t>
        </is>
      </c>
    </row>
    <row r="15" outlineLevel="2">
      <c r="B15" s="1" t="inlineStr">
        <is>
          <t xml:space="preserve">FY2028</t>
        </is>
      </c>
      <c r="C15" s="5">
        <v>106.43</v>
      </c>
      <c r="D15" s="57">
        <v>0.96</v>
      </c>
      <c r="E15" s="0" t="inlineStr">
        <is>
          <t xml:space="preserve">Green Book Table 5-4</t>
        </is>
      </c>
    </row>
    <row r="16" outlineLevel="2">
      <c r="B16" s="1" t="inlineStr">
        <is>
          <t xml:space="preserve">FY2029</t>
        </is>
      </c>
      <c r="C16" s="5">
        <v>108.67</v>
      </c>
      <c r="D16" s="57">
        <v>0.94</v>
      </c>
      <c r="E16" s="0" t="inlineStr">
        <is>
          <t xml:space="preserve">Green Book Table 5-4</t>
        </is>
      </c>
    </row>
    <row r="17" outlineLevel="2">
      <c r="B17" s="1" t="inlineStr">
        <is>
          <t xml:space="preserve">FY2030</t>
        </is>
      </c>
      <c r="C17" s="5">
        <v>110.95</v>
      </c>
      <c r="D17" s="57">
        <v>0.92</v>
      </c>
      <c r="E17" s="0" t="inlineStr">
        <is>
          <t xml:space="preserve">Extrapolated @ 2.1%/yr</t>
        </is>
      </c>
    </row>
    <row r="18" outlineLevel="2">
      <c r="B18" s="1" t="inlineStr">
        <is>
          <t xml:space="preserve">FY2031</t>
        </is>
      </c>
      <c r="C18" s="5">
        <v>113.28</v>
      </c>
      <c r="D18" s="57">
        <v>0.9</v>
      </c>
      <c r="E18" s="0" t="inlineStr">
        <is>
          <t xml:space="preserve">Extrapolated @ 2.1%/yr</t>
        </is>
      </c>
    </row>
    <row r="19" outlineLevel="2"/>
    <row r="20" outlineLevel="2"/>
    <row r="21" outlineLevel="1">
      <c r="A21" s="0" t="inlineStr">
        <is>
          <t xml:space="preserve">x</t>
        </is>
      </c>
      <c r="B21" s="9" t="inlineStr">
        <is>
          <t xml:space="preserve">§2 - Source</t>
        </is>
      </c>
      <c r="C21" s="9"/>
      <c r="D21" s="9"/>
      <c r="E21" s="9"/>
    </row>
    <row r="22" outlineLevel="2"/>
    <row r="23" outlineLevel="2">
      <c r="B23" s="2" t="inlineStr">
        <is>
          <t xml:space="preserve">Series</t>
        </is>
      </c>
      <c r="C23" s="2" t="inlineStr">
        <is>
          <t xml:space="preserve">Source</t>
        </is>
      </c>
    </row>
    <row r="24" outlineLevel="2">
      <c r="B24" s="1" t="inlineStr">
        <is>
          <t xml:space="preserve">Procurement TOA</t>
        </is>
      </c>
      <c r="C24" s="0" t="inlineStr">
        <is>
          <t xml:space="preserve">OSD National Defense Budget Estimates for FY2025 (Green Book), Table 5-4 Procurement TOA, FY2025=100; rebased to FY2026=1.000</t>
        </is>
      </c>
    </row>
    <row r="25" outlineLevel="2">
      <c r="B25" s="1" t="inlineStr">
        <is>
          <t xml:space="preserve">FY2030-31</t>
        </is>
      </c>
      <c r="C25" s="0" t="inlineStr">
        <is>
          <t xml:space="preserve">Extrapolated at 2.1%/yr (Green Book Table 5-3 steady-state purchases inflation)</t>
        </is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595959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52" customWidth="1"/>
    <col min="3" max="3" width="14" customWidth="1"/>
    <col min="4" max="4" width="16" customWidth="1"/>
  </cols>
  <sheetData>
    <row r="1"/>
    <row r="2">
      <c r="A2" s="0" t="inlineStr">
        <is>
          <t xml:space="preserve">x</t>
        </is>
      </c>
      <c r="B2" s="8" t="inlineStr">
        <is>
          <t xml:space="preserve">Checks</t>
        </is>
      </c>
      <c r="C2" s="8"/>
      <c r="D2" s="8"/>
    </row>
    <row r="3" outlineLevel="1">
      <c r="B3" s="56" t="inlineStr">
        <is>
          <t xml:space="preserve">Input bounds, outyear ordering, and completeness</t>
        </is>
      </c>
    </row>
    <row r="4" outlineLevel="1"/>
    <row r="5" outlineLevel="1"/>
    <row r="6" outlineLevel="1">
      <c r="A6" s="0" t="inlineStr">
        <is>
          <t xml:space="preserve">x</t>
        </is>
      </c>
      <c r="B6" s="9" t="inlineStr">
        <is>
          <t xml:space="preserve">§1 - Share bounds</t>
        </is>
      </c>
      <c r="C6" s="9"/>
      <c r="D6" s="9"/>
    </row>
    <row r="7" outlineLevel="2"/>
    <row r="8" outlineLevel="2">
      <c r="B8" s="2" t="inlineStr">
        <is>
          <t xml:space="preserve">Check</t>
        </is>
      </c>
      <c r="C8" s="22" t="inlineStr">
        <is>
          <t xml:space="preserve">Value</t>
        </is>
      </c>
      <c r="D8" s="22" t="inlineStr">
        <is>
          <t xml:space="preserve">Status</t>
        </is>
      </c>
    </row>
    <row r="9" outlineLevel="2">
      <c r="B9" s="0" t="inlineStr">
        <is>
          <t xml:space="preserve">Virginia applied BC coefficient</t>
        </is>
      </c>
      <c r="C9" s="12">
        <f>'Virginia TAM'!C34</f>
      </c>
      <c r="D9" s="0">
        <f>IF(AND(C9&gt;0,C9&lt;=1),"OK","FAIL")</f>
      </c>
    </row>
    <row r="10" outlineLevel="2">
      <c r="B10" s="0" t="inlineStr">
        <is>
          <t xml:space="preserve">Columbia applied BC coefficient</t>
        </is>
      </c>
      <c r="C10" s="12">
        <f>'Columbia TAM'!C30</f>
      </c>
      <c r="D10" s="0">
        <f>IF(AND(C10&gt;0,C10&lt;=1),"OK","FAIL")</f>
      </c>
    </row>
    <row r="11" outlineLevel="2">
      <c r="B11" s="0" t="inlineStr">
        <is>
          <t xml:space="preserve">DDG-51 applied BC coefficient</t>
        </is>
      </c>
      <c r="C11" s="12">
        <f>'DDG-51 TAM'!C38</f>
      </c>
      <c r="D11" s="0">
        <f>IF(AND(C11&gt;0,C11&lt;=1),"OK","FAIL")</f>
      </c>
    </row>
    <row r="12" outlineLevel="2">
      <c r="B12" s="0" t="inlineStr">
        <is>
          <t xml:space="preserve">Virginia OBBBA modeled BC share</t>
        </is>
      </c>
      <c r="C12" s="12">
        <f>'Assumptions'!E15</f>
      </c>
      <c r="D12" s="0">
        <f>IF(AND(C12&gt;=0,C12&lt;=1),"OK","FAIL")</f>
      </c>
    </row>
    <row r="13" outlineLevel="2">
      <c r="B13" s="0" t="inlineStr">
        <is>
          <t xml:space="preserve">DDG-51 OBBBA modeled BC share</t>
        </is>
      </c>
      <c r="C13" s="12">
        <f>'Assumptions'!E16</f>
      </c>
      <c r="D13" s="0">
        <f>IF(AND(C13&gt;=0,C13&lt;=1),"OK","FAIL")</f>
      </c>
    </row>
    <row r="14" outlineLevel="2">
      <c r="B14" s="0" t="inlineStr">
        <is>
          <t xml:space="preserve">DDG-51 AP/LLTM supplier coefficient</t>
        </is>
      </c>
      <c r="C14" s="12">
        <f>'Assumptions'!C9</f>
      </c>
      <c r="D14" s="0">
        <f>IF(AND(C14&gt;=0,C14&lt;=1),"OK","FAIL")</f>
      </c>
    </row>
    <row r="15" outlineLevel="2"/>
    <row r="16" outlineLevel="2"/>
    <row r="17" outlineLevel="1">
      <c r="A17" s="0" t="inlineStr">
        <is>
          <t xml:space="preserve">x</t>
        </is>
      </c>
      <c r="B17" s="9" t="inlineStr">
        <is>
          <t xml:space="preserve">§2 - Outyear band</t>
        </is>
      </c>
      <c r="C17" s="9"/>
      <c r="D17" s="9"/>
    </row>
    <row r="18" outlineLevel="2"/>
    <row r="19" outlineLevel="2">
      <c r="B19" s="2" t="inlineStr">
        <is>
          <t xml:space="preserve">Check</t>
        </is>
      </c>
      <c r="C19" s="22" t="inlineStr">
        <is>
          <t xml:space="preserve">Min margin $M</t>
        </is>
      </c>
      <c r="D19" s="22" t="inlineStr">
        <is>
          <t xml:space="preserve">Status</t>
        </is>
      </c>
    </row>
    <row r="20" outlineLevel="2">
      <c r="B20" s="0" t="inlineStr">
        <is>
          <t xml:space="preserve">Virginia outyear high &gt;= low</t>
        </is>
      </c>
      <c r="C20" s="4">
        <f>MIN('Virginia TAM'!C57-'Virginia TAM'!C56,'Virginia TAM'!D57-'Virginia TAM'!D56,'Virginia TAM'!E57-'Virginia TAM'!E56,'Virginia TAM'!F57-'Virginia TAM'!F56)</f>
      </c>
      <c r="D20" s="0">
        <f>IF(C20&gt;=-0.001,"OK","FAIL")</f>
      </c>
    </row>
    <row r="21" outlineLevel="2">
      <c r="B21" s="0" t="inlineStr">
        <is>
          <t xml:space="preserve">Columbia outyear high &gt;= low</t>
        </is>
      </c>
      <c r="C21" s="4">
        <f>MIN('Columbia TAM'!C52-'Columbia TAM'!C51,'Columbia TAM'!D52-'Columbia TAM'!D51,'Columbia TAM'!E52-'Columbia TAM'!E51,'Columbia TAM'!F52-'Columbia TAM'!F51)</f>
      </c>
      <c r="D21" s="0">
        <f>IF(C21&gt;=-0.001,"OK","FAIL")</f>
      </c>
    </row>
    <row r="22" outlineLevel="2">
      <c r="B22" s="0" t="inlineStr">
        <is>
          <t xml:space="preserve">DDG-51 outyear high &gt;= low</t>
        </is>
      </c>
      <c r="C22" s="4">
        <f>MIN('DDG-51 TAM'!C63-'DDG-51 TAM'!C62,'DDG-51 TAM'!D63-'DDG-51 TAM'!D62,'DDG-51 TAM'!E63-'DDG-51 TAM'!E62,'DDG-51 TAM'!F63-'DDG-51 TAM'!F62)</f>
      </c>
      <c r="D22" s="0">
        <f>IF(C22&gt;=-0.001,"OK","FAIL")</f>
      </c>
    </row>
    <row r="23" outlineLevel="2"/>
    <row r="24" outlineLevel="2"/>
    <row r="25" outlineLevel="1">
      <c r="A25" s="0" t="inlineStr">
        <is>
          <t xml:space="preserve">x</t>
        </is>
      </c>
      <c r="B25" s="9" t="inlineStr">
        <is>
          <t xml:space="preserve">§3 - Completeness</t>
        </is>
      </c>
      <c r="C25" s="9"/>
      <c r="D25" s="9"/>
    </row>
    <row r="26" outlineLevel="2"/>
    <row r="27" outlineLevel="2">
      <c r="B27" s="2" t="inlineStr">
        <is>
          <t xml:space="preserve">Check</t>
        </is>
      </c>
      <c r="C27" s="22" t="inlineStr">
        <is>
          <t xml:space="preserve">Count</t>
        </is>
      </c>
      <c r="D27" s="22" t="inlineStr">
        <is>
          <t xml:space="preserve">Status</t>
        </is>
      </c>
    </row>
    <row r="28" outlineLevel="2">
      <c r="B28" s="0" t="inlineStr">
        <is>
          <t xml:space="preserve">Key behavioral knobs present &amp; numeric</t>
        </is>
      </c>
      <c r="C28" s="44">
        <f>COUNT('Assumptions'!C9,'Assumptions'!C18,'Assumptions'!C26,'Assumptions'!C27,'Assumptions'!E15,'Assumptions'!E16)</f>
      </c>
      <c r="D28" s="0">
        <f>IF(C28=6,"OK","FAIL")</f>
      </c>
    </row>
    <row r="29" outlineLevel="2"/>
    <row r="30" outlineLevel="2"/>
    <row r="31" outlineLevel="1">
      <c r="A31" s="0" t="inlineStr">
        <is>
          <t xml:space="preserve">x</t>
        </is>
      </c>
      <c r="B31" s="9" t="inlineStr">
        <is>
          <t xml:space="preserve">§4 - Master check</t>
        </is>
      </c>
      <c r="C31" s="9"/>
      <c r="D31" s="9"/>
    </row>
    <row r="32" outlineLevel="2"/>
    <row r="33" outlineLevel="2">
      <c r="B33" s="1" t="inlineStr">
        <is>
          <t xml:space="preserve">All checks</t>
        </is>
      </c>
      <c r="C33" s="44">
        <f>COUNTIF(D9:D28,"FAIL")</f>
      </c>
      <c r="D33" s="1">
        <f>IF(C33=0,"OK","CHECK FAILED")</f>
      </c>
    </row>
  </sheetData>
  <conditionalFormatting sqref="D9:D28 D33">
    <cfRule type="cellIs" dxfId="1" priority="1" operator="equal">
      <formula>"FAIL"</formula>
    </cfRule>
    <cfRule type="cellIs" dxfId="1" priority="2" operator="equal">
      <formula>"CHECK FAILED"</formula>
    </cfRule>
  </conditionalFormatting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workbook_master_tam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Executive Summary</vt:lpstr>
      <vt:lpstr>Methodology</vt:lpstr>
      <vt:lpstr>Assumptions</vt:lpstr>
      <vt:lpstr>Virginia TAM</vt:lpstr>
      <vt:lpstr>Columbia TAM</vt:lpstr>
      <vt:lpstr>DDG-51 TAM</vt:lpstr>
      <vt:lpstr>SCN Budget</vt:lpstr>
      <vt:lpstr>Place of Performance</vt:lpstr>
      <vt:lpstr>OBBBA Mandatory</vt:lpstr>
      <vt:lpstr>FYDP Outyears</vt:lpstr>
      <vt:lpstr>Deflators</vt:lpstr>
      <vt:lpstr>Checks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Distributed Shipbuilding - Master TAM (Virginia / Columbia / DDG-51)</dc:title>
  <dc:creator>workbook_master_tam build_workbook.py</dc:creator>
  <dcterms:created xsi:type="dcterms:W3CDTF">2026-06-22T01:00:28Z</dcterms:created>
  <dcterms:modified xsi:type="dcterms:W3CDTF">2026-06-22T01:00:28Z</dcterms:modified>
</cp:coreProperties>
</file>