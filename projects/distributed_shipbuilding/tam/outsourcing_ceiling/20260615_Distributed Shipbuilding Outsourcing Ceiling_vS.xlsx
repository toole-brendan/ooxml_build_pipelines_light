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omments9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6800"/>
  </bookViews>
  <sheets>
    <sheet name="Executive Summary" sheetId="1" r:id="rId1"/>
    <sheet name="Assumptions" sheetId="2" r:id="rId2"/>
    <sheet name="Ceiling Model" sheetId="3" r:id="rId3"/>
    <sheet name="Conversion Bridge" sheetId="4" r:id="rId4"/>
    <sheet name="Headroom" sheetId="5" r:id="rId5"/>
    <sheet name="Cost Base" sheetId="6" r:id="rId6"/>
    <sheet name="Sensitivity" sheetId="7" r:id="rId7"/>
    <sheet name="Tie-Outs" sheetId="8" state="hidden" r:id="rId8"/>
    <sheet name="Sources" sheetId="9" r:id="rId9"/>
  </sheets>
  <calcPr calcId="191029" fullCalcOnLoad="1" forceFullCalc="1"/>
</workbook>
</file>

<file path=xl/comments2.xml><?xml version="1.0" encoding="utf-8"?>
<comments xmlns="http://schemas.openxmlformats.org/spreadsheetml/2006/main">
  <authors>
    <author>Model</author>
  </authors>
  <commentList>
    <comment ref="C16" authorId="0">
      <text>
        <r>
          <rPr>
            <sz val="8"/>
            <color indexed="81"/>
            <rFont val="Arial"/>
            <family val="2"/>
          </rPr>
          <t xml:space="preserve">Virginia/Columbia h=0.50: RADM Jon Rucker (PEO Attack Submarines), Defense News 2022-10-21 - EB+NNS outsourced hours grow 2M-&gt;5M = 'half the work to build a Virginia submarine'. Labor-hours basis; a forward capacity-relief target, not a measured make/buy split. See Sources A1.</t>
        </r>
      </text>
    </comment>
    <comment ref="E16" authorId="0">
      <text>
        <r>
          <rPr>
            <sz val="8"/>
            <color indexed="81"/>
            <rFont val="Arial"/>
            <family val="2"/>
          </rPr>
          <t xml:space="preserve">DDG-51 h=0.55 (analyst assumption, not the Rucker submarine figure): no reactor, larger separable GFE, and more amenable to distributed block builds -&gt; a higher outsourceable-hour ceiling than the nuclear submarines. Carrier (CVN-80) ~20% of structural units outsourced and rising is the nearest non-nuclear datapoint.</t>
        </r>
      </text>
    </comment>
    <comment ref="C17" authorId="0">
      <text>
        <r>
          <rPr>
            <sz val="8"/>
            <color indexed="81"/>
            <rFont val="Arial"/>
            <family val="2"/>
          </rPr>
          <t xml:space="preserve">L=0.50 of BC: O'Rourke (CRS, 2025-03-11) 'shipyard labor ~40% of a military ship's total procurement cost'; since BC excludes most GFE, labor's share of BC is higher than 40%. CBO Shipbuilding Composite Index (2024) puts shipbuilder labor at 39-48%. See Sources A2/A3.</t>
        </r>
      </text>
    </comment>
    <comment ref="E17" authorId="0">
      <text>
        <r>
          <rPr>
            <sz val="8"/>
            <color indexed="81"/>
            <rFont val="Arial"/>
            <family val="2"/>
          </rPr>
          <t xml:space="preserve">DDG-51 L=0.45 (analyst assumption): non-nuclear mix with a larger separable GFE layer, so labor is a somewhat smaller share of BC than on the nuclear boats. Sensitivity tab sweeps L.</t>
        </r>
      </text>
    </comment>
    <comment ref="C20" authorId="0">
      <text>
        <r>
          <rPr>
            <sz val="8"/>
            <color indexed="81"/>
            <rFont val="Arial"/>
            <family val="2"/>
          </rPr>
          <t xml:space="preserve">p = share of an outsourced package's material that travels with it (a tier-2 fabricator buys/installs its own steel, pipe, components). Bridge: outsourced $ = h*L*BC + p*(1-L)*BC. p=0 labor-only (~25% of BC); p=1 material-inclusive (~75%). For a supplier-opportunity TAM, p is high.</t>
        </r>
      </text>
    </comment>
    <comment ref="C32" authorId="0">
      <text>
        <r>
          <rPr>
            <sz val="8"/>
            <color indexed="81"/>
            <rFont val="Arial"/>
            <family val="2"/>
          </rPr>
          <t xml:space="preserve">Current off-team share of construction work (announced place of performance): Virginia 34% (Block V, DoD 2019-12-02) / Columbia 22% (Build I, 2020-11-05) / DDG-51 ~13% (production-weighted blend: BIW ~20% off-Bath + Ingalls ~9% off-Pascagoula). The applied current-state floor the ceiling sits above. See Sources A5/A6/A7.</t>
        </r>
      </text>
    </comment>
    <comment ref="D32" authorId="0">
      <text>
        <r>
          <rPr>
            <sz val="8"/>
            <color indexed="81"/>
            <rFont val="Arial"/>
            <family val="2"/>
          </rPr>
          <t xml:space="preserve">Current off-team share of construction work (announced place of performance): Virginia 34% (Block V, DoD 2019-12-02) / Columbia 22% (Build I, 2020-11-05) / DDG-51 ~13% (production-weighted blend: BIW ~20% off-Bath + Ingalls ~9% off-Pascagoula). The applied current-state floor the ceiling sits above. See Sources A5/A6/A7.</t>
        </r>
      </text>
    </comment>
    <comment ref="E32" authorId="0">
      <text>
        <r>
          <rPr>
            <sz val="8"/>
            <color indexed="81"/>
            <rFont val="Arial"/>
            <family val="2"/>
          </rPr>
          <t xml:space="preserve">Current off-team share of construction work (announced place of performance): Virginia 34% (Block V, DoD 2019-12-02) / Columbia 22% (Build I, 2020-11-05) / DDG-51 ~13% (production-weighted blend: BIW ~20% off-Bath + Ingalls ~9% off-Pascagoula). The applied current-state floor the ceiling sits above. See Sources A5/A6/A7.</t>
        </r>
      </text>
    </comment>
  </commentList>
</comments>
</file>

<file path=xl/comments9.xml><?xml version="1.0" encoding="utf-8"?>
<comments xmlns="http://schemas.openxmlformats.org/spreadsheetml/2006/main">
  <authors>
    <author>Model</author>
  </authors>
  <commentList>
    <comment ref="E7" authorId="0">
      <text>
        <r>
          <rPr>
            <sz val="8"/>
            <color indexed="81"/>
            <rFont val="Arial"/>
            <family val="2"/>
          </rPr>
          <t xml:space="preserve">https://www.defensenews.com/industry/2022/10/21/defense-firms-outsource-sub-carrier-construction-amid-labor-woes/</t>
        </r>
      </text>
    </comment>
    <comment ref="E8" authorId="0">
      <text>
        <r>
          <rPr>
            <sz val="8"/>
            <color indexed="81"/>
            <rFont val="Arial"/>
            <family val="2"/>
          </rPr>
          <t xml:space="preserve">https://armedservices.house.gov/uploadedfiles/03.11.25_spf_state_of_shipbuilding_orourke_statement.pdf</t>
        </r>
      </text>
    </comment>
    <comment ref="E9" authorId="0">
      <text>
        <r>
          <rPr>
            <sz val="8"/>
            <color indexed="81"/>
            <rFont val="Arial"/>
            <family val="2"/>
          </rPr>
          <t xml:space="preserve">https://www.cbo.gov/publication/60206</t>
        </r>
      </text>
    </comment>
    <comment ref="E10" authorId="0">
      <text>
        <r>
          <rPr>
            <sz val="8"/>
            <color indexed="81"/>
            <rFont val="Arial"/>
            <family val="2"/>
          </rPr>
          <t xml:space="preserve">https://comptroller.defense.gov/Portals/45/documents/fmr/current/02b/02b_04.pdf</t>
        </r>
      </text>
    </comment>
    <comment ref="E11" authorId="0">
      <text>
        <r>
          <rPr>
            <sz val="8"/>
            <color indexed="81"/>
            <rFont val="Arial"/>
            <family val="2"/>
          </rPr>
          <t xml:space="preserve">https://www.defense.gov/News/Contracts/Contract/Article/2030017/</t>
        </r>
      </text>
    </comment>
    <comment ref="E12" authorId="0">
      <text>
        <r>
          <rPr>
            <sz val="8"/>
            <color indexed="81"/>
            <rFont val="Arial"/>
            <family val="2"/>
          </rPr>
          <t xml:space="preserve">https://www.defense.gov/Newsroom/Contracts/Contract/Article/2406922/</t>
        </r>
      </text>
    </comment>
    <comment ref="E13" authorId="0">
      <text>
        <r>
          <rPr>
            <sz val="8"/>
            <color indexed="81"/>
            <rFont val="Arial"/>
            <family val="2"/>
          </rPr>
          <t xml:space="preserve">https://www.defense.gov/News/Contracts/Contract/Article/3479250/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6">
    <numFmt numFmtId="164" formatCode="#,##0.0;-#,##0.0;&quot;-&quot;"/>
    <numFmt numFmtId="165" formatCode="0.0%;-0.0%;&quot;-&quot;"/>
    <numFmt numFmtId="166" formatCode="&quot;$&quot;#,##0&quot;M&quot;"/>
    <numFmt numFmtId="167" formatCode="&quot;$&quot;0.0&quot;B&quot;"/>
    <numFmt numFmtId="168" formatCode="#,##0;-#,##0;&quot;-&quot;"/>
    <numFmt numFmtId="169" formatCode="yyyy\-mm\-dd"/>
  </numFmts>
  <fonts count="10">
    <font>
      <sz val="8"/>
      <name val="Arial"/>
      <color rgb="FF000000"/>
    </font>
    <font>
      <sz val="8"/>
      <name val="Arial"/>
      <b/>
      <color rgb="FF000000"/>
    </font>
    <font>
      <sz val="8"/>
      <name val="Arial"/>
      <b/>
      <color rgb="FFFFFFFF"/>
    </font>
    <font>
      <sz val="8"/>
      <name val="Arial"/>
      <color rgb="FF0000FF"/>
    </font>
    <font>
      <sz val="8"/>
      <name val="Arial"/>
      <color rgb="FF008000"/>
    </font>
    <font>
      <sz val="8"/>
      <name val="Arial"/>
      <i/>
      <color rgb="FF000000"/>
    </font>
    <font>
      <sz val="8"/>
      <name val="Arial"/>
      <i/>
      <color rgb="FF0000FF"/>
    </font>
    <font>
      <sz val="8"/>
      <name val="Arial"/>
      <i/>
      <color rgb="FF008000"/>
    </font>
    <font>
      <sz val="8"/>
      <name val="Arial"/>
      <b/>
      <i/>
      <color rgb="FF000000"/>
    </font>
    <font>
      <sz val="8"/>
      <name val="Arial"/>
      <i/>
      <color rgb="FF808080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2F2F2"/>
      </patternFill>
    </fill>
    <fill>
      <patternFill patternType="solid">
        <fgColor rgb="FFFFFACD"/>
      </patternFill>
    </fill>
  </fills>
  <borders count="10"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164" fontId="0" fillId="0" borderId="0" xfId="0" applyNumberFormat="1"/>
    <xf numFmtId="164" fontId="3" fillId="0" borderId="0" xfId="0" applyNumberFormat="1" applyFont="1"/>
    <xf numFmtId="165" fontId="5" fillId="0" borderId="0" xfId="0" applyNumberFormat="1" applyFont="1"/>
    <xf numFmtId="165" fontId="6" fillId="0" borderId="0" xfId="0" applyNumberFormat="1" applyFont="1"/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164" fontId="4" fillId="0" borderId="0" xfId="0" applyNumberFormat="1" applyFont="1"/>
    <xf numFmtId="165" fontId="7" fillId="0" borderId="0" xfId="0" applyNumberFormat="1" applyFont="1"/>
    <xf numFmtId="164" fontId="1" fillId="0" borderId="2" xfId="0" applyNumberFormat="1" applyFont="1" applyBorder="1"/>
    <xf numFmtId="165" fontId="8" fillId="0" borderId="2" xfId="0" applyNumberFormat="1" applyFont="1" applyBorder="1"/>
    <xf numFmtId="164" fontId="3" fillId="0" borderId="2" xfId="0" applyNumberFormat="1" applyFont="1" applyBorder="1"/>
    <xf numFmtId="0" fontId="0" fillId="0" borderId="2" xfId="0" applyBorder="1"/>
    <xf numFmtId="165" fontId="6" fillId="0" borderId="2" xfId="0" applyNumberFormat="1" applyFont="1" applyBorder="1"/>
    <xf numFmtId="164" fontId="4" fillId="0" borderId="2" xfId="0" applyNumberFormat="1" applyFont="1" applyBorder="1"/>
    <xf numFmtId="165" fontId="7" fillId="0" borderId="2" xfId="0" applyNumberFormat="1" applyFont="1" applyBorder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1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166" fontId="0" fillId="5" borderId="6" xfId="0" applyNumberFormat="1" applyFill="1" applyBorder="1"/>
    <xf numFmtId="166" fontId="0" fillId="5" borderId="1" xfId="0" applyNumberFormat="1" applyFill="1" applyBorder="1"/>
    <xf numFmtId="166" fontId="0" fillId="5" borderId="7" xfId="0" applyNumberFormat="1" applyFill="1" applyBorder="1"/>
    <xf numFmtId="166" fontId="0" fillId="5" borderId="9" xfId="0" applyNumberFormat="1" applyFill="1" applyBorder="1"/>
    <xf numFmtId="166" fontId="0" fillId="5" borderId="0" xfId="0" applyNumberFormat="1" applyFill="1"/>
    <xf numFmtId="167" fontId="0" fillId="5" borderId="6" xfId="0" applyNumberFormat="1" applyFill="1" applyBorder="1"/>
    <xf numFmtId="167" fontId="0" fillId="5" borderId="1" xfId="0" applyNumberFormat="1" applyFill="1" applyBorder="1"/>
    <xf numFmtId="167" fontId="0" fillId="5" borderId="7" xfId="0" applyNumberFormat="1" applyFill="1" applyBorder="1"/>
    <xf numFmtId="167" fontId="0" fillId="5" borderId="9" xfId="0" applyNumberFormat="1" applyFill="1" applyBorder="1"/>
    <xf numFmtId="167" fontId="0" fillId="5" borderId="0" xfId="0" applyNumberFormat="1" applyFill="1"/>
    <xf numFmtId="165" fontId="0" fillId="5" borderId="6" xfId="0" applyNumberFormat="1" applyFill="1" applyBorder="1"/>
    <xf numFmtId="165" fontId="0" fillId="5" borderId="1" xfId="0" applyNumberFormat="1" applyFill="1" applyBorder="1"/>
    <xf numFmtId="165" fontId="0" fillId="5" borderId="7" xfId="0" applyNumberFormat="1" applyFill="1" applyBorder="1"/>
    <xf numFmtId="165" fontId="0" fillId="5" borderId="9" xfId="0" applyNumberFormat="1" applyFill="1" applyBorder="1"/>
    <xf numFmtId="165" fontId="0" fillId="5" borderId="0" xfId="0" applyNumberFormat="1" applyFill="1"/>
    <xf numFmtId="0" fontId="9" fillId="0" borderId="0" xfId="0" applyFont="1" applyAlignment="1">
      <alignment horizontal="left" vertical="center"/>
    </xf>
    <xf numFmtId="168" fontId="0" fillId="0" borderId="0" xfId="0" applyNumberFormat="1"/>
    <xf numFmtId="168" fontId="3" fillId="0" borderId="0" xfId="0" applyNumberFormat="1" applyFont="1"/>
    <xf numFmtId="168" fontId="4" fillId="0" borderId="0" xfId="0" applyNumberFormat="1" applyFont="1"/>
    <xf numFmtId="168" fontId="1" fillId="0" borderId="2" xfId="0" applyNumberFormat="1" applyFont="1" applyBorder="1"/>
    <xf numFmtId="168" fontId="3" fillId="0" borderId="2" xfId="0" applyNumberFormat="1" applyFont="1" applyBorder="1"/>
    <xf numFmtId="168" fontId="4" fillId="0" borderId="2" xfId="0" applyNumberFormat="1" applyFont="1" applyBorder="1"/>
    <xf numFmtId="169" fontId="3" fillId="0" borderId="0" xfId="0" applyNumberFormat="1" applyFont="1"/>
    <xf numFmtId="169" fontId="3" fillId="0" borderId="2" xfId="0" applyNumberFormat="1" applyFont="1" applyBorder="1"/>
    <xf numFmtId="169" fontId="4" fillId="0" borderId="0" xfId="0" applyNumberFormat="1" applyFont="1"/>
    <xf numFmtId="169" fontId="4" fillId="0" borderId="2" xfId="0" applyNumberFormat="1" applyFont="1" applyBorder="1"/>
    <xf numFmtId="169" fontId="0" fillId="0" borderId="0" xfId="0" applyNumberFormat="1"/>
    <xf numFmtId="169" fontId="1" fillId="0" borderId="2" xfId="0" applyNumberFormat="1" applyFont="1" applyBorder="1"/>
  </cellXfs>
  <cellStyles count="1">
    <cellStyle name="Normal" xfId="0" builtinId="0"/>
  </cellStyles>
  <dxfs count="1">
    <dxf/>
  </dxfs>
  <tableStyles count="1" defaultTableStyle="WorkbookCore_NoFormatTable" defaultPivotStyle="PivotStyleLight16">
    <tableStyle name="WorkbookCore_NoFormatTable" pivot="0" table="1" count="13">
      <tableStyleElement type="wholeTable" dxfId="0"/>
      <tableStyleElement type="headerRow" dxfId="0"/>
      <tableStyleElement type="totalRow" dxfId="0"/>
      <tableStyleElement type="firstColumn" dxfId="0"/>
      <tableStyleElement type="lastColumn" dxfId="0"/>
      <tableStyleElement type="firstHeaderCell" dxfId="0"/>
      <tableStyleElement type="lastHeaderCell" dxfId="0"/>
      <tableStyleElement type="firstTotalCell" dxfId="0"/>
      <tableStyleElement type="lastTotalCell" dxfId="0"/>
      <tableStyleElement type="firstRowStripe" dxfId="0" size="1"/>
      <tableStyleElement type="secondRowStripe" dxfId="0" size="1"/>
      <tableStyleElement type="firstColumnStripe" dxfId="0" size="1"/>
      <tableStyleElement type="secondColumnStripe" dxfId="0" size="1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id="1" name="CostBase" displayName="CostBase" ref="B6:I21" totalsRowShown="0">
  <autoFilter ref="B6:I21"/>
  <tableColumns count="8">
    <tableColumn id="1" name="Program"/>
    <tableColumn id="2" name="FY"/>
    <tableColumn id="3" name="BC"/>
    <tableColumn id="4" name="GFE"/>
    <tableColumn id="5" name="Total"/>
    <tableColumn id="6" name="Plans+Other"/>
    <tableColumn id="7" name="BC %"/>
    <tableColumn id="8" name="FFATA"/>
  </tableColumns>
  <tableStyleInfo name="WorkbookCore_NoFormatTable" showFirstColumn="0" showLastColumn="0" showRowStripes="0" showColumnStripes="0"/>
</table>
</file>

<file path=xl/tables/table2.xml><?xml version="1.0" encoding="utf-8"?>
<table xmlns="http://schemas.openxmlformats.org/spreadsheetml/2006/main" id="2" name="Anchors" displayName="Anchors" ref="B6:F13" totalsRowShown="0">
  <autoFilter ref="B6:F13"/>
  <tableColumns count="5">
    <tableColumn id="1" name="Parameter"/>
    <tableColumn id="2" name="Value"/>
    <tableColumn id="3" name="Basis"/>
    <tableColumn id="4" name="Source"/>
    <tableColumn id="5" name="ID"/>
  </tableColumns>
  <tableStyleInfo name="WorkbookCore_NoFormatTable" showFirstColumn="0" showLastColumn="0" showRowStripes="0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comments" Target="../comments9.xml"/><Relationship Id="rId3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62626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2" customWidth="1"/>
    <col min="3" max="3" width="12" customWidth="1"/>
    <col min="4" max="4" width="12" customWidth="1"/>
    <col min="5" max="5" width="12" customWidth="1"/>
    <col min="6" max="6" width="12" customWidth="1"/>
  </cols>
  <sheetData>
    <row r="1"/>
    <row r="2">
      <c r="B2" s="8" t="inlineStr">
        <is>
          <t xml:space="preserve">Executive Summary</t>
        </is>
      </c>
      <c r="C2" s="8"/>
      <c r="D2" s="8"/>
      <c r="E2" s="8"/>
      <c r="F2" s="8"/>
    </row>
    <row r="4">
      <c r="A4" s="0" t="inlineStr">
        <is>
          <t xml:space="preserve">x</t>
        </is>
      </c>
      <c r="B4" s="9" t="inlineStr">
        <is>
          <t xml:space="preserve">§1 - Scope</t>
        </is>
      </c>
      <c r="C4" s="9"/>
      <c r="D4" s="9"/>
      <c r="E4" s="9"/>
      <c r="F4" s="9"/>
    </row>
    <row r="6" outlineLevel="1">
      <c r="B6" s="0" t="inlineStr">
        <is>
          <t xml:space="preserve">Question</t>
        </is>
      </c>
      <c r="C6" s="0" t="inlineStr">
        <is>
          <t xml:space="preserve">Theoretical ceiling on new-construction outsourcing $ (and the irreducible core)</t>
        </is>
      </c>
    </row>
    <row r="7" outlineLevel="1">
      <c r="B7" s="0" t="inlineStr">
        <is>
          <t xml:space="preserve">Programs</t>
        </is>
      </c>
      <c r="C7" s="0" t="inlineStr">
        <is>
          <t xml:space="preserve">Virginia, Columbia, DDG-51</t>
        </is>
      </c>
    </row>
    <row r="8" outlineLevel="1">
      <c r="B8" s="0" t="inlineStr">
        <is>
          <t xml:space="preserve">Window / units</t>
        </is>
      </c>
      <c r="C8" s="0" t="inlineStr">
        <is>
          <t xml:space="preserve">FY2022-2027 - then-year $M (P-5c); ratios unit-invariant</t>
        </is>
      </c>
    </row>
    <row r="9" outlineLevel="1">
      <c r="B9" s="0" t="inlineStr">
        <is>
          <t xml:space="preserve">Frame</t>
        </is>
      </c>
      <c r="C9" s="0" t="inlineStr">
        <is>
          <t xml:space="preserve">POP / distributed leads; make/buy = reference (Headroom)</t>
        </is>
      </c>
    </row>
    <row r="12">
      <c r="A12" s="0" t="inlineStr">
        <is>
          <t xml:space="preserve">x</t>
        </is>
      </c>
      <c r="B12" s="9" t="inlineStr">
        <is>
          <t xml:space="preserve">§2 - Headline (share of Basic Construction)</t>
        </is>
      </c>
      <c r="C12" s="9"/>
      <c r="D12" s="9"/>
      <c r="E12" s="9"/>
      <c r="F12" s="9"/>
    </row>
    <row r="14">
      <c r="B14" s="2" t="inlineStr">
        <is>
          <t xml:space="preserve">Measure</t>
        </is>
      </c>
      <c r="C14" s="22" t="inlineStr">
        <is>
          <t xml:space="preserve">Virginia</t>
        </is>
      </c>
      <c r="D14" s="22" t="inlineStr">
        <is>
          <t xml:space="preserve">Columbia</t>
        </is>
      </c>
      <c r="E14" s="22" t="inlineStr">
        <is>
          <t xml:space="preserve">DDG-51</t>
        </is>
      </c>
      <c r="F14" s="22" t="inlineStr">
        <is>
          <t xml:space="preserve">Portfolio</t>
        </is>
      </c>
    </row>
    <row r="15" outlineLevel="1">
      <c r="B15" s="0" t="inlineStr">
        <is>
          <t xml:space="preserve">Irreducible core %</t>
        </is>
      </c>
      <c r="C15" s="12">
        <f>'Ceiling Model'!C10</f>
      </c>
      <c r="D15" s="12">
        <f>'Ceiling Model'!D10</f>
      </c>
      <c r="E15" s="12">
        <f>'Ceiling Model'!E10</f>
      </c>
      <c r="F15" s="12">
        <f>'Ceiling Model'!F10</f>
      </c>
    </row>
    <row r="16" outlineLevel="1">
      <c r="B16" s="0" t="inlineStr">
        <is>
          <t xml:space="preserve">Structural ceiling % (p=1 upper bound)</t>
        </is>
      </c>
      <c r="C16" s="12">
        <f>'Ceiling Model'!C11</f>
      </c>
      <c r="D16" s="12">
        <f>'Ceiling Model'!D11</f>
      </c>
      <c r="E16" s="12">
        <f>'Ceiling Model'!E11</f>
      </c>
      <c r="F16" s="12">
        <f>'Ceiling Model'!F11</f>
      </c>
    </row>
    <row r="17" outlineLevel="1">
      <c r="B17" s="0" t="inlineStr">
        <is>
          <t xml:space="preserve">Selected pass-through case % (p=50%)</t>
        </is>
      </c>
      <c r="C17" s="12">
        <f>'Conversion Bridge'!C13</f>
      </c>
      <c r="D17" s="12">
        <f>'Conversion Bridge'!D13</f>
      </c>
      <c r="E17" s="12">
        <f>'Conversion Bridge'!E13</f>
      </c>
      <c r="F17" s="12">
        <f>'Conversion Bridge'!F13</f>
      </c>
    </row>
    <row r="18" outlineLevel="1">
      <c r="B18" s="0" t="inlineStr">
        <is>
          <t xml:space="preserve">Ceiling $M (FY22-27)</t>
        </is>
      </c>
      <c r="C18" s="11">
        <f>'Ceiling Model'!C13</f>
      </c>
      <c r="D18" s="11">
        <f>'Ceiling Model'!D13</f>
      </c>
      <c r="E18" s="11">
        <f>'Ceiling Model'!E13</f>
      </c>
      <c r="F18" s="11">
        <f>'Ceiling Model'!F13</f>
      </c>
    </row>
    <row r="19" outlineLevel="1">
      <c r="B19" s="0" t="inlineStr">
        <is>
          <t xml:space="preserve">Headroom x vs current outsourcing</t>
        </is>
      </c>
      <c r="C19" s="11">
        <f>'Headroom'!C10</f>
      </c>
      <c r="D19" s="11">
        <f>'Headroom'!D10</f>
      </c>
      <c r="E19" s="11">
        <f>'Headroom'!E10</f>
      </c>
      <c r="F19" s="11">
        <f>'Headroom'!F10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56B2F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52" customWidth="1"/>
    <col min="3" max="3" width="13" customWidth="1"/>
    <col min="4" max="4" width="13" customWidth="1"/>
    <col min="5" max="5" width="13" customWidth="1"/>
  </cols>
  <sheetData>
    <row r="1"/>
    <row r="2">
      <c r="B2" s="8" t="inlineStr">
        <is>
          <t xml:space="preserve">Assumptions</t>
        </is>
      </c>
      <c r="C2" s="8"/>
      <c r="D2" s="8"/>
      <c r="E2" s="8"/>
    </row>
    <row r="4">
      <c r="A4" s="0" t="inlineStr">
        <is>
          <t xml:space="preserve">x</t>
        </is>
      </c>
      <c r="B4" s="9" t="inlineStr">
        <is>
          <t xml:space="preserve">§1 - Run settings</t>
        </is>
      </c>
      <c r="C4" s="9"/>
      <c r="D4" s="9"/>
      <c r="E4" s="9"/>
    </row>
    <row r="6">
      <c r="B6" s="2" t="inlineStr">
        <is>
          <t xml:space="preserve">Setting</t>
        </is>
      </c>
      <c r="C6" s="2" t="inlineStr">
        <is>
          <t xml:space="preserve">Value</t>
        </is>
      </c>
    </row>
    <row r="7" outlineLevel="1">
      <c r="B7" s="0" t="inlineStr">
        <is>
          <t xml:space="preserve">Program scope</t>
        </is>
      </c>
      <c r="C7" s="0" t="inlineStr">
        <is>
          <t xml:space="preserve">Virginia, Columbia, DDG-51</t>
        </is>
      </c>
    </row>
    <row r="8" outlineLevel="1">
      <c r="B8" s="0" t="inlineStr">
        <is>
          <t xml:space="preserve">FY window</t>
        </is>
      </c>
      <c r="C8" s="0" t="inlineStr">
        <is>
          <t xml:space="preserve">FY2022-2027</t>
        </is>
      </c>
    </row>
    <row r="9" outlineLevel="1">
      <c r="B9" s="0" t="inlineStr">
        <is>
          <t xml:space="preserve">Units</t>
        </is>
      </c>
      <c r="C9" s="0" t="inlineStr">
        <is>
          <t xml:space="preserve">Then-year $M (P-5c as reported); ratios unit-invariant</t>
        </is>
      </c>
    </row>
    <row r="10" outlineLevel="1">
      <c r="B10" s="0" t="inlineStr">
        <is>
          <t xml:space="preserve">Lead frame</t>
        </is>
      </c>
      <c r="C10" s="0" t="inlineStr">
        <is>
          <t xml:space="preserve">POP / distributed (make/buy = reference footnote)</t>
        </is>
      </c>
    </row>
    <row r="13">
      <c r="A13" s="0" t="inlineStr">
        <is>
          <t xml:space="preserve">x</t>
        </is>
      </c>
      <c r="B13" s="9" t="inlineStr">
        <is>
          <t xml:space="preserve">§2 - Core parameters (share of Basic Construction)</t>
        </is>
      </c>
      <c r="C13" s="9"/>
      <c r="D13" s="9"/>
      <c r="E13" s="9"/>
    </row>
    <row r="15">
      <c r="B15" s="2" t="inlineStr">
        <is>
          <t xml:space="preserve">Parameter</t>
        </is>
      </c>
      <c r="C15" s="22" t="inlineStr">
        <is>
          <t xml:space="preserve">Virginia</t>
        </is>
      </c>
      <c r="D15" s="22" t="inlineStr">
        <is>
          <t xml:space="preserve">Columbia</t>
        </is>
      </c>
      <c r="E15" s="22" t="inlineStr">
        <is>
          <t xml:space="preserve">DDG-51</t>
        </is>
      </c>
    </row>
    <row r="16" outlineLevel="1">
      <c r="B16" s="0" t="inlineStr">
        <is>
          <t xml:space="preserve">h - outsourceable labor-hour share</t>
        </is>
      </c>
      <c r="C16" s="7">
        <v>0.5</v>
      </c>
      <c r="D16" s="7">
        <v>0.5</v>
      </c>
      <c r="E16" s="7">
        <v>0.55</v>
      </c>
    </row>
    <row r="17" outlineLevel="1">
      <c r="B17" s="0" t="inlineStr">
        <is>
          <t xml:space="preserve">L - shipyard labor share of BC</t>
        </is>
      </c>
      <c r="C17" s="7">
        <v>0.5</v>
      </c>
      <c r="D17" s="7">
        <v>0.5</v>
      </c>
      <c r="E17" s="7">
        <v>0.45</v>
      </c>
    </row>
    <row r="19">
      <c r="B19" s="2" t="inlineStr">
        <is>
          <t xml:space="preserve">Selected material pass-through</t>
        </is>
      </c>
      <c r="C19" s="22" t="inlineStr">
        <is>
          <t xml:space="preserve">Value</t>
        </is>
      </c>
    </row>
    <row r="20" outlineLevel="1">
      <c r="B20" s="0" t="inlineStr">
        <is>
          <t xml:space="preserve">p - pass-through material in outsourced packages</t>
        </is>
      </c>
      <c r="C20" s="7">
        <v>0.5</v>
      </c>
    </row>
    <row r="22">
      <c r="B22" s="2" t="inlineStr">
        <is>
          <t xml:space="preserve">L rebase: 40% of total cost to share of BC</t>
        </is>
      </c>
      <c r="C22" s="22" t="inlineStr">
        <is>
          <t xml:space="preserve">Value</t>
        </is>
      </c>
    </row>
    <row r="23" outlineLevel="1">
      <c r="B23" s="0" t="inlineStr">
        <is>
          <t xml:space="preserve">Labor share of total ship cost (CRS/CBO, A2/A3)</t>
        </is>
      </c>
      <c r="C23" s="6">
        <v>0.4</v>
      </c>
    </row>
    <row r="24" outlineLevel="1">
      <c r="B24" s="0" t="inlineStr">
        <is>
          <t xml:space="preserve">Portfolio BC / total ship cost (Cost Base)</t>
        </is>
      </c>
      <c r="C24" s="6">
        <f>(SUMIF('Cost Base'!$B$7:$B$21,"Virginia",'Cost Base'!$D$7:$D$21)+SUMIF('Cost Base'!$B$7:$B$21,"Columbia",'Cost Base'!$D$7:$D$21)+SUMIF('Cost Base'!$B$7:$B$21,"DDG-51",'Cost Base'!$D$7:$D$21))/(SUMIF('Cost Base'!$B$7:$B$21,"Virginia",'Cost Base'!$F$7:$F$21)+SUMIF('Cost Base'!$B$7:$B$21,"Columbia",'Cost Base'!$F$7:$F$21)+SUMIF('Cost Base'!$B$7:$B$21,"DDG-51",'Cost Base'!$F$7:$F$21))</f>
      </c>
    </row>
    <row r="25" outlineLevel="1">
      <c r="B25" s="0" t="inlineStr">
        <is>
          <t xml:space="preserve">Implied L of BC if all labor sat in BC</t>
        </is>
      </c>
      <c r="C25" s="6">
        <f>C23/C24</f>
      </c>
    </row>
    <row r="26" outlineLevel="1">
      <c r="B26" s="0" t="inlineStr">
        <is>
          <t xml:space="preserve">Selected L of BC: subs 50% / DDG 45% (see L above)</t>
        </is>
      </c>
    </row>
    <row r="29">
      <c r="A29" s="0" t="inlineStr">
        <is>
          <t xml:space="preserve">x</t>
        </is>
      </c>
      <c r="B29" s="9" t="inlineStr">
        <is>
          <t xml:space="preserve">§3 - Current-state anchors (reference)</t>
        </is>
      </c>
      <c r="C29" s="9"/>
      <c r="D29" s="9"/>
      <c r="E29" s="9"/>
    </row>
    <row r="31">
      <c r="B31" s="2" t="inlineStr">
        <is>
          <t xml:space="preserve">Anchor</t>
        </is>
      </c>
      <c r="C31" s="22" t="inlineStr">
        <is>
          <t xml:space="preserve">Virginia</t>
        </is>
      </c>
      <c r="D31" s="22" t="inlineStr">
        <is>
          <t xml:space="preserve">Columbia</t>
        </is>
      </c>
      <c r="E31" s="22" t="inlineStr">
        <is>
          <t xml:space="preserve">DDG-51</t>
        </is>
      </c>
    </row>
    <row r="32" outlineLevel="1">
      <c r="B32" s="0" t="inlineStr">
        <is>
          <t xml:space="preserve">Current off-team work (announced POP)</t>
        </is>
      </c>
      <c r="C32" s="7">
        <v>0.34</v>
      </c>
      <c r="D32" s="7">
        <v>0.22</v>
      </c>
      <c r="E32" s="7">
        <v>0.13</v>
      </c>
    </row>
    <row r="34">
      <c r="B34" s="2" t="inlineStr">
        <is>
          <t xml:space="preserve">Make/buy bought-out band (share of BC, all classes)</t>
        </is>
      </c>
      <c r="C34" s="22" t="inlineStr">
        <is>
          <t xml:space="preserve">Value</t>
        </is>
      </c>
    </row>
    <row r="35" outlineLevel="1">
      <c r="B35" s="0" t="inlineStr">
        <is>
          <t xml:space="preserve">Low</t>
        </is>
      </c>
      <c r="C35" s="7">
        <v>0.5</v>
      </c>
    </row>
    <row r="36" outlineLevel="1">
      <c r="B36" s="0" t="inlineStr">
        <is>
          <t xml:space="preserve">Mid</t>
        </is>
      </c>
      <c r="C36" s="7">
        <v>0.6</v>
      </c>
    </row>
    <row r="37" outlineLevel="1">
      <c r="B37" s="0" t="inlineStr">
        <is>
          <t xml:space="preserve">High</t>
        </is>
      </c>
      <c r="C37" s="7">
        <v>0.65</v>
      </c>
    </row>
  </sheetData>
  <dataValidations count="4">
    <dataValidation type="decimal" operator="between" allowBlank="1" showErrorMessage="1" sqref="C16:E17">
      <formula1>0</formula1>
      <formula2>1</formula2>
    </dataValidation>
    <dataValidation type="decimal" operator="between" allowBlank="1" showErrorMessage="1" sqref="C20">
      <formula1>0</formula1>
      <formula2>1</formula2>
    </dataValidation>
    <dataValidation type="decimal" operator="between" allowBlank="1" showErrorMessage="1" sqref="C32:E32">
      <formula1>0</formula1>
      <formula2>1</formula2>
    </dataValidation>
    <dataValidation type="decimal" operator="between" allowBlank="1" showErrorMessage="1" sqref="C35:C37">
      <formula1>0</formula1>
      <formula2>1</formula2>
    </dataValidation>
  </dataValidation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8596B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0" customWidth="1"/>
    <col min="3" max="3" width="12" customWidth="1"/>
    <col min="4" max="4" width="12" customWidth="1"/>
    <col min="5" max="5" width="12" customWidth="1"/>
    <col min="6" max="6" width="12" customWidth="1"/>
  </cols>
  <sheetData>
    <row r="1"/>
    <row r="2">
      <c r="B2" s="8" t="inlineStr">
        <is>
          <t xml:space="preserve">Ceiling Model</t>
        </is>
      </c>
      <c r="C2" s="8"/>
      <c r="D2" s="8"/>
      <c r="E2" s="8"/>
      <c r="F2" s="8"/>
    </row>
    <row r="4">
      <c r="A4" s="0" t="inlineStr">
        <is>
          <t xml:space="preserve">x</t>
        </is>
      </c>
      <c r="B4" s="9" t="inlineStr">
        <is>
          <t xml:space="preserve">§1 - Outsourcing ceiling (share of Basic Construction)</t>
        </is>
      </c>
      <c r="C4" s="9"/>
      <c r="D4" s="9"/>
      <c r="E4" s="9"/>
      <c r="F4" s="9"/>
    </row>
    <row r="6">
      <c r="B6" s="2" t="inlineStr">
        <is>
          <t xml:space="preserve">Measure</t>
        </is>
      </c>
      <c r="C6" s="22" t="inlineStr">
        <is>
          <t xml:space="preserve">Virginia</t>
        </is>
      </c>
      <c r="D6" s="22" t="inlineStr">
        <is>
          <t xml:space="preserve">Columbia</t>
        </is>
      </c>
      <c r="E6" s="22" t="inlineStr">
        <is>
          <t xml:space="preserve">DDG-51</t>
        </is>
      </c>
      <c r="F6" s="22" t="inlineStr">
        <is>
          <t xml:space="preserve">Portfolio</t>
        </is>
      </c>
    </row>
    <row r="7" outlineLevel="1">
      <c r="B7" s="0" t="inlineStr">
        <is>
          <t xml:space="preserve">BC base (cumulative FY22-27, $M)</t>
        </is>
      </c>
      <c r="C7" s="11">
        <f>SUMIF('Cost Base'!$B$7:$B$21,"Virginia",'Cost Base'!$D$7:$D$21)</f>
      </c>
      <c r="D7" s="11">
        <f>SUMIF('Cost Base'!$B$7:$B$21,"Columbia",'Cost Base'!$D$7:$D$21)</f>
      </c>
      <c r="E7" s="11">
        <f>SUMIF('Cost Base'!$B$7:$B$21,"DDG-51",'Cost Base'!$D$7:$D$21)</f>
      </c>
      <c r="F7" s="4">
        <f>SUM(C7:E7)</f>
      </c>
    </row>
    <row r="8" outlineLevel="1">
      <c r="B8" s="0" t="inlineStr">
        <is>
          <t xml:space="preserve">L - shipyard labor share of BC</t>
        </is>
      </c>
      <c r="C8" s="12">
        <f>'Assumptions'!C17</f>
      </c>
      <c r="D8" s="12">
        <f>'Assumptions'!D17</f>
      </c>
      <c r="E8" s="12">
        <f>'Assumptions'!E17</f>
      </c>
    </row>
    <row r="9" outlineLevel="1">
      <c r="B9" s="0" t="inlineStr">
        <is>
          <t xml:space="preserve">h - outsourceable labor-hour share</t>
        </is>
      </c>
      <c r="C9" s="12">
        <f>'Assumptions'!C16</f>
      </c>
      <c r="D9" s="12">
        <f>'Assumptions'!D16</f>
      </c>
      <c r="E9" s="12">
        <f>'Assumptions'!E16</f>
      </c>
    </row>
    <row r="10" outlineLevel="1">
      <c r="B10" s="1" t="inlineStr">
        <is>
          <t xml:space="preserve">Core % = L x (1 - h)</t>
        </is>
      </c>
      <c r="C10" s="6">
        <f>C8*(1-C9)</f>
      </c>
      <c r="D10" s="6">
        <f>D8*(1-D9)</f>
      </c>
      <c r="E10" s="6">
        <f>E8*(1-E9)</f>
      </c>
      <c r="F10" s="6">
        <f>IF(F7=0,0,F12/F7)</f>
      </c>
    </row>
    <row r="11" outlineLevel="1">
      <c r="B11" s="1" t="inlineStr">
        <is>
          <t xml:space="preserve">Ceiling % = 1 - core</t>
        </is>
      </c>
      <c r="C11" s="6">
        <f>1-C10</f>
      </c>
      <c r="D11" s="6">
        <f>1-D10</f>
      </c>
      <c r="E11" s="6">
        <f>1-E10</f>
      </c>
      <c r="F11" s="6">
        <f>1-F10</f>
      </c>
    </row>
    <row r="12" outlineLevel="1">
      <c r="B12" s="0" t="inlineStr">
        <is>
          <t xml:space="preserve">Core $M (never-outsourced)</t>
        </is>
      </c>
      <c r="C12" s="4">
        <f>C10*C7</f>
      </c>
      <c r="D12" s="4">
        <f>D10*D7</f>
      </c>
      <c r="E12" s="4">
        <f>E10*E7</f>
      </c>
      <c r="F12" s="4">
        <f>SUM(C12:E12)</f>
      </c>
    </row>
    <row r="13" outlineLevel="1">
      <c r="B13" s="1" t="inlineStr">
        <is>
          <t xml:space="preserve">Ceiling $M (outsourceable)</t>
        </is>
      </c>
      <c r="C13" s="4">
        <f>C11*C7</f>
      </c>
      <c r="D13" s="4">
        <f>D11*D7</f>
      </c>
      <c r="E13" s="4">
        <f>E11*E7</f>
      </c>
      <c r="F13" s="4">
        <f>SUM(C13:E13)</f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48596B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8" customWidth="1"/>
    <col min="3" max="3" width="12" customWidth="1"/>
    <col min="4" max="4" width="12" customWidth="1"/>
    <col min="5" max="5" width="12" customWidth="1"/>
    <col min="6" max="6" width="12" customWidth="1"/>
  </cols>
  <sheetData>
    <row r="1"/>
    <row r="2">
      <c r="B2" s="8" t="inlineStr">
        <is>
          <t xml:space="preserve">Conversion Bridge</t>
        </is>
      </c>
      <c r="C2" s="8"/>
      <c r="D2" s="8"/>
      <c r="E2" s="8"/>
      <c r="F2" s="8"/>
    </row>
    <row r="4">
      <c r="A4" s="0" t="inlineStr">
        <is>
          <t xml:space="preserve">x</t>
        </is>
      </c>
      <c r="B4" s="9" t="inlineStr">
        <is>
          <t xml:space="preserve">§1 - Hours-to-dollars bridge (outsourced share of BC)</t>
        </is>
      </c>
      <c r="C4" s="9"/>
      <c r="D4" s="9"/>
      <c r="E4" s="9"/>
      <c r="F4" s="9"/>
    </row>
    <row r="6">
      <c r="B6" s="2" t="inlineStr">
        <is>
          <t xml:space="preserve">Measure</t>
        </is>
      </c>
      <c r="C6" s="22" t="inlineStr">
        <is>
          <t xml:space="preserve">Virginia</t>
        </is>
      </c>
      <c r="D6" s="22" t="inlineStr">
        <is>
          <t xml:space="preserve">Columbia</t>
        </is>
      </c>
      <c r="E6" s="22" t="inlineStr">
        <is>
          <t xml:space="preserve">DDG-51</t>
        </is>
      </c>
      <c r="F6" s="22" t="inlineStr">
        <is>
          <t xml:space="preserve">Portfolio</t>
        </is>
      </c>
    </row>
    <row r="7" outlineLevel="1">
      <c r="B7" s="0" t="inlineStr">
        <is>
          <t xml:space="preserve">BC base (cumulative FY22-27, $M)</t>
        </is>
      </c>
      <c r="C7" s="11">
        <f>'Ceiling Model'!C7</f>
      </c>
      <c r="D7" s="11">
        <f>'Ceiling Model'!D7</f>
      </c>
      <c r="E7" s="11">
        <f>'Ceiling Model'!E7</f>
      </c>
      <c r="F7" s="4">
        <f>SUM(C7:E7)</f>
      </c>
    </row>
    <row r="8" outlineLevel="1">
      <c r="B8" s="0" t="inlineStr">
        <is>
          <t xml:space="preserve">L - shipyard labor share of BC</t>
        </is>
      </c>
      <c r="C8" s="12">
        <f>'Assumptions'!C17</f>
      </c>
      <c r="D8" s="12">
        <f>'Assumptions'!D17</f>
      </c>
      <c r="E8" s="12">
        <f>'Assumptions'!E17</f>
      </c>
    </row>
    <row r="9" outlineLevel="1">
      <c r="B9" s="0" t="inlineStr">
        <is>
          <t xml:space="preserve">h - outsourceable labor-hour share</t>
        </is>
      </c>
      <c r="C9" s="12">
        <f>'Assumptions'!C16</f>
      </c>
      <c r="D9" s="12">
        <f>'Assumptions'!D16</f>
      </c>
      <c r="E9" s="12">
        <f>'Assumptions'!E16</f>
      </c>
    </row>
    <row r="10" outlineLevel="1">
      <c r="B10" s="0" t="inlineStr">
        <is>
          <t xml:space="preserve">p - pass-through material (active)</t>
        </is>
      </c>
      <c r="C10" s="12">
        <f>'Assumptions'!C20</f>
      </c>
    </row>
    <row r="11" outlineLevel="1">
      <c r="B11" s="0" t="inlineStr">
        <is>
          <t xml:space="preserve">Material share M = 1 - L</t>
        </is>
      </c>
      <c r="C11" s="6">
        <f>1-C8</f>
      </c>
      <c r="D11" s="6">
        <f>1-D8</f>
      </c>
      <c r="E11" s="6">
        <f>1-E8</f>
      </c>
    </row>
    <row r="12" outlineLevel="1">
      <c r="B12" s="0" t="inlineStr">
        <is>
          <t xml:space="preserve">Outsourced share, labor-only (p=0) = h x L</t>
        </is>
      </c>
      <c r="C12" s="6">
        <f>C9*C8</f>
      </c>
      <c r="D12" s="6">
        <f>D9*D8</f>
      </c>
      <c r="E12" s="6">
        <f>E9*E8</f>
      </c>
      <c r="F12" s="6">
        <f>IF(F7=0,0,SUMPRODUCT(C12:E12,C7:E7)/F7)</f>
      </c>
    </row>
    <row r="13" outlineLevel="1">
      <c r="B13" s="1" t="inlineStr">
        <is>
          <t xml:space="preserve">Outsourced share, active p = hL + pM</t>
        </is>
      </c>
      <c r="C13" s="6">
        <f>C9*C8+'Assumptions'!C20*C11</f>
      </c>
      <c r="D13" s="6">
        <f>D9*D8+'Assumptions'!C20*D11</f>
      </c>
      <c r="E13" s="6">
        <f>E9*E8+'Assumptions'!C20*E11</f>
      </c>
      <c r="F13" s="6">
        <f>IF(F7=0,0,F15/F7)</f>
      </c>
    </row>
    <row r="14" outlineLevel="1">
      <c r="B14" s="0" t="inlineStr">
        <is>
          <t xml:space="preserve">Outsourced share, material-incl (p=1) = hL + M</t>
        </is>
      </c>
      <c r="C14" s="6">
        <f>C9*C8+C11</f>
      </c>
      <c r="D14" s="6">
        <f>D9*D8+D11</f>
      </c>
      <c r="E14" s="6">
        <f>E9*E8+E11</f>
      </c>
      <c r="F14" s="6">
        <f>IF(F7=0,0,SUMPRODUCT(C14:E14,C7:E7)/F7)</f>
      </c>
    </row>
    <row r="15" outlineLevel="1">
      <c r="B15" s="1" t="inlineStr">
        <is>
          <t xml:space="preserve">Outsourced $M (active p)</t>
        </is>
      </c>
      <c r="C15" s="4">
        <f>C13*C7</f>
      </c>
      <c r="D15" s="4">
        <f>D13*D7</f>
      </c>
      <c r="E15" s="4">
        <f>E13*E7</f>
      </c>
      <c r="F15" s="4">
        <f>SUM(C15:E15)</f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8596B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6" customWidth="1"/>
    <col min="3" max="3" width="12" customWidth="1"/>
    <col min="4" max="4" width="12" customWidth="1"/>
    <col min="5" max="5" width="12" customWidth="1"/>
    <col min="6" max="6" width="12" customWidth="1"/>
  </cols>
  <sheetData>
    <row r="1"/>
    <row r="2">
      <c r="B2" s="8" t="inlineStr">
        <is>
          <t xml:space="preserve">Headroom</t>
        </is>
      </c>
      <c r="C2" s="8"/>
      <c r="D2" s="8"/>
      <c r="E2" s="8"/>
      <c r="F2" s="8"/>
    </row>
    <row r="4">
      <c r="A4" s="0" t="inlineStr">
        <is>
          <t xml:space="preserve">x</t>
        </is>
      </c>
      <c r="B4" s="9" t="inlineStr">
        <is>
          <t xml:space="preserve">§1 - Headroom over current outsourcing (POP frame; $M, x)</t>
        </is>
      </c>
      <c r="C4" s="9"/>
      <c r="D4" s="9"/>
      <c r="E4" s="9"/>
      <c r="F4" s="9"/>
    </row>
    <row r="6">
      <c r="B6" s="2" t="inlineStr">
        <is>
          <t xml:space="preserve">Measure</t>
        </is>
      </c>
      <c r="C6" s="22" t="inlineStr">
        <is>
          <t xml:space="preserve">Virginia</t>
        </is>
      </c>
      <c r="D6" s="22" t="inlineStr">
        <is>
          <t xml:space="preserve">Columbia</t>
        </is>
      </c>
      <c r="E6" s="22" t="inlineStr">
        <is>
          <t xml:space="preserve">DDG-51</t>
        </is>
      </c>
      <c r="F6" s="22" t="inlineStr">
        <is>
          <t xml:space="preserve">Portfolio</t>
        </is>
      </c>
    </row>
    <row r="7" outlineLevel="1">
      <c r="B7" s="0" t="inlineStr">
        <is>
          <t xml:space="preserve">BC base (cumulative FY22-27, $M)</t>
        </is>
      </c>
      <c r="C7" s="11">
        <f>'Ceiling Model'!C7</f>
      </c>
      <c r="D7" s="11">
        <f>'Ceiling Model'!D7</f>
      </c>
      <c r="E7" s="11">
        <f>'Ceiling Model'!E7</f>
      </c>
      <c r="F7" s="4">
        <f>SUM(C7:E7)</f>
      </c>
    </row>
    <row r="8" outlineLevel="1">
      <c r="B8" s="0" t="inlineStr">
        <is>
          <t xml:space="preserve">Current off-team work (POP)</t>
        </is>
      </c>
      <c r="C8" s="12">
        <f>'Assumptions'!C32</f>
      </c>
      <c r="D8" s="12">
        <f>'Assumptions'!D32</f>
      </c>
      <c r="E8" s="12">
        <f>'Assumptions'!E32</f>
      </c>
      <c r="F8" s="6">
        <f>IF(F7=0,0,F11/F7)</f>
      </c>
    </row>
    <row r="9" outlineLevel="1">
      <c r="B9" s="0" t="inlineStr">
        <is>
          <t xml:space="preserve">Ceiling %</t>
        </is>
      </c>
      <c r="C9" s="12">
        <f>'Ceiling Model'!C11</f>
      </c>
      <c r="D9" s="12">
        <f>'Ceiling Model'!D11</f>
      </c>
      <c r="E9" s="12">
        <f>'Ceiling Model'!E11</f>
      </c>
      <c r="F9" s="6">
        <f>IF(F7=0,0,F12/F7)</f>
      </c>
    </row>
    <row r="10" outlineLevel="1">
      <c r="B10" s="1" t="inlineStr">
        <is>
          <t xml:space="preserve">Headroom x = ceiling / current</t>
        </is>
      </c>
      <c r="C10" s="4">
        <f>IF(C8=0,0,C9/C8)</f>
      </c>
      <c r="D10" s="4">
        <f>IF(D8=0,0,D9/D8)</f>
      </c>
      <c r="E10" s="4">
        <f>IF(E8=0,0,E9/E8)</f>
      </c>
      <c r="F10" s="4">
        <f>IF(F8=0,0,F9/F8)</f>
      </c>
    </row>
    <row r="11" outlineLevel="1">
      <c r="B11" s="0" t="inlineStr">
        <is>
          <t xml:space="preserve">Current outsourced $M = POP x BC</t>
        </is>
      </c>
      <c r="C11" s="4">
        <f>C8*C7</f>
      </c>
      <c r="D11" s="4">
        <f>D8*D7</f>
      </c>
      <c r="E11" s="4">
        <f>E8*E7</f>
      </c>
      <c r="F11" s="4">
        <f>SUM(C11:E11)</f>
      </c>
    </row>
    <row r="12" outlineLevel="1">
      <c r="B12" s="1" t="inlineStr">
        <is>
          <t xml:space="preserve">Ceiling $M (outsourceable)</t>
        </is>
      </c>
      <c r="C12" s="11">
        <f>'Ceiling Model'!C13</f>
      </c>
      <c r="D12" s="11">
        <f>'Ceiling Model'!D13</f>
      </c>
      <c r="E12" s="11">
        <f>'Ceiling Model'!E13</f>
      </c>
      <c r="F12" s="4">
        <f>SUM(C12:E12)</f>
      </c>
    </row>
    <row r="13" outlineLevel="1">
      <c r="B13" s="0" t="inlineStr">
        <is>
          <t xml:space="preserve">FFATA-visible subawards $M (observed floor)</t>
        </is>
      </c>
      <c r="C13" s="11">
        <f>SUMIF('Cost Base'!$B$7:$B$21,"Virginia",'Cost Base'!$I$7:$I$21)</f>
      </c>
      <c r="D13" s="11">
        <f>SUMIF('Cost Base'!$B$7:$B$21,"Columbia",'Cost Base'!$I$7:$I$21)</f>
      </c>
      <c r="E13" s="11">
        <f>SUMIF('Cost Base'!$B$7:$B$21,"DDG-51",'Cost Base'!$I$7:$I$21)</f>
      </c>
      <c r="F13" s="4">
        <f>SUM(C13:E13)</f>
      </c>
    </row>
    <row r="14" outlineLevel="1">
      <c r="B14" s="0" t="inlineStr">
        <is>
          <t xml:space="preserve">Make/buy reference $M (mid band, footnote)</t>
        </is>
      </c>
      <c r="C14" s="4">
        <f>'Assumptions'!C36*C7</f>
      </c>
      <c r="D14" s="4">
        <f>'Assumptions'!C36*D7</f>
      </c>
      <c r="E14" s="4">
        <f>'Assumptions'!C36*E7</f>
      </c>
      <c r="F14" s="4">
        <f>SUM(C14:E14)</f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03864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11" customWidth="1"/>
    <col min="3" max="3" width="7" customWidth="1"/>
    <col min="4" max="4" width="11" customWidth="1"/>
    <col min="5" max="5" width="11" customWidth="1"/>
    <col min="6" max="6" width="12" customWidth="1"/>
    <col min="7" max="7" width="13" customWidth="1"/>
    <col min="8" max="8" width="10" customWidth="1"/>
    <col min="9" max="9" width="11" customWidth="1"/>
  </cols>
  <sheetData>
    <row r="1"/>
    <row r="2">
      <c r="B2" s="8" t="inlineStr">
        <is>
          <t xml:space="preserve">Cost Base</t>
        </is>
      </c>
      <c r="C2" s="8"/>
      <c r="D2" s="8"/>
      <c r="E2" s="8"/>
      <c r="F2" s="8"/>
      <c r="G2" s="8"/>
      <c r="H2" s="8"/>
      <c r="I2" s="8"/>
    </row>
    <row r="4">
      <c r="A4" s="0" t="inlineStr">
        <is>
          <t xml:space="preserve">x</t>
        </is>
      </c>
      <c r="B4" s="9" t="inlineStr">
        <is>
          <t xml:space="preserve">§1 - P-5c cost base ($M then-year, FY22-27)</t>
        </is>
      </c>
      <c r="C4" s="9"/>
      <c r="D4" s="9"/>
      <c r="E4" s="9"/>
      <c r="F4" s="9"/>
      <c r="G4" s="9"/>
      <c r="H4" s="9"/>
      <c r="I4" s="9"/>
    </row>
    <row r="6">
      <c r="B6" s="2" t="inlineStr">
        <is>
          <t xml:space="preserve">Program</t>
        </is>
      </c>
      <c r="C6" s="22" t="inlineStr">
        <is>
          <t xml:space="preserve">FY</t>
        </is>
      </c>
      <c r="D6" s="2" t="inlineStr">
        <is>
          <t xml:space="preserve">BC</t>
        </is>
      </c>
      <c r="E6" s="2" t="inlineStr">
        <is>
          <t xml:space="preserve">GFE</t>
        </is>
      </c>
      <c r="F6" s="2" t="inlineStr">
        <is>
          <t xml:space="preserve">Total</t>
        </is>
      </c>
      <c r="G6" s="2" t="inlineStr">
        <is>
          <t xml:space="preserve">Plans+Other</t>
        </is>
      </c>
      <c r="H6" s="2" t="inlineStr">
        <is>
          <t xml:space="preserve">BC %</t>
        </is>
      </c>
      <c r="I6" s="2" t="inlineStr">
        <is>
          <t xml:space="preserve">FFATA</t>
        </is>
      </c>
    </row>
    <row r="7" outlineLevel="1">
      <c r="B7" s="0" t="inlineStr">
        <is>
          <t xml:space="preserve">Virginia</t>
        </is>
      </c>
      <c r="C7" s="0">
        <v>2022</v>
      </c>
      <c r="D7" s="5">
        <v>4758.283</v>
      </c>
      <c r="E7" s="5">
        <v>1587.366</v>
      </c>
      <c r="F7" s="5">
        <v>6915.757</v>
      </c>
      <c r="G7" s="4">
        <f>F7-D7-E7</f>
      </c>
      <c r="H7" s="6">
        <f>IF(F7=0,0,D7/F7)</f>
      </c>
      <c r="I7" s="5">
        <v>241.07</v>
      </c>
    </row>
    <row r="8" outlineLevel="1">
      <c r="B8" s="0" t="inlineStr">
        <is>
          <t xml:space="preserve">Virginia</t>
        </is>
      </c>
      <c r="C8" s="0">
        <v>2023</v>
      </c>
      <c r="D8" s="5">
        <v>5095.448</v>
      </c>
      <c r="E8" s="5">
        <v>1634.461</v>
      </c>
      <c r="F8" s="5">
        <v>7250.579</v>
      </c>
      <c r="G8" s="4">
        <f>F8-D8-E8</f>
      </c>
      <c r="H8" s="6">
        <f>IF(F8=0,0,D8/F8)</f>
      </c>
      <c r="I8" s="5">
        <v>939.9</v>
      </c>
    </row>
    <row r="9" outlineLevel="1">
      <c r="B9" s="0" t="inlineStr">
        <is>
          <t xml:space="preserve">Virginia</t>
        </is>
      </c>
      <c r="C9" s="0">
        <v>2024</v>
      </c>
      <c r="D9" s="5">
        <v>9070.762</v>
      </c>
      <c r="E9" s="5">
        <v>1683.842</v>
      </c>
      <c r="F9" s="5">
        <v>11377.643</v>
      </c>
      <c r="G9" s="4">
        <f>F9-D9-E9</f>
      </c>
      <c r="H9" s="6">
        <f>IF(F9=0,0,D9/F9)</f>
      </c>
      <c r="I9" s="5">
        <v>462.23</v>
      </c>
    </row>
    <row r="10" outlineLevel="1">
      <c r="B10" s="0" t="inlineStr">
        <is>
          <t xml:space="preserve">Virginia</t>
        </is>
      </c>
      <c r="C10" s="0">
        <v>2025</v>
      </c>
      <c r="D10" s="5">
        <v>5326.544</v>
      </c>
      <c r="E10" s="5">
        <v>1318.214</v>
      </c>
      <c r="F10" s="5">
        <v>9500.534</v>
      </c>
      <c r="G10" s="4">
        <f>F10-D10-E10</f>
      </c>
      <c r="H10" s="6">
        <f>IF(F10=0,0,D10/F10)</f>
      </c>
      <c r="I10" s="5">
        <v>261.86</v>
      </c>
    </row>
    <row r="11" outlineLevel="1">
      <c r="B11" s="0" t="inlineStr">
        <is>
          <t xml:space="preserve">Virginia</t>
        </is>
      </c>
      <c r="C11" s="0">
        <v>2026</v>
      </c>
      <c r="D11" s="5">
        <v>3136.792</v>
      </c>
      <c r="E11" s="5">
        <v>1633.585</v>
      </c>
      <c r="F11" s="5">
        <v>5389.109</v>
      </c>
      <c r="G11" s="4">
        <f>F11-D11-E11</f>
      </c>
      <c r="H11" s="6">
        <f>IF(F11=0,0,D11/F11)</f>
      </c>
      <c r="I11" s="5">
        <v>0.3</v>
      </c>
    </row>
    <row r="12" outlineLevel="1">
      <c r="B12" s="0" t="inlineStr">
        <is>
          <t xml:space="preserve">Virginia</t>
        </is>
      </c>
      <c r="C12" s="0">
        <v>2027</v>
      </c>
      <c r="D12" s="5">
        <v>8889.31</v>
      </c>
      <c r="E12" s="5">
        <v>1897.988</v>
      </c>
      <c r="F12" s="5">
        <v>11437.036</v>
      </c>
      <c r="G12" s="4">
        <f>F12-D12-E12</f>
      </c>
      <c r="H12" s="6">
        <f>IF(F12=0,0,D12/F12)</f>
      </c>
      <c r="I12" s="5">
        <v>0.0</v>
      </c>
    </row>
    <row r="13" outlineLevel="1">
      <c r="B13" s="0" t="inlineStr">
        <is>
          <t xml:space="preserve">Columbia</t>
        </is>
      </c>
      <c r="C13" s="0">
        <v>2024</v>
      </c>
      <c r="D13" s="5">
        <v>6356.087</v>
      </c>
      <c r="E13" s="5">
        <v>2560.457</v>
      </c>
      <c r="F13" s="5">
        <v>10688.811</v>
      </c>
      <c r="G13" s="4">
        <f>F13-D13-E13</f>
      </c>
      <c r="H13" s="6">
        <f>IF(F13=0,0,D13/F13)</f>
      </c>
      <c r="I13" s="5">
        <v>837.99</v>
      </c>
    </row>
    <row r="14" outlineLevel="1">
      <c r="B14" s="0" t="inlineStr">
        <is>
          <t xml:space="preserve">Columbia</t>
        </is>
      </c>
      <c r="C14" s="0">
        <v>2026</v>
      </c>
      <c r="D14" s="5">
        <v>7159.768</v>
      </c>
      <c r="E14" s="5">
        <v>2125.001</v>
      </c>
      <c r="F14" s="5">
        <v>10744.317</v>
      </c>
      <c r="G14" s="4">
        <f>F14-D14-E14</f>
      </c>
      <c r="H14" s="6">
        <f>IF(F14=0,0,D14/F14)</f>
      </c>
      <c r="I14" s="5">
        <v>0.0</v>
      </c>
    </row>
    <row r="15" outlineLevel="1">
      <c r="B15" s="0" t="inlineStr">
        <is>
          <t xml:space="preserve">Columbia</t>
        </is>
      </c>
      <c r="C15" s="0">
        <v>2027</v>
      </c>
      <c r="D15" s="5">
        <v>6853.733</v>
      </c>
      <c r="E15" s="5">
        <v>2422.192</v>
      </c>
      <c r="F15" s="5">
        <v>10486.369</v>
      </c>
      <c r="G15" s="4">
        <f>F15-D15-E15</f>
      </c>
      <c r="H15" s="6">
        <f>IF(F15=0,0,D15/F15)</f>
      </c>
      <c r="I15" s="5">
        <v>0.0</v>
      </c>
    </row>
    <row r="16" outlineLevel="1">
      <c r="B16" s="0" t="inlineStr">
        <is>
          <t xml:space="preserve">DDG-51</t>
        </is>
      </c>
      <c r="C16" s="0">
        <v>2022</v>
      </c>
      <c r="D16" s="5">
        <v>1959.99</v>
      </c>
      <c r="E16" s="5">
        <v>1707.778</v>
      </c>
      <c r="F16" s="5">
        <v>4072.882</v>
      </c>
      <c r="G16" s="4">
        <f>F16-D16-E16</f>
      </c>
      <c r="H16" s="6">
        <f>IF(F16=0,0,D16/F16)</f>
      </c>
      <c r="I16" s="5">
        <v>162.11</v>
      </c>
    </row>
    <row r="17" outlineLevel="1">
      <c r="B17" s="0" t="inlineStr">
        <is>
          <t xml:space="preserve">DDG-51</t>
        </is>
      </c>
      <c r="C17" s="0">
        <v>2023</v>
      </c>
      <c r="D17" s="5">
        <v>4558.163</v>
      </c>
      <c r="E17" s="5">
        <v>2784.53</v>
      </c>
      <c r="F17" s="5">
        <v>7949.54</v>
      </c>
      <c r="G17" s="4">
        <f>F17-D17-E17</f>
      </c>
      <c r="H17" s="6">
        <f>IF(F17=0,0,D17/F17)</f>
      </c>
      <c r="I17" s="5">
        <v>300.88</v>
      </c>
    </row>
    <row r="18" outlineLevel="1">
      <c r="B18" s="0" t="inlineStr">
        <is>
          <t xml:space="preserve">DDG-51</t>
        </is>
      </c>
      <c r="C18" s="0">
        <v>2024</v>
      </c>
      <c r="D18" s="5">
        <v>3322.458</v>
      </c>
      <c r="E18" s="5">
        <v>1807.266</v>
      </c>
      <c r="F18" s="5">
        <v>5492.33</v>
      </c>
      <c r="G18" s="4">
        <f>F18-D18-E18</f>
      </c>
      <c r="H18" s="6">
        <f>IF(F18=0,0,D18/F18)</f>
      </c>
      <c r="I18" s="5">
        <v>552.8</v>
      </c>
    </row>
    <row r="19" outlineLevel="1">
      <c r="B19" s="0" t="inlineStr">
        <is>
          <t xml:space="preserve">DDG-51</t>
        </is>
      </c>
      <c r="C19" s="0">
        <v>2025</v>
      </c>
      <c r="D19" s="5">
        <v>4628.213</v>
      </c>
      <c r="E19" s="5">
        <v>2767.612</v>
      </c>
      <c r="F19" s="5">
        <v>7858.814</v>
      </c>
      <c r="G19" s="4">
        <f>F19-D19-E19</f>
      </c>
      <c r="H19" s="6">
        <f>IF(F19=0,0,D19/F19)</f>
      </c>
      <c r="I19" s="5">
        <v>684.17</v>
      </c>
    </row>
    <row r="20" outlineLevel="1">
      <c r="B20" s="0" t="inlineStr">
        <is>
          <t xml:space="preserve">DDG-51</t>
        </is>
      </c>
      <c r="C20" s="0">
        <v>2026</v>
      </c>
      <c r="D20" s="5">
        <v>282.604</v>
      </c>
      <c r="E20" s="5">
        <v>23.521</v>
      </c>
      <c r="F20" s="5">
        <v>306.125</v>
      </c>
      <c r="G20" s="4">
        <f>F20-D20-E20</f>
      </c>
      <c r="H20" s="6">
        <f>IF(F20=0,0,D20/F20)</f>
      </c>
      <c r="I20" s="5">
        <v>62.68</v>
      </c>
    </row>
    <row r="21" outlineLevel="1">
      <c r="B21" s="0" t="inlineStr">
        <is>
          <t xml:space="preserve">DDG-51</t>
        </is>
      </c>
      <c r="C21" s="0">
        <v>2027</v>
      </c>
      <c r="D21" s="5">
        <v>2719.555</v>
      </c>
      <c r="E21" s="5">
        <v>1199.227</v>
      </c>
      <c r="F21" s="5">
        <v>4256.914</v>
      </c>
      <c r="G21" s="4">
        <f>F21-D21-E21</f>
      </c>
      <c r="H21" s="6">
        <f>IF(F21=0,0,D21/F21)</f>
      </c>
      <c r="I21" s="5">
        <v>0.0</v>
      </c>
    </row>
    <row r="22">
      <c r="B22" s="3" t="inlineStr">
        <is>
          <t xml:space="preserve">Portfolio (FY22-27)</t>
        </is>
      </c>
      <c r="C22" s="16"/>
      <c r="D22" s="13">
        <f>SUBTOTAL(109,D7:D21)</f>
      </c>
      <c r="E22" s="13">
        <f>SUBTOTAL(109,E7:E21)</f>
      </c>
      <c r="F22" s="13">
        <f>SUBTOTAL(109,F7:F21)</f>
      </c>
      <c r="G22" s="13">
        <f>SUBTOTAL(109,G7:G21)</f>
      </c>
      <c r="H22" s="14">
        <f>IF(F22=0,0,D22/F22)</f>
      </c>
      <c r="I22" s="13">
        <f>SUBTOTAL(109,I7:I21)</f>
      </c>
    </row>
  </sheetData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694A1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2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</cols>
  <sheetData>
    <row r="1"/>
    <row r="2">
      <c r="B2" s="8" t="inlineStr">
        <is>
          <t xml:space="preserve">Sensitivity</t>
        </is>
      </c>
      <c r="C2" s="8"/>
      <c r="D2" s="8"/>
      <c r="E2" s="8"/>
      <c r="F2" s="8"/>
      <c r="G2" s="8"/>
    </row>
    <row r="4">
      <c r="A4" s="0" t="inlineStr">
        <is>
          <t xml:space="preserve">x</t>
        </is>
      </c>
      <c r="B4" s="9" t="inlineStr">
        <is>
          <t xml:space="preserve">§1 - Ceiling % sensitivity (L down, h across)</t>
        </is>
      </c>
      <c r="C4" s="9"/>
      <c r="D4" s="9"/>
      <c r="E4" s="9"/>
      <c r="F4" s="9"/>
      <c r="G4" s="9"/>
    </row>
    <row r="6">
      <c r="B6" s="2" t="inlineStr">
        <is>
          <t xml:space="preserve">L \ h</t>
        </is>
      </c>
      <c r="C6" s="7">
        <v>0.3</v>
      </c>
      <c r="D6" s="7">
        <v>0.4</v>
      </c>
      <c r="E6" s="7">
        <v>0.5</v>
      </c>
      <c r="F6" s="7">
        <v>0.6</v>
      </c>
      <c r="G6" s="7">
        <v>0.7</v>
      </c>
    </row>
    <row r="7" outlineLevel="1">
      <c r="B7" s="7">
        <v>0.35</v>
      </c>
      <c r="C7" s="6">
        <f>1-$B7*(1-C$6)</f>
      </c>
      <c r="D7" s="6">
        <f>1-$B7*(1-D$6)</f>
      </c>
      <c r="E7" s="6">
        <f>1-$B7*(1-E$6)</f>
      </c>
      <c r="F7" s="6">
        <f>1-$B7*(1-F$6)</f>
      </c>
      <c r="G7" s="6">
        <f>1-$B7*(1-G$6)</f>
      </c>
    </row>
    <row r="8" outlineLevel="1">
      <c r="B8" s="7">
        <v>0.4</v>
      </c>
      <c r="C8" s="6">
        <f>1-$B8*(1-C$6)</f>
      </c>
      <c r="D8" s="6">
        <f>1-$B8*(1-D$6)</f>
      </c>
      <c r="E8" s="6">
        <f>1-$B8*(1-E$6)</f>
      </c>
      <c r="F8" s="6">
        <f>1-$B8*(1-F$6)</f>
      </c>
      <c r="G8" s="6">
        <f>1-$B8*(1-G$6)</f>
      </c>
    </row>
    <row r="9" outlineLevel="1">
      <c r="B9" s="7">
        <v>0.45</v>
      </c>
      <c r="C9" s="6">
        <f>1-$B9*(1-C$6)</f>
      </c>
      <c r="D9" s="6">
        <f>1-$B9*(1-D$6)</f>
      </c>
      <c r="E9" s="6">
        <f>1-$B9*(1-E$6)</f>
      </c>
      <c r="F9" s="6">
        <f>1-$B9*(1-F$6)</f>
      </c>
      <c r="G9" s="6">
        <f>1-$B9*(1-G$6)</f>
      </c>
    </row>
    <row r="10" outlineLevel="1">
      <c r="B10" s="7">
        <v>0.5</v>
      </c>
      <c r="C10" s="6">
        <f>1-$B10*(1-C$6)</f>
      </c>
      <c r="D10" s="6">
        <f>1-$B10*(1-D$6)</f>
      </c>
      <c r="E10" s="6">
        <f>1-$B10*(1-E$6)</f>
      </c>
      <c r="F10" s="6">
        <f>1-$B10*(1-F$6)</f>
      </c>
      <c r="G10" s="6">
        <f>1-$B10*(1-G$6)</f>
      </c>
    </row>
    <row r="11" outlineLevel="1">
      <c r="B11" s="7">
        <v>0.55</v>
      </c>
      <c r="C11" s="6">
        <f>1-$B11*(1-C$6)</f>
      </c>
      <c r="D11" s="6">
        <f>1-$B11*(1-D$6)</f>
      </c>
      <c r="E11" s="6">
        <f>1-$B11*(1-E$6)</f>
      </c>
      <c r="F11" s="6">
        <f>1-$B11*(1-F$6)</f>
      </c>
      <c r="G11" s="6">
        <f>1-$B11*(1-G$6)</f>
      </c>
    </row>
    <row r="12" outlineLevel="1">
      <c r="B12" s="7">
        <v>0.6</v>
      </c>
      <c r="C12" s="6">
        <f>1-$B12*(1-C$6)</f>
      </c>
      <c r="D12" s="6">
        <f>1-$B12*(1-D$6)</f>
      </c>
      <c r="E12" s="6">
        <f>1-$B12*(1-E$6)</f>
      </c>
      <c r="F12" s="6">
        <f>1-$B12*(1-F$6)</f>
      </c>
      <c r="G12" s="6">
        <f>1-$B12*(1-G$6)</f>
      </c>
    </row>
    <row r="15">
      <c r="A15" s="0" t="inlineStr">
        <is>
          <t xml:space="preserve">x</t>
        </is>
      </c>
      <c r="B15" s="9" t="inlineStr">
        <is>
          <t xml:space="preserve">§2 - Outsourced share vs pass-through p (Virginia params)</t>
        </is>
      </c>
      <c r="C15" s="9"/>
      <c r="D15" s="9"/>
      <c r="E15" s="9"/>
      <c r="F15" s="9"/>
      <c r="G15" s="9"/>
    </row>
    <row r="17">
      <c r="B17" s="2" t="inlineStr">
        <is>
          <t xml:space="preserve">Outsourced share \ p</t>
        </is>
      </c>
      <c r="C17" s="7">
        <v>0.0</v>
      </c>
      <c r="D17" s="7">
        <v>0.25</v>
      </c>
      <c r="E17" s="7">
        <v>0.5</v>
      </c>
      <c r="F17" s="7">
        <v>0.75</v>
      </c>
      <c r="G17" s="7">
        <v>1.0</v>
      </c>
    </row>
    <row r="18" outlineLevel="1">
      <c r="B18" s="1" t="inlineStr">
        <is>
          <t xml:space="preserve">hL + p*M (share of BC)</t>
        </is>
      </c>
      <c r="C18" s="6">
        <f>('Assumptions'!C17*'Assumptions'!C16)+C$17*(1-'Assumptions'!C17)</f>
      </c>
      <c r="D18" s="6">
        <f>('Assumptions'!C17*'Assumptions'!C16)+D$17*(1-'Assumptions'!C17)</f>
      </c>
      <c r="E18" s="6">
        <f>('Assumptions'!C17*'Assumptions'!C16)+E$17*(1-'Assumptions'!C17)</f>
      </c>
      <c r="F18" s="6">
        <f>('Assumptions'!C17*'Assumptions'!C16)+F$17*(1-'Assumptions'!C17)</f>
      </c>
      <c r="G18" s="6">
        <f>('Assumptions'!C17*'Assumptions'!C16)+G$17*(1-'Assumptions'!C17)</f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694A1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0" customWidth="1"/>
    <col min="3" max="3" width="12" customWidth="1"/>
    <col min="4" max="4" width="12" customWidth="1"/>
    <col min="5" max="5" width="12" customWidth="1"/>
    <col min="6" max="6" width="12" customWidth="1"/>
  </cols>
  <sheetData>
    <row r="1"/>
    <row r="2">
      <c r="B2" s="8" t="inlineStr">
        <is>
          <t xml:space="preserve">Tie-Outs</t>
        </is>
      </c>
      <c r="C2" s="8"/>
      <c r="D2" s="8"/>
      <c r="E2" s="8"/>
      <c r="F2" s="8"/>
    </row>
    <row r="4">
      <c r="A4" s="0" t="inlineStr">
        <is>
          <t xml:space="preserve">x</t>
        </is>
      </c>
      <c r="B4" s="9" t="inlineStr">
        <is>
          <t xml:space="preserve">§1 - Identity + sanity checks</t>
        </is>
      </c>
      <c r="C4" s="9"/>
      <c r="D4" s="9"/>
      <c r="E4" s="9"/>
      <c r="F4" s="9"/>
    </row>
    <row r="6">
      <c r="B6" s="2" t="inlineStr">
        <is>
          <t xml:space="preserve">Check</t>
        </is>
      </c>
      <c r="C6" s="2" t="inlineStr">
        <is>
          <t xml:space="preserve">Virginia</t>
        </is>
      </c>
      <c r="D6" s="2" t="inlineStr">
        <is>
          <t xml:space="preserve">Columbia</t>
        </is>
      </c>
      <c r="E6" s="2" t="inlineStr">
        <is>
          <t xml:space="preserve">DDG-51</t>
        </is>
      </c>
      <c r="F6" s="2" t="inlineStr">
        <is>
          <t xml:space="preserve">Portfolio</t>
        </is>
      </c>
    </row>
    <row r="7" outlineLevel="1">
      <c r="B7" s="0" t="inlineStr">
        <is>
          <t xml:space="preserve">Core $ + Ceiling $ = BC $</t>
        </is>
      </c>
      <c r="C7" s="0">
        <f>IF(ABS(('Ceiling Model'!C12+'Ceiling Model'!C13)-'Ceiling Model'!C7)&lt;0.5,"OK","FAIL")</f>
      </c>
      <c r="D7" s="0">
        <f>IF(ABS(('Ceiling Model'!D12+'Ceiling Model'!D13)-'Ceiling Model'!D7)&lt;0.5,"OK","FAIL")</f>
      </c>
      <c r="E7" s="0">
        <f>IF(ABS(('Ceiling Model'!E12+'Ceiling Model'!E13)-'Ceiling Model'!E7)&lt;0.5,"OK","FAIL")</f>
      </c>
      <c r="F7" s="0">
        <f>IF(ABS(('Ceiling Model'!F12+'Ceiling Model'!F13)-'Ceiling Model'!F7)&lt;0.5,"OK","FAIL")</f>
      </c>
    </row>
    <row r="8" outlineLevel="1">
      <c r="B8" s="0" t="inlineStr">
        <is>
          <t xml:space="preserve">Core % + Ceiling % = 1</t>
        </is>
      </c>
      <c r="C8" s="0">
        <f>IF(ABS(('Ceiling Model'!C10+'Ceiling Model'!C11)-1)&lt;0.001,"OK","FAIL")</f>
      </c>
      <c r="D8" s="0">
        <f>IF(ABS(('Ceiling Model'!D10+'Ceiling Model'!D11)-1)&lt;0.001,"OK","FAIL")</f>
      </c>
      <c r="E8" s="0">
        <f>IF(ABS(('Ceiling Model'!E10+'Ceiling Model'!E11)-1)&lt;0.001,"OK","FAIL")</f>
      </c>
      <c r="F8" s="0">
        <f>IF(ABS(('Ceiling Model'!F10+'Ceiling Model'!F11)-1)&lt;0.001,"OK","FAIL")</f>
      </c>
    </row>
    <row r="9" outlineLevel="1">
      <c r="B9" s="0" t="inlineStr">
        <is>
          <t xml:space="preserve">Ceiling % &gt;= current POP %</t>
        </is>
      </c>
      <c r="C9" s="0">
        <f>IF('Ceiling Model'!C11&gt;=('Assumptions'!C32),"OK","FAIL")</f>
      </c>
      <c r="D9" s="0">
        <f>IF('Ceiling Model'!D11&gt;=('Assumptions'!D32),"OK","FAIL")</f>
      </c>
      <c r="E9" s="0">
        <f>IF('Ceiling Model'!E11&gt;=('Assumptions'!E32),"OK","FAIL")</f>
      </c>
      <c r="F9" s="0">
        <f>IF('Ceiling Model'!F11&gt;=(SUMPRODUCT('Assumptions'!C32:E32,'Ceiling Model'!C7:E7)/'Ceiling Model'!F7),"OK","FAIL")</f>
      </c>
    </row>
    <row r="10" outlineLevel="1">
      <c r="B10" s="0" t="inlineStr">
        <is>
          <t xml:space="preserve">Ceiling $ &gt;= FFATA-visible $ (floor)</t>
        </is>
      </c>
      <c r="C10" s="0">
        <f>IF('Ceiling Model'!C13&gt;=(SUMIF('Cost Base'!$B$7:$B$21,"Virginia",'Cost Base'!$I$7:$I$21)),"OK","FAIL")</f>
      </c>
      <c r="D10" s="0">
        <f>IF('Ceiling Model'!D13&gt;=(SUMIF('Cost Base'!$B$7:$B$21,"Columbia",'Cost Base'!$I$7:$I$21)),"OK","FAIL")</f>
      </c>
      <c r="E10" s="0">
        <f>IF('Ceiling Model'!E13&gt;=(SUMIF('Cost Base'!$B$7:$B$21,"DDG-51",'Cost Base'!$I$7:$I$21)),"OK","FAIL")</f>
      </c>
      <c r="F10" s="0">
        <f>IF('Ceiling Model'!F13&gt;=(SUMIF('Cost Base'!$B$7:$B$21,"Virginia",'Cost Base'!$I$7:$I$21)+SUMIF('Cost Base'!$B$7:$B$21,"Columbia",'Cost Base'!$I$7:$I$21)+SUMIF('Cost Base'!$B$7:$B$21,"DDG-51",'Cost Base'!$I$7:$I$21)),"OK","FAIL")</f>
      </c>
    </row>
    <row r="11" outlineLevel="1">
      <c r="B11" s="0" t="inlineStr">
        <is>
          <t xml:space="preserve">Ceiling % = Bridge p=1 case</t>
        </is>
      </c>
      <c r="C11" s="0">
        <f>IF(ABS('Ceiling Model'!C11-'Conversion Bridge'!C14)&lt;0.001,"OK","FAIL")</f>
      </c>
      <c r="D11" s="0">
        <f>IF(ABS('Ceiling Model'!D11-'Conversion Bridge'!D14)&lt;0.001,"OK","FAIL")</f>
      </c>
      <c r="E11" s="0">
        <f>IF(ABS('Ceiling Model'!E11-'Conversion Bridge'!E14)&lt;0.001,"OK","FAIL")</f>
      </c>
      <c r="F11" s="0">
        <f>IF(ABS('Ceiling Model'!F11-'Conversion Bridge'!F14)&lt;0.001,"OK","FAIL")</f>
      </c>
    </row>
    <row r="13">
      <c r="B13" s="1" t="inlineStr">
        <is>
          <t xml:space="preserve">All-OK gate</t>
        </is>
      </c>
      <c r="C13" s="0">
        <f>IF(COUNTIF(C7:C11,"FAIL")=0,"OK","FAIL")</f>
      </c>
      <c r="D13" s="0">
        <f>IF(COUNTIF(D7:D11,"FAIL")=0,"OK","FAIL")</f>
      </c>
      <c r="E13" s="0">
        <f>IF(COUNTIF(E7:E11,"FAIL")=0,"OK","FAIL")</f>
      </c>
      <c r="F13" s="0">
        <f>IF(COUNTIF(F7:F11,"FAIL")=0,"OK","FAIL")</f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3C4A57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4" customWidth="1"/>
    <col min="3" max="3" width="10" customWidth="1"/>
    <col min="4" max="4" width="34" customWidth="1"/>
    <col min="5" max="5" width="80" customWidth="1"/>
    <col min="6" max="6" width="6" customWidth="1"/>
  </cols>
  <sheetData>
    <row r="1"/>
    <row r="2">
      <c r="B2" s="8" t="inlineStr">
        <is>
          <t xml:space="preserve">Sources</t>
        </is>
      </c>
      <c r="C2" s="8"/>
      <c r="D2" s="8"/>
      <c r="E2" s="8"/>
      <c r="F2" s="8"/>
    </row>
    <row r="4">
      <c r="A4" s="0" t="inlineStr">
        <is>
          <t xml:space="preserve">x</t>
        </is>
      </c>
      <c r="B4" s="9" t="inlineStr">
        <is>
          <t xml:space="preserve">§1 - Anchors (verified citations)</t>
        </is>
      </c>
      <c r="C4" s="9"/>
      <c r="D4" s="9"/>
      <c r="E4" s="9"/>
      <c r="F4" s="9"/>
    </row>
    <row r="6">
      <c r="B6" s="2" t="inlineStr">
        <is>
          <t xml:space="preserve">Parameter</t>
        </is>
      </c>
      <c r="C6" s="2" t="inlineStr">
        <is>
          <t xml:space="preserve">Value</t>
        </is>
      </c>
      <c r="D6" s="2" t="inlineStr">
        <is>
          <t xml:space="preserve">Basis</t>
        </is>
      </c>
      <c r="E6" s="2" t="inlineStr">
        <is>
          <t xml:space="preserve">Source</t>
        </is>
      </c>
      <c r="F6" s="2" t="inlineStr">
        <is>
          <t xml:space="preserve">ID</t>
        </is>
      </c>
    </row>
    <row r="7" outlineLevel="1">
      <c r="B7" s="0" t="inlineStr">
        <is>
          <t xml:space="preserve">h - outsourceable labor-hour share</t>
        </is>
      </c>
      <c r="C7" s="0">
        <v>0.5</v>
      </c>
      <c r="D7" s="0" t="inlineStr">
        <is>
          <t xml:space="preserve">labor-hours</t>
        </is>
      </c>
      <c r="E7" s="0" t="inlineStr">
        <is>
          <t xml:space="preserve">Defense News - Defense firms outsource sub, carrier construction amid labor woes (M. Eckstein, 2022-10-21)</t>
        </is>
      </c>
      <c r="F7" s="0" t="inlineStr">
        <is>
          <t xml:space="preserve">A1</t>
        </is>
      </c>
    </row>
    <row r="8" outlineLevel="1">
      <c r="B8" s="0" t="inlineStr">
        <is>
          <t xml:space="preserve">L - shipyard labor share of ship cost</t>
        </is>
      </c>
      <c r="C8" s="0">
        <v>0.4</v>
      </c>
      <c r="D8" s="0" t="inlineStr">
        <is>
          <t xml:space="preserve">dollars (of total procurement cost)</t>
        </is>
      </c>
      <c r="E8" s="0" t="inlineStr">
        <is>
          <t xml:space="preserve">O'Rourke (CRS), 'The State of U.S. Shipbuilding', House Armed Services testimony (2025-03-11)</t>
        </is>
      </c>
      <c r="F8" s="0" t="inlineStr">
        <is>
          <t xml:space="preserve">A2</t>
        </is>
      </c>
    </row>
    <row r="9" outlineLevel="1">
      <c r="B9" s="0" t="inlineStr">
        <is>
          <t xml:space="preserve">L cross-check - labor weight of shipbuilding cost</t>
        </is>
      </c>
      <c r="C9" s="0" t="inlineStr">
        <is>
          <t xml:space="preserve">0.39-0.48</t>
        </is>
      </c>
      <c r="D9" s="0" t="inlineStr">
        <is>
          <t xml:space="preserve">dollars (composite index weight)</t>
        </is>
      </c>
      <c r="E9" s="0" t="inlineStr">
        <is>
          <t xml:space="preserve">CBO, The Shipbuilding Composite Index (April 2024)</t>
        </is>
      </c>
      <c r="F9" s="0" t="inlineStr">
        <is>
          <t xml:space="preserve">A3</t>
        </is>
      </c>
    </row>
    <row r="10" outlineLevel="1">
      <c r="B10" s="0" t="inlineStr">
        <is>
          <t xml:space="preserve">Basic Construction is a single regulated line (no labor/material split)</t>
        </is>
      </c>
      <c r="C10" s="0" t="inlineStr">
        <is>
          <t xml:space="preserve">n/a</t>
        </is>
      </c>
      <c r="D10" s="0" t="inlineStr">
        <is>
          <t xml:space="preserve">definition</t>
        </is>
      </c>
      <c r="E10" s="0" t="inlineStr">
        <is>
          <t xml:space="preserve">DoD FMR 7000.14-R Vol 2B Ch 4, Exhibit P-5 Ship Cost Element Categories (Nov 2017)</t>
        </is>
      </c>
      <c r="F10" s="0" t="inlineStr">
        <is>
          <t xml:space="preserve">A4</t>
        </is>
      </c>
    </row>
    <row r="11" outlineLevel="1">
      <c r="B11" s="0" t="inlineStr">
        <is>
          <t xml:space="preserve">Virginia current off-team place-of-performance</t>
        </is>
      </c>
      <c r="C11" s="0">
        <v>0.34</v>
      </c>
      <c r="D11" s="0" t="inlineStr">
        <is>
          <t xml:space="preserve">place of performance</t>
        </is>
      </c>
      <c r="E11" s="0" t="inlineStr">
        <is>
          <t xml:space="preserve">DoD Contracts 2019-12-02 (article 2030017), Block V N00024-17-C-2100</t>
        </is>
      </c>
      <c r="F11" s="0" t="inlineStr">
        <is>
          <t xml:space="preserve">A5</t>
        </is>
      </c>
    </row>
    <row r="12" outlineLevel="1">
      <c r="B12" s="0" t="inlineStr">
        <is>
          <t xml:space="preserve">Columbia current off-team place-of-performance</t>
        </is>
      </c>
      <c r="C12" s="0">
        <v>0.22</v>
      </c>
      <c r="D12" s="0" t="inlineStr">
        <is>
          <t xml:space="preserve">place of performance</t>
        </is>
      </c>
      <c r="E12" s="0" t="inlineStr">
        <is>
          <t xml:space="preserve">DoD Contracts 2020-11-05 (article 2406922), Build I N00024-17-C-2117</t>
        </is>
      </c>
      <c r="F12" s="0" t="inlineStr">
        <is>
          <t xml:space="preserve">A6</t>
        </is>
      </c>
    </row>
    <row r="13" outlineLevel="1">
      <c r="B13" s="0" t="inlineStr">
        <is>
          <t xml:space="preserve">DDG-51 current off-team place-of-performance</t>
        </is>
      </c>
      <c r="C13" s="0">
        <v>0.13</v>
      </c>
      <c r="D13" s="0" t="inlineStr">
        <is>
          <t xml:space="preserve">place of performance</t>
        </is>
      </c>
      <c r="E13" s="0" t="inlineStr">
        <is>
          <t xml:space="preserve">DoD Contracts 2023-08-01 (article 3479250), DDG-51 FY23-27 multiyear (BIW + Ingalls)</t>
        </is>
      </c>
      <c r="F13" s="0" t="inlineStr">
        <is>
          <t xml:space="preserve">A7</t>
        </is>
      </c>
    </row>
    <row r="16">
      <c r="A16" s="0" t="inlineStr">
        <is>
          <t xml:space="preserve">x</t>
        </is>
      </c>
      <c r="B16" s="9" t="inlineStr">
        <is>
          <t xml:space="preserve">§2 - Sourced vs assumed</t>
        </is>
      </c>
      <c r="C16" s="9"/>
      <c r="D16" s="9"/>
      <c r="E16" s="9"/>
      <c r="F16" s="9"/>
    </row>
    <row r="18">
      <c r="B18" s="2" t="inlineStr">
        <is>
          <t xml:space="preserve">Parameter</t>
        </is>
      </c>
      <c r="C18" s="2" t="inlineStr">
        <is>
          <t xml:space="preserve">Status</t>
        </is>
      </c>
      <c r="D18" s="2" t="inlineStr">
        <is>
          <t xml:space="preserve">Note</t>
        </is>
      </c>
    </row>
    <row r="19" outlineLevel="1">
      <c r="B19" s="0" t="inlineStr">
        <is>
          <t xml:space="preserve">h - outsourceable labor-hour share</t>
        </is>
      </c>
      <c r="C19" s="0" t="inlineStr">
        <is>
          <t xml:space="preserve">Verified</t>
        </is>
      </c>
      <c r="D19" s="0" t="inlineStr">
        <is>
          <t xml:space="preserve">Rucker / Defense News 2022 (A1)</t>
        </is>
      </c>
    </row>
    <row r="20" outlineLevel="1">
      <c r="B20" s="0" t="inlineStr">
        <is>
          <t xml:space="preserve">L - shipyard labor share of BC</t>
        </is>
      </c>
      <c r="C20" s="0" t="inlineStr">
        <is>
          <t xml:space="preserve">Verified + judgment</t>
        </is>
      </c>
      <c r="D20" s="0" t="inlineStr">
        <is>
          <t xml:space="preserve">40% of total cost (CRS/CBO A2/A3), rebased to BC (see Assumptions)</t>
        </is>
      </c>
    </row>
    <row r="21" outlineLevel="1">
      <c r="B21" s="0" t="inlineStr">
        <is>
          <t xml:space="preserve">core = L x (1 - h)</t>
        </is>
      </c>
      <c r="C21" s="0" t="inlineStr">
        <is>
          <t xml:space="preserve">Derived</t>
        </is>
      </c>
      <c r="D21" s="0" t="inlineStr">
        <is>
          <t xml:space="preserve">identity</t>
        </is>
      </c>
    </row>
    <row r="22" outlineLevel="1">
      <c r="B22" s="0" t="inlineStr">
        <is>
          <t xml:space="preserve">ceiling = 1 - core</t>
        </is>
      </c>
      <c r="C22" s="0" t="inlineStr">
        <is>
          <t xml:space="preserve">Derived</t>
        </is>
      </c>
      <c r="D22" s="0" t="inlineStr">
        <is>
          <t xml:space="preserve">identity</t>
        </is>
      </c>
    </row>
    <row r="23" outlineLevel="1">
      <c r="B23" s="0" t="inlineStr">
        <is>
          <t xml:space="preserve">p - pass-through material</t>
        </is>
      </c>
      <c r="C23" s="0" t="inlineStr">
        <is>
          <t xml:space="preserve">Assumption</t>
        </is>
      </c>
      <c r="D23" s="0" t="inlineStr">
        <is>
          <t xml:space="preserve">scenario input; sizes supplier-package value</t>
        </is>
      </c>
    </row>
    <row r="24" outlineLevel="1">
      <c r="B24" s="0" t="inlineStr">
        <is>
          <t xml:space="preserve">DDG-51 h / L</t>
        </is>
      </c>
      <c r="C24" s="0" t="inlineStr">
        <is>
          <t xml:space="preserve">Assumption</t>
        </is>
      </c>
      <c r="D24" s="0" t="inlineStr">
        <is>
          <t xml:space="preserve">non-nuclear contrast, not Rucker</t>
        </is>
      </c>
    </row>
    <row r="25" outlineLevel="1">
      <c r="B25" s="0" t="inlineStr">
        <is>
          <t xml:space="preserve">Current off-team POP %</t>
        </is>
      </c>
      <c r="C25" s="0" t="inlineStr">
        <is>
          <t xml:space="preserve">Sourced + derived</t>
        </is>
      </c>
      <c r="D25" s="0" t="inlineStr">
        <is>
          <t xml:space="preserve">announced POP A5/A6; DDG-51 13% blended (A7)</t>
        </is>
      </c>
    </row>
  </sheetData>
  <legacyDrawing r:id="rId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Distributed Shipbuilding analysis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Assumptions</vt:lpstr>
      <vt:lpstr>Ceiling Model</vt:lpstr>
      <vt:lpstr>Conversion Bridge</vt:lpstr>
      <vt:lpstr>Headroom</vt:lpstr>
      <vt:lpstr>Cost Base</vt:lpstr>
      <vt:lpstr>Sensitivity</vt:lpstr>
      <vt:lpstr>Tie-Outs</vt:lpstr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Distributed Shipbuilding Outsourcing Ceiling - Structural Ceiling + Hours-to-Dollars Bridge</dc:title>
  <dc:creator>Distributed Shipbuilding analysis</dc:creator>
  <dcterms:created xsi:type="dcterms:W3CDTF">2026-06-20T23:48:17Z</dcterms:created>
  <dcterms:modified xsi:type="dcterms:W3CDTF">2026-06-20T23:48:17Z</dcterms:modified>
</cp:coreProperties>
</file>