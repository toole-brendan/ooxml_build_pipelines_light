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6800"/>
  </bookViews>
  <sheets>
    <sheet name="Summary" sheetId="1" r:id="rId1"/>
    <sheet name="OT Layer" sheetId="2" r:id="rId2"/>
    <sheet name="Recompete Radar" sheetId="3" r:id="rId3"/>
    <sheet name="Teaming Edges" sheetId="4" r:id="rId4"/>
    <sheet name="Prime Concentration" sheetId="5" r:id="rId5"/>
    <sheet name="Market Tiers" sheetId="6" r:id="rId6"/>
    <sheet name="Portal Notices" sheetId="7" r:id="rId7"/>
    <sheet name="Award-Opportunity Match" sheetId="8" r:id="rId8"/>
    <sheet name="Backtest Events" sheetId="9" r:id="rId9"/>
    <sheet name="PoP Timeline" sheetId="10" r:id="rId10"/>
  </sheets>
  <calcPr calcId="191029" fullCalcOnLoad="1" forceFullCalc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6">
    <numFmt numFmtId="164" formatCode="#,##0.0;-#,##0.0;&quot;-&quot;"/>
    <numFmt numFmtId="165" formatCode="0.0%;-0.0%;&quot;-&quot;"/>
    <numFmt numFmtId="166" formatCode="&quot;$&quot;#,##0&quot;M&quot;"/>
    <numFmt numFmtId="167" formatCode="&quot;$&quot;0.0&quot;B&quot;"/>
    <numFmt numFmtId="168" formatCode="#,##0;-#,##0;&quot;-&quot;"/>
    <numFmt numFmtId="169" formatCode="yyyy\-mm\-dd"/>
  </numFmts>
  <fonts count="10">
    <font>
      <sz val="8"/>
      <name val="Arial"/>
      <color rgb="FF000000"/>
    </font>
    <font>
      <sz val="8"/>
      <name val="Arial"/>
      <b/>
      <color rgb="FF000000"/>
    </font>
    <font>
      <sz val="8"/>
      <name val="Arial"/>
      <b/>
      <color rgb="FFFFFFFF"/>
    </font>
    <font>
      <sz val="8"/>
      <name val="Arial"/>
      <color rgb="FF0000FF"/>
    </font>
    <font>
      <sz val="8"/>
      <name val="Arial"/>
      <color rgb="FF008000"/>
    </font>
    <font>
      <sz val="8"/>
      <name val="Arial"/>
      <i/>
      <color rgb="FF000000"/>
    </font>
    <font>
      <sz val="8"/>
      <name val="Arial"/>
      <i/>
      <color rgb="FF0000FF"/>
    </font>
    <font>
      <sz val="8"/>
      <name val="Arial"/>
      <i/>
      <color rgb="FF008000"/>
    </font>
    <font>
      <sz val="8"/>
      <name val="Arial"/>
      <b/>
      <i/>
      <color rgb="FF000000"/>
    </font>
    <font>
      <sz val="8"/>
      <name val="Arial"/>
      <i/>
      <color rgb="FF808080"/>
    </font>
  </fonts>
  <fills count="6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2F2F2"/>
      </patternFill>
    </fill>
    <fill>
      <patternFill patternType="solid">
        <fgColor rgb="FFFFFACD"/>
      </patternFill>
    </fill>
  </fills>
  <borders count="10"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164" fontId="0" fillId="0" borderId="0" xfId="0" applyNumberFormat="1"/>
    <xf numFmtId="164" fontId="3" fillId="0" borderId="0" xfId="0" applyNumberFormat="1" applyFont="1"/>
    <xf numFmtId="165" fontId="5" fillId="0" borderId="0" xfId="0" applyNumberFormat="1" applyFont="1"/>
    <xf numFmtId="165" fontId="6" fillId="0" borderId="0" xfId="0" applyNumberFormat="1" applyFont="1"/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164" fontId="4" fillId="0" borderId="0" xfId="0" applyNumberFormat="1" applyFont="1"/>
    <xf numFmtId="165" fontId="7" fillId="0" borderId="0" xfId="0" applyNumberFormat="1" applyFont="1"/>
    <xf numFmtId="164" fontId="1" fillId="0" borderId="2" xfId="0" applyNumberFormat="1" applyFont="1" applyBorder="1"/>
    <xf numFmtId="165" fontId="8" fillId="0" borderId="2" xfId="0" applyNumberFormat="1" applyFont="1" applyBorder="1"/>
    <xf numFmtId="164" fontId="3" fillId="0" borderId="2" xfId="0" applyNumberFormat="1" applyFont="1" applyBorder="1"/>
    <xf numFmtId="0" fontId="0" fillId="0" borderId="2" xfId="0" applyBorder="1"/>
    <xf numFmtId="165" fontId="6" fillId="0" borderId="2" xfId="0" applyNumberFormat="1" applyFont="1" applyBorder="1"/>
    <xf numFmtId="164" fontId="4" fillId="0" borderId="2" xfId="0" applyNumberFormat="1" applyFont="1" applyBorder="1"/>
    <xf numFmtId="165" fontId="7" fillId="0" borderId="2" xfId="0" applyNumberFormat="1" applyFont="1" applyBorder="1"/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1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166" fontId="0" fillId="5" borderId="6" xfId="0" applyNumberFormat="1" applyFill="1" applyBorder="1"/>
    <xf numFmtId="166" fontId="0" fillId="5" borderId="1" xfId="0" applyNumberFormat="1" applyFill="1" applyBorder="1"/>
    <xf numFmtId="166" fontId="0" fillId="5" borderId="7" xfId="0" applyNumberFormat="1" applyFill="1" applyBorder="1"/>
    <xf numFmtId="166" fontId="0" fillId="5" borderId="9" xfId="0" applyNumberFormat="1" applyFill="1" applyBorder="1"/>
    <xf numFmtId="166" fontId="0" fillId="5" borderId="0" xfId="0" applyNumberFormat="1" applyFill="1"/>
    <xf numFmtId="167" fontId="0" fillId="5" borderId="6" xfId="0" applyNumberFormat="1" applyFill="1" applyBorder="1"/>
    <xf numFmtId="167" fontId="0" fillId="5" borderId="1" xfId="0" applyNumberFormat="1" applyFill="1" applyBorder="1"/>
    <xf numFmtId="167" fontId="0" fillId="5" borderId="7" xfId="0" applyNumberFormat="1" applyFill="1" applyBorder="1"/>
    <xf numFmtId="167" fontId="0" fillId="5" borderId="9" xfId="0" applyNumberFormat="1" applyFill="1" applyBorder="1"/>
    <xf numFmtId="167" fontId="0" fillId="5" borderId="0" xfId="0" applyNumberFormat="1" applyFill="1"/>
    <xf numFmtId="165" fontId="0" fillId="5" borderId="6" xfId="0" applyNumberFormat="1" applyFill="1" applyBorder="1"/>
    <xf numFmtId="165" fontId="0" fillId="5" borderId="1" xfId="0" applyNumberFormat="1" applyFill="1" applyBorder="1"/>
    <xf numFmtId="165" fontId="0" fillId="5" borderId="7" xfId="0" applyNumberFormat="1" applyFill="1" applyBorder="1"/>
    <xf numFmtId="165" fontId="0" fillId="5" borderId="9" xfId="0" applyNumberFormat="1" applyFill="1" applyBorder="1"/>
    <xf numFmtId="165" fontId="0" fillId="5" borderId="0" xfId="0" applyNumberFormat="1" applyFill="1"/>
    <xf numFmtId="0" fontId="9" fillId="0" borderId="0" xfId="0" applyFont="1" applyAlignment="1">
      <alignment horizontal="left" vertical="center"/>
    </xf>
    <xf numFmtId="168" fontId="0" fillId="0" borderId="0" xfId="0" applyNumberFormat="1"/>
    <xf numFmtId="168" fontId="3" fillId="0" borderId="0" xfId="0" applyNumberFormat="1" applyFont="1"/>
    <xf numFmtId="168" fontId="4" fillId="0" borderId="0" xfId="0" applyNumberFormat="1" applyFont="1"/>
    <xf numFmtId="168" fontId="1" fillId="0" borderId="2" xfId="0" applyNumberFormat="1" applyFont="1" applyBorder="1"/>
    <xf numFmtId="168" fontId="3" fillId="0" borderId="2" xfId="0" applyNumberFormat="1" applyFont="1" applyBorder="1"/>
    <xf numFmtId="168" fontId="4" fillId="0" borderId="2" xfId="0" applyNumberFormat="1" applyFont="1" applyBorder="1"/>
    <xf numFmtId="169" fontId="3" fillId="0" borderId="0" xfId="0" applyNumberFormat="1" applyFont="1"/>
    <xf numFmtId="169" fontId="3" fillId="0" borderId="2" xfId="0" applyNumberFormat="1" applyFont="1" applyBorder="1"/>
    <xf numFmtId="169" fontId="4" fillId="0" borderId="0" xfId="0" applyNumberFormat="1" applyFont="1"/>
    <xf numFmtId="169" fontId="4" fillId="0" borderId="2" xfId="0" applyNumberFormat="1" applyFont="1" applyBorder="1"/>
    <xf numFmtId="169" fontId="0" fillId="0" borderId="0" xfId="0" applyNumberFormat="1"/>
    <xf numFmtId="169" fontId="1" fillId="0" borderId="2" xfId="0" applyNumberFormat="1" applyFont="1" applyBorder="1"/>
    <xf numFmtId="165" fontId="5" fillId="0" borderId="8" xfId="0" applyNumberFormat="1" applyFont="1" applyBorder="1"/>
    <xf numFmtId="165" fontId="5" fillId="0" borderId="9" xfId="0" applyNumberFormat="1" applyFont="1" applyBorder="1"/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5">
    <dxf/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</dxfs>
  <tableStyles count="1" defaultTableStyle="WorkbookCore_NoFormatTable" defaultPivotStyle="PivotStyleLight16">
    <tableStyle name="WorkbookCore_NoFormatTable" pivot="0" table="1" count="13">
      <tableStyleElement type="wholeTable" dxfId="0"/>
      <tableStyleElement type="headerRow" dxfId="0"/>
      <tableStyleElement type="totalRow" dxfId="0"/>
      <tableStyleElement type="firstColumn" dxfId="0"/>
      <tableStyleElement type="lastColumn" dxfId="0"/>
      <tableStyleElement type="firstHeaderCell" dxfId="0"/>
      <tableStyleElement type="lastHeaderCell" dxfId="0"/>
      <tableStyleElement type="firstTotalCell" dxfId="0"/>
      <tableStyleElement type="lastTotalCell" dxfId="0"/>
      <tableStyleElement type="firstRowStripe" dxfId="0" size="1"/>
      <tableStyleElement type="secondRowStripe" dxfId="0" size="1"/>
      <tableStyleElement type="firstColumnStripe" dxfId="0" size="1"/>
      <tableStyleElement type="secondColumnStripe" dxfId="0" size="1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id="1" name="OTLayer" displayName="OTLayer" ref="B7:I843" totalsRowShown="0">
  <autoFilter ref="B7:I843"/>
  <tableColumns count="8">
    <tableColumn id="1" name="Vendor"/>
    <tableColumn id="2" name="PIID"/>
    <tableColumn id="3" name="OT"/>
    <tableColumn id="4" name="Award Type"/>
    <tableColumn id="5" name="Base Signed"/>
    <tableColumn id="6" name="Last Signed"/>
    <tableColumn id="7" name="Ceiling $M"/>
    <tableColumn id="8" name="Obligated $M"/>
  </tableColumns>
  <tableStyleInfo name="WorkbookCore_NoFormatTable" showFirstColumn="0" showLastColumn="0" showRowStripes="0" showColumnStripes="0"/>
</table>
</file>

<file path=xl/tables/table2.xml><?xml version="1.0" encoding="utf-8"?>
<table xmlns="http://schemas.openxmlformats.org/spreadsheetml/2006/main" id="2" name="RecompeteRadar" displayName="RecompeteRadar" ref="B7:Q59" totalsRowShown="0">
  <autoFilter ref="B7:Q59"/>
  <tableColumns count="16">
    <tableColumn id="1" name="Vehicle PIID"/>
    <tableColumn id="2" name="Tier"/>
    <tableColumn id="3" name="Type"/>
    <tableColumn id="4" name="Incumbent"/>
    <tableColumn id="5" name="NAICS"/>
    <tableColumn id="6" name="PSC"/>
    <tableColumn id="7" name="Obligated $M"/>
    <tableColumn id="8" name="Orders"/>
    <tableColumn id="9" name="Recompete Clock"/>
    <tableColumn id="10" name="Months to Clock"/>
    <tableColumn id="11" name="State"/>
    <tableColumn id="12" name="Access Gate"/>
    <tableColumn id="13" name="Portal Notice"/>
    <tableColumn id="14" name="Last Activity"/>
    <tableColumn id="15" name="Clock Basis"/>
    <tableColumn id="16" name="Prev Clock (S2)"/>
  </tableColumns>
  <tableStyleInfo name="WorkbookCore_NoFormatTable" showFirstColumn="0" showLastColumn="0" showRowStripes="0" showColumnStripes="0"/>
</table>
</file>

<file path=xl/tables/table3.xml><?xml version="1.0" encoding="utf-8"?>
<table xmlns="http://schemas.openxmlformats.org/spreadsheetml/2006/main" id="3" name="TeamingEdges" displayName="TeamingEdges" ref="B7:L688" totalsRowShown="0">
  <autoFilter ref="B7:L688"/>
  <tableColumns count="11">
    <tableColumn id="1" name="Prime PIID"/>
    <tableColumn id="2" name="Prime"/>
    <tableColumn id="3" name="Prime UEI"/>
    <tableColumn id="4" name="Sub Key"/>
    <tableColumn id="5" name="Subcontractor"/>
    <tableColumn id="6" name="Sub UEI"/>
    <tableColumn id="7" name="Sub $M"/>
    <tableColumn id="8" name="Sub Date"/>
    <tableColumn id="9" name="Capability"/>
    <tableColumn id="10" name="Lag (mo)"/>
    <tableColumn id="11" name="Description"/>
  </tableColumns>
  <tableStyleInfo name="WorkbookCore_NoFormatTable" showFirstColumn="0" showLastColumn="0" showRowStripes="0" showColumnStripes="0"/>
</table>
</file>

<file path=xl/tables/table4.xml><?xml version="1.0" encoding="utf-8"?>
<table xmlns="http://schemas.openxmlformats.org/spreadsheetml/2006/main" id="4" name="PrimeConcentration" displayName="PrimeConcentration" ref="B7:E67" totalsRowShown="0">
  <autoFilter ref="B7:E67"/>
  <tableColumns count="4">
    <tableColumn id="1" name="Tier"/>
    <tableColumn id="2" name="Prime"/>
    <tableColumn id="3" name="Obligated $M"/>
    <tableColumn id="4" name="Tier Share %"/>
  </tableColumns>
  <tableStyleInfo name="WorkbookCore_NoFormatTable" showFirstColumn="0" showLastColumn="0" showRowStripes="0" showColumnStripes="0"/>
</table>
</file>

<file path=xl/tables/table5.xml><?xml version="1.0" encoding="utf-8"?>
<table xmlns="http://schemas.openxmlformats.org/spreadsheetml/2006/main" id="5" name="MarketTiers" displayName="MarketTiers" ref="B7:F5767" totalsRowShown="0">
  <autoFilter ref="B7:F5767"/>
  <tableColumns count="5">
    <tableColumn id="1" name="PIID"/>
    <tableColumn id="2" name="Tier"/>
    <tableColumn id="3" name="Award $M"/>
    <tableColumn id="4" name="Recipient"/>
    <tableColumn id="5" name="Matched Axes"/>
  </tableColumns>
  <tableStyleInfo name="WorkbookCore_NoFormatTable" showFirstColumn="0" showLastColumn="0" showRowStripes="0" showColumnStripes="0"/>
</table>
</file>

<file path=xl/tables/table6.xml><?xml version="1.0" encoding="utf-8"?>
<table xmlns="http://schemas.openxmlformats.org/spreadsheetml/2006/main" id="6" name="PortalNotices" displayName="PortalNotices" ref="B7:J676" totalsRowShown="0">
  <autoFilter ref="B7:J676"/>
  <tableColumns count="9">
    <tableColumn id="1" name="Notice ID"/>
    <tableColumn id="2" name="Type"/>
    <tableColumn id="3" name="Posted"/>
    <tableColumn id="4" name="Buyer"/>
    <tableColumn id="5" name="Subject"/>
    <tableColumn id="6" name="NAICS"/>
    <tableColumn id="7" name="PSC"/>
    <tableColumn id="8" name="Title"/>
    <tableColumn id="9" name="Solicitation"/>
  </tableColumns>
  <tableStyleInfo name="WorkbookCore_NoFormatTable" showFirstColumn="0" showLastColumn="0" showRowStripes="0" showColumnStripes="0"/>
</table>
</file>

<file path=xl/tables/table7.xml><?xml version="1.0" encoding="utf-8"?>
<table xmlns="http://schemas.openxmlformats.org/spreadsheetml/2006/main" id="7" name="AwardOppMatch" displayName="AwardOppMatch" ref="B7:L2055" totalsRowShown="0">
  <autoFilter ref="B7:L2055"/>
  <tableColumns count="11">
    <tableColumn id="1" name="PIID"/>
    <tableColumn id="2" name="Parent IDV"/>
    <tableColumn id="3" name="Tier"/>
    <tableColumn id="4" name="Recipient"/>
    <tableColumn id="5" name="Award Type"/>
    <tableColumn id="6" name="Obligation $M"/>
    <tableColumn id="7" name="Date Signed"/>
    <tableColumn id="8" name="In Window"/>
    <tableColumn id="9" name="Solicitation"/>
    <tableColumn id="10" name="Match Level"/>
    <tableColumn id="11" name="Matched Notice"/>
  </tableColumns>
  <tableStyleInfo name="WorkbookCore_NoFormatTable" showFirstColumn="0" showLastColumn="0" showRowStripes="0" showColumnStripes="0"/>
</table>
</file>

<file path=xl/tables/table8.xml><?xml version="1.0" encoding="utf-8"?>
<table xmlns="http://schemas.openxmlformats.org/spreadsheetml/2006/main" id="8" name="BacktestEvents" displayName="BacktestEvents" ref="B7:N18" totalsRowShown="0">
  <autoFilter ref="B7:N18"/>
  <tableColumns count="13">
    <tableColumn id="1" name="Builder"/>
    <tableColumn id="2" name="Predecessor"/>
    <tableColumn id="3" name="Successor"/>
    <tableColumn id="4" name="Succ Award"/>
    <tableColumn id="5" name="Pred Close"/>
    <tableColumn id="6" name="Close vs Succ (mo)"/>
    <tableColumn id="7" name="Event Class"/>
    <tableColumn id="8" name="t-6"/>
    <tableColumn id="9" name="t-12"/>
    <tableColumn id="10" name="t-18"/>
    <tableColumn id="11" name="Clock Known @ t-12"/>
    <tableColumn id="12" name="Lead (mo)"/>
    <tableColumn id="13" name="Clock Extended"/>
  </tableColumns>
  <tableStyleInfo name="WorkbookCore_NoFormatTable" showFirstColumn="0" showLastColumn="0" showRowStripes="0" showColumnStripes="0"/>
</table>
</file>

<file path=xl/tables/table9.xml><?xml version="1.0" encoding="utf-8"?>
<table xmlns="http://schemas.openxmlformats.org/spreadsheetml/2006/main" id="9" name="PopTimeline" displayName="PopTimeline" ref="B7:G36" totalsRowShown="0">
  <autoFilter ref="B7:G36"/>
  <tableColumns count="6">
    <tableColumn id="1" name="Vehicle PIID"/>
    <tableColumn id="2" name="Role"/>
    <tableColumn id="3" name="Clock Recorded"/>
    <tableColumn id="4" name="Mod"/>
    <tableColumn id="5" name="Last Date To Order"/>
    <tableColumn id="6" name="Event"/>
  </tableColumns>
  <tableStyleInfo name="WorkbookCore_NoFormatTable" showFirstColumn="0" showLastColumn="0" showRowStripes="0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6A4C93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44" customWidth="1"/>
    <col min="3" max="3" width="16" customWidth="1"/>
    <col min="4" max="4" width="16" customWidth="1"/>
    <col min="5" max="5" width="34" customWidth="1"/>
  </cols>
  <sheetData>
    <row r="1"/>
    <row r="2">
      <c r="B2" s="8" t="inlineStr">
        <is>
          <t xml:space="preserve">Summary</t>
        </is>
      </c>
      <c r="C2" s="8"/>
      <c r="D2" s="8"/>
      <c r="E2" s="8"/>
    </row>
    <row r="3">
      <c r="B3" s="60" t="inlineStr">
        <is>
          <t xml:space="preserve">Every figure is a live formula off the data tabs (no hardcoded constants). Obligations, not ceilings; FY2015-26, pulled 2026-06-23.</t>
        </is>
      </c>
    </row>
    <row r="6">
      <c r="B6" s="9" t="inlineStr">
        <is>
          <t xml:space="preserve">§1 - The visibility gap: the same market read three ways</t>
        </is>
      </c>
      <c r="C6" s="9"/>
      <c r="D6" s="9"/>
      <c r="E6" s="9"/>
    </row>
    <row r="8">
      <c r="B8" s="0" t="inlineStr">
        <is>
          <t xml:space="preserve">SAM Opportunities portal, USV-relevant notices</t>
        </is>
      </c>
      <c r="C8" s="6">
        <f>COUNTIF('Portal Notices'!$F$8:$F$676,"usv_autonomy")/COUNTA('Portal Notices'!$F$8:$F$676)</f>
      </c>
      <c r="D8" s="4"/>
      <c r="E8" s="60" t="inlineStr">
        <is>
          <t xml:space="preserve">49 of 669 notices. Source: Portal Notices</t>
        </is>
      </c>
    </row>
    <row r="9">
      <c r="B9" s="0" t="inlineStr">
        <is>
          <t xml:space="preserve">SAM Opportunities portal, recurring-sustainment notices</t>
        </is>
      </c>
      <c r="C9" s="6">
        <f>(COUNTIF('Portal Notices'!$F$8:$F$676,"ship_repair_maintenance")+COUNTIF('Portal Notices'!$F$8:$F$676,"marine_components_parts"))/COUNTA('Portal Notices'!$F$8:$F$676)</f>
      </c>
      <c r="D9" s="4"/>
      <c r="E9" s="60" t="inlineStr">
        <is>
          <t xml:space="preserve">ship repair and parts. Source: Portal Notices</t>
        </is>
      </c>
    </row>
    <row r="11">
      <c r="B11" s="1" t="inlineStr">
        <is>
          <t xml:space="preserve">Saronic, standard FPDS pull (A-D, IDV), obligated $M</t>
        </is>
      </c>
      <c r="C11" s="4">
        <f>SUMIFS('OT Layer'!$I$8:$I$843,'OT Layer'!$B$8:$B$843,"SARONIC TECHNOLOGIES",'OT Layer'!$D$8:$D$843,"no")</f>
      </c>
      <c r="D11" s="4"/>
      <c r="E11" s="60" t="inlineStr">
        <is>
          <t xml:space="preserve">conventional awards only; OTs are dropped by the feed</t>
        </is>
      </c>
    </row>
    <row r="12">
      <c r="B12" s="1" t="inlineStr">
        <is>
          <t xml:space="preserve">Saronic, SAM Contract Awards OT layer, obligated $M</t>
        </is>
      </c>
      <c r="C12" s="4">
        <f>SUMIFS('OT Layer'!$I$8:$I$843,'OT Layer'!$B$8:$B$843,"SARONIC TECHNOLOGIES",'OT Layer'!$D$8:$D$843,"yes")</f>
      </c>
      <c r="D12" s="4"/>
      <c r="E12" s="60" t="inlineStr">
        <is>
          <t xml:space="preserve">the same vendor, the layer FPDS drops</t>
        </is>
      </c>
    </row>
    <row r="13">
      <c r="B13" s="0" t="inlineStr">
        <is>
          <t xml:space="preserve">Flagship OT N000242596305 (Navy/PEO-USC), obl / ceiling $M</t>
        </is>
      </c>
      <c r="C13" s="4">
        <f>SUMIFS('OT Layer'!$I$8:$I$843,'OT Layer'!$C$8:$C$843,"N000242596305")</f>
      </c>
      <c r="D13" s="4">
        <f>SUMIFS('OT Layer'!$H$8:$H$843,'OT Layer'!$C$8:$C$843,"N000242596305")</f>
      </c>
      <c r="E13" s="60" t="inlineStr">
        <is>
          <t xml:space="preserve">signed 2025-05-16. Source: OT Layer</t>
        </is>
      </c>
    </row>
    <row r="16">
      <c r="B16" s="9" t="inlineStr">
        <is>
          <t xml:space="preserve">§2 - Forward signals: recompete radar and teaming map</t>
        </is>
      </c>
      <c r="C16" s="9"/>
      <c r="D16" s="9"/>
      <c r="E16" s="9"/>
    </row>
    <row r="18">
      <c r="B18" s="1" t="inlineStr">
        <is>
          <t xml:space="preserve">Recompete radar, vehicles surfaced (&gt;= $5M)</t>
        </is>
      </c>
      <c r="C18" s="44">
        <f>COUNTA('Recompete Radar'!$B$8:$B$59)</f>
      </c>
      <c r="D18" s="4"/>
      <c r="E18" s="60" t="inlineStr">
        <is>
          <t xml:space="preserve">clock = FPDS ordering-period end; Mechanism 1</t>
        </is>
      </c>
    </row>
    <row r="19">
      <c r="B19" s="0" t="inlineStr">
        <is>
          <t xml:space="preserve">   ordering period already closed (overdue, no successor seen)</t>
        </is>
      </c>
      <c r="C19" s="44">
        <f>COUNTIF('Recompete Radar'!$K$8:$K$59,"&lt;0")</f>
      </c>
      <c r="D19" s="4"/>
      <c r="E19" s="60"/>
    </row>
    <row r="20">
      <c r="B20" s="0" t="inlineStr">
        <is>
          <t xml:space="preserve">   reaching turnover within 36 months</t>
        </is>
      </c>
      <c r="C20" s="44">
        <f>COUNTIFS('Recompete Radar'!$K$8:$K$59,"&gt;=0",'Recompete Radar'!$K$8:$K$59,"&lt;=36")</f>
      </c>
      <c r="D20" s="4"/>
      <c r="E20" s="60"/>
    </row>
    <row r="21">
      <c r="B21" s="0" t="inlineStr">
        <is>
          <t xml:space="preserve">   no matching SAM Opportunities notice</t>
        </is>
      </c>
      <c r="C21" s="6">
        <f>COUNTIF('Recompete Radar'!$N$8:$N$59,"NONE")/COUNTA('Recompete Radar'!$N$8:$N$59)</f>
      </c>
      <c r="D21" s="4"/>
      <c r="E21" s="60" t="inlineStr">
        <is>
          <t xml:space="preserve">share with no portal notice</t>
        </is>
      </c>
    </row>
    <row r="22">
      <c r="B22" s="60" t="inlineStr">
        <is>
          <t xml:space="preserve">Clocks re-based on FPDS lastDateToOrder (the authoritative ordering-period end); the Stage-2 order-PoP clock ran early or late on 33 of 52. 8 recent IDVs run beyond 36 months.</t>
        </is>
      </c>
    </row>
    <row r="24">
      <c r="B24" s="1" t="inlineStr">
        <is>
          <t xml:space="preserve">Teaming map, first-tier subaward edges</t>
        </is>
      </c>
      <c r="C24" s="44">
        <f>COUNTA('Teaming Edges'!$B$8:$B$688)</f>
      </c>
      <c r="D24" s="4"/>
      <c r="E24" s="60" t="inlineStr">
        <is>
          <t xml:space="preserve">reported floor; Mechanism 3</t>
        </is>
      </c>
    </row>
    <row r="25">
      <c r="B25" s="0" t="inlineStr">
        <is>
          <t xml:space="preserve">   subaward dollars, $M</t>
        </is>
      </c>
      <c r="C25" s="4">
        <f>SUM('Teaming Edges'!$H$8:$H$688)</f>
      </c>
      <c r="D25" s="4"/>
      <c r="E25" s="60"/>
    </row>
    <row r="26">
      <c r="B26" s="0" t="inlineStr">
        <is>
          <t xml:space="preserve">   distinct subcontractors</t>
        </is>
      </c>
      <c r="C26" s="44">
        <f>SUMPRODUCT(1/COUNTIF('Teaming Edges'!$E$8:$E$688,'Teaming Edges'!$E$8:$E$688))</f>
      </c>
      <c r="D26" s="4"/>
      <c r="E26" s="60" t="inlineStr">
        <is>
          <t xml:space="preserve">distinct sub keys across the edges</t>
        </is>
      </c>
    </row>
    <row r="29">
      <c r="B29" s="9" t="inlineStr">
        <is>
          <t xml:space="preserve">§3 - Market structure: addressable tiers and prime gating</t>
        </is>
      </c>
      <c r="C29" s="9"/>
      <c r="D29" s="9"/>
      <c r="E29" s="9"/>
    </row>
    <row r="31">
      <c r="B31" s="1" t="inlineStr">
        <is>
          <t xml:space="preserve">Tier</t>
        </is>
      </c>
      <c r="C31" s="1" t="inlineStr">
        <is>
          <t xml:space="preserve">Awards</t>
        </is>
      </c>
      <c r="D31" s="1" t="inlineStr">
        <is>
          <t xml:space="preserve">Obligated $M</t>
        </is>
      </c>
      <c r="E31" s="1" t="inlineStr">
        <is>
          <t xml:space="preserve">Top-5 prime share</t>
        </is>
      </c>
    </row>
    <row r="32">
      <c r="B32" s="0" t="inlineStr">
        <is>
          <t xml:space="preserve">USV / autonomy</t>
        </is>
      </c>
      <c r="C32" s="44">
        <f>COUNTIF('Market Tiers'!$C$8:$C$5767,"usv_core")</f>
      </c>
      <c r="D32" s="4">
        <f>SUMIF('Market Tiers'!$C$8:$C$5767,"usv_core",'Market Tiers'!$D$8:$D$5767)</f>
      </c>
      <c r="E32" s="6">
        <f>SUMPRODUCT(LARGE(('Prime Concentration'!$B$8:$B$67="usv_core")*'Prime Concentration'!$E$8:$E$67,{1;2;3;4;5}))/100</f>
      </c>
    </row>
    <row r="33">
      <c r="B33" s="0" t="inlineStr">
        <is>
          <t xml:space="preserve">Small craft</t>
        </is>
      </c>
      <c r="C33" s="44">
        <f>COUNTIF('Market Tiers'!$C$8:$C$5767,"small_craft")</f>
      </c>
      <c r="D33" s="4">
        <f>SUMIF('Market Tiers'!$C$8:$C$5767,"small_craft",'Market Tiers'!$D$8:$D$5767)</f>
      </c>
      <c r="E33" s="6">
        <f>SUMPRODUCT(LARGE(('Prime Concentration'!$B$8:$B$67="small_craft")*'Prime Concentration'!$E$8:$E$67,{1;2;3;4;5}))/100</f>
      </c>
    </row>
    <row r="34">
      <c r="B34" s="0" t="inlineStr">
        <is>
          <t xml:space="preserve">Other small vessels</t>
        </is>
      </c>
      <c r="C34" s="44">
        <f>COUNTIF('Market Tiers'!$C$8:$C$5767,"other_small")</f>
      </c>
      <c r="D34" s="4">
        <f>SUMIF('Market Tiers'!$C$8:$C$5767,"other_small",'Market Tiers'!$D$8:$D$5767)</f>
      </c>
      <c r="E34" s="6">
        <f>SUMPRODUCT(LARGE(('Prime Concentration'!$B$8:$B$67="other_small")*'Prime Concentration'!$E$8:$E$67,{1;2;3;4;5}))/100</f>
      </c>
    </row>
    <row r="35">
      <c r="B35" s="0" t="inlineStr">
        <is>
          <t xml:space="preserve">Broad maritime</t>
        </is>
      </c>
      <c r="C35" s="44">
        <f>COUNTIF('Market Tiers'!$C$8:$C$5767,"broad_maritime")</f>
      </c>
      <c r="D35" s="4">
        <f>SUMIF('Market Tiers'!$C$8:$C$5767,"broad_maritime",'Market Tiers'!$D$8:$D$5767)</f>
      </c>
      <c r="E35" s="6">
        <f>SUMPRODUCT(LARGE(('Prime Concentration'!$B$8:$B$67="broad_maritime")*'Prime Concentration'!$E$8:$E$67,{1;2;3;4;5}))/100</f>
      </c>
    </row>
    <row r="36">
      <c r="B36" s="1" t="inlineStr">
        <is>
          <t xml:space="preserve">Addressable (excl. broad maritime)</t>
        </is>
      </c>
      <c r="C36" s="44">
        <f>C32+C33+C34</f>
      </c>
      <c r="D36" s="4">
        <f>D32+D33+D34</f>
      </c>
    </row>
    <row r="37">
      <c r="B37" s="60" t="inlineStr">
        <is>
          <t xml:space="preserve">Awards and obligated live off Market Tiers (COUNTIF / SUMIF); top-5 share off Prime Concentration.</t>
        </is>
      </c>
    </row>
    <row r="39">
      <c r="B39" s="1" t="inlineStr">
        <is>
          <t xml:space="preserve">Addressable awards dark in the portal's 12-month window</t>
        </is>
      </c>
      <c r="C39" s="6">
        <f>SUMIFS('Award-Opportunity Match'!$G$8:$G$2055,'Award-Opportunity Match'!$I$8:$I$2055,"yes",'Award-Opportunity Match'!$K$8:$K$2055,"NONE")/SUMIFS('Award-Opportunity Match'!$G$8:$G$2055,'Award-Opportunity Match'!$I$8:$I$2055,"yes")</f>
      </c>
      <c r="D39" s="4"/>
      <c r="E39" s="60" t="inlineStr">
        <is>
          <t xml:space="preserve">share of in-window addressable $ with no notice. Source: Award-Opportunity Match</t>
        </is>
      </c>
    </row>
    <row r="40">
      <c r="B40" s="60" t="inlineStr">
        <is>
          <t xml:space="preserve">123 of 125 awards; 97 of 99 definitive.</t>
        </is>
      </c>
    </row>
    <row r="43">
      <c r="B43" s="9" t="inlineStr">
        <is>
          <t xml:space="preserve">§4 - Backtest: would the radar have flagged recompetes early?</t>
        </is>
      </c>
      <c r="C43" s="9"/>
      <c r="D43" s="9"/>
      <c r="E43" s="9"/>
    </row>
    <row r="45">
      <c r="B45" s="1" t="inlineStr">
        <is>
          <t xml:space="preserve">Recompete pairs tested (boat-IDIQ builder chains)</t>
        </is>
      </c>
      <c r="C45" s="44">
        <f>COUNTA('Backtest Events'!$C$8:$C$18)</f>
      </c>
      <c r="D45" s="4"/>
      <c r="E45" s="60" t="inlineStr">
        <is>
          <t xml:space="preserve">point-in-time, no look-ahead</t>
        </is>
      </c>
    </row>
    <row r="46">
      <c r="B46" s="0" t="inlineStr">
        <is>
          <t xml:space="preserve">   parallel vehicles (predecessor still active, not a recompete)</t>
        </is>
      </c>
      <c r="C46" s="44">
        <f>COUNTIF('Backtest Events'!$H$8:$H$18,"parallel")</f>
      </c>
      <c r="D46" s="4"/>
      <c r="E46" s="60" t="inlineStr">
        <is>
          <t xml:space="preserve">radar correctly stays quiet</t>
        </is>
      </c>
    </row>
    <row r="47">
      <c r="B47" s="0" t="inlineStr">
        <is>
          <t xml:space="preserve">   true turnovers (predecessor closed around the successor)</t>
        </is>
      </c>
      <c r="C47" s="44">
        <f>COUNTIF('Backtest Events'!$H$8:$H$18,"&lt;&gt;parallel")</f>
      </c>
      <c r="D47" s="4"/>
      <c r="E47" s="60"/>
    </row>
    <row r="48">
      <c r="B48" s="0" t="inlineStr">
        <is>
          <t xml:space="preserve">   of which anticipable at t-12 months</t>
        </is>
      </c>
      <c r="C48" s="44">
        <f>COUNTIFS('Backtest Events'!$H$8:$H$18,"&lt;&gt;parallel",'Backtest Events'!$J$8:$J$18,"Y")</f>
      </c>
      <c r="D48" s="4"/>
      <c r="E48" s="60"/>
    </row>
    <row r="49">
      <c r="B49" s="0" t="inlineStr">
        <is>
          <t xml:space="preserve">   predecessor clock extended after t-12 (date-slip)</t>
        </is>
      </c>
      <c r="C49" s="44">
        <f>COUNTIF('Backtest Events'!$N$8:$N$18,"Y")</f>
      </c>
      <c r="D49" s="4"/>
      <c r="E49" s="60"/>
    </row>
    <row r="50">
      <c r="B50" s="60" t="inlineStr">
        <is>
          <t xml:space="preserve">The recompete clock (FPDS lastDateToOrder) is set at award, so it is on record 2-6 years before the portal (which showed none of these). A publishable hit-rate needs a solicitationId-linked event set; the builder-chain set conflates recompetes with parallel vehicles.</t>
        </is>
      </c>
    </row>
    <row r="53">
      <c r="B53" s="60" t="inlineStr">
        <is>
          <t xml:space="preserve">Sources: USAspending prime awards and subawards; SAM.gov Contract Awards (by awardee UEI); SAM.gov Contract Opportunities. Pulled 2026-06-23, federal FY2015-26.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24" customWidth="1"/>
    <col min="3" max="3" width="18" customWidth="1"/>
    <col min="4" max="4" width="6" customWidth="1"/>
    <col min="5" max="5" width="26" customWidth="1"/>
    <col min="6" max="6" width="13" customWidth="1"/>
    <col min="7" max="7" width="13" customWidth="1"/>
    <col min="8" max="8" width="13" customWidth="1"/>
    <col min="9" max="9" width="14" customWidth="1"/>
  </cols>
  <sheetData>
    <row r="1"/>
    <row r="2">
      <c r="B2" s="8" t="inlineStr">
        <is>
          <t xml:space="preserve">OT Layer</t>
        </is>
      </c>
      <c r="C2" s="8"/>
      <c r="D2" s="8"/>
      <c r="E2" s="8"/>
      <c r="F2" s="8"/>
      <c r="G2" s="8"/>
      <c r="H2" s="8"/>
      <c r="I2" s="8"/>
    </row>
    <row r="3">
      <c r="B3" s="60" t="inlineStr">
        <is>
          <t xml:space="preserve">One row per award family; obligated and ceiling in $M. OT marks an Other Transaction, which a standard FPDS pull drops.</t>
        </is>
      </c>
    </row>
    <row r="5">
      <c r="B5" s="9" t="inlineStr">
        <is>
          <t xml:space="preserve">§1 - USV vendor prime awards, SAM Contract Awards by awardee UEI</t>
        </is>
      </c>
      <c r="C5" s="9"/>
      <c r="D5" s="9"/>
      <c r="E5" s="9"/>
      <c r="F5" s="9"/>
      <c r="G5" s="9"/>
      <c r="H5" s="9"/>
      <c r="I5" s="9"/>
    </row>
    <row r="7">
      <c r="B7" s="2" t="inlineStr">
        <is>
          <t xml:space="preserve">Vendor</t>
        </is>
      </c>
      <c r="C7" s="2" t="inlineStr">
        <is>
          <t xml:space="preserve">PIID</t>
        </is>
      </c>
      <c r="D7" s="2" t="inlineStr">
        <is>
          <t xml:space="preserve">OT</t>
        </is>
      </c>
      <c r="E7" s="2" t="inlineStr">
        <is>
          <t xml:space="preserve">Award Type</t>
        </is>
      </c>
      <c r="F7" s="2" t="inlineStr">
        <is>
          <t xml:space="preserve">Base Signed</t>
        </is>
      </c>
      <c r="G7" s="2" t="inlineStr">
        <is>
          <t xml:space="preserve">Last Signed</t>
        </is>
      </c>
      <c r="H7" s="22" t="inlineStr">
        <is>
          <t xml:space="preserve">Ceiling $M</t>
        </is>
      </c>
      <c r="I7" s="22" t="inlineStr">
        <is>
          <t xml:space="preserve">Obligated $M</t>
        </is>
      </c>
    </row>
    <row r="8">
      <c r="B8" s="0" t="inlineStr">
        <is>
          <t xml:space="preserve">AUSTAL USA</t>
        </is>
      </c>
      <c r="C8" s="0" t="inlineStr">
        <is>
          <t xml:space="preserve">N0002411C2301</t>
        </is>
      </c>
      <c r="D8" s="0" t="inlineStr">
        <is>
          <t xml:space="preserve">no</t>
        </is>
      </c>
      <c r="E8" s="0" t="inlineStr">
        <is>
          <t xml:space="preserve">DEFINITIVE CONTRACT</t>
        </is>
      </c>
      <c r="F8" s="0" t="inlineStr">
        <is>
          <t xml:space="preserve">2012-08-24</t>
        </is>
      </c>
      <c r="G8" s="0" t="inlineStr">
        <is>
          <t xml:space="preserve">2025-08-12</t>
        </is>
      </c>
      <c r="H8" s="4">
        <v>5642.7</v>
      </c>
      <c r="I8" s="4">
        <v>4464.7</v>
      </c>
    </row>
    <row r="9">
      <c r="B9" s="0" t="inlineStr">
        <is>
          <t xml:space="preserve">AUSTAL USA</t>
        </is>
      </c>
      <c r="C9" s="0" t="inlineStr">
        <is>
          <t xml:space="preserve">N0002417C2301</t>
        </is>
      </c>
      <c r="D9" s="0" t="inlineStr">
        <is>
          <t xml:space="preserve">no</t>
        </is>
      </c>
      <c r="E9" s="0" t="inlineStr">
        <is>
          <t xml:space="preserve">DEFINITIVE CONTRACT</t>
        </is>
      </c>
      <c r="F9" s="0" t="inlineStr">
        <is>
          <t xml:space="preserve">2020-01-22</t>
        </is>
      </c>
      <c r="G9" s="0" t="inlineStr">
        <is>
          <t xml:space="preserve">2025-12-18</t>
        </is>
      </c>
      <c r="H9" s="4">
        <v>3098.9</v>
      </c>
      <c r="I9" s="4">
        <v>2809.9</v>
      </c>
    </row>
    <row r="10">
      <c r="B10" s="0" t="inlineStr">
        <is>
          <t xml:space="preserve">AUSTAL USA</t>
        </is>
      </c>
      <c r="C10" s="0" t="inlineStr">
        <is>
          <t xml:space="preserve">N0002408C2217</t>
        </is>
      </c>
      <c r="D10" s="0" t="inlineStr">
        <is>
          <t xml:space="preserve">no</t>
        </is>
      </c>
      <c r="E10" s="0" t="inlineStr">
        <is>
          <t xml:space="preserve">DEFINITIVE CONTRACT</t>
        </is>
      </c>
      <c r="F10" s="0" t="inlineStr">
        <is>
          <t xml:space="preserve">2018-01-24</t>
        </is>
      </c>
      <c r="G10" s="0" t="inlineStr">
        <is>
          <t xml:space="preserve">2023-06-07</t>
        </is>
      </c>
      <c r="H10" s="4">
        <v>1673.4</v>
      </c>
      <c r="I10" s="4">
        <v>1651.8</v>
      </c>
    </row>
    <row r="11">
      <c r="B11" s="0" t="inlineStr">
        <is>
          <t xml:space="preserve">AUSTAL USA</t>
        </is>
      </c>
      <c r="C11" s="0" t="inlineStr">
        <is>
          <t xml:space="preserve">70Z02322C93220001</t>
        </is>
      </c>
      <c r="D11" s="0" t="inlineStr">
        <is>
          <t xml:space="preserve">no</t>
        </is>
      </c>
      <c r="E11" s="0" t="inlineStr">
        <is>
          <t xml:space="preserve">DEFINITIVE CONTRACT</t>
        </is>
      </c>
      <c r="F11" s="0" t="inlineStr">
        <is>
          <t xml:space="preserve">2026-04-13</t>
        </is>
      </c>
      <c r="G11" s="0" t="inlineStr">
        <is>
          <t xml:space="preserve">2026-04-13</t>
        </is>
      </c>
      <c r="H11" s="4">
        <v>3311.2</v>
      </c>
      <c r="I11" s="4">
        <v>1401.2</v>
      </c>
    </row>
    <row r="12">
      <c r="B12" s="0" t="inlineStr">
        <is>
          <t xml:space="preserve">AUSTAL USA</t>
        </is>
      </c>
      <c r="C12" s="0" t="inlineStr">
        <is>
          <t xml:space="preserve">N0002419C2227</t>
        </is>
      </c>
      <c r="D12" s="0" t="inlineStr">
        <is>
          <t xml:space="preserve">no</t>
        </is>
      </c>
      <c r="E12" s="0" t="inlineStr">
        <is>
          <t xml:space="preserve">DEFINITIVE CONTRACT</t>
        </is>
      </c>
      <c r="F12" s="0" t="inlineStr">
        <is>
          <t xml:space="preserve">2022-09-08</t>
        </is>
      </c>
      <c r="G12" s="0" t="inlineStr">
        <is>
          <t xml:space="preserve">2026-03-26</t>
        </is>
      </c>
      <c r="H12" s="4">
        <v>1882.0</v>
      </c>
      <c r="I12" s="4">
        <v>1245.6</v>
      </c>
    </row>
    <row r="13">
      <c r="B13" s="0" t="inlineStr">
        <is>
          <t xml:space="preserve">TEXTRON SYSTEMS</t>
        </is>
      </c>
      <c r="C13" s="0" t="inlineStr">
        <is>
          <t xml:space="preserve">N0002417C2480</t>
        </is>
      </c>
      <c r="D13" s="0" t="inlineStr">
        <is>
          <t xml:space="preserve">no</t>
        </is>
      </c>
      <c r="E13" s="0" t="inlineStr">
        <is>
          <t xml:space="preserve">DEFINITIVE CONTRACT</t>
        </is>
      </c>
      <c r="F13" s="0" t="inlineStr">
        <is>
          <t xml:space="preserve">2017-09-01</t>
        </is>
      </c>
      <c r="G13" s="0" t="inlineStr">
        <is>
          <t xml:space="preserve">2025-08-07</t>
        </is>
      </c>
      <c r="H13" s="4">
        <v>970.9</v>
      </c>
      <c r="I13" s="4">
        <v>970.9</v>
      </c>
    </row>
    <row r="14">
      <c r="B14" s="0" t="inlineStr">
        <is>
          <t xml:space="preserve">TEXTRON SYSTEMS</t>
        </is>
      </c>
      <c r="C14" s="0" t="inlineStr">
        <is>
          <t xml:space="preserve">W911QY17C0013</t>
        </is>
      </c>
      <c r="D14" s="0" t="inlineStr">
        <is>
          <t xml:space="preserve">no</t>
        </is>
      </c>
      <c r="E14" s="0" t="inlineStr">
        <is>
          <t xml:space="preserve">DEFINITIVE CONTRACT</t>
        </is>
      </c>
      <c r="F14" s="0" t="inlineStr">
        <is>
          <t xml:space="preserve">2017-01-04</t>
        </is>
      </c>
      <c r="G14" s="0" t="inlineStr">
        <is>
          <t xml:space="preserve">2024-08-16</t>
        </is>
      </c>
      <c r="H14" s="4">
        <v>705.0</v>
      </c>
      <c r="I14" s="4">
        <v>685.9</v>
      </c>
    </row>
    <row r="15">
      <c r="B15" s="0" t="inlineStr">
        <is>
          <t xml:space="preserve">TEXTRON SYSTEMS</t>
        </is>
      </c>
      <c r="C15" s="0" t="inlineStr">
        <is>
          <t xml:space="preserve">N0002412C2401</t>
        </is>
      </c>
      <c r="D15" s="0" t="inlineStr">
        <is>
          <t xml:space="preserve">no</t>
        </is>
      </c>
      <c r="E15" s="0" t="inlineStr">
        <is>
          <t xml:space="preserve">DEFINITIVE CONTRACT</t>
        </is>
      </c>
      <c r="F15" s="0" t="inlineStr">
        <is>
          <t xml:space="preserve">2015-09-16</t>
        </is>
      </c>
      <c r="G15" s="0" t="inlineStr">
        <is>
          <t xml:space="preserve">2022-04-08</t>
        </is>
      </c>
      <c r="H15" s="4">
        <v>663.2</v>
      </c>
      <c r="I15" s="4">
        <v>661.6</v>
      </c>
    </row>
    <row r="16">
      <c r="B16" s="0" t="inlineStr">
        <is>
          <t xml:space="preserve">AUSTAL USA</t>
        </is>
      </c>
      <c r="C16" s="0" t="inlineStr">
        <is>
          <t xml:space="preserve">N0002423C2203</t>
        </is>
      </c>
      <c r="D16" s="0" t="inlineStr">
        <is>
          <t xml:space="preserve">no</t>
        </is>
      </c>
      <c r="E16" s="0" t="inlineStr">
        <is>
          <t xml:space="preserve">DEFINITIVE CONTRACT</t>
        </is>
      </c>
      <c r="F16" s="0" t="inlineStr">
        <is>
          <t xml:space="preserve">2024-12-17</t>
        </is>
      </c>
      <c r="G16" s="0" t="inlineStr">
        <is>
          <t xml:space="preserve">2025-11-06</t>
        </is>
      </c>
      <c r="H16" s="4">
        <v>3196.8</v>
      </c>
      <c r="I16" s="4">
        <v>631.8</v>
      </c>
    </row>
    <row r="17">
      <c r="B17" s="0" t="inlineStr">
        <is>
          <t xml:space="preserve">L3HARRIS TECHNOLOGIES</t>
        </is>
      </c>
      <c r="C17" s="0" t="inlineStr">
        <is>
          <t xml:space="preserve">FA881919C0002</t>
        </is>
      </c>
      <c r="D17" s="0" t="inlineStr">
        <is>
          <t xml:space="preserve">no</t>
        </is>
      </c>
      <c r="E17" s="0" t="inlineStr">
        <is>
          <t xml:space="preserve">DEFINITIVE CONTRACT</t>
        </is>
      </c>
      <c r="F17" s="0" t="inlineStr">
        <is>
          <t xml:space="preserve">2019-03-21</t>
        </is>
      </c>
      <c r="G17" s="0" t="inlineStr">
        <is>
          <t xml:space="preserve">2026-02-24</t>
        </is>
      </c>
      <c r="H17" s="4">
        <v>488.0</v>
      </c>
      <c r="I17" s="4">
        <v>468.9</v>
      </c>
    </row>
    <row r="18">
      <c r="B18" s="0" t="inlineStr">
        <is>
          <t xml:space="preserve">AUSTAL USA</t>
        </is>
      </c>
      <c r="C18" s="0" t="inlineStr">
        <is>
          <t xml:space="preserve">N0002421C2209</t>
        </is>
      </c>
      <c r="D18" s="0" t="inlineStr">
        <is>
          <t xml:space="preserve">no</t>
        </is>
      </c>
      <c r="E18" s="0" t="inlineStr">
        <is>
          <t xml:space="preserve">DEFINITIVE CONTRACT</t>
        </is>
      </c>
      <c r="F18" s="0" t="inlineStr">
        <is>
          <t xml:space="preserve">2022-03-14</t>
        </is>
      </c>
      <c r="G18" s="0" t="inlineStr">
        <is>
          <t xml:space="preserve">2025-07-02</t>
        </is>
      </c>
      <c r="H18" s="4">
        <v>520.4</v>
      </c>
      <c r="I18" s="4">
        <v>416.0</v>
      </c>
    </row>
    <row r="19">
      <c r="B19" s="0" t="inlineStr">
        <is>
          <t xml:space="preserve">AUSTAL USA</t>
        </is>
      </c>
      <c r="C19" s="0" t="inlineStr">
        <is>
          <t xml:space="preserve">N0002416C2217</t>
        </is>
      </c>
      <c r="D19" s="0" t="inlineStr">
        <is>
          <t xml:space="preserve">no</t>
        </is>
      </c>
      <c r="E19" s="0" t="inlineStr">
        <is>
          <t xml:space="preserve">DEFINITIVE CONTRACT</t>
        </is>
      </c>
      <c r="F19" s="0" t="inlineStr">
        <is>
          <t xml:space="preserve">2018-02-16</t>
        </is>
      </c>
      <c r="G19" s="0" t="inlineStr">
        <is>
          <t xml:space="preserve">2019-07-25</t>
        </is>
      </c>
      <c r="H19" s="4">
        <v>350.4</v>
      </c>
      <c r="I19" s="4">
        <v>347.4</v>
      </c>
    </row>
    <row r="20">
      <c r="B20" s="0" t="inlineStr">
        <is>
          <t xml:space="preserve">TEXTRON SYSTEMS</t>
        </is>
      </c>
      <c r="C20" s="0" t="inlineStr">
        <is>
          <t xml:space="preserve">FA868211C0044</t>
        </is>
      </c>
      <c r="D20" s="0" t="inlineStr">
        <is>
          <t xml:space="preserve">no</t>
        </is>
      </c>
      <c r="E20" s="0" t="inlineStr">
        <is>
          <t xml:space="preserve">DEFINITIVE CONTRACT</t>
        </is>
      </c>
      <c r="F20" s="0" t="inlineStr">
        <is>
          <t xml:space="preserve">2012-04-10</t>
        </is>
      </c>
      <c r="G20" s="0" t="inlineStr">
        <is>
          <t xml:space="preserve">2018-05-29</t>
        </is>
      </c>
      <c r="H20" s="4">
        <v>321.3</v>
      </c>
      <c r="I20" s="4">
        <v>317.4</v>
      </c>
    </row>
    <row r="21">
      <c r="B21" s="0" t="inlineStr">
        <is>
          <t xml:space="preserve">TEXTRON SYSTEMS</t>
        </is>
      </c>
      <c r="C21" s="0" t="inlineStr">
        <is>
          <t xml:space="preserve">W58RGZ21C0013</t>
        </is>
      </c>
      <c r="D21" s="0" t="inlineStr">
        <is>
          <t xml:space="preserve">no</t>
        </is>
      </c>
      <c r="E21" s="0" t="inlineStr">
        <is>
          <t xml:space="preserve">DEFINITIVE CONTRACT</t>
        </is>
      </c>
      <c r="F21" s="0" t="inlineStr">
        <is>
          <t xml:space="preserve">2023-07-26</t>
        </is>
      </c>
      <c r="G21" s="0" t="inlineStr">
        <is>
          <t xml:space="preserve">2025-07-24</t>
        </is>
      </c>
      <c r="H21" s="4">
        <v>709.7</v>
      </c>
      <c r="I21" s="4">
        <v>313.1</v>
      </c>
    </row>
    <row r="22">
      <c r="B22" s="0" t="inlineStr">
        <is>
          <t xml:space="preserve">SARONIC TECHNOLOGIES</t>
        </is>
      </c>
      <c r="C22" s="0" t="inlineStr">
        <is>
          <t xml:space="preserve">N000242596305</t>
        </is>
      </c>
      <c r="D22" s="0" t="inlineStr">
        <is>
          <t xml:space="preserve">yes</t>
        </is>
      </c>
      <c r="E22" s="0" t="inlineStr">
        <is>
          <t xml:space="preserve">OTHER TRANSACTION AGREEMENT</t>
        </is>
      </c>
      <c r="F22" s="0" t="inlineStr">
        <is>
          <t xml:space="preserve">2025-05-16</t>
        </is>
      </c>
      <c r="G22" s="0" t="inlineStr">
        <is>
          <t xml:space="preserve">2026-03-09</t>
        </is>
      </c>
      <c r="H22" s="4">
        <v>457.0</v>
      </c>
      <c r="I22" s="4">
        <v>296.5</v>
      </c>
    </row>
    <row r="23">
      <c r="B23" s="0" t="inlineStr">
        <is>
          <t xml:space="preserve">TEXTRON SYSTEMS</t>
        </is>
      </c>
      <c r="C23" s="0" t="inlineStr">
        <is>
          <t xml:space="preserve">W58RGZ15C0047</t>
        </is>
      </c>
      <c r="D23" s="0" t="inlineStr">
        <is>
          <t xml:space="preserve">no</t>
        </is>
      </c>
      <c r="E23" s="0" t="inlineStr">
        <is>
          <t xml:space="preserve">DEFINITIVE CONTRACT</t>
        </is>
      </c>
      <c r="F23" s="0" t="inlineStr">
        <is>
          <t xml:space="preserve">2024-05-15</t>
        </is>
      </c>
      <c r="G23" s="0" t="inlineStr">
        <is>
          <t xml:space="preserve">2024-05-15</t>
        </is>
      </c>
      <c r="H23" s="4">
        <v>294.0</v>
      </c>
      <c r="I23" s="4">
        <v>282.1</v>
      </c>
    </row>
    <row r="24">
      <c r="B24" s="0" t="inlineStr">
        <is>
          <t xml:space="preserve">TEXTRON SYSTEMS</t>
        </is>
      </c>
      <c r="C24" s="0" t="inlineStr">
        <is>
          <t xml:space="preserve">W15QKN06C0161</t>
        </is>
      </c>
      <c r="D24" s="0" t="inlineStr">
        <is>
          <t xml:space="preserve">no</t>
        </is>
      </c>
      <c r="E24" s="0" t="inlineStr">
        <is>
          <t xml:space="preserve">DEFINITIVE CONTRACT</t>
        </is>
      </c>
      <c r="F24" s="0" t="inlineStr">
        <is>
          <t xml:space="preserve">2006-12-13</t>
        </is>
      </c>
      <c r="G24" s="0" t="inlineStr">
        <is>
          <t xml:space="preserve">2010-07-02</t>
        </is>
      </c>
      <c r="H24" s="4">
        <v>372.5</v>
      </c>
      <c r="I24" s="4">
        <v>245.7</v>
      </c>
    </row>
    <row r="25">
      <c r="B25" s="0" t="inlineStr">
        <is>
          <t xml:space="preserve">L3HARRIS TECHNOLOGIES</t>
        </is>
      </c>
      <c r="C25" s="0" t="inlineStr">
        <is>
          <t xml:space="preserve">W9126019C0001</t>
        </is>
      </c>
      <c r="D25" s="0" t="inlineStr">
        <is>
          <t xml:space="preserve">no</t>
        </is>
      </c>
      <c r="E25" s="0" t="inlineStr">
        <is>
          <t xml:space="preserve">DEFINITIVE CONTRACT</t>
        </is>
      </c>
      <c r="F25" s="0" t="inlineStr">
        <is>
          <t xml:space="preserve">2019-05-29</t>
        </is>
      </c>
      <c r="G25" s="0" t="inlineStr">
        <is>
          <t xml:space="preserve">2026-03-18</t>
        </is>
      </c>
      <c r="H25" s="4">
        <v>250.2</v>
      </c>
      <c r="I25" s="4">
        <v>184.8</v>
      </c>
    </row>
    <row r="26">
      <c r="B26" s="0" t="inlineStr">
        <is>
          <t xml:space="preserve">MARITIME APPLIED PHYSICS</t>
        </is>
      </c>
      <c r="C26" s="0" t="inlineStr">
        <is>
          <t xml:space="preserve">N0002422C2228</t>
        </is>
      </c>
      <c r="D26" s="0" t="inlineStr">
        <is>
          <t xml:space="preserve">no</t>
        </is>
      </c>
      <c r="E26" s="0" t="inlineStr">
        <is>
          <t xml:space="preserve">DEFINITIVE CONTRACT</t>
        </is>
      </c>
      <c r="F26" s="0" t="inlineStr">
        <is>
          <t xml:space="preserve">2023-12-28</t>
        </is>
      </c>
      <c r="G26" s="0" t="inlineStr">
        <is>
          <t xml:space="preserve">2024-12-30</t>
        </is>
      </c>
      <c r="H26" s="4">
        <v>211.4</v>
      </c>
      <c r="I26" s="4">
        <v>180.9</v>
      </c>
    </row>
    <row r="27">
      <c r="B27" s="0" t="inlineStr">
        <is>
          <t xml:space="preserve">TEXTRON SYSTEMS</t>
        </is>
      </c>
      <c r="C27" s="0" t="inlineStr">
        <is>
          <t xml:space="preserve">W58RGZ13C0108</t>
        </is>
      </c>
      <c r="D27" s="0" t="inlineStr">
        <is>
          <t xml:space="preserve">no</t>
        </is>
      </c>
      <c r="E27" s="0" t="inlineStr">
        <is>
          <t xml:space="preserve">DEFINITIVE CONTRACT</t>
        </is>
      </c>
      <c r="F27" s="0" t="inlineStr">
        <is>
          <t xml:space="preserve">2014-06-16</t>
        </is>
      </c>
      <c r="G27" s="0" t="inlineStr">
        <is>
          <t xml:space="preserve">2019-07-29</t>
        </is>
      </c>
      <c r="H27" s="4">
        <v>202.8</v>
      </c>
      <c r="I27" s="4">
        <v>163.6</v>
      </c>
    </row>
    <row r="28">
      <c r="B28" s="0" t="inlineStr">
        <is>
          <t xml:space="preserve">L3HARRIS TECHNOLOGIES</t>
        </is>
      </c>
      <c r="C28" s="0" t="inlineStr">
        <is>
          <t xml:space="preserve">W9126012C0001</t>
        </is>
      </c>
      <c r="D28" s="0" t="inlineStr">
        <is>
          <t xml:space="preserve">no</t>
        </is>
      </c>
      <c r="E28" s="0" t="inlineStr">
        <is>
          <t xml:space="preserve">DEFINITIVE CONTRACT</t>
        </is>
      </c>
      <c r="F28" s="0" t="inlineStr">
        <is>
          <t xml:space="preserve">2019-02-04</t>
        </is>
      </c>
      <c r="G28" s="0" t="inlineStr">
        <is>
          <t xml:space="preserve">2019-03-19</t>
        </is>
      </c>
      <c r="H28" s="4">
        <v>156.0</v>
      </c>
      <c r="I28" s="4">
        <v>134.3</v>
      </c>
    </row>
    <row r="29">
      <c r="B29" s="0" t="inlineStr">
        <is>
          <t xml:space="preserve">L3HARRIS TECHNOLOGIES</t>
        </is>
      </c>
      <c r="C29" s="0" t="inlineStr">
        <is>
          <t xml:space="preserve">NMA10097C5001</t>
        </is>
      </c>
      <c r="D29" s="0" t="inlineStr">
        <is>
          <t xml:space="preserve">no</t>
        </is>
      </c>
      <c r="E29" s="0" t="inlineStr">
        <is>
          <t xml:space="preserve">DEFINITIVE CONTRACT</t>
        </is>
      </c>
      <c r="F29" s="0" t="inlineStr">
        <is>
          <t xml:space="preserve">1999-09-09</t>
        </is>
      </c>
      <c r="G29" s="0" t="inlineStr">
        <is>
          <t xml:space="preserve">2005-03-21</t>
        </is>
      </c>
      <c r="H29" s="4">
        <v>0.0</v>
      </c>
      <c r="I29" s="4">
        <v>116.8</v>
      </c>
    </row>
    <row r="30">
      <c r="B30" s="0" t="inlineStr">
        <is>
          <t xml:space="preserve">TEXTRON SYSTEMS</t>
        </is>
      </c>
      <c r="C30" s="0" t="inlineStr">
        <is>
          <t xml:space="preserve">FA867707C0001</t>
        </is>
      </c>
      <c r="D30" s="0" t="inlineStr">
        <is>
          <t xml:space="preserve">no</t>
        </is>
      </c>
      <c r="E30" s="0" t="inlineStr">
        <is>
          <t xml:space="preserve">DEFINITIVE CONTRACT</t>
        </is>
      </c>
      <c r="F30" s="0" t="inlineStr">
        <is>
          <t xml:space="preserve">2008-10-30</t>
        </is>
      </c>
      <c r="G30" s="0" t="inlineStr">
        <is>
          <t xml:space="preserve">2011-02-15</t>
        </is>
      </c>
      <c r="H30" s="4">
        <v>1711.0</v>
      </c>
      <c r="I30" s="4">
        <v>115.7</v>
      </c>
    </row>
    <row r="31">
      <c r="B31" s="0" t="inlineStr">
        <is>
          <t xml:space="preserve">TEXTRON SYSTEMS</t>
        </is>
      </c>
      <c r="C31" s="0" t="inlineStr">
        <is>
          <t xml:space="preserve">W56HZV13C0170</t>
        </is>
      </c>
      <c r="D31" s="0" t="inlineStr">
        <is>
          <t xml:space="preserve">no</t>
        </is>
      </c>
      <c r="E31" s="0" t="inlineStr">
        <is>
          <t xml:space="preserve">DEFINITIVE CONTRACT</t>
        </is>
      </c>
      <c r="F31" s="0" t="inlineStr">
        <is>
          <t xml:space="preserve">2015-06-25</t>
        </is>
      </c>
      <c r="G31" s="0" t="inlineStr">
        <is>
          <t xml:space="preserve">2022-09-15</t>
        </is>
      </c>
      <c r="H31" s="4">
        <v>113.0</v>
      </c>
      <c r="I31" s="4">
        <v>113.0</v>
      </c>
    </row>
    <row r="32">
      <c r="B32" s="0" t="inlineStr">
        <is>
          <t xml:space="preserve">TEXTRON SYSTEMS</t>
        </is>
      </c>
      <c r="C32" s="0" t="inlineStr">
        <is>
          <t xml:space="preserve">FA867706C0010</t>
        </is>
      </c>
      <c r="D32" s="0" t="inlineStr">
        <is>
          <t xml:space="preserve">no</t>
        </is>
      </c>
      <c r="E32" s="0" t="inlineStr">
        <is>
          <t xml:space="preserve">DEFINITIVE CONTRACT</t>
        </is>
      </c>
      <c r="F32" s="0" t="inlineStr">
        <is>
          <t xml:space="preserve">2012-07-30</t>
        </is>
      </c>
      <c r="G32" s="0" t="inlineStr">
        <is>
          <t xml:space="preserve">2012-07-30</t>
        </is>
      </c>
      <c r="H32" s="4">
        <v>0.0</v>
      </c>
      <c r="I32" s="4">
        <v>108.0</v>
      </c>
    </row>
    <row r="33">
      <c r="B33" s="0" t="inlineStr">
        <is>
          <t xml:space="preserve">AUSTAL USA</t>
        </is>
      </c>
      <c r="C33" s="0" t="inlineStr">
        <is>
          <t xml:space="preserve">N0002422C2463</t>
        </is>
      </c>
      <c r="D33" s="0" t="inlineStr">
        <is>
          <t xml:space="preserve">no</t>
        </is>
      </c>
      <c r="E33" s="0" t="inlineStr">
        <is>
          <t xml:space="preserve">DEFINITIVE CONTRACT</t>
        </is>
      </c>
      <c r="F33" s="0" t="inlineStr">
        <is>
          <t xml:space="preserve">2023-04-13</t>
        </is>
      </c>
      <c r="G33" s="0" t="inlineStr">
        <is>
          <t xml:space="preserve">2023-09-06</t>
        </is>
      </c>
      <c r="H33" s="4">
        <v>346.1</v>
      </c>
      <c r="I33" s="4">
        <v>100.8</v>
      </c>
    </row>
    <row r="34">
      <c r="B34" s="0" t="inlineStr">
        <is>
          <t xml:space="preserve">L3HARRIS TECHNOLOGIES</t>
        </is>
      </c>
      <c r="C34" s="0" t="inlineStr">
        <is>
          <t xml:space="preserve">N0003903C0084</t>
        </is>
      </c>
      <c r="D34" s="0" t="inlineStr">
        <is>
          <t xml:space="preserve">no</t>
        </is>
      </c>
      <c r="E34" s="0" t="inlineStr">
        <is>
          <t xml:space="preserve">DEFINITIVE CONTRACT</t>
        </is>
      </c>
      <c r="F34" s="0" t="inlineStr">
        <is>
          <t xml:space="preserve">2017-03-30</t>
        </is>
      </c>
      <c r="G34" s="0" t="inlineStr">
        <is>
          <t xml:space="preserve">2017-03-30</t>
        </is>
      </c>
      <c r="H34" s="4">
        <v>0.0</v>
      </c>
      <c r="I34" s="4">
        <v>89.4</v>
      </c>
    </row>
    <row r="35">
      <c r="B35" s="0" t="inlineStr">
        <is>
          <t xml:space="preserve">TEXTRON SYSTEMS</t>
        </is>
      </c>
      <c r="C35" s="0" t="inlineStr">
        <is>
          <t xml:space="preserve">W15QKN239C001</t>
        </is>
      </c>
      <c r="D35" s="0" t="inlineStr">
        <is>
          <t xml:space="preserve">yes</t>
        </is>
      </c>
      <c r="E35" s="0" t="inlineStr">
        <is>
          <t xml:space="preserve">OTHER TRANSACTION IDV</t>
        </is>
      </c>
      <c r="F35" s="0" t="inlineStr">
        <is>
          <t xml:space="preserve">2022-11-08</t>
        </is>
      </c>
      <c r="G35" s="0" t="inlineStr">
        <is>
          <t xml:space="preserve">2025-09-26</t>
        </is>
      </c>
      <c r="H35" s="4">
        <v>82.7</v>
      </c>
      <c r="I35" s="4">
        <v>82.7</v>
      </c>
    </row>
    <row r="36">
      <c r="B36" s="0" t="inlineStr">
        <is>
          <t xml:space="preserve">BOLLINGER</t>
        </is>
      </c>
      <c r="C36" s="0" t="inlineStr">
        <is>
          <t xml:space="preserve">1305M222CNMAN0006</t>
        </is>
      </c>
      <c r="D36" s="0" t="inlineStr">
        <is>
          <t xml:space="preserve">no</t>
        </is>
      </c>
      <c r="E36" s="0" t="inlineStr">
        <is>
          <t xml:space="preserve">DEFINITIVE CONTRACT</t>
        </is>
      </c>
      <c r="F36" s="0" t="inlineStr">
        <is>
          <t xml:space="preserve">2022-05-05</t>
        </is>
      </c>
      <c r="G36" s="0" t="inlineStr">
        <is>
          <t xml:space="preserve">2026-05-26</t>
        </is>
      </c>
      <c r="H36" s="4">
        <v>77.8</v>
      </c>
      <c r="I36" s="4">
        <v>77.8</v>
      </c>
    </row>
    <row r="37">
      <c r="B37" s="0" t="inlineStr">
        <is>
          <t xml:space="preserve">L3HARRIS TECHNOLOGIES</t>
        </is>
      </c>
      <c r="C37" s="0" t="inlineStr">
        <is>
          <t xml:space="preserve">FA881908C0001</t>
        </is>
      </c>
      <c r="D37" s="0" t="inlineStr">
        <is>
          <t xml:space="preserve">no</t>
        </is>
      </c>
      <c r="E37" s="0" t="inlineStr">
        <is>
          <t xml:space="preserve">DEFINITIVE CONTRACT</t>
        </is>
      </c>
      <c r="F37" s="0" t="inlineStr">
        <is>
          <t xml:space="preserve">2008-09-18</t>
        </is>
      </c>
      <c r="G37" s="0" t="inlineStr">
        <is>
          <t xml:space="preserve">2019-02-05</t>
        </is>
      </c>
      <c r="H37" s="4">
        <v>185.7</v>
      </c>
      <c r="I37" s="4">
        <v>71.9</v>
      </c>
    </row>
    <row r="38">
      <c r="B38" s="0" t="inlineStr">
        <is>
          <t xml:space="preserve">TEXTRON SYSTEMS</t>
        </is>
      </c>
      <c r="C38" s="0" t="inlineStr">
        <is>
          <t xml:space="preserve">W58RGZ12C0071</t>
        </is>
      </c>
      <c r="D38" s="0" t="inlineStr">
        <is>
          <t xml:space="preserve">no</t>
        </is>
      </c>
      <c r="E38" s="0" t="inlineStr">
        <is>
          <t xml:space="preserve">DEFINITIVE CONTRACT</t>
        </is>
      </c>
      <c r="F38" s="0" t="inlineStr">
        <is>
          <t xml:space="preserve">2020-02-26</t>
        </is>
      </c>
      <c r="G38" s="0" t="inlineStr">
        <is>
          <t xml:space="preserve">2020-02-26</t>
        </is>
      </c>
      <c r="H38" s="4">
        <v>69.3</v>
      </c>
      <c r="I38" s="4">
        <v>68.5</v>
      </c>
    </row>
    <row r="39">
      <c r="B39" s="0" t="inlineStr">
        <is>
          <t xml:space="preserve">TEXTRON SYSTEMS</t>
        </is>
      </c>
      <c r="C39" s="0" t="inlineStr">
        <is>
          <t xml:space="preserve">FA861717C6218</t>
        </is>
      </c>
      <c r="D39" s="0" t="inlineStr">
        <is>
          <t xml:space="preserve">no</t>
        </is>
      </c>
      <c r="E39" s="0" t="inlineStr">
        <is>
          <t xml:space="preserve">DEFINITIVE CONTRACT</t>
        </is>
      </c>
      <c r="F39" s="0" t="inlineStr">
        <is>
          <t xml:space="preserve">2021-02-10</t>
        </is>
      </c>
      <c r="G39" s="0" t="inlineStr">
        <is>
          <t xml:space="preserve">2021-02-10</t>
        </is>
      </c>
      <c r="H39" s="4">
        <v>67.6</v>
      </c>
      <c r="I39" s="4">
        <v>67.6</v>
      </c>
    </row>
    <row r="40">
      <c r="B40" s="0" t="inlineStr">
        <is>
          <t xml:space="preserve">TEXTRON SYSTEMS</t>
        </is>
      </c>
      <c r="C40" s="0" t="inlineStr">
        <is>
          <t xml:space="preserve">0001</t>
        </is>
      </c>
      <c r="D40" s="0" t="inlineStr">
        <is>
          <t xml:space="preserve">no</t>
        </is>
      </c>
      <c r="E40" s="0" t="inlineStr">
        <is>
          <t xml:space="preserve">DELIVERY ORDER</t>
        </is>
      </c>
      <c r="F40" s="0" t="inlineStr">
        <is>
          <t xml:space="preserve">2008-04-01</t>
        </is>
      </c>
      <c r="G40" s="0" t="inlineStr">
        <is>
          <t xml:space="preserve">2024-03-06</t>
        </is>
      </c>
      <c r="H40" s="4">
        <v>67.2</v>
      </c>
      <c r="I40" s="4">
        <v>67.2</v>
      </c>
    </row>
    <row r="41">
      <c r="B41" s="0" t="inlineStr">
        <is>
          <t xml:space="preserve">HII UNMANNED SYSTEMS</t>
        </is>
      </c>
      <c r="C41" s="0" t="inlineStr">
        <is>
          <t xml:space="preserve">N0003910C0085</t>
        </is>
      </c>
      <c r="D41" s="0" t="inlineStr">
        <is>
          <t xml:space="preserve">no</t>
        </is>
      </c>
      <c r="E41" s="0" t="inlineStr">
        <is>
          <t xml:space="preserve">DEFINITIVE CONTRACT</t>
        </is>
      </c>
      <c r="F41" s="0" t="inlineStr">
        <is>
          <t xml:space="preserve">2011-03-07</t>
        </is>
      </c>
      <c r="G41" s="0" t="inlineStr">
        <is>
          <t xml:space="preserve">2021-07-14</t>
        </is>
      </c>
      <c r="H41" s="4">
        <v>78.3</v>
      </c>
      <c r="I41" s="4">
        <v>49.6</v>
      </c>
    </row>
    <row r="42">
      <c r="B42" s="0" t="inlineStr">
        <is>
          <t xml:space="preserve">SARONIC TECHNOLOGIES</t>
        </is>
      </c>
      <c r="C42" s="0" t="inlineStr">
        <is>
          <t xml:space="preserve">HQ08452490056</t>
        </is>
      </c>
      <c r="D42" s="0" t="inlineStr">
        <is>
          <t xml:space="preserve">yes</t>
        </is>
      </c>
      <c r="E42" s="0" t="inlineStr">
        <is>
          <t xml:space="preserve">OTHER TRANSACTION AGREEMENT</t>
        </is>
      </c>
      <c r="F42" s="0" t="inlineStr">
        <is>
          <t xml:space="preserve">2024-07-03</t>
        </is>
      </c>
      <c r="G42" s="0" t="inlineStr">
        <is>
          <t xml:space="preserve">2026-03-16</t>
        </is>
      </c>
      <c r="H42" s="4">
        <v>50.3</v>
      </c>
      <c r="I42" s="4">
        <v>44.2</v>
      </c>
    </row>
    <row r="43">
      <c r="B43" s="0" t="inlineStr">
        <is>
          <t xml:space="preserve">TEXTRON SYSTEMS</t>
        </is>
      </c>
      <c r="C43" s="0" t="inlineStr">
        <is>
          <t xml:space="preserve">W56HZV11C0114</t>
        </is>
      </c>
      <c r="D43" s="0" t="inlineStr">
        <is>
          <t xml:space="preserve">no</t>
        </is>
      </c>
      <c r="E43" s="0" t="inlineStr">
        <is>
          <t xml:space="preserve">DEFINITIVE CONTRACT</t>
        </is>
      </c>
      <c r="F43" s="0" t="inlineStr">
        <is>
          <t xml:space="preserve">2018-04-30</t>
        </is>
      </c>
      <c r="G43" s="0" t="inlineStr">
        <is>
          <t xml:space="preserve">2023-09-05</t>
        </is>
      </c>
      <c r="H43" s="4">
        <v>45.9</v>
      </c>
      <c r="I43" s="4">
        <v>43.5</v>
      </c>
    </row>
    <row r="44">
      <c r="B44" s="0" t="inlineStr">
        <is>
          <t xml:space="preserve">TEXTRON SYSTEMS</t>
        </is>
      </c>
      <c r="C44" s="0" t="inlineStr">
        <is>
          <t xml:space="preserve">0002</t>
        </is>
      </c>
      <c r="D44" s="0" t="inlineStr">
        <is>
          <t xml:space="preserve">no</t>
        </is>
      </c>
      <c r="E44" s="0" t="inlineStr">
        <is>
          <t xml:space="preserve">DELIVERY ORDER</t>
        </is>
      </c>
      <c r="F44" s="0" t="inlineStr">
        <is>
          <t xml:space="preserve">2002-10-02</t>
        </is>
      </c>
      <c r="G44" s="0" t="inlineStr">
        <is>
          <t xml:space="preserve">2024-03-06</t>
        </is>
      </c>
      <c r="H44" s="4">
        <v>48.6</v>
      </c>
      <c r="I44" s="4">
        <v>41.2</v>
      </c>
    </row>
    <row r="45">
      <c r="B45" s="0" t="inlineStr">
        <is>
          <t xml:space="preserve">L3HARRIS TECHNOLOGIES</t>
        </is>
      </c>
      <c r="C45" s="0" t="inlineStr">
        <is>
          <t xml:space="preserve">FA881918C0015</t>
        </is>
      </c>
      <c r="D45" s="0" t="inlineStr">
        <is>
          <t xml:space="preserve">no</t>
        </is>
      </c>
      <c r="E45" s="0" t="inlineStr">
        <is>
          <t xml:space="preserve">DEFINITIVE CONTRACT</t>
        </is>
      </c>
      <c r="F45" s="0" t="inlineStr">
        <is>
          <t xml:space="preserve">2018-09-28</t>
        </is>
      </c>
      <c r="G45" s="0" t="inlineStr">
        <is>
          <t xml:space="preserve">2022-05-03</t>
        </is>
      </c>
      <c r="H45" s="4">
        <v>21.7</v>
      </c>
      <c r="I45" s="4">
        <v>39.3</v>
      </c>
    </row>
    <row r="46">
      <c r="B46" s="0" t="inlineStr">
        <is>
          <t xml:space="preserve">TEXTRON SYSTEMS</t>
        </is>
      </c>
      <c r="C46" s="0" t="inlineStr">
        <is>
          <t xml:space="preserve">W58RGZ23F0207</t>
        </is>
      </c>
      <c r="D46" s="0" t="inlineStr">
        <is>
          <t xml:space="preserve">no</t>
        </is>
      </c>
      <c r="E46" s="0" t="inlineStr">
        <is>
          <t xml:space="preserve">DELIVERY ORDER</t>
        </is>
      </c>
      <c r="F46" s="0" t="inlineStr">
        <is>
          <t xml:space="preserve">2023-08-30</t>
        </is>
      </c>
      <c r="G46" s="0" t="inlineStr">
        <is>
          <t xml:space="preserve">2023-08-30</t>
        </is>
      </c>
      <c r="H46" s="4">
        <v>37.6</v>
      </c>
      <c r="I46" s="4">
        <v>37.6</v>
      </c>
    </row>
    <row r="47">
      <c r="B47" s="0" t="inlineStr">
        <is>
          <t xml:space="preserve">TEXTRON SYSTEMS</t>
        </is>
      </c>
      <c r="C47" s="0" t="inlineStr">
        <is>
          <t xml:space="preserve">N0001918F0615</t>
        </is>
      </c>
      <c r="D47" s="0" t="inlineStr">
        <is>
          <t xml:space="preserve">no</t>
        </is>
      </c>
      <c r="E47" s="0" t="inlineStr">
        <is>
          <t xml:space="preserve">DELIVERY ORDER</t>
        </is>
      </c>
      <c r="F47" s="0" t="inlineStr">
        <is>
          <t xml:space="preserve">2020-06-25</t>
        </is>
      </c>
      <c r="G47" s="0" t="inlineStr">
        <is>
          <t xml:space="preserve">2020-06-25</t>
        </is>
      </c>
      <c r="H47" s="4">
        <v>37.6</v>
      </c>
      <c r="I47" s="4">
        <v>37.4</v>
      </c>
    </row>
    <row r="48">
      <c r="B48" s="0" t="inlineStr">
        <is>
          <t xml:space="preserve">TEXTRON SYSTEMS</t>
        </is>
      </c>
      <c r="C48" s="0" t="inlineStr">
        <is>
          <t xml:space="preserve">W58RGZ20F0265</t>
        </is>
      </c>
      <c r="D48" s="0" t="inlineStr">
        <is>
          <t xml:space="preserve">no</t>
        </is>
      </c>
      <c r="E48" s="0" t="inlineStr">
        <is>
          <t xml:space="preserve">DELIVERY ORDER</t>
        </is>
      </c>
      <c r="F48" s="0" t="inlineStr">
        <is>
          <t xml:space="preserve">2020-02-06</t>
        </is>
      </c>
      <c r="G48" s="0" t="inlineStr">
        <is>
          <t xml:space="preserve">2020-02-06</t>
        </is>
      </c>
      <c r="H48" s="4">
        <v>45.4</v>
      </c>
      <c r="I48" s="4">
        <v>37.2</v>
      </c>
    </row>
    <row r="49">
      <c r="B49" s="0" t="inlineStr">
        <is>
          <t xml:space="preserve">TEXTRON SYSTEMS</t>
        </is>
      </c>
      <c r="C49" s="0" t="inlineStr">
        <is>
          <t xml:space="preserve">H9240821F0021</t>
        </is>
      </c>
      <c r="D49" s="0" t="inlineStr">
        <is>
          <t xml:space="preserve">no</t>
        </is>
      </c>
      <c r="E49" s="0" t="inlineStr">
        <is>
          <t xml:space="preserve">DELIVERY ORDER</t>
        </is>
      </c>
      <c r="F49" s="0" t="inlineStr">
        <is>
          <t xml:space="preserve">2024-06-12</t>
        </is>
      </c>
      <c r="G49" s="0" t="inlineStr">
        <is>
          <t xml:space="preserve">2024-06-12</t>
        </is>
      </c>
      <c r="H49" s="4">
        <v>34.9</v>
      </c>
      <c r="I49" s="4">
        <v>34.9</v>
      </c>
    </row>
    <row r="50">
      <c r="B50" s="0" t="inlineStr">
        <is>
          <t xml:space="preserve">TEXTRON SYSTEMS</t>
        </is>
      </c>
      <c r="C50" s="0" t="inlineStr">
        <is>
          <t xml:space="preserve">W56HZV15C0108</t>
        </is>
      </c>
      <c r="D50" s="0" t="inlineStr">
        <is>
          <t xml:space="preserve">no</t>
        </is>
      </c>
      <c r="E50" s="0" t="inlineStr">
        <is>
          <t xml:space="preserve">DEFINITIVE CONTRACT</t>
        </is>
      </c>
      <c r="F50" s="0" t="inlineStr">
        <is>
          <t xml:space="preserve">2015-11-09</t>
        </is>
      </c>
      <c r="G50" s="0" t="inlineStr">
        <is>
          <t xml:space="preserve">2019-01-07</t>
        </is>
      </c>
      <c r="H50" s="4">
        <v>33.8</v>
      </c>
      <c r="I50" s="4">
        <v>33.8</v>
      </c>
    </row>
    <row r="51">
      <c r="B51" s="0" t="inlineStr">
        <is>
          <t xml:space="preserve">AUSTAL USA</t>
        </is>
      </c>
      <c r="C51" s="0" t="inlineStr">
        <is>
          <t xml:space="preserve">N6931620F4000</t>
        </is>
      </c>
      <c r="D51" s="0" t="inlineStr">
        <is>
          <t xml:space="preserve">no</t>
        </is>
      </c>
      <c r="E51" s="0" t="inlineStr">
        <is>
          <t xml:space="preserve">DELIVERY ORDER</t>
        </is>
      </c>
      <c r="F51" s="0" t="inlineStr">
        <is>
          <t xml:space="preserve">2020-12-16</t>
        </is>
      </c>
      <c r="G51" s="0" t="inlineStr">
        <is>
          <t xml:space="preserve">2020-12-16</t>
        </is>
      </c>
      <c r="H51" s="4">
        <v>32.4</v>
      </c>
      <c r="I51" s="4">
        <v>30.6</v>
      </c>
    </row>
    <row r="52">
      <c r="B52" s="0" t="inlineStr">
        <is>
          <t xml:space="preserve">TEXTRON SYSTEMS</t>
        </is>
      </c>
      <c r="C52" s="0" t="inlineStr">
        <is>
          <t xml:space="preserve">0003</t>
        </is>
      </c>
      <c r="D52" s="0" t="inlineStr">
        <is>
          <t xml:space="preserve">no</t>
        </is>
      </c>
      <c r="E52" s="0" t="inlineStr">
        <is>
          <t xml:space="preserve">DELIVERY ORDER</t>
        </is>
      </c>
      <c r="F52" s="0" t="inlineStr">
        <is>
          <t xml:space="preserve">2000-09-27</t>
        </is>
      </c>
      <c r="G52" s="0" t="inlineStr">
        <is>
          <t xml:space="preserve">2020-12-04</t>
        </is>
      </c>
      <c r="H52" s="4">
        <v>32.6</v>
      </c>
      <c r="I52" s="4">
        <v>30.3</v>
      </c>
    </row>
    <row r="53">
      <c r="B53" s="0" t="inlineStr">
        <is>
          <t xml:space="preserve">TEXTRON SYSTEMS</t>
        </is>
      </c>
      <c r="C53" s="0" t="inlineStr">
        <is>
          <t xml:space="preserve">N0001923F2544</t>
        </is>
      </c>
      <c r="D53" s="0" t="inlineStr">
        <is>
          <t xml:space="preserve">no</t>
        </is>
      </c>
      <c r="E53" s="0" t="inlineStr">
        <is>
          <t xml:space="preserve">DELIVERY ORDER</t>
        </is>
      </c>
      <c r="F53" s="0" t="inlineStr">
        <is>
          <t xml:space="preserve">2024-05-10</t>
        </is>
      </c>
      <c r="G53" s="0" t="inlineStr">
        <is>
          <t xml:space="preserve">2024-12-12</t>
        </is>
      </c>
      <c r="H53" s="4">
        <v>51.0</v>
      </c>
      <c r="I53" s="4">
        <v>27.9</v>
      </c>
    </row>
    <row r="54">
      <c r="B54" s="0" t="inlineStr">
        <is>
          <t xml:space="preserve">AUSTAL USA</t>
        </is>
      </c>
      <c r="C54" s="0" t="inlineStr">
        <is>
          <t xml:space="preserve">N6931619F4000</t>
        </is>
      </c>
      <c r="D54" s="0" t="inlineStr">
        <is>
          <t xml:space="preserve">no</t>
        </is>
      </c>
      <c r="E54" s="0" t="inlineStr">
        <is>
          <t xml:space="preserve">DELIVERY ORDER</t>
        </is>
      </c>
      <c r="F54" s="0" t="inlineStr">
        <is>
          <t xml:space="preserve">2020-07-17</t>
        </is>
      </c>
      <c r="G54" s="0" t="inlineStr">
        <is>
          <t xml:space="preserve">2020-07-17</t>
        </is>
      </c>
      <c r="H54" s="4">
        <v>28.5</v>
      </c>
      <c r="I54" s="4">
        <v>27.7</v>
      </c>
    </row>
    <row r="55">
      <c r="B55" s="0" t="inlineStr">
        <is>
          <t xml:space="preserve">SARONIC TECHNOLOGIES</t>
        </is>
      </c>
      <c r="C55" s="0" t="inlineStr">
        <is>
          <t xml:space="preserve">H92405249P013</t>
        </is>
      </c>
      <c r="D55" s="0" t="inlineStr">
        <is>
          <t xml:space="preserve">yes</t>
        </is>
      </c>
      <c r="E55" s="0" t="inlineStr">
        <is>
          <t xml:space="preserve">OTHER TRANSACTION IDV</t>
        </is>
      </c>
      <c r="F55" s="0" t="inlineStr">
        <is>
          <t xml:space="preserve">2024-07-31</t>
        </is>
      </c>
      <c r="G55" s="0" t="inlineStr">
        <is>
          <t xml:space="preserve">2025-09-23</t>
        </is>
      </c>
      <c r="H55" s="4">
        <v>31.0</v>
      </c>
      <c r="I55" s="4">
        <v>27.2</v>
      </c>
    </row>
    <row r="56">
      <c r="B56" s="0" t="inlineStr">
        <is>
          <t xml:space="preserve">AUSTAL USA</t>
        </is>
      </c>
      <c r="C56" s="0" t="inlineStr">
        <is>
          <t xml:space="preserve">N6931619F4002</t>
        </is>
      </c>
      <c r="D56" s="0" t="inlineStr">
        <is>
          <t xml:space="preserve">no</t>
        </is>
      </c>
      <c r="E56" s="0" t="inlineStr">
        <is>
          <t xml:space="preserve">DELIVERY ORDER</t>
        </is>
      </c>
      <c r="F56" s="0" t="inlineStr">
        <is>
          <t xml:space="preserve">2020-02-04</t>
        </is>
      </c>
      <c r="G56" s="0" t="inlineStr">
        <is>
          <t xml:space="preserve">2020-02-04</t>
        </is>
      </c>
      <c r="H56" s="4">
        <v>29.2</v>
      </c>
      <c r="I56" s="4">
        <v>27.2</v>
      </c>
    </row>
    <row r="57">
      <c r="B57" s="0" t="inlineStr">
        <is>
          <t xml:space="preserve">TEXTRON SYSTEMS</t>
        </is>
      </c>
      <c r="C57" s="0" t="inlineStr">
        <is>
          <t xml:space="preserve">W15QKN22F0396</t>
        </is>
      </c>
      <c r="D57" s="0" t="inlineStr">
        <is>
          <t xml:space="preserve">no</t>
        </is>
      </c>
      <c r="E57" s="0" t="inlineStr">
        <is>
          <t xml:space="preserve">DELIVERY ORDER</t>
        </is>
      </c>
      <c r="F57" s="0" t="inlineStr">
        <is>
          <t xml:space="preserve">2022-07-29</t>
        </is>
      </c>
      <c r="G57" s="0" t="inlineStr">
        <is>
          <t xml:space="preserve">2025-07-11</t>
        </is>
      </c>
      <c r="H57" s="4">
        <v>27.1</v>
      </c>
      <c r="I57" s="4">
        <v>27.1</v>
      </c>
    </row>
    <row r="58">
      <c r="B58" s="0" t="inlineStr">
        <is>
          <t xml:space="preserve">TEXTRON SYSTEMS</t>
        </is>
      </c>
      <c r="C58" s="0" t="inlineStr">
        <is>
          <t xml:space="preserve">FA820414C0011</t>
        </is>
      </c>
      <c r="D58" s="0" t="inlineStr">
        <is>
          <t xml:space="preserve">no</t>
        </is>
      </c>
      <c r="E58" s="0" t="inlineStr">
        <is>
          <t xml:space="preserve">DEFINITIVE CONTRACT</t>
        </is>
      </c>
      <c r="F58" s="0" t="inlineStr">
        <is>
          <t xml:space="preserve">2019-07-30</t>
        </is>
      </c>
      <c r="G58" s="0" t="inlineStr">
        <is>
          <t xml:space="preserve">2025-08-29</t>
        </is>
      </c>
      <c r="H58" s="4">
        <v>66.1</v>
      </c>
      <c r="I58" s="4">
        <v>26.8</v>
      </c>
    </row>
    <row r="59">
      <c r="B59" s="0" t="inlineStr">
        <is>
          <t xml:space="preserve">TEXTRON SYSTEMS</t>
        </is>
      </c>
      <c r="C59" s="0" t="inlineStr">
        <is>
          <t xml:space="preserve">H9240822F0009</t>
        </is>
      </c>
      <c r="D59" s="0" t="inlineStr">
        <is>
          <t xml:space="preserve">no</t>
        </is>
      </c>
      <c r="E59" s="0" t="inlineStr">
        <is>
          <t xml:space="preserve">DELIVERY ORDER</t>
        </is>
      </c>
      <c r="F59" s="0" t="inlineStr">
        <is>
          <t xml:space="preserve">2022-06-01</t>
        </is>
      </c>
      <c r="G59" s="0" t="inlineStr">
        <is>
          <t xml:space="preserve">2022-06-01</t>
        </is>
      </c>
      <c r="H59" s="4">
        <v>25.4</v>
      </c>
      <c r="I59" s="4">
        <v>25.4</v>
      </c>
    </row>
    <row r="60">
      <c r="B60" s="0" t="inlineStr">
        <is>
          <t xml:space="preserve">TEXTRON SYSTEMS</t>
        </is>
      </c>
      <c r="C60" s="0" t="inlineStr">
        <is>
          <t xml:space="preserve">NNA07BC07C</t>
        </is>
      </c>
      <c r="D60" s="0" t="inlineStr">
        <is>
          <t xml:space="preserve">no</t>
        </is>
      </c>
      <c r="E60" s="0" t="inlineStr">
        <is>
          <t xml:space="preserve">DEFINITIVE CONTRACT/PURCHASE ORDER</t>
        </is>
      </c>
      <c r="F60" s="0" t="inlineStr">
        <is>
          <t xml:space="preserve">2008-01-10</t>
        </is>
      </c>
      <c r="G60" s="0" t="inlineStr">
        <is>
          <t xml:space="preserve">2012-03-07</t>
        </is>
      </c>
      <c r="H60" s="4">
        <v>34.7</v>
      </c>
      <c r="I60" s="4">
        <v>25.4</v>
      </c>
    </row>
    <row r="61">
      <c r="B61" s="0" t="inlineStr">
        <is>
          <t xml:space="preserve">TEXTRON SYSTEMS</t>
        </is>
      </c>
      <c r="C61" s="0" t="inlineStr">
        <is>
          <t xml:space="preserve">W15QKN08C0475</t>
        </is>
      </c>
      <c r="D61" s="0" t="inlineStr">
        <is>
          <t xml:space="preserve">no</t>
        </is>
      </c>
      <c r="E61" s="0" t="inlineStr">
        <is>
          <t xml:space="preserve">DEFINITIVE CONTRACT</t>
        </is>
      </c>
      <c r="F61" s="0" t="inlineStr">
        <is>
          <t xml:space="preserve">2009-12-15</t>
        </is>
      </c>
      <c r="G61" s="0" t="inlineStr">
        <is>
          <t xml:space="preserve">2010-05-13</t>
        </is>
      </c>
      <c r="H61" s="4">
        <v>29.6</v>
      </c>
      <c r="I61" s="4">
        <v>24.5</v>
      </c>
    </row>
    <row r="62">
      <c r="B62" s="0" t="inlineStr">
        <is>
          <t xml:space="preserve">TEXTRON SYSTEMS</t>
        </is>
      </c>
      <c r="C62" s="0" t="inlineStr">
        <is>
          <t xml:space="preserve">F3365795C0077</t>
        </is>
      </c>
      <c r="D62" s="0" t="inlineStr">
        <is>
          <t xml:space="preserve">no</t>
        </is>
      </c>
      <c r="E62" s="0" t="inlineStr">
        <is>
          <t xml:space="preserve">DEFINITIVE CONTRACT</t>
        </is>
      </c>
      <c r="F62" s="0" t="inlineStr">
        <is>
          <t xml:space="preserve">1996-12-10</t>
        </is>
      </c>
      <c r="G62" s="0" t="inlineStr">
        <is>
          <t xml:space="preserve">1996-12-10</t>
        </is>
      </c>
      <c r="H62" s="4">
        <v>0.0</v>
      </c>
      <c r="I62" s="4">
        <v>23.0</v>
      </c>
    </row>
    <row r="63">
      <c r="B63" s="0" t="inlineStr">
        <is>
          <t xml:space="preserve">TEXTRON SYSTEMS</t>
        </is>
      </c>
      <c r="C63" s="0" t="inlineStr">
        <is>
          <t xml:space="preserve">W91CRB269A007</t>
        </is>
      </c>
      <c r="D63" s="0" t="inlineStr">
        <is>
          <t xml:space="preserve">yes</t>
        </is>
      </c>
      <c r="E63" s="0" t="inlineStr">
        <is>
          <t xml:space="preserve">OTHER TRANSACTION AGREEMENT</t>
        </is>
      </c>
      <c r="F63" s="0" t="inlineStr">
        <is>
          <t xml:space="preserve">2026-01-30</t>
        </is>
      </c>
      <c r="G63" s="0" t="inlineStr">
        <is>
          <t xml:space="preserve">2026-01-30</t>
        </is>
      </c>
      <c r="H63" s="4">
        <v>25.6</v>
      </c>
      <c r="I63" s="4">
        <v>22.5</v>
      </c>
    </row>
    <row r="64">
      <c r="B64" s="0" t="inlineStr">
        <is>
          <t xml:space="preserve">TEXTRON SYSTEMS</t>
        </is>
      </c>
      <c r="C64" s="0" t="inlineStr">
        <is>
          <t xml:space="preserve">N0001423C2006</t>
        </is>
      </c>
      <c r="D64" s="0" t="inlineStr">
        <is>
          <t xml:space="preserve">no</t>
        </is>
      </c>
      <c r="E64" s="0" t="inlineStr">
        <is>
          <t xml:space="preserve">DEFINITIVE CONTRACT</t>
        </is>
      </c>
      <c r="F64" s="0" t="inlineStr">
        <is>
          <t xml:space="preserve">2026-01-14</t>
        </is>
      </c>
      <c r="G64" s="0" t="inlineStr">
        <is>
          <t xml:space="preserve">2026-01-14</t>
        </is>
      </c>
      <c r="H64" s="4">
        <v>112.1</v>
      </c>
      <c r="I64" s="4">
        <v>21.2</v>
      </c>
    </row>
    <row r="65">
      <c r="B65" s="0" t="inlineStr">
        <is>
          <t xml:space="preserve">TEXTRON SYSTEMS</t>
        </is>
      </c>
      <c r="C65" s="0" t="inlineStr">
        <is>
          <t xml:space="preserve">N0002425F6300</t>
        </is>
      </c>
      <c r="D65" s="0" t="inlineStr">
        <is>
          <t xml:space="preserve">no</t>
        </is>
      </c>
      <c r="E65" s="0" t="inlineStr">
        <is>
          <t xml:space="preserve">DELIVERY ORDER</t>
        </is>
      </c>
      <c r="F65" s="0" t="inlineStr">
        <is>
          <t xml:space="preserve">2026-03-13</t>
        </is>
      </c>
      <c r="G65" s="0" t="inlineStr">
        <is>
          <t xml:space="preserve">2026-03-13</t>
        </is>
      </c>
      <c r="H65" s="4">
        <v>106.2</v>
      </c>
      <c r="I65" s="4">
        <v>17.6</v>
      </c>
    </row>
    <row r="66">
      <c r="B66" s="0" t="inlineStr">
        <is>
          <t xml:space="preserve">TEXTRON SYSTEMS</t>
        </is>
      </c>
      <c r="C66" s="0" t="inlineStr">
        <is>
          <t xml:space="preserve">W911QY21F0368</t>
        </is>
      </c>
      <c r="D66" s="0" t="inlineStr">
        <is>
          <t xml:space="preserve">no</t>
        </is>
      </c>
      <c r="E66" s="0" t="inlineStr">
        <is>
          <t xml:space="preserve">DELIVERY ORDER</t>
        </is>
      </c>
      <c r="F66" s="0" t="inlineStr">
        <is>
          <t xml:space="preserve">2021-08-02</t>
        </is>
      </c>
      <c r="G66" s="0" t="inlineStr">
        <is>
          <t xml:space="preserve">2021-11-01</t>
        </is>
      </c>
      <c r="H66" s="4">
        <v>19.7</v>
      </c>
      <c r="I66" s="4">
        <v>17.5</v>
      </c>
    </row>
    <row r="67">
      <c r="B67" s="0" t="inlineStr">
        <is>
          <t xml:space="preserve">TEXTRON SYSTEMS</t>
        </is>
      </c>
      <c r="C67" s="0" t="inlineStr">
        <is>
          <t xml:space="preserve">H9240318F0076</t>
        </is>
      </c>
      <c r="D67" s="0" t="inlineStr">
        <is>
          <t xml:space="preserve">no</t>
        </is>
      </c>
      <c r="E67" s="0" t="inlineStr">
        <is>
          <t xml:space="preserve">DELIVERY ORDER</t>
        </is>
      </c>
      <c r="F67" s="0" t="inlineStr">
        <is>
          <t xml:space="preserve">2020-09-01</t>
        </is>
      </c>
      <c r="G67" s="0" t="inlineStr">
        <is>
          <t xml:space="preserve">2020-09-01</t>
        </is>
      </c>
      <c r="H67" s="4">
        <v>17.3</v>
      </c>
      <c r="I67" s="4">
        <v>17.3</v>
      </c>
    </row>
    <row r="68">
      <c r="B68" s="0" t="inlineStr">
        <is>
          <t xml:space="preserve">TEXTRON SYSTEMS</t>
        </is>
      </c>
      <c r="C68" s="0" t="inlineStr">
        <is>
          <t xml:space="preserve">N6833503C0128</t>
        </is>
      </c>
      <c r="D68" s="0" t="inlineStr">
        <is>
          <t xml:space="preserve">no</t>
        </is>
      </c>
      <c r="E68" s="0" t="inlineStr">
        <is>
          <t xml:space="preserve">DEFINITIVE CONTRACT</t>
        </is>
      </c>
      <c r="F68" s="0" t="inlineStr">
        <is>
          <t xml:space="preserve">2003-02-26</t>
        </is>
      </c>
      <c r="G68" s="0" t="inlineStr">
        <is>
          <t xml:space="preserve">2003-02-26</t>
        </is>
      </c>
      <c r="H68" s="4">
        <v>16.3</v>
      </c>
      <c r="I68" s="4">
        <v>16.3</v>
      </c>
    </row>
    <row r="69">
      <c r="B69" s="0" t="inlineStr">
        <is>
          <t xml:space="preserve">TEXTRON SYSTEMS</t>
        </is>
      </c>
      <c r="C69" s="0" t="inlineStr">
        <is>
          <t xml:space="preserve">N0038320CP023</t>
        </is>
      </c>
      <c r="D69" s="0" t="inlineStr">
        <is>
          <t xml:space="preserve">no</t>
        </is>
      </c>
      <c r="E69" s="0" t="inlineStr">
        <is>
          <t xml:space="preserve">DEFINITIVE CONTRACT</t>
        </is>
      </c>
      <c r="F69" s="0" t="inlineStr">
        <is>
          <t xml:space="preserve">2020-10-07</t>
        </is>
      </c>
      <c r="G69" s="0" t="inlineStr">
        <is>
          <t xml:space="preserve">2020-10-07</t>
        </is>
      </c>
      <c r="H69" s="4">
        <v>16.2</v>
      </c>
      <c r="I69" s="4">
        <v>16.2</v>
      </c>
    </row>
    <row r="70">
      <c r="B70" s="0" t="inlineStr">
        <is>
          <t xml:space="preserve">TEXTRON SYSTEMS</t>
        </is>
      </c>
      <c r="C70" s="0" t="inlineStr">
        <is>
          <t xml:space="preserve">N0001920F0541</t>
        </is>
      </c>
      <c r="D70" s="0" t="inlineStr">
        <is>
          <t xml:space="preserve">no</t>
        </is>
      </c>
      <c r="E70" s="0" t="inlineStr">
        <is>
          <t xml:space="preserve">DELIVERY ORDER</t>
        </is>
      </c>
      <c r="F70" s="0" t="inlineStr">
        <is>
          <t xml:space="preserve">2020-08-12</t>
        </is>
      </c>
      <c r="G70" s="0" t="inlineStr">
        <is>
          <t xml:space="preserve">2020-08-12</t>
        </is>
      </c>
      <c r="H70" s="4">
        <v>40.3</v>
      </c>
      <c r="I70" s="4">
        <v>15.4</v>
      </c>
    </row>
    <row r="71">
      <c r="B71" s="0" t="inlineStr">
        <is>
          <t xml:space="preserve">TEXTRON SYSTEMS</t>
        </is>
      </c>
      <c r="C71" s="0" t="inlineStr">
        <is>
          <t xml:space="preserve">W56HZV14C0239</t>
        </is>
      </c>
      <c r="D71" s="0" t="inlineStr">
        <is>
          <t xml:space="preserve">no</t>
        </is>
      </c>
      <c r="E71" s="0" t="inlineStr">
        <is>
          <t xml:space="preserve">DEFINITIVE CONTRACT</t>
        </is>
      </c>
      <c r="F71" s="0" t="inlineStr">
        <is>
          <t xml:space="preserve">2015-11-04</t>
        </is>
      </c>
      <c r="G71" s="0" t="inlineStr">
        <is>
          <t xml:space="preserve">2015-11-04</t>
        </is>
      </c>
      <c r="H71" s="4">
        <v>15.3</v>
      </c>
      <c r="I71" s="4">
        <v>15.3</v>
      </c>
    </row>
    <row r="72">
      <c r="B72" s="0" t="inlineStr">
        <is>
          <t xml:space="preserve">TEXTRON SYSTEMS</t>
        </is>
      </c>
      <c r="C72" s="0" t="inlineStr">
        <is>
          <t xml:space="preserve">W56HZV05C0313</t>
        </is>
      </c>
      <c r="D72" s="0" t="inlineStr">
        <is>
          <t xml:space="preserve">no</t>
        </is>
      </c>
      <c r="E72" s="0" t="inlineStr">
        <is>
          <t xml:space="preserve">DEFINITIVE CONTRACT</t>
        </is>
      </c>
      <c r="F72" s="0" t="inlineStr">
        <is>
          <t xml:space="preserve">2005-04-29</t>
        </is>
      </c>
      <c r="G72" s="0" t="inlineStr">
        <is>
          <t xml:space="preserve">2009-08-11</t>
        </is>
      </c>
      <c r="H72" s="4">
        <v>0.0</v>
      </c>
      <c r="I72" s="4">
        <v>15.0</v>
      </c>
    </row>
    <row r="73">
      <c r="B73" s="0" t="inlineStr">
        <is>
          <t xml:space="preserve">AUSTAL USA</t>
        </is>
      </c>
      <c r="C73" s="0" t="inlineStr">
        <is>
          <t xml:space="preserve">N0002420C6315</t>
        </is>
      </c>
      <c r="D73" s="0" t="inlineStr">
        <is>
          <t xml:space="preserve">no</t>
        </is>
      </c>
      <c r="E73" s="0" t="inlineStr">
        <is>
          <t xml:space="preserve">DEFINITIVE CONTRACT</t>
        </is>
      </c>
      <c r="F73" s="0" t="inlineStr">
        <is>
          <t xml:space="preserve">2025-03-07</t>
        </is>
      </c>
      <c r="G73" s="0" t="inlineStr">
        <is>
          <t xml:space="preserve">2025-03-07</t>
        </is>
      </c>
      <c r="H73" s="4">
        <v>23.0</v>
      </c>
      <c r="I73" s="4">
        <v>14.6</v>
      </c>
    </row>
    <row r="74">
      <c r="B74" s="0" t="inlineStr">
        <is>
          <t xml:space="preserve">TEXTRON SYSTEMS</t>
        </is>
      </c>
      <c r="C74" s="0" t="inlineStr">
        <is>
          <t xml:space="preserve">N0001922F1125</t>
        </is>
      </c>
      <c r="D74" s="0" t="inlineStr">
        <is>
          <t xml:space="preserve">no</t>
        </is>
      </c>
      <c r="E74" s="0" t="inlineStr">
        <is>
          <t xml:space="preserve">DELIVERY ORDER</t>
        </is>
      </c>
      <c r="F74" s="0" t="inlineStr">
        <is>
          <t xml:space="preserve">2023-02-16</t>
        </is>
      </c>
      <c r="G74" s="0" t="inlineStr">
        <is>
          <t xml:space="preserve">2023-02-16</t>
        </is>
      </c>
      <c r="H74" s="4">
        <v>18.4</v>
      </c>
      <c r="I74" s="4">
        <v>14.5</v>
      </c>
    </row>
    <row r="75">
      <c r="B75" s="0" t="inlineStr">
        <is>
          <t xml:space="preserve">AUSTAL USA</t>
        </is>
      </c>
      <c r="C75" s="0" t="inlineStr">
        <is>
          <t xml:space="preserve">N6931623F4001</t>
        </is>
      </c>
      <c r="D75" s="0" t="inlineStr">
        <is>
          <t xml:space="preserve">no</t>
        </is>
      </c>
      <c r="E75" s="0" t="inlineStr">
        <is>
          <t xml:space="preserve">DELIVERY ORDER</t>
        </is>
      </c>
      <c r="F75" s="0" t="inlineStr">
        <is>
          <t xml:space="preserve">2024-10-03</t>
        </is>
      </c>
      <c r="G75" s="0" t="inlineStr">
        <is>
          <t xml:space="preserve">2024-12-23</t>
        </is>
      </c>
      <c r="H75" s="4">
        <v>13.6</v>
      </c>
      <c r="I75" s="4">
        <v>12.7</v>
      </c>
    </row>
    <row r="76">
      <c r="B76" s="0" t="inlineStr">
        <is>
          <t xml:space="preserve">L3HARRIS TECHNOLOGIES</t>
        </is>
      </c>
      <c r="C76" s="0" t="inlineStr">
        <is>
          <t xml:space="preserve">ZD110199010BDCA20089C0023</t>
        </is>
      </c>
      <c r="D76" s="0" t="inlineStr">
        <is>
          <t xml:space="preserve">no</t>
        </is>
      </c>
      <c r="E76" s="0" t="inlineStr">
        <is>
          <t xml:space="preserve">PURCHASE ORDER</t>
        </is>
      </c>
      <c r="F76" s="0" t="inlineStr">
        <is>
          <t xml:space="preserve">1990-10-15</t>
        </is>
      </c>
      <c r="G76" s="0" t="inlineStr">
        <is>
          <t xml:space="preserve">1990-10-15</t>
        </is>
      </c>
      <c r="H76" s="4">
        <v>0.0</v>
      </c>
      <c r="I76" s="4">
        <v>12.0</v>
      </c>
    </row>
    <row r="77">
      <c r="B77" s="0" t="inlineStr">
        <is>
          <t xml:space="preserve">AUSTAL USA</t>
        </is>
      </c>
      <c r="C77" s="0" t="inlineStr">
        <is>
          <t xml:space="preserve">N6931621F4005</t>
        </is>
      </c>
      <c r="D77" s="0" t="inlineStr">
        <is>
          <t xml:space="preserve">no</t>
        </is>
      </c>
      <c r="E77" s="0" t="inlineStr">
        <is>
          <t xml:space="preserve">DELIVERY ORDER</t>
        </is>
      </c>
      <c r="F77" s="0" t="inlineStr">
        <is>
          <t xml:space="preserve">2023-08-10</t>
        </is>
      </c>
      <c r="G77" s="0" t="inlineStr">
        <is>
          <t xml:space="preserve">2023-08-10</t>
        </is>
      </c>
      <c r="H77" s="4">
        <v>12.0</v>
      </c>
      <c r="I77" s="4">
        <v>12.0</v>
      </c>
    </row>
    <row r="78">
      <c r="B78" s="0" t="inlineStr">
        <is>
          <t xml:space="preserve">TEXTRON SYSTEMS</t>
        </is>
      </c>
      <c r="C78" s="0" t="inlineStr">
        <is>
          <t xml:space="preserve">N6133124F0102</t>
        </is>
      </c>
      <c r="D78" s="0" t="inlineStr">
        <is>
          <t xml:space="preserve">no</t>
        </is>
      </c>
      <c r="E78" s="0" t="inlineStr">
        <is>
          <t xml:space="preserve">DELIVERY ORDER</t>
        </is>
      </c>
      <c r="F78" s="0" t="inlineStr">
        <is>
          <t xml:space="preserve">2025-01-15</t>
        </is>
      </c>
      <c r="G78" s="0" t="inlineStr">
        <is>
          <t xml:space="preserve">2025-05-08</t>
        </is>
      </c>
      <c r="H78" s="4">
        <v>12.0</v>
      </c>
      <c r="I78" s="4">
        <v>11.9</v>
      </c>
    </row>
    <row r="79">
      <c r="B79" s="0" t="inlineStr">
        <is>
          <t xml:space="preserve">TEXTRON SYSTEMS</t>
        </is>
      </c>
      <c r="C79" s="0" t="inlineStr">
        <is>
          <t xml:space="preserve">FA873005C0002</t>
        </is>
      </c>
      <c r="D79" s="0" t="inlineStr">
        <is>
          <t xml:space="preserve">no</t>
        </is>
      </c>
      <c r="E79" s="0" t="inlineStr">
        <is>
          <t xml:space="preserve">DEFINITIVE CONTRACT</t>
        </is>
      </c>
      <c r="F79" s="0" t="inlineStr">
        <is>
          <t xml:space="preserve">2007-07-18</t>
        </is>
      </c>
      <c r="G79" s="0" t="inlineStr">
        <is>
          <t xml:space="preserve">2009-07-07</t>
        </is>
      </c>
      <c r="H79" s="4">
        <v>0.0</v>
      </c>
      <c r="I79" s="4">
        <v>11.7</v>
      </c>
    </row>
    <row r="80">
      <c r="B80" s="0" t="inlineStr">
        <is>
          <t xml:space="preserve">TEXTRON SYSTEMS</t>
        </is>
      </c>
      <c r="C80" s="0" t="inlineStr">
        <is>
          <t xml:space="preserve">F3060285C0179</t>
        </is>
      </c>
      <c r="D80" s="0" t="inlineStr">
        <is>
          <t xml:space="preserve">no</t>
        </is>
      </c>
      <c r="E80" s="0" t="inlineStr">
        <is>
          <t xml:space="preserve">DEFINITIVE CONTRACT</t>
        </is>
      </c>
      <c r="F80" s="0" t="inlineStr">
        <is>
          <t xml:space="preserve">1985-09-30</t>
        </is>
      </c>
      <c r="G80" s="0" t="inlineStr">
        <is>
          <t xml:space="preserve">1985-09-30</t>
        </is>
      </c>
      <c r="H80" s="4">
        <v>33.8</v>
      </c>
      <c r="I80" s="4">
        <v>11.2</v>
      </c>
    </row>
    <row r="81">
      <c r="B81" s="0" t="inlineStr">
        <is>
          <t xml:space="preserve">HII UNMANNED SYSTEMS</t>
        </is>
      </c>
      <c r="C81" s="0" t="inlineStr">
        <is>
          <t xml:space="preserve">HQ08451990004</t>
        </is>
      </c>
      <c r="D81" s="0" t="inlineStr">
        <is>
          <t xml:space="preserve">yes</t>
        </is>
      </c>
      <c r="E81" s="0" t="inlineStr">
        <is>
          <t xml:space="preserve">OTHER TRANSACTION AGREEMENT</t>
        </is>
      </c>
      <c r="F81" s="0" t="inlineStr">
        <is>
          <t xml:space="preserve">2022-09-23</t>
        </is>
      </c>
      <c r="G81" s="0" t="inlineStr">
        <is>
          <t xml:space="preserve">2023-01-09</t>
        </is>
      </c>
      <c r="H81" s="4">
        <v>13.0</v>
      </c>
      <c r="I81" s="4">
        <v>10.7</v>
      </c>
    </row>
    <row r="82">
      <c r="B82" s="0" t="inlineStr">
        <is>
          <t xml:space="preserve">AUSTAL USA</t>
        </is>
      </c>
      <c r="C82" s="0" t="inlineStr">
        <is>
          <t xml:space="preserve">N6931624F4000</t>
        </is>
      </c>
      <c r="D82" s="0" t="inlineStr">
        <is>
          <t xml:space="preserve">no</t>
        </is>
      </c>
      <c r="E82" s="0" t="inlineStr">
        <is>
          <t xml:space="preserve">DELIVERY ORDER</t>
        </is>
      </c>
      <c r="F82" s="0" t="inlineStr">
        <is>
          <t xml:space="preserve">2026-02-12</t>
        </is>
      </c>
      <c r="G82" s="0" t="inlineStr">
        <is>
          <t xml:space="preserve">2026-02-12</t>
        </is>
      </c>
      <c r="H82" s="4">
        <v>10.0</v>
      </c>
      <c r="I82" s="4">
        <v>9.9</v>
      </c>
    </row>
    <row r="83">
      <c r="B83" s="0" t="inlineStr">
        <is>
          <t xml:space="preserve">SPATIAL INTEGRATED SYSTEMS</t>
        </is>
      </c>
      <c r="C83" s="0" t="inlineStr">
        <is>
          <t xml:space="preserve">N0002405FB047</t>
        </is>
      </c>
      <c r="D83" s="0" t="inlineStr">
        <is>
          <t xml:space="preserve">no</t>
        </is>
      </c>
      <c r="E83" s="0" t="inlineStr">
        <is>
          <t xml:space="preserve">DELIVERY ORDER</t>
        </is>
      </c>
      <c r="F83" s="0" t="inlineStr">
        <is>
          <t xml:space="preserve">2007-12-27</t>
        </is>
      </c>
      <c r="G83" s="0" t="inlineStr">
        <is>
          <t xml:space="preserve">2008-09-24</t>
        </is>
      </c>
      <c r="H83" s="4">
        <v>0.0</v>
      </c>
      <c r="I83" s="4">
        <v>9.7</v>
      </c>
    </row>
    <row r="84">
      <c r="B84" s="0" t="inlineStr">
        <is>
          <t xml:space="preserve">AUSTAL USA</t>
        </is>
      </c>
      <c r="C84" s="0" t="inlineStr">
        <is>
          <t xml:space="preserve">N4034523F8003</t>
        </is>
      </c>
      <c r="D84" s="0" t="inlineStr">
        <is>
          <t xml:space="preserve">no</t>
        </is>
      </c>
      <c r="E84" s="0" t="inlineStr">
        <is>
          <t xml:space="preserve">DELIVERY ORDER</t>
        </is>
      </c>
      <c r="F84" s="0" t="inlineStr">
        <is>
          <t xml:space="preserve">2024-06-28</t>
        </is>
      </c>
      <c r="G84" s="0" t="inlineStr">
        <is>
          <t xml:space="preserve">2024-06-28</t>
        </is>
      </c>
      <c r="H84" s="4">
        <v>9.6</v>
      </c>
      <c r="I84" s="4">
        <v>9.6</v>
      </c>
    </row>
    <row r="85">
      <c r="B85" s="0" t="inlineStr">
        <is>
          <t xml:space="preserve">HII UNMANNED SYSTEMS</t>
        </is>
      </c>
      <c r="C85" s="0" t="inlineStr">
        <is>
          <t xml:space="preserve">N0001409C0137</t>
        </is>
      </c>
      <c r="D85" s="0" t="inlineStr">
        <is>
          <t xml:space="preserve">no</t>
        </is>
      </c>
      <c r="E85" s="0" t="inlineStr">
        <is>
          <t xml:space="preserve">DEFINITIVE CONTRACT</t>
        </is>
      </c>
      <c r="F85" s="0" t="inlineStr">
        <is>
          <t xml:space="preserve">2013-10-17</t>
        </is>
      </c>
      <c r="G85" s="0" t="inlineStr">
        <is>
          <t xml:space="preserve">2013-10-17</t>
        </is>
      </c>
      <c r="H85" s="4">
        <v>9.4</v>
      </c>
      <c r="I85" s="4">
        <v>9.4</v>
      </c>
    </row>
    <row r="86">
      <c r="B86" s="0" t="inlineStr">
        <is>
          <t xml:space="preserve">TEXTRON SYSTEMS</t>
        </is>
      </c>
      <c r="C86" s="0" t="inlineStr">
        <is>
          <t xml:space="preserve">N6133125F0103</t>
        </is>
      </c>
      <c r="D86" s="0" t="inlineStr">
        <is>
          <t xml:space="preserve">no</t>
        </is>
      </c>
      <c r="E86" s="0" t="inlineStr">
        <is>
          <t xml:space="preserve">DELIVERY ORDER</t>
        </is>
      </c>
      <c r="F86" s="0" t="inlineStr">
        <is>
          <t xml:space="preserve">2025-06-27</t>
        </is>
      </c>
      <c r="G86" s="0" t="inlineStr">
        <is>
          <t xml:space="preserve">2026-02-17</t>
        </is>
      </c>
      <c r="H86" s="4">
        <v>13.2</v>
      </c>
      <c r="I86" s="4">
        <v>9.4</v>
      </c>
    </row>
    <row r="87">
      <c r="B87" s="0" t="inlineStr">
        <is>
          <t xml:space="preserve">TEXTRON SYSTEMS</t>
        </is>
      </c>
      <c r="C87" s="0" t="inlineStr">
        <is>
          <t xml:space="preserve">W58RGZ12C0011</t>
        </is>
      </c>
      <c r="D87" s="0" t="inlineStr">
        <is>
          <t xml:space="preserve">no</t>
        </is>
      </c>
      <c r="E87" s="0" t="inlineStr">
        <is>
          <t xml:space="preserve">DEFINITIVE CONTRACT</t>
        </is>
      </c>
      <c r="F87" s="0" t="inlineStr">
        <is>
          <t xml:space="preserve">2020-05-04</t>
        </is>
      </c>
      <c r="G87" s="0" t="inlineStr">
        <is>
          <t xml:space="preserve">2020-05-04</t>
        </is>
      </c>
      <c r="H87" s="4">
        <v>9.3</v>
      </c>
      <c r="I87" s="4">
        <v>9.3</v>
      </c>
    </row>
    <row r="88">
      <c r="B88" s="0" t="inlineStr">
        <is>
          <t xml:space="preserve">AUSTAL USA</t>
        </is>
      </c>
      <c r="C88" s="0" t="inlineStr">
        <is>
          <t xml:space="preserve">N4034523F0094</t>
        </is>
      </c>
      <c r="D88" s="0" t="inlineStr">
        <is>
          <t xml:space="preserve">no</t>
        </is>
      </c>
      <c r="E88" s="0" t="inlineStr">
        <is>
          <t xml:space="preserve">DELIVERY ORDER</t>
        </is>
      </c>
      <c r="F88" s="0" t="inlineStr">
        <is>
          <t xml:space="preserve">2022-12-15</t>
        </is>
      </c>
      <c r="G88" s="0" t="inlineStr">
        <is>
          <t xml:space="preserve">2022-12-15</t>
        </is>
      </c>
      <c r="H88" s="4">
        <v>9.2</v>
      </c>
      <c r="I88" s="4">
        <v>9.2</v>
      </c>
    </row>
    <row r="89">
      <c r="B89" s="0" t="inlineStr">
        <is>
          <t xml:space="preserve">AUSTAL USA</t>
        </is>
      </c>
      <c r="C89" s="0" t="inlineStr">
        <is>
          <t xml:space="preserve">N5523624F8418</t>
        </is>
      </c>
      <c r="D89" s="0" t="inlineStr">
        <is>
          <t xml:space="preserve">no</t>
        </is>
      </c>
      <c r="E89" s="0" t="inlineStr">
        <is>
          <t xml:space="preserve">DELIVERY ORDER</t>
        </is>
      </c>
      <c r="F89" s="0" t="inlineStr">
        <is>
          <t xml:space="preserve">2024-05-15</t>
        </is>
      </c>
      <c r="G89" s="0" t="inlineStr">
        <is>
          <t xml:space="preserve">2024-05-15</t>
        </is>
      </c>
      <c r="H89" s="4">
        <v>9.1</v>
      </c>
      <c r="I89" s="4">
        <v>9.1</v>
      </c>
    </row>
    <row r="90">
      <c r="B90" s="0" t="inlineStr">
        <is>
          <t xml:space="preserve">TEXTRON SYSTEMS</t>
        </is>
      </c>
      <c r="C90" s="0" t="inlineStr">
        <is>
          <t xml:space="preserve">H9240819F0003</t>
        </is>
      </c>
      <c r="D90" s="0" t="inlineStr">
        <is>
          <t xml:space="preserve">no</t>
        </is>
      </c>
      <c r="E90" s="0" t="inlineStr">
        <is>
          <t xml:space="preserve">DELIVERY ORDER</t>
        </is>
      </c>
      <c r="F90" s="0" t="inlineStr">
        <is>
          <t xml:space="preserve">2020-08-13</t>
        </is>
      </c>
      <c r="G90" s="0" t="inlineStr">
        <is>
          <t xml:space="preserve">2020-08-13</t>
        </is>
      </c>
      <c r="H90" s="4">
        <v>13.9</v>
      </c>
      <c r="I90" s="4">
        <v>8.6</v>
      </c>
    </row>
    <row r="91">
      <c r="B91" s="0" t="inlineStr">
        <is>
          <t xml:space="preserve">BOLLINGER</t>
        </is>
      </c>
      <c r="C91" s="0" t="inlineStr">
        <is>
          <t xml:space="preserve">1305M221PNMAN0367</t>
        </is>
      </c>
      <c r="D91" s="0" t="inlineStr">
        <is>
          <t xml:space="preserve">no</t>
        </is>
      </c>
      <c r="E91" s="0" t="inlineStr">
        <is>
          <t xml:space="preserve">PURCHASE ORDER</t>
        </is>
      </c>
      <c r="F91" s="0" t="inlineStr">
        <is>
          <t xml:space="preserve">2021-09-17</t>
        </is>
      </c>
      <c r="G91" s="0" t="inlineStr">
        <is>
          <t xml:space="preserve">2024-09-19</t>
        </is>
      </c>
      <c r="H91" s="4">
        <v>8.1</v>
      </c>
      <c r="I91" s="4">
        <v>8.1</v>
      </c>
    </row>
    <row r="92">
      <c r="B92" s="0" t="inlineStr">
        <is>
          <t xml:space="preserve">AUSTAL USA</t>
        </is>
      </c>
      <c r="C92" s="0" t="inlineStr">
        <is>
          <t xml:space="preserve">N6931620F4002</t>
        </is>
      </c>
      <c r="D92" s="0" t="inlineStr">
        <is>
          <t xml:space="preserve">no</t>
        </is>
      </c>
      <c r="E92" s="0" t="inlineStr">
        <is>
          <t xml:space="preserve">DELIVERY ORDER</t>
        </is>
      </c>
      <c r="F92" s="0" t="inlineStr">
        <is>
          <t xml:space="preserve">2023-12-11</t>
        </is>
      </c>
      <c r="G92" s="0" t="inlineStr">
        <is>
          <t xml:space="preserve">2023-12-11</t>
        </is>
      </c>
      <c r="H92" s="4">
        <v>8.9</v>
      </c>
      <c r="I92" s="4">
        <v>7.9</v>
      </c>
    </row>
    <row r="93">
      <c r="B93" s="0" t="inlineStr">
        <is>
          <t xml:space="preserve">BOLLINGER</t>
        </is>
      </c>
      <c r="C93" s="0" t="inlineStr">
        <is>
          <t xml:space="preserve">1305M221PNMAN0377</t>
        </is>
      </c>
      <c r="D93" s="0" t="inlineStr">
        <is>
          <t xml:space="preserve">no</t>
        </is>
      </c>
      <c r="E93" s="0" t="inlineStr">
        <is>
          <t xml:space="preserve">PURCHASE ORDER</t>
        </is>
      </c>
      <c r="F93" s="0" t="inlineStr">
        <is>
          <t xml:space="preserve">2021-09-16</t>
        </is>
      </c>
      <c r="G93" s="0" t="inlineStr">
        <is>
          <t xml:space="preserve">2022-09-16</t>
        </is>
      </c>
      <c r="H93" s="4">
        <v>7.7</v>
      </c>
      <c r="I93" s="4">
        <v>7.7</v>
      </c>
    </row>
    <row r="94">
      <c r="B94" s="0" t="inlineStr">
        <is>
          <t xml:space="preserve">AUSTAL USA</t>
        </is>
      </c>
      <c r="C94" s="0" t="inlineStr">
        <is>
          <t xml:space="preserve">N6931623F4002</t>
        </is>
      </c>
      <c r="D94" s="0" t="inlineStr">
        <is>
          <t xml:space="preserve">no</t>
        </is>
      </c>
      <c r="E94" s="0" t="inlineStr">
        <is>
          <t xml:space="preserve">DELIVERY ORDER</t>
        </is>
      </c>
      <c r="F94" s="0" t="inlineStr">
        <is>
          <t xml:space="preserve">2024-08-27</t>
        </is>
      </c>
      <c r="G94" s="0" t="inlineStr">
        <is>
          <t xml:space="preserve">2026-02-10</t>
        </is>
      </c>
      <c r="H94" s="4">
        <v>7.5</v>
      </c>
      <c r="I94" s="4">
        <v>7.5</v>
      </c>
    </row>
    <row r="95">
      <c r="B95" s="0" t="inlineStr">
        <is>
          <t xml:space="preserve">L3HARRIS TECHNOLOGIES</t>
        </is>
      </c>
      <c r="C95" s="0" t="inlineStr">
        <is>
          <t xml:space="preserve">HJ030198401C0055F3060281C0287</t>
        </is>
      </c>
      <c r="D95" s="0" t="inlineStr">
        <is>
          <t xml:space="preserve">no</t>
        </is>
      </c>
      <c r="E95" s="0" t="inlineStr">
        <is>
          <t xml:space="preserve">DELIVERY ORDER</t>
        </is>
      </c>
      <c r="F95" s="0" t="inlineStr">
        <is>
          <t xml:space="preserve">1984-01-15</t>
        </is>
      </c>
      <c r="G95" s="0" t="inlineStr">
        <is>
          <t xml:space="preserve">1984-01-15</t>
        </is>
      </c>
      <c r="H95" s="4">
        <v>0.0</v>
      </c>
      <c r="I95" s="4">
        <v>7.4</v>
      </c>
    </row>
    <row r="96">
      <c r="B96" s="0" t="inlineStr">
        <is>
          <t xml:space="preserve">BOLLINGER</t>
        </is>
      </c>
      <c r="C96" s="0" t="inlineStr">
        <is>
          <t xml:space="preserve">1305M220PNMAN0538</t>
        </is>
      </c>
      <c r="D96" s="0" t="inlineStr">
        <is>
          <t xml:space="preserve">no</t>
        </is>
      </c>
      <c r="E96" s="0" t="inlineStr">
        <is>
          <t xml:space="preserve">PURCHASE ORDER</t>
        </is>
      </c>
      <c r="F96" s="0" t="inlineStr">
        <is>
          <t xml:space="preserve">2020-08-27</t>
        </is>
      </c>
      <c r="G96" s="0" t="inlineStr">
        <is>
          <t xml:space="preserve">2022-07-18</t>
        </is>
      </c>
      <c r="H96" s="4">
        <v>7.3</v>
      </c>
      <c r="I96" s="4">
        <v>7.3</v>
      </c>
    </row>
    <row r="97">
      <c r="B97" s="0" t="inlineStr">
        <is>
          <t xml:space="preserve">L3HARRIS TECHNOLOGIES</t>
        </is>
      </c>
      <c r="C97" s="0" t="inlineStr">
        <is>
          <t xml:space="preserve">FH020198407C29152915DAAB0779G6229</t>
        </is>
      </c>
      <c r="D97" s="0" t="inlineStr">
        <is>
          <t xml:space="preserve">no</t>
        </is>
      </c>
      <c r="E97" s="0" t="inlineStr">
        <is>
          <t xml:space="preserve">DELIVERY ORDER</t>
        </is>
      </c>
      <c r="F97" s="0" t="inlineStr">
        <is>
          <t xml:space="preserve">1984-07-15</t>
        </is>
      </c>
      <c r="G97" s="0" t="inlineStr">
        <is>
          <t xml:space="preserve">1984-07-15</t>
        </is>
      </c>
      <c r="H97" s="4">
        <v>0.0</v>
      </c>
      <c r="I97" s="4">
        <v>7.2</v>
      </c>
    </row>
    <row r="98">
      <c r="B98" s="0" t="inlineStr">
        <is>
          <t xml:space="preserve">TEXTRON SYSTEMS</t>
        </is>
      </c>
      <c r="C98" s="0" t="inlineStr">
        <is>
          <t xml:space="preserve">0014</t>
        </is>
      </c>
      <c r="D98" s="0" t="inlineStr">
        <is>
          <t xml:space="preserve">no</t>
        </is>
      </c>
      <c r="E98" s="0" t="inlineStr">
        <is>
          <t xml:space="preserve">DELIVERY ORDER</t>
        </is>
      </c>
      <c r="F98" s="0" t="inlineStr">
        <is>
          <t xml:space="preserve">2010-09-27</t>
        </is>
      </c>
      <c r="G98" s="0" t="inlineStr">
        <is>
          <t xml:space="preserve">2010-09-27</t>
        </is>
      </c>
      <c r="H98" s="4">
        <v>6.5</v>
      </c>
      <c r="I98" s="4">
        <v>6.5</v>
      </c>
    </row>
    <row r="99">
      <c r="B99" s="0" t="inlineStr">
        <is>
          <t xml:space="preserve">L3HARRIS TECHNOLOGIES</t>
        </is>
      </c>
      <c r="C99" s="0" t="inlineStr">
        <is>
          <t xml:space="preserve">00023199409DIA2121C4234482</t>
        </is>
      </c>
      <c r="D99" s="0" t="inlineStr">
        <is>
          <t xml:space="preserve">no</t>
        </is>
      </c>
      <c r="E99" s="0" t="inlineStr">
        <is>
          <t xml:space="preserve">DEFINITIVE CONTRACT</t>
        </is>
      </c>
      <c r="F99" s="0" t="inlineStr">
        <is>
          <t xml:space="preserve">1996-08-15</t>
        </is>
      </c>
      <c r="G99" s="0" t="inlineStr">
        <is>
          <t xml:space="preserve">1996-08-15</t>
        </is>
      </c>
      <c r="H99" s="4">
        <v>0.0</v>
      </c>
      <c r="I99" s="4">
        <v>6.3</v>
      </c>
    </row>
    <row r="100">
      <c r="B100" s="0" t="inlineStr">
        <is>
          <t xml:space="preserve">TEXTRON SYSTEMS</t>
        </is>
      </c>
      <c r="C100" s="0" t="inlineStr">
        <is>
          <t xml:space="preserve">N0002406C6109</t>
        </is>
      </c>
      <c r="D100" s="0" t="inlineStr">
        <is>
          <t xml:space="preserve">no</t>
        </is>
      </c>
      <c r="E100" s="0" t="inlineStr">
        <is>
          <t xml:space="preserve">DEFINITIVE CONTRACT</t>
        </is>
      </c>
      <c r="F100" s="0" t="inlineStr">
        <is>
          <t xml:space="preserve">2007-03-06</t>
        </is>
      </c>
      <c r="G100" s="0" t="inlineStr">
        <is>
          <t xml:space="preserve">2008-07-11</t>
        </is>
      </c>
      <c r="H100" s="4">
        <v>0.0</v>
      </c>
      <c r="I100" s="4">
        <v>5.8</v>
      </c>
    </row>
    <row r="101">
      <c r="B101" s="0" t="inlineStr">
        <is>
          <t xml:space="preserve">SARONIC TECHNOLOGIES</t>
        </is>
      </c>
      <c r="C101" s="0" t="inlineStr">
        <is>
          <t xml:space="preserve">HR0011269E015</t>
        </is>
      </c>
      <c r="D101" s="0" t="inlineStr">
        <is>
          <t xml:space="preserve">yes</t>
        </is>
      </c>
      <c r="E101" s="0" t="inlineStr">
        <is>
          <t xml:space="preserve">OTHER TRANSACTION AGREEMENT</t>
        </is>
      </c>
      <c r="F101" s="0" t="inlineStr">
        <is>
          <t xml:space="preserve">2025-12-09</t>
        </is>
      </c>
      <c r="G101" s="0" t="inlineStr">
        <is>
          <t xml:space="preserve">2026-03-13</t>
        </is>
      </c>
      <c r="H101" s="4">
        <v>12.0</v>
      </c>
      <c r="I101" s="4">
        <v>5.7</v>
      </c>
    </row>
    <row r="102">
      <c r="B102" s="0" t="inlineStr">
        <is>
          <t xml:space="preserve">BOLLINGER</t>
        </is>
      </c>
      <c r="C102" s="0" t="inlineStr">
        <is>
          <t xml:space="preserve">1305M222PNMAN0012</t>
        </is>
      </c>
      <c r="D102" s="0" t="inlineStr">
        <is>
          <t xml:space="preserve">no</t>
        </is>
      </c>
      <c r="E102" s="0" t="inlineStr">
        <is>
          <t xml:space="preserve">PURCHASE ORDER</t>
        </is>
      </c>
      <c r="F102" s="0" t="inlineStr">
        <is>
          <t xml:space="preserve">2021-12-06</t>
        </is>
      </c>
      <c r="G102" s="0" t="inlineStr">
        <is>
          <t xml:space="preserve">2023-09-24</t>
        </is>
      </c>
      <c r="H102" s="4">
        <v>5.2</v>
      </c>
      <c r="I102" s="4">
        <v>5.2</v>
      </c>
    </row>
    <row r="103">
      <c r="B103" s="0" t="inlineStr">
        <is>
          <t xml:space="preserve">L3HARRIS TECHNOLOGIES</t>
        </is>
      </c>
      <c r="C103" s="0" t="inlineStr">
        <is>
          <t xml:space="preserve">0ZD04198112C0855MDA90481C0238</t>
        </is>
      </c>
      <c r="D103" s="0" t="inlineStr">
        <is>
          <t xml:space="preserve">no</t>
        </is>
      </c>
      <c r="E103" s="0" t="inlineStr">
        <is>
          <t xml:space="preserve">DELIVERY ORDER</t>
        </is>
      </c>
      <c r="F103" s="0" t="inlineStr">
        <is>
          <t xml:space="preserve">1981-12-15</t>
        </is>
      </c>
      <c r="G103" s="0" t="inlineStr">
        <is>
          <t xml:space="preserve">1981-12-15</t>
        </is>
      </c>
      <c r="H103" s="4">
        <v>0.0</v>
      </c>
      <c r="I103" s="4">
        <v>4.9</v>
      </c>
    </row>
    <row r="104">
      <c r="B104" s="0" t="inlineStr">
        <is>
          <t xml:space="preserve">AUSTAL USA</t>
        </is>
      </c>
      <c r="C104" s="0" t="inlineStr">
        <is>
          <t xml:space="preserve">N6931621F4002</t>
        </is>
      </c>
      <c r="D104" s="0" t="inlineStr">
        <is>
          <t xml:space="preserve">no</t>
        </is>
      </c>
      <c r="E104" s="0" t="inlineStr">
        <is>
          <t xml:space="preserve">DELIVERY ORDER</t>
        </is>
      </c>
      <c r="F104" s="0" t="inlineStr">
        <is>
          <t xml:space="preserve">2022-03-30</t>
        </is>
      </c>
      <c r="G104" s="0" t="inlineStr">
        <is>
          <t xml:space="preserve">2022-03-30</t>
        </is>
      </c>
      <c r="H104" s="4">
        <v>7.5</v>
      </c>
      <c r="I104" s="4">
        <v>4.9</v>
      </c>
    </row>
    <row r="105">
      <c r="B105" s="0" t="inlineStr">
        <is>
          <t xml:space="preserve">TEXTRON SYSTEMS</t>
        </is>
      </c>
      <c r="C105" s="0" t="inlineStr">
        <is>
          <t xml:space="preserve">FA851916C0004</t>
        </is>
      </c>
      <c r="D105" s="0" t="inlineStr">
        <is>
          <t xml:space="preserve">no</t>
        </is>
      </c>
      <c r="E105" s="0" t="inlineStr">
        <is>
          <t xml:space="preserve">DEFINITIVE CONTRACT</t>
        </is>
      </c>
      <c r="F105" s="0" t="inlineStr">
        <is>
          <t xml:space="preserve">2021-10-14</t>
        </is>
      </c>
      <c r="G105" s="0" t="inlineStr">
        <is>
          <t xml:space="preserve">2021-10-14</t>
        </is>
      </c>
      <c r="H105" s="4">
        <v>4.6</v>
      </c>
      <c r="I105" s="4">
        <v>4.6</v>
      </c>
    </row>
    <row r="106">
      <c r="B106" s="0" t="inlineStr">
        <is>
          <t xml:space="preserve">BOLLINGER</t>
        </is>
      </c>
      <c r="C106" s="0" t="inlineStr">
        <is>
          <t xml:space="preserve">1305M226P0124</t>
        </is>
      </c>
      <c r="D106" s="0" t="inlineStr">
        <is>
          <t xml:space="preserve">no</t>
        </is>
      </c>
      <c r="E106" s="0" t="inlineStr">
        <is>
          <t xml:space="preserve">PURCHASE ORDER</t>
        </is>
      </c>
      <c r="F106" s="0" t="inlineStr">
        <is>
          <t xml:space="preserve">2026-06-02</t>
        </is>
      </c>
      <c r="G106" s="0" t="inlineStr">
        <is>
          <t xml:space="preserve">2026-06-10</t>
        </is>
      </c>
      <c r="H106" s="4">
        <v>4.6</v>
      </c>
      <c r="I106" s="4">
        <v>4.6</v>
      </c>
    </row>
    <row r="107">
      <c r="B107" s="0" t="inlineStr">
        <is>
          <t xml:space="preserve">TEXTRON SYSTEMS</t>
        </is>
      </c>
      <c r="C107" s="0" t="inlineStr">
        <is>
          <t xml:space="preserve">N6833525C0097</t>
        </is>
      </c>
      <c r="D107" s="0" t="inlineStr">
        <is>
          <t xml:space="preserve">no</t>
        </is>
      </c>
      <c r="E107" s="0" t="inlineStr">
        <is>
          <t xml:space="preserve">DEFINITIVE CONTRACT</t>
        </is>
      </c>
      <c r="F107" s="0" t="inlineStr">
        <is>
          <t xml:space="preserve">2025-03-25</t>
        </is>
      </c>
      <c r="G107" s="0" t="inlineStr">
        <is>
          <t xml:space="preserve">2025-03-25</t>
        </is>
      </c>
      <c r="H107" s="4">
        <v>4.4</v>
      </c>
      <c r="I107" s="4">
        <v>4.4</v>
      </c>
    </row>
    <row r="108">
      <c r="B108" s="0" t="inlineStr">
        <is>
          <t xml:space="preserve">TEXTRON SYSTEMS</t>
        </is>
      </c>
      <c r="C108" s="0" t="inlineStr">
        <is>
          <t xml:space="preserve">FA486106CC008</t>
        </is>
      </c>
      <c r="D108" s="0" t="inlineStr">
        <is>
          <t xml:space="preserve">no</t>
        </is>
      </c>
      <c r="E108" s="0" t="inlineStr">
        <is>
          <t xml:space="preserve">DEFINITIVE CONTRACT</t>
        </is>
      </c>
      <c r="F108" s="0" t="inlineStr">
        <is>
          <t xml:space="preserve">2007-10-09</t>
        </is>
      </c>
      <c r="G108" s="0" t="inlineStr">
        <is>
          <t xml:space="preserve">2007-10-09</t>
        </is>
      </c>
      <c r="H108" s="4">
        <v>4.3</v>
      </c>
      <c r="I108" s="4">
        <v>4.3</v>
      </c>
    </row>
    <row r="109">
      <c r="B109" s="0" t="inlineStr">
        <is>
          <t xml:space="preserve">TEXTRON SYSTEMS</t>
        </is>
      </c>
      <c r="C109" s="0" t="inlineStr">
        <is>
          <t xml:space="preserve">FA853321F0060</t>
        </is>
      </c>
      <c r="D109" s="0" t="inlineStr">
        <is>
          <t xml:space="preserve">no</t>
        </is>
      </c>
      <c r="E109" s="0" t="inlineStr">
        <is>
          <t xml:space="preserve">DELIVERY ORDER</t>
        </is>
      </c>
      <c r="F109" s="0" t="inlineStr">
        <is>
          <t xml:space="preserve">2023-10-04</t>
        </is>
      </c>
      <c r="G109" s="0" t="inlineStr">
        <is>
          <t xml:space="preserve">2023-10-04</t>
        </is>
      </c>
      <c r="H109" s="4">
        <v>4.2</v>
      </c>
      <c r="I109" s="4">
        <v>4.2</v>
      </c>
    </row>
    <row r="110">
      <c r="B110" s="0" t="inlineStr">
        <is>
          <t xml:space="preserve">TEXTRON SYSTEMS</t>
        </is>
      </c>
      <c r="C110" s="0" t="inlineStr">
        <is>
          <t xml:space="preserve">N0002406C6102</t>
        </is>
      </c>
      <c r="D110" s="0" t="inlineStr">
        <is>
          <t xml:space="preserve">no</t>
        </is>
      </c>
      <c r="E110" s="0" t="inlineStr">
        <is>
          <t xml:space="preserve">DEFINITIVE CONTRACT</t>
        </is>
      </c>
      <c r="F110" s="0" t="inlineStr">
        <is>
          <t xml:space="preserve">2006-06-13</t>
        </is>
      </c>
      <c r="G110" s="0" t="inlineStr">
        <is>
          <t xml:space="preserve">2006-06-13</t>
        </is>
      </c>
      <c r="H110" s="4">
        <v>0.0</v>
      </c>
      <c r="I110" s="4">
        <v>4.2</v>
      </c>
    </row>
    <row r="111">
      <c r="B111" s="0" t="inlineStr">
        <is>
          <t xml:space="preserve">SEA MACHINES</t>
        </is>
      </c>
      <c r="C111" s="0" t="inlineStr">
        <is>
          <t xml:space="preserve">HQ00342090028</t>
        </is>
      </c>
      <c r="D111" s="0" t="inlineStr">
        <is>
          <t xml:space="preserve">yes</t>
        </is>
      </c>
      <c r="E111" s="0" t="inlineStr">
        <is>
          <t xml:space="preserve">OTHER TRANSACTION AGREEMENT</t>
        </is>
      </c>
      <c r="F111" s="0" t="inlineStr">
        <is>
          <t xml:space="preserve">2020-07-17</t>
        </is>
      </c>
      <c r="G111" s="0" t="inlineStr">
        <is>
          <t xml:space="preserve">2022-12-05</t>
        </is>
      </c>
      <c r="H111" s="4">
        <v>10.4</v>
      </c>
      <c r="I111" s="4">
        <v>4.1</v>
      </c>
    </row>
    <row r="112">
      <c r="B112" s="0" t="inlineStr">
        <is>
          <t xml:space="preserve">TEXTRON SYSTEMS</t>
        </is>
      </c>
      <c r="C112" s="0" t="inlineStr">
        <is>
          <t xml:space="preserve">W56KGY21F0062</t>
        </is>
      </c>
      <c r="D112" s="0" t="inlineStr">
        <is>
          <t xml:space="preserve">no</t>
        </is>
      </c>
      <c r="E112" s="0" t="inlineStr">
        <is>
          <t xml:space="preserve">DELIVERY ORDER</t>
        </is>
      </c>
      <c r="F112" s="0" t="inlineStr">
        <is>
          <t xml:space="preserve">2021-06-30</t>
        </is>
      </c>
      <c r="G112" s="0" t="inlineStr">
        <is>
          <t xml:space="preserve">2025-07-17</t>
        </is>
      </c>
      <c r="H112" s="4">
        <v>5.5</v>
      </c>
      <c r="I112" s="4">
        <v>3.9</v>
      </c>
    </row>
    <row r="113">
      <c r="B113" s="0" t="inlineStr">
        <is>
          <t xml:space="preserve">TEXTRON SYSTEMS</t>
        </is>
      </c>
      <c r="C113" s="0" t="inlineStr">
        <is>
          <t xml:space="preserve">HQ08452490055</t>
        </is>
      </c>
      <c r="D113" s="0" t="inlineStr">
        <is>
          <t xml:space="preserve">yes</t>
        </is>
      </c>
      <c r="E113" s="0" t="inlineStr">
        <is>
          <t xml:space="preserve">OTHER TRANSACTION AGREEMENT</t>
        </is>
      </c>
      <c r="F113" s="0" t="inlineStr">
        <is>
          <t xml:space="preserve">2025-02-25</t>
        </is>
      </c>
      <c r="G113" s="0" t="inlineStr">
        <is>
          <t xml:space="preserve">2025-02-25</t>
        </is>
      </c>
      <c r="H113" s="4">
        <v>3.9</v>
      </c>
      <c r="I113" s="4">
        <v>3.9</v>
      </c>
    </row>
    <row r="114">
      <c r="B114" s="0" t="inlineStr">
        <is>
          <t xml:space="preserve">TEXTRON SYSTEMS</t>
        </is>
      </c>
      <c r="C114" s="0" t="inlineStr">
        <is>
          <t xml:space="preserve">W56KGY19F0040</t>
        </is>
      </c>
      <c r="D114" s="0" t="inlineStr">
        <is>
          <t xml:space="preserve">no</t>
        </is>
      </c>
      <c r="E114" s="0" t="inlineStr">
        <is>
          <t xml:space="preserve">DELIVERY ORDER</t>
        </is>
      </c>
      <c r="F114" s="0" t="inlineStr">
        <is>
          <t xml:space="preserve">2020-03-24</t>
        </is>
      </c>
      <c r="G114" s="0" t="inlineStr">
        <is>
          <t xml:space="preserve">2020-03-24</t>
        </is>
      </c>
      <c r="H114" s="4">
        <v>3.9</v>
      </c>
      <c r="I114" s="4">
        <v>3.9</v>
      </c>
    </row>
    <row r="115">
      <c r="B115" s="0" t="inlineStr">
        <is>
          <t xml:space="preserve">TEXTRON SYSTEMS</t>
        </is>
      </c>
      <c r="C115" s="0" t="inlineStr">
        <is>
          <t xml:space="preserve">FA821416F0006</t>
        </is>
      </c>
      <c r="D115" s="0" t="inlineStr">
        <is>
          <t xml:space="preserve">no</t>
        </is>
      </c>
      <c r="E115" s="0" t="inlineStr">
        <is>
          <t xml:space="preserve">DELIVERY ORDER</t>
        </is>
      </c>
      <c r="F115" s="0" t="inlineStr">
        <is>
          <t xml:space="preserve">2016-06-16</t>
        </is>
      </c>
      <c r="G115" s="0" t="inlineStr">
        <is>
          <t xml:space="preserve">2016-07-14</t>
        </is>
      </c>
      <c r="H115" s="4">
        <v>3.9</v>
      </c>
      <c r="I115" s="4">
        <v>3.9</v>
      </c>
    </row>
    <row r="116">
      <c r="B116" s="0" t="inlineStr">
        <is>
          <t xml:space="preserve">HII UNMANNED SYSTEMS</t>
        </is>
      </c>
      <c r="C116" s="0" t="inlineStr">
        <is>
          <t xml:space="preserve">N0017420F0226</t>
        </is>
      </c>
      <c r="D116" s="0" t="inlineStr">
        <is>
          <t xml:space="preserve">no</t>
        </is>
      </c>
      <c r="E116" s="0" t="inlineStr">
        <is>
          <t xml:space="preserve">DELIVERY ORDER</t>
        </is>
      </c>
      <c r="F116" s="0" t="inlineStr">
        <is>
          <t xml:space="preserve">2020-10-15</t>
        </is>
      </c>
      <c r="G116" s="0" t="inlineStr">
        <is>
          <t xml:space="preserve">2020-10-15</t>
        </is>
      </c>
      <c r="H116" s="4">
        <v>5.6</v>
      </c>
      <c r="I116" s="4">
        <v>3.5</v>
      </c>
    </row>
    <row r="117">
      <c r="B117" s="0" t="inlineStr">
        <is>
          <t xml:space="preserve">AUSTAL USA</t>
        </is>
      </c>
      <c r="C117" s="0" t="inlineStr">
        <is>
          <t xml:space="preserve">N5523625F8483</t>
        </is>
      </c>
      <c r="D117" s="0" t="inlineStr">
        <is>
          <t xml:space="preserve">no</t>
        </is>
      </c>
      <c r="E117" s="0" t="inlineStr">
        <is>
          <t xml:space="preserve">DELIVERY ORDER</t>
        </is>
      </c>
      <c r="F117" s="0" t="inlineStr">
        <is>
          <t xml:space="preserve">2025-03-21</t>
        </is>
      </c>
      <c r="G117" s="0" t="inlineStr">
        <is>
          <t xml:space="preserve">2025-03-21</t>
        </is>
      </c>
      <c r="H117" s="4">
        <v>3.5</v>
      </c>
      <c r="I117" s="4">
        <v>3.5</v>
      </c>
    </row>
    <row r="118">
      <c r="B118" s="0" t="inlineStr">
        <is>
          <t xml:space="preserve">SPATIAL INTEGRATED SYSTEMS</t>
        </is>
      </c>
      <c r="C118" s="0" t="inlineStr">
        <is>
          <t xml:space="preserve">FA872616C0001</t>
        </is>
      </c>
      <c r="D118" s="0" t="inlineStr">
        <is>
          <t xml:space="preserve">no</t>
        </is>
      </c>
      <c r="E118" s="0" t="inlineStr">
        <is>
          <t xml:space="preserve">DEFINITIVE CONTRACT</t>
        </is>
      </c>
      <c r="F118" s="0" t="inlineStr">
        <is>
          <t xml:space="preserve">2015-12-10</t>
        </is>
      </c>
      <c r="G118" s="0" t="inlineStr">
        <is>
          <t xml:space="preserve">2017-09-21</t>
        </is>
      </c>
      <c r="H118" s="4">
        <v>4.8</v>
      </c>
      <c r="I118" s="4">
        <v>3.4</v>
      </c>
    </row>
    <row r="119">
      <c r="B119" s="0" t="inlineStr">
        <is>
          <t xml:space="preserve">SPATIAL INTEGRATED SYSTEMS</t>
        </is>
      </c>
      <c r="C119" s="0" t="inlineStr">
        <is>
          <t xml:space="preserve">N0001411C0184</t>
        </is>
      </c>
      <c r="D119" s="0" t="inlineStr">
        <is>
          <t xml:space="preserve">no</t>
        </is>
      </c>
      <c r="E119" s="0" t="inlineStr">
        <is>
          <t xml:space="preserve">DEFINITIVE CONTRACT</t>
        </is>
      </c>
      <c r="F119" s="0" t="inlineStr">
        <is>
          <t xml:space="preserve">2013-07-15</t>
        </is>
      </c>
      <c r="G119" s="0" t="inlineStr">
        <is>
          <t xml:space="preserve">2014-06-16</t>
        </is>
      </c>
      <c r="H119" s="4">
        <v>3.4</v>
      </c>
      <c r="I119" s="4">
        <v>3.4</v>
      </c>
    </row>
    <row r="120">
      <c r="B120" s="0" t="inlineStr">
        <is>
          <t xml:space="preserve">TEXTRON SYSTEMS</t>
        </is>
      </c>
      <c r="C120" s="0" t="inlineStr">
        <is>
          <t xml:space="preserve">FA821417F0003</t>
        </is>
      </c>
      <c r="D120" s="0" t="inlineStr">
        <is>
          <t xml:space="preserve">no</t>
        </is>
      </c>
      <c r="E120" s="0" t="inlineStr">
        <is>
          <t xml:space="preserve">DELIVERY ORDER</t>
        </is>
      </c>
      <c r="F120" s="0" t="inlineStr">
        <is>
          <t xml:space="preserve">2017-05-02</t>
        </is>
      </c>
      <c r="G120" s="0" t="inlineStr">
        <is>
          <t xml:space="preserve">2017-05-02</t>
        </is>
      </c>
      <c r="H120" s="4">
        <v>3.4</v>
      </c>
      <c r="I120" s="4">
        <v>3.4</v>
      </c>
    </row>
    <row r="121">
      <c r="B121" s="0" t="inlineStr">
        <is>
          <t xml:space="preserve">TEXTRON SYSTEMS</t>
        </is>
      </c>
      <c r="C121" s="0" t="inlineStr">
        <is>
          <t xml:space="preserve">W911QY19F0517</t>
        </is>
      </c>
      <c r="D121" s="0" t="inlineStr">
        <is>
          <t xml:space="preserve">no</t>
        </is>
      </c>
      <c r="E121" s="0" t="inlineStr">
        <is>
          <t xml:space="preserve">DELIVERY ORDER</t>
        </is>
      </c>
      <c r="F121" s="0" t="inlineStr">
        <is>
          <t xml:space="preserve">2020-06-09</t>
        </is>
      </c>
      <c r="G121" s="0" t="inlineStr">
        <is>
          <t xml:space="preserve">2020-06-09</t>
        </is>
      </c>
      <c r="H121" s="4">
        <v>4.8</v>
      </c>
      <c r="I121" s="4">
        <v>3.3</v>
      </c>
    </row>
    <row r="122">
      <c r="B122" s="0" t="inlineStr">
        <is>
          <t xml:space="preserve">TEXTRON SYSTEMS</t>
        </is>
      </c>
      <c r="C122" s="0" t="inlineStr">
        <is>
          <t xml:space="preserve">FA868210C0078</t>
        </is>
      </c>
      <c r="D122" s="0" t="inlineStr">
        <is>
          <t xml:space="preserve">no</t>
        </is>
      </c>
      <c r="E122" s="0" t="inlineStr">
        <is>
          <t xml:space="preserve">DEFINITIVE CONTRACT</t>
        </is>
      </c>
      <c r="F122" s="0" t="inlineStr">
        <is>
          <t xml:space="preserve">2010-03-01</t>
        </is>
      </c>
      <c r="G122" s="0" t="inlineStr">
        <is>
          <t xml:space="preserve">2010-03-01</t>
        </is>
      </c>
      <c r="H122" s="4">
        <v>3.3</v>
      </c>
      <c r="I122" s="4">
        <v>3.3</v>
      </c>
    </row>
    <row r="123">
      <c r="B123" s="0" t="inlineStr">
        <is>
          <t xml:space="preserve">TEXTRON SYSTEMS</t>
        </is>
      </c>
      <c r="C123" s="0" t="inlineStr">
        <is>
          <t xml:space="preserve">W911QY20F0083</t>
        </is>
      </c>
      <c r="D123" s="0" t="inlineStr">
        <is>
          <t xml:space="preserve">no</t>
        </is>
      </c>
      <c r="E123" s="0" t="inlineStr">
        <is>
          <t xml:space="preserve">DELIVERY ORDER</t>
        </is>
      </c>
      <c r="F123" s="0" t="inlineStr">
        <is>
          <t xml:space="preserve">2021-07-15</t>
        </is>
      </c>
      <c r="G123" s="0" t="inlineStr">
        <is>
          <t xml:space="preserve">2025-03-24</t>
        </is>
      </c>
      <c r="H123" s="4">
        <v>3.3</v>
      </c>
      <c r="I123" s="4">
        <v>3.2</v>
      </c>
    </row>
    <row r="124">
      <c r="B124" s="0" t="inlineStr">
        <is>
          <t xml:space="preserve">TEXTRON SYSTEMS</t>
        </is>
      </c>
      <c r="C124" s="0" t="inlineStr">
        <is>
          <t xml:space="preserve">FA821421F0007</t>
        </is>
      </c>
      <c r="D124" s="0" t="inlineStr">
        <is>
          <t xml:space="preserve">no</t>
        </is>
      </c>
      <c r="E124" s="0" t="inlineStr">
        <is>
          <t xml:space="preserve">DELIVERY ORDER</t>
        </is>
      </c>
      <c r="F124" s="0" t="inlineStr">
        <is>
          <t xml:space="preserve">2022-04-27</t>
        </is>
      </c>
      <c r="G124" s="0" t="inlineStr">
        <is>
          <t xml:space="preserve">2023-05-02</t>
        </is>
      </c>
      <c r="H124" s="4">
        <v>3.2</v>
      </c>
      <c r="I124" s="4">
        <v>3.2</v>
      </c>
    </row>
    <row r="125">
      <c r="B125" s="0" t="inlineStr">
        <is>
          <t xml:space="preserve">MARITIME APPLIED PHYSICS</t>
        </is>
      </c>
      <c r="C125" s="0" t="inlineStr">
        <is>
          <t xml:space="preserve">N0010424CLA18</t>
        </is>
      </c>
      <c r="D125" s="0" t="inlineStr">
        <is>
          <t xml:space="preserve">no</t>
        </is>
      </c>
      <c r="E125" s="0" t="inlineStr">
        <is>
          <t xml:space="preserve">DEFINITIVE CONTRACT</t>
        </is>
      </c>
      <c r="F125" s="0" t="inlineStr">
        <is>
          <t xml:space="preserve">2024-05-08</t>
        </is>
      </c>
      <c r="G125" s="0" t="inlineStr">
        <is>
          <t xml:space="preserve">2025-07-31</t>
        </is>
      </c>
      <c r="H125" s="4">
        <v>3.1</v>
      </c>
      <c r="I125" s="4">
        <v>3.1</v>
      </c>
    </row>
    <row r="126">
      <c r="B126" s="0" t="inlineStr">
        <is>
          <t xml:space="preserve">HII UNMANNED SYSTEMS</t>
        </is>
      </c>
      <c r="C126" s="0" t="inlineStr">
        <is>
          <t xml:space="preserve">N6133108C0022</t>
        </is>
      </c>
      <c r="D126" s="0" t="inlineStr">
        <is>
          <t xml:space="preserve">no</t>
        </is>
      </c>
      <c r="E126" s="0" t="inlineStr">
        <is>
          <t xml:space="preserve">DEFINITIVE CONTRACT</t>
        </is>
      </c>
      <c r="F126" s="0" t="inlineStr">
        <is>
          <t xml:space="preserve">2008-08-22</t>
        </is>
      </c>
      <c r="G126" s="0" t="inlineStr">
        <is>
          <t xml:space="preserve">2008-08-22</t>
        </is>
      </c>
      <c r="H126" s="4">
        <v>3.1</v>
      </c>
      <c r="I126" s="4">
        <v>3.1</v>
      </c>
    </row>
    <row r="127">
      <c r="B127" s="0" t="inlineStr">
        <is>
          <t xml:space="preserve">HII UNMANNED SYSTEMS</t>
        </is>
      </c>
      <c r="C127" s="0" t="inlineStr">
        <is>
          <t xml:space="preserve">0015</t>
        </is>
      </c>
      <c r="D127" s="0" t="inlineStr">
        <is>
          <t xml:space="preserve">no</t>
        </is>
      </c>
      <c r="E127" s="0" t="inlineStr">
        <is>
          <t xml:space="preserve">DELIVERY ORDER</t>
        </is>
      </c>
      <c r="F127" s="0" t="inlineStr">
        <is>
          <t xml:space="preserve">2021-09-21</t>
        </is>
      </c>
      <c r="G127" s="0" t="inlineStr">
        <is>
          <t xml:space="preserve">2021-09-21</t>
        </is>
      </c>
      <c r="H127" s="4">
        <v>6.1</v>
      </c>
      <c r="I127" s="4">
        <v>3.1</v>
      </c>
    </row>
    <row r="128">
      <c r="B128" s="0" t="inlineStr">
        <is>
          <t xml:space="preserve">SPATIAL INTEGRATED SYSTEMS</t>
        </is>
      </c>
      <c r="C128" s="0" t="inlineStr">
        <is>
          <t xml:space="preserve">N0001420C1066</t>
        </is>
      </c>
      <c r="D128" s="0" t="inlineStr">
        <is>
          <t xml:space="preserve">no</t>
        </is>
      </c>
      <c r="E128" s="0" t="inlineStr">
        <is>
          <t xml:space="preserve">DEFINITIVE CONTRACT</t>
        </is>
      </c>
      <c r="F128" s="0" t="inlineStr">
        <is>
          <t xml:space="preserve">2021-04-20</t>
        </is>
      </c>
      <c r="G128" s="0" t="inlineStr">
        <is>
          <t xml:space="preserve">2023-01-11</t>
        </is>
      </c>
      <c r="H128" s="4">
        <v>10.0</v>
      </c>
      <c r="I128" s="4">
        <v>3.0</v>
      </c>
    </row>
    <row r="129">
      <c r="B129" s="0" t="inlineStr">
        <is>
          <t xml:space="preserve">HII UNMANNED SYSTEMS</t>
        </is>
      </c>
      <c r="C129" s="0" t="inlineStr">
        <is>
          <t xml:space="preserve">N0001420C1066</t>
        </is>
      </c>
      <c r="D129" s="0" t="inlineStr">
        <is>
          <t xml:space="preserve">no</t>
        </is>
      </c>
      <c r="E129" s="0" t="inlineStr">
        <is>
          <t xml:space="preserve">DEFINITIVE CONTRACT</t>
        </is>
      </c>
      <c r="F129" s="0" t="inlineStr">
        <is>
          <t xml:space="preserve">2023-12-04</t>
        </is>
      </c>
      <c r="G129" s="0" t="inlineStr">
        <is>
          <t xml:space="preserve">2023-12-04</t>
        </is>
      </c>
      <c r="H129" s="4">
        <v>10.0</v>
      </c>
      <c r="I129" s="4">
        <v>3.0</v>
      </c>
    </row>
    <row r="130">
      <c r="B130" s="0" t="inlineStr">
        <is>
          <t xml:space="preserve">OCEAN AERO</t>
        </is>
      </c>
      <c r="C130" s="0" t="inlineStr">
        <is>
          <t xml:space="preserve">N0025315C0008</t>
        </is>
      </c>
      <c r="D130" s="0" t="inlineStr">
        <is>
          <t xml:space="preserve">no</t>
        </is>
      </c>
      <c r="E130" s="0" t="inlineStr">
        <is>
          <t xml:space="preserve">DEFINITIVE CONTRACT</t>
        </is>
      </c>
      <c r="F130" s="0" t="inlineStr">
        <is>
          <t xml:space="preserve">2015-08-06</t>
        </is>
      </c>
      <c r="G130" s="0" t="inlineStr">
        <is>
          <t xml:space="preserve">2023-04-11</t>
        </is>
      </c>
      <c r="H130" s="4">
        <v>2.9</v>
      </c>
      <c r="I130" s="4">
        <v>2.9</v>
      </c>
    </row>
    <row r="131">
      <c r="B131" s="0" t="inlineStr">
        <is>
          <t xml:space="preserve">MARITIME APPLIED PHYSICS</t>
        </is>
      </c>
      <c r="C131" s="0" t="inlineStr">
        <is>
          <t xml:space="preserve">N0010423CLA0K</t>
        </is>
      </c>
      <c r="D131" s="0" t="inlineStr">
        <is>
          <t xml:space="preserve">no</t>
        </is>
      </c>
      <c r="E131" s="0" t="inlineStr">
        <is>
          <t xml:space="preserve">DEFINITIVE CONTRACT</t>
        </is>
      </c>
      <c r="F131" s="0" t="inlineStr">
        <is>
          <t xml:space="preserve">2024-05-28</t>
        </is>
      </c>
      <c r="G131" s="0" t="inlineStr">
        <is>
          <t xml:space="preserve">2024-05-28</t>
        </is>
      </c>
      <c r="H131" s="4">
        <v>2.9</v>
      </c>
      <c r="I131" s="4">
        <v>2.9</v>
      </c>
    </row>
    <row r="132">
      <c r="B132" s="0" t="inlineStr">
        <is>
          <t xml:space="preserve">TEXTRON SYSTEMS</t>
        </is>
      </c>
      <c r="C132" s="0" t="inlineStr">
        <is>
          <t xml:space="preserve">H9224109C0001</t>
        </is>
      </c>
      <c r="D132" s="0" t="inlineStr">
        <is>
          <t xml:space="preserve">no</t>
        </is>
      </c>
      <c r="E132" s="0" t="inlineStr">
        <is>
          <t xml:space="preserve">DEFINITIVE CONTRACT</t>
        </is>
      </c>
      <c r="F132" s="0" t="inlineStr">
        <is>
          <t xml:space="preserve">2008-12-16</t>
        </is>
      </c>
      <c r="G132" s="0" t="inlineStr">
        <is>
          <t xml:space="preserve">2008-12-16</t>
        </is>
      </c>
      <c r="H132" s="4">
        <v>2.9</v>
      </c>
      <c r="I132" s="4">
        <v>2.9</v>
      </c>
    </row>
    <row r="133">
      <c r="B133" s="0" t="inlineStr">
        <is>
          <t xml:space="preserve">TEXTRON SYSTEMS</t>
        </is>
      </c>
      <c r="C133" s="0" t="inlineStr">
        <is>
          <t xml:space="preserve">FA853317F0144</t>
        </is>
      </c>
      <c r="D133" s="0" t="inlineStr">
        <is>
          <t xml:space="preserve">no</t>
        </is>
      </c>
      <c r="E133" s="0" t="inlineStr">
        <is>
          <t xml:space="preserve">DELIVERY ORDER</t>
        </is>
      </c>
      <c r="F133" s="0" t="inlineStr">
        <is>
          <t xml:space="preserve">2024-09-17</t>
        </is>
      </c>
      <c r="G133" s="0" t="inlineStr">
        <is>
          <t xml:space="preserve">2024-09-17</t>
        </is>
      </c>
      <c r="H133" s="4">
        <v>2.8</v>
      </c>
      <c r="I133" s="4">
        <v>2.8</v>
      </c>
    </row>
    <row r="134">
      <c r="B134" s="0" t="inlineStr">
        <is>
          <t xml:space="preserve">BOLLINGER</t>
        </is>
      </c>
      <c r="C134" s="0" t="inlineStr">
        <is>
          <t xml:space="preserve">1305M220PNMAN0067</t>
        </is>
      </c>
      <c r="D134" s="0" t="inlineStr">
        <is>
          <t xml:space="preserve">no</t>
        </is>
      </c>
      <c r="E134" s="0" t="inlineStr">
        <is>
          <t xml:space="preserve">PURCHASE ORDER</t>
        </is>
      </c>
      <c r="F134" s="0" t="inlineStr">
        <is>
          <t xml:space="preserve">2019-11-13</t>
        </is>
      </c>
      <c r="G134" s="0" t="inlineStr">
        <is>
          <t xml:space="preserve">2021-07-21</t>
        </is>
      </c>
      <c r="H134" s="4">
        <v>2.8</v>
      </c>
      <c r="I134" s="4">
        <v>2.8</v>
      </c>
    </row>
    <row r="135">
      <c r="B135" s="0" t="inlineStr">
        <is>
          <t xml:space="preserve">TEXTRON SYSTEMS</t>
        </is>
      </c>
      <c r="C135" s="0" t="inlineStr">
        <is>
          <t xml:space="preserve">HR001112C0115</t>
        </is>
      </c>
      <c r="D135" s="0" t="inlineStr">
        <is>
          <t xml:space="preserve">no</t>
        </is>
      </c>
      <c r="E135" s="0" t="inlineStr">
        <is>
          <t xml:space="preserve">DEFINITIVE CONTRACT</t>
        </is>
      </c>
      <c r="F135" s="0" t="inlineStr">
        <is>
          <t xml:space="preserve">2012-11-29</t>
        </is>
      </c>
      <c r="G135" s="0" t="inlineStr">
        <is>
          <t xml:space="preserve">2012-11-29</t>
        </is>
      </c>
      <c r="H135" s="4">
        <v>2.7</v>
      </c>
      <c r="I135" s="4">
        <v>2.7</v>
      </c>
    </row>
    <row r="136">
      <c r="B136" s="0" t="inlineStr">
        <is>
          <t xml:space="preserve">TEXTRON SYSTEMS</t>
        </is>
      </c>
      <c r="C136" s="0" t="inlineStr">
        <is>
          <t xml:space="preserve">N6931625F2000</t>
        </is>
      </c>
      <c r="D136" s="0" t="inlineStr">
        <is>
          <t xml:space="preserve">no</t>
        </is>
      </c>
      <c r="E136" s="0" t="inlineStr">
        <is>
          <t xml:space="preserve">DELIVERY ORDER</t>
        </is>
      </c>
      <c r="F136" s="0" t="inlineStr">
        <is>
          <t xml:space="preserve">2026-01-21</t>
        </is>
      </c>
      <c r="G136" s="0" t="inlineStr">
        <is>
          <t xml:space="preserve">2026-01-21</t>
        </is>
      </c>
      <c r="H136" s="4">
        <v>2.7</v>
      </c>
      <c r="I136" s="4">
        <v>2.7</v>
      </c>
    </row>
    <row r="137">
      <c r="B137" s="0" t="inlineStr">
        <is>
          <t xml:space="preserve">HII UNMANNED SYSTEMS</t>
        </is>
      </c>
      <c r="C137" s="0" t="inlineStr">
        <is>
          <t xml:space="preserve">N6133125F0129</t>
        </is>
      </c>
      <c r="D137" s="0" t="inlineStr">
        <is>
          <t xml:space="preserve">no</t>
        </is>
      </c>
      <c r="E137" s="0" t="inlineStr">
        <is>
          <t xml:space="preserve">DELIVERY ORDER</t>
        </is>
      </c>
      <c r="F137" s="0" t="inlineStr">
        <is>
          <t xml:space="preserve">2025-09-04</t>
        </is>
      </c>
      <c r="G137" s="0" t="inlineStr">
        <is>
          <t xml:space="preserve">2025-09-04</t>
        </is>
      </c>
      <c r="H137" s="4">
        <v>2.9</v>
      </c>
      <c r="I137" s="4">
        <v>2.6</v>
      </c>
    </row>
    <row r="138">
      <c r="B138" s="0" t="inlineStr">
        <is>
          <t xml:space="preserve">HII UNMANNED SYSTEMS</t>
        </is>
      </c>
      <c r="C138" s="0" t="inlineStr">
        <is>
          <t xml:space="preserve">N0003920F0192</t>
        </is>
      </c>
      <c r="D138" s="0" t="inlineStr">
        <is>
          <t xml:space="preserve">no</t>
        </is>
      </c>
      <c r="E138" s="0" t="inlineStr">
        <is>
          <t xml:space="preserve">DELIVERY ORDER</t>
        </is>
      </c>
      <c r="F138" s="0" t="inlineStr">
        <is>
          <t xml:space="preserve">2024-01-25</t>
        </is>
      </c>
      <c r="G138" s="0" t="inlineStr">
        <is>
          <t xml:space="preserve">2024-01-25</t>
        </is>
      </c>
      <c r="H138" s="4">
        <v>2.6</v>
      </c>
      <c r="I138" s="4">
        <v>2.6</v>
      </c>
    </row>
    <row r="139">
      <c r="B139" s="0" t="inlineStr">
        <is>
          <t xml:space="preserve">HII UNMANNED SYSTEMS</t>
        </is>
      </c>
      <c r="C139" s="0" t="inlineStr">
        <is>
          <t xml:space="preserve">N0017421F0171</t>
        </is>
      </c>
      <c r="D139" s="0" t="inlineStr">
        <is>
          <t xml:space="preserve">no</t>
        </is>
      </c>
      <c r="E139" s="0" t="inlineStr">
        <is>
          <t xml:space="preserve">DELIVERY ORDER</t>
        </is>
      </c>
      <c r="F139" s="0" t="inlineStr">
        <is>
          <t xml:space="preserve">2024-01-22</t>
        </is>
      </c>
      <c r="G139" s="0" t="inlineStr">
        <is>
          <t xml:space="preserve">2024-01-22</t>
        </is>
      </c>
      <c r="H139" s="4">
        <v>3.5</v>
      </c>
      <c r="I139" s="4">
        <v>2.5</v>
      </c>
    </row>
    <row r="140">
      <c r="B140" s="0" t="inlineStr">
        <is>
          <t xml:space="preserve">L3HARRIS TECHNOLOGIES</t>
        </is>
      </c>
      <c r="C140" s="0" t="inlineStr">
        <is>
          <t xml:space="preserve">E614A198403C0933N0001483C0309</t>
        </is>
      </c>
      <c r="D140" s="0" t="inlineStr">
        <is>
          <t xml:space="preserve">no</t>
        </is>
      </c>
      <c r="E140" s="0" t="inlineStr">
        <is>
          <t xml:space="preserve">DELIVERY ORDER</t>
        </is>
      </c>
      <c r="F140" s="0" t="inlineStr">
        <is>
          <t xml:space="preserve">1984-03-15</t>
        </is>
      </c>
      <c r="G140" s="0" t="inlineStr">
        <is>
          <t xml:space="preserve">1984-03-15</t>
        </is>
      </c>
      <c r="H140" s="4">
        <v>0.0</v>
      </c>
      <c r="I140" s="4">
        <v>2.5</v>
      </c>
    </row>
    <row r="141">
      <c r="B141" s="0" t="inlineStr">
        <is>
          <t xml:space="preserve">MARITIME APPLIED PHYSICS</t>
        </is>
      </c>
      <c r="C141" s="0" t="inlineStr">
        <is>
          <t xml:space="preserve">N0010424CLA28</t>
        </is>
      </c>
      <c r="D141" s="0" t="inlineStr">
        <is>
          <t xml:space="preserve">no</t>
        </is>
      </c>
      <c r="E141" s="0" t="inlineStr">
        <is>
          <t xml:space="preserve">DEFINITIVE CONTRACT</t>
        </is>
      </c>
      <c r="F141" s="0" t="inlineStr">
        <is>
          <t xml:space="preserve">2025-10-10</t>
        </is>
      </c>
      <c r="G141" s="0" t="inlineStr">
        <is>
          <t xml:space="preserve">2025-11-06</t>
        </is>
      </c>
      <c r="H141" s="4">
        <v>2.4</v>
      </c>
      <c r="I141" s="4">
        <v>2.4</v>
      </c>
    </row>
    <row r="142">
      <c r="B142" s="0" t="inlineStr">
        <is>
          <t xml:space="preserve">TEXTRON SYSTEMS</t>
        </is>
      </c>
      <c r="C142" s="0" t="inlineStr">
        <is>
          <t xml:space="preserve">FA821420F0006</t>
        </is>
      </c>
      <c r="D142" s="0" t="inlineStr">
        <is>
          <t xml:space="preserve">no</t>
        </is>
      </c>
      <c r="E142" s="0" t="inlineStr">
        <is>
          <t xml:space="preserve">DELIVERY ORDER</t>
        </is>
      </c>
      <c r="F142" s="0" t="inlineStr">
        <is>
          <t xml:space="preserve">2021-04-19</t>
        </is>
      </c>
      <c r="G142" s="0" t="inlineStr">
        <is>
          <t xml:space="preserve">2021-04-19</t>
        </is>
      </c>
      <c r="H142" s="4">
        <v>2.4</v>
      </c>
      <c r="I142" s="4">
        <v>2.4</v>
      </c>
    </row>
    <row r="143">
      <c r="B143" s="0" t="inlineStr">
        <is>
          <t xml:space="preserve">AUSTAL USA</t>
        </is>
      </c>
      <c r="C143" s="0" t="inlineStr">
        <is>
          <t xml:space="preserve">N6931621F4000</t>
        </is>
      </c>
      <c r="D143" s="0" t="inlineStr">
        <is>
          <t xml:space="preserve">no</t>
        </is>
      </c>
      <c r="E143" s="0" t="inlineStr">
        <is>
          <t xml:space="preserve">DELIVERY ORDER</t>
        </is>
      </c>
      <c r="F143" s="0" t="inlineStr">
        <is>
          <t xml:space="preserve">2023-07-19</t>
        </is>
      </c>
      <c r="G143" s="0" t="inlineStr">
        <is>
          <t xml:space="preserve">2023-07-19</t>
        </is>
      </c>
      <c r="H143" s="4">
        <v>3.8</v>
      </c>
      <c r="I143" s="4">
        <v>2.3</v>
      </c>
    </row>
    <row r="144">
      <c r="B144" s="0" t="inlineStr">
        <is>
          <t xml:space="preserve">AUSTAL USA</t>
        </is>
      </c>
      <c r="C144" s="0" t="inlineStr">
        <is>
          <t xml:space="preserve">N5523624F8446</t>
        </is>
      </c>
      <c r="D144" s="0" t="inlineStr">
        <is>
          <t xml:space="preserve">no</t>
        </is>
      </c>
      <c r="E144" s="0" t="inlineStr">
        <is>
          <t xml:space="preserve">DELIVERY ORDER</t>
        </is>
      </c>
      <c r="F144" s="0" t="inlineStr">
        <is>
          <t xml:space="preserve">2025-02-27</t>
        </is>
      </c>
      <c r="G144" s="0" t="inlineStr">
        <is>
          <t xml:space="preserve">2025-02-27</t>
        </is>
      </c>
      <c r="H144" s="4">
        <v>2.3</v>
      </c>
      <c r="I144" s="4">
        <v>2.3</v>
      </c>
    </row>
    <row r="145">
      <c r="B145" s="0" t="inlineStr">
        <is>
          <t xml:space="preserve">MARITIME APPLIED PHYSICS</t>
        </is>
      </c>
      <c r="C145" s="0" t="inlineStr">
        <is>
          <t xml:space="preserve">N0017817C9003</t>
        </is>
      </c>
      <c r="D145" s="0" t="inlineStr">
        <is>
          <t xml:space="preserve">no</t>
        </is>
      </c>
      <c r="E145" s="0" t="inlineStr">
        <is>
          <t xml:space="preserve">DEFINITIVE CONTRACT</t>
        </is>
      </c>
      <c r="F145" s="0" t="inlineStr">
        <is>
          <t xml:space="preserve">2018-03-20</t>
        </is>
      </c>
      <c r="G145" s="0" t="inlineStr">
        <is>
          <t xml:space="preserve">2018-03-20</t>
        </is>
      </c>
      <c r="H145" s="4">
        <v>2.4</v>
      </c>
      <c r="I145" s="4">
        <v>2.2</v>
      </c>
    </row>
    <row r="146">
      <c r="B146" s="0" t="inlineStr">
        <is>
          <t xml:space="preserve">HII UNMANNED SYSTEMS</t>
        </is>
      </c>
      <c r="C146" s="0" t="inlineStr">
        <is>
          <t xml:space="preserve">N0001413C0222</t>
        </is>
      </c>
      <c r="D146" s="0" t="inlineStr">
        <is>
          <t xml:space="preserve">no</t>
        </is>
      </c>
      <c r="E146" s="0" t="inlineStr">
        <is>
          <t xml:space="preserve">DEFINITIVE CONTRACT</t>
        </is>
      </c>
      <c r="F146" s="0" t="inlineStr">
        <is>
          <t xml:space="preserve">2014-04-24</t>
        </is>
      </c>
      <c r="G146" s="0" t="inlineStr">
        <is>
          <t xml:space="preserve">2014-04-24</t>
        </is>
      </c>
      <c r="H146" s="4">
        <v>2.2</v>
      </c>
      <c r="I146" s="4">
        <v>2.2</v>
      </c>
    </row>
    <row r="147">
      <c r="B147" s="0" t="inlineStr">
        <is>
          <t xml:space="preserve">L3HARRIS TECHNOLOGIES</t>
        </is>
      </c>
      <c r="C147" s="0" t="inlineStr">
        <is>
          <t xml:space="preserve">80KSC019P0042</t>
        </is>
      </c>
      <c r="D147" s="0" t="inlineStr">
        <is>
          <t xml:space="preserve">no</t>
        </is>
      </c>
      <c r="E147" s="0" t="inlineStr">
        <is>
          <t xml:space="preserve">PURCHASE ORDER</t>
        </is>
      </c>
      <c r="F147" s="0" t="inlineStr">
        <is>
          <t xml:space="preserve">2021-02-25</t>
        </is>
      </c>
      <c r="G147" s="0" t="inlineStr">
        <is>
          <t xml:space="preserve">2021-05-18</t>
        </is>
      </c>
      <c r="H147" s="4">
        <v>2.3</v>
      </c>
      <c r="I147" s="4">
        <v>2.2</v>
      </c>
    </row>
    <row r="148">
      <c r="B148" s="0" t="inlineStr">
        <is>
          <t xml:space="preserve">SPATIAL INTEGRATED SYSTEMS</t>
        </is>
      </c>
      <c r="C148" s="0" t="inlineStr">
        <is>
          <t xml:space="preserve">N0001405C0166</t>
        </is>
      </c>
      <c r="D148" s="0" t="inlineStr">
        <is>
          <t xml:space="preserve">no</t>
        </is>
      </c>
      <c r="E148" s="0" t="inlineStr">
        <is>
          <t xml:space="preserve">DEFINITIVE CONTRACT</t>
        </is>
      </c>
      <c r="F148" s="0" t="inlineStr">
        <is>
          <t xml:space="preserve">2005-02-09</t>
        </is>
      </c>
      <c r="G148" s="0" t="inlineStr">
        <is>
          <t xml:space="preserve">2005-02-09</t>
        </is>
      </c>
      <c r="H148" s="4">
        <v>0.0</v>
      </c>
      <c r="I148" s="4">
        <v>2.1</v>
      </c>
    </row>
    <row r="149">
      <c r="B149" s="0" t="inlineStr">
        <is>
          <t xml:space="preserve">HII UNMANNED SYSTEMS</t>
        </is>
      </c>
      <c r="C149" s="0" t="inlineStr">
        <is>
          <t xml:space="preserve">N0017422F0174</t>
        </is>
      </c>
      <c r="D149" s="0" t="inlineStr">
        <is>
          <t xml:space="preserve">no</t>
        </is>
      </c>
      <c r="E149" s="0" t="inlineStr">
        <is>
          <t xml:space="preserve">DELIVERY ORDER</t>
        </is>
      </c>
      <c r="F149" s="0" t="inlineStr">
        <is>
          <t xml:space="preserve">2022-06-15</t>
        </is>
      </c>
      <c r="G149" s="0" t="inlineStr">
        <is>
          <t xml:space="preserve">2024-01-25</t>
        </is>
      </c>
      <c r="H149" s="4">
        <v>4.0</v>
      </c>
      <c r="I149" s="4">
        <v>2.1</v>
      </c>
    </row>
    <row r="150">
      <c r="B150" s="0" t="inlineStr">
        <is>
          <t xml:space="preserve">TEXTRON SYSTEMS</t>
        </is>
      </c>
      <c r="C150" s="0" t="inlineStr">
        <is>
          <t xml:space="preserve">W56KGY19F0059</t>
        </is>
      </c>
      <c r="D150" s="0" t="inlineStr">
        <is>
          <t xml:space="preserve">no</t>
        </is>
      </c>
      <c r="E150" s="0" t="inlineStr">
        <is>
          <t xml:space="preserve">DELIVERY ORDER</t>
        </is>
      </c>
      <c r="F150" s="0" t="inlineStr">
        <is>
          <t xml:space="preserve">2020-03-26</t>
        </is>
      </c>
      <c r="G150" s="0" t="inlineStr">
        <is>
          <t xml:space="preserve">2020-08-26</t>
        </is>
      </c>
      <c r="H150" s="4">
        <v>2.1</v>
      </c>
      <c r="I150" s="4">
        <v>2.1</v>
      </c>
    </row>
    <row r="151">
      <c r="B151" s="0" t="inlineStr">
        <is>
          <t xml:space="preserve">L3HARRIS TECHNOLOGIES</t>
        </is>
      </c>
      <c r="C151" s="0" t="inlineStr">
        <is>
          <t xml:space="preserve">HC090198011C0011F0470178C0039</t>
        </is>
      </c>
      <c r="D151" s="0" t="inlineStr">
        <is>
          <t xml:space="preserve">no</t>
        </is>
      </c>
      <c r="E151" s="0" t="inlineStr">
        <is>
          <t xml:space="preserve">DELIVERY ORDER</t>
        </is>
      </c>
      <c r="F151" s="0" t="inlineStr">
        <is>
          <t xml:space="preserve">1980-11-15</t>
        </is>
      </c>
      <c r="G151" s="0" t="inlineStr">
        <is>
          <t xml:space="preserve">1980-11-15</t>
        </is>
      </c>
      <c r="H151" s="4">
        <v>0.0</v>
      </c>
      <c r="I151" s="4">
        <v>2.0</v>
      </c>
    </row>
    <row r="152">
      <c r="B152" s="0" t="inlineStr">
        <is>
          <t xml:space="preserve">L3HARRIS TECHNOLOGIES</t>
        </is>
      </c>
      <c r="C152" s="0" t="inlineStr">
        <is>
          <t xml:space="preserve">D2602198306C1043N0003982C0013</t>
        </is>
      </c>
      <c r="D152" s="0" t="inlineStr">
        <is>
          <t xml:space="preserve">no</t>
        </is>
      </c>
      <c r="E152" s="0" t="inlineStr">
        <is>
          <t xml:space="preserve">DELIVERY ORDER</t>
        </is>
      </c>
      <c r="F152" s="0" t="inlineStr">
        <is>
          <t xml:space="preserve">1983-06-15</t>
        </is>
      </c>
      <c r="G152" s="0" t="inlineStr">
        <is>
          <t xml:space="preserve">1983-06-15</t>
        </is>
      </c>
      <c r="H152" s="4">
        <v>0.0</v>
      </c>
      <c r="I152" s="4">
        <v>2.0</v>
      </c>
    </row>
    <row r="153">
      <c r="B153" s="0" t="inlineStr">
        <is>
          <t xml:space="preserve">AUSTAL USA</t>
        </is>
      </c>
      <c r="C153" s="0" t="inlineStr">
        <is>
          <t xml:space="preserve">N4034524F0516</t>
        </is>
      </c>
      <c r="D153" s="0" t="inlineStr">
        <is>
          <t xml:space="preserve">no</t>
        </is>
      </c>
      <c r="E153" s="0" t="inlineStr">
        <is>
          <t xml:space="preserve">DELIVERY ORDER</t>
        </is>
      </c>
      <c r="F153" s="0" t="inlineStr">
        <is>
          <t xml:space="preserve">2024-08-29</t>
        </is>
      </c>
      <c r="G153" s="0" t="inlineStr">
        <is>
          <t xml:space="preserve">2024-08-29</t>
        </is>
      </c>
      <c r="H153" s="4">
        <v>2.0</v>
      </c>
      <c r="I153" s="4">
        <v>2.0</v>
      </c>
    </row>
    <row r="154">
      <c r="B154" s="0" t="inlineStr">
        <is>
          <t xml:space="preserve">MARITIME APPLIED PHYSICS</t>
        </is>
      </c>
      <c r="C154" s="0" t="inlineStr">
        <is>
          <t xml:space="preserve">N6833523C0231</t>
        </is>
      </c>
      <c r="D154" s="0" t="inlineStr">
        <is>
          <t xml:space="preserve">no</t>
        </is>
      </c>
      <c r="E154" s="0" t="inlineStr">
        <is>
          <t xml:space="preserve">DEFINITIVE CONTRACT</t>
        </is>
      </c>
      <c r="F154" s="0" t="inlineStr">
        <is>
          <t xml:space="preserve">2025-01-03</t>
        </is>
      </c>
      <c r="G154" s="0" t="inlineStr">
        <is>
          <t xml:space="preserve">2025-01-03</t>
        </is>
      </c>
      <c r="H154" s="4">
        <v>1.9</v>
      </c>
      <c r="I154" s="4">
        <v>1.9</v>
      </c>
    </row>
    <row r="155">
      <c r="B155" s="0" t="inlineStr">
        <is>
          <t xml:space="preserve">HII UNMANNED SYSTEMS</t>
        </is>
      </c>
      <c r="C155" s="0" t="inlineStr">
        <is>
          <t xml:space="preserve">N0003918F1243</t>
        </is>
      </c>
      <c r="D155" s="0" t="inlineStr">
        <is>
          <t xml:space="preserve">no</t>
        </is>
      </c>
      <c r="E155" s="0" t="inlineStr">
        <is>
          <t xml:space="preserve">DELIVERY ORDER</t>
        </is>
      </c>
      <c r="F155" s="0" t="inlineStr">
        <is>
          <t xml:space="preserve">2020-01-22</t>
        </is>
      </c>
      <c r="G155" s="0" t="inlineStr">
        <is>
          <t xml:space="preserve">2020-01-22</t>
        </is>
      </c>
      <c r="H155" s="4">
        <v>1.9</v>
      </c>
      <c r="I155" s="4">
        <v>1.9</v>
      </c>
    </row>
    <row r="156">
      <c r="B156" s="0" t="inlineStr">
        <is>
          <t xml:space="preserve">MARITIME APPLIED PHYSICS</t>
        </is>
      </c>
      <c r="C156" s="0" t="inlineStr">
        <is>
          <t xml:space="preserve">W912KZ12P0071</t>
        </is>
      </c>
      <c r="D156" s="0" t="inlineStr">
        <is>
          <t xml:space="preserve">no</t>
        </is>
      </c>
      <c r="E156" s="0" t="inlineStr">
        <is>
          <t xml:space="preserve">PURCHASE ORDER</t>
        </is>
      </c>
      <c r="F156" s="0" t="inlineStr">
        <is>
          <t xml:space="preserve">2013-08-17</t>
        </is>
      </c>
      <c r="G156" s="0" t="inlineStr">
        <is>
          <t xml:space="preserve">2013-08-17</t>
        </is>
      </c>
      <c r="H156" s="4">
        <v>1.8</v>
      </c>
      <c r="I156" s="4">
        <v>1.8</v>
      </c>
    </row>
    <row r="157">
      <c r="B157" s="0" t="inlineStr">
        <is>
          <t xml:space="preserve">LEIDOS</t>
        </is>
      </c>
      <c r="C157" s="0" t="inlineStr">
        <is>
          <t xml:space="preserve">47QFNA26F0023</t>
        </is>
      </c>
      <c r="D157" s="0" t="inlineStr">
        <is>
          <t xml:space="preserve">no</t>
        </is>
      </c>
      <c r="E157" s="0" t="inlineStr">
        <is>
          <t xml:space="preserve">DELIVERY ORDER</t>
        </is>
      </c>
      <c r="F157" s="0" t="inlineStr">
        <is>
          <t xml:space="preserve">2026-02-27</t>
        </is>
      </c>
      <c r="G157" s="0" t="inlineStr">
        <is>
          <t xml:space="preserve">2026-06-02</t>
        </is>
      </c>
      <c r="H157" s="4">
        <v>35.4</v>
      </c>
      <c r="I157" s="4">
        <v>1.8</v>
      </c>
    </row>
    <row r="158">
      <c r="B158" s="0" t="inlineStr">
        <is>
          <t xml:space="preserve">MARITIME APPLIED PHYSICS</t>
        </is>
      </c>
      <c r="C158" s="0" t="inlineStr">
        <is>
          <t xml:space="preserve">H92405239P010</t>
        </is>
      </c>
      <c r="D158" s="0" t="inlineStr">
        <is>
          <t xml:space="preserve">yes</t>
        </is>
      </c>
      <c r="E158" s="0" t="inlineStr">
        <is>
          <t xml:space="preserve">OTHER TRANSACTION IDV</t>
        </is>
      </c>
      <c r="F158" s="0" t="inlineStr">
        <is>
          <t xml:space="preserve">2024-03-07</t>
        </is>
      </c>
      <c r="G158" s="0" t="inlineStr">
        <is>
          <t xml:space="preserve">2024-03-07</t>
        </is>
      </c>
      <c r="H158" s="4">
        <v>1.7</v>
      </c>
      <c r="I158" s="4">
        <v>1.7</v>
      </c>
    </row>
    <row r="159">
      <c r="B159" s="0" t="inlineStr">
        <is>
          <t xml:space="preserve">HII UNMANNED SYSTEMS</t>
        </is>
      </c>
      <c r="C159" s="0" t="inlineStr">
        <is>
          <t xml:space="preserve">N0017421F0168</t>
        </is>
      </c>
      <c r="D159" s="0" t="inlineStr">
        <is>
          <t xml:space="preserve">no</t>
        </is>
      </c>
      <c r="E159" s="0" t="inlineStr">
        <is>
          <t xml:space="preserve">DELIVERY ORDER</t>
        </is>
      </c>
      <c r="F159" s="0" t="inlineStr">
        <is>
          <t xml:space="preserve">2024-01-22</t>
        </is>
      </c>
      <c r="G159" s="0" t="inlineStr">
        <is>
          <t xml:space="preserve">2024-01-22</t>
        </is>
      </c>
      <c r="H159" s="4">
        <v>1.7</v>
      </c>
      <c r="I159" s="4">
        <v>1.7</v>
      </c>
    </row>
    <row r="160">
      <c r="B160" s="0" t="inlineStr">
        <is>
          <t xml:space="preserve">HII UNMANNED SYSTEMS</t>
        </is>
      </c>
      <c r="C160" s="0" t="inlineStr">
        <is>
          <t xml:space="preserve">N6600117F0516</t>
        </is>
      </c>
      <c r="D160" s="0" t="inlineStr">
        <is>
          <t xml:space="preserve">no</t>
        </is>
      </c>
      <c r="E160" s="0" t="inlineStr">
        <is>
          <t xml:space="preserve">DELIVERY ORDER</t>
        </is>
      </c>
      <c r="F160" s="0" t="inlineStr">
        <is>
          <t xml:space="preserve">2017-09-29</t>
        </is>
      </c>
      <c r="G160" s="0" t="inlineStr">
        <is>
          <t xml:space="preserve">2017-09-29</t>
        </is>
      </c>
      <c r="H160" s="4">
        <v>1.7</v>
      </c>
      <c r="I160" s="4">
        <v>1.7</v>
      </c>
    </row>
    <row r="161">
      <c r="B161" s="0" t="inlineStr">
        <is>
          <t xml:space="preserve">HII UNMANNED SYSTEMS</t>
        </is>
      </c>
      <c r="C161" s="0" t="inlineStr">
        <is>
          <t xml:space="preserve">0004</t>
        </is>
      </c>
      <c r="D161" s="0" t="inlineStr">
        <is>
          <t xml:space="preserve">no</t>
        </is>
      </c>
      <c r="E161" s="0" t="inlineStr">
        <is>
          <t xml:space="preserve">DELIVERY ORDER</t>
        </is>
      </c>
      <c r="F161" s="0" t="inlineStr">
        <is>
          <t xml:space="preserve">2014-07-21</t>
        </is>
      </c>
      <c r="G161" s="0" t="inlineStr">
        <is>
          <t xml:space="preserve">2015-04-08</t>
        </is>
      </c>
      <c r="H161" s="4">
        <v>1.8</v>
      </c>
      <c r="I161" s="4">
        <v>1.7</v>
      </c>
    </row>
    <row r="162">
      <c r="B162" s="0" t="inlineStr">
        <is>
          <t xml:space="preserve">L3HARRIS TECHNOLOGIES</t>
        </is>
      </c>
      <c r="C162" s="0" t="inlineStr">
        <is>
          <t xml:space="preserve">0ZD04198203C1656MDA90481C0408</t>
        </is>
      </c>
      <c r="D162" s="0" t="inlineStr">
        <is>
          <t xml:space="preserve">no</t>
        </is>
      </c>
      <c r="E162" s="0" t="inlineStr">
        <is>
          <t xml:space="preserve">DELIVERY ORDER</t>
        </is>
      </c>
      <c r="F162" s="0" t="inlineStr">
        <is>
          <t xml:space="preserve">1982-03-15</t>
        </is>
      </c>
      <c r="G162" s="0" t="inlineStr">
        <is>
          <t xml:space="preserve">1982-03-15</t>
        </is>
      </c>
      <c r="H162" s="4">
        <v>0.0</v>
      </c>
      <c r="I162" s="4">
        <v>1.7</v>
      </c>
    </row>
    <row r="163">
      <c r="B163" s="0" t="inlineStr">
        <is>
          <t xml:space="preserve">AUSTAL USA</t>
        </is>
      </c>
      <c r="C163" s="0" t="inlineStr">
        <is>
          <t xml:space="preserve">N5523625F8484</t>
        </is>
      </c>
      <c r="D163" s="0" t="inlineStr">
        <is>
          <t xml:space="preserve">no</t>
        </is>
      </c>
      <c r="E163" s="0" t="inlineStr">
        <is>
          <t xml:space="preserve">DELIVERY ORDER</t>
        </is>
      </c>
      <c r="F163" s="0" t="inlineStr">
        <is>
          <t xml:space="preserve">2025-04-04</t>
        </is>
      </c>
      <c r="G163" s="0" t="inlineStr">
        <is>
          <t xml:space="preserve">2025-04-04</t>
        </is>
      </c>
      <c r="H163" s="4">
        <v>1.7</v>
      </c>
      <c r="I163" s="4">
        <v>1.7</v>
      </c>
    </row>
    <row r="164">
      <c r="B164" s="0" t="inlineStr">
        <is>
          <t xml:space="preserve">HII UNMANNED SYSTEMS</t>
        </is>
      </c>
      <c r="C164" s="0" t="inlineStr">
        <is>
          <t xml:space="preserve">N6133108C0023</t>
        </is>
      </c>
      <c r="D164" s="0" t="inlineStr">
        <is>
          <t xml:space="preserve">no</t>
        </is>
      </c>
      <c r="E164" s="0" t="inlineStr">
        <is>
          <t xml:space="preserve">DEFINITIVE CONTRACT</t>
        </is>
      </c>
      <c r="F164" s="0" t="inlineStr">
        <is>
          <t xml:space="preserve">2008-05-15</t>
        </is>
      </c>
      <c r="G164" s="0" t="inlineStr">
        <is>
          <t xml:space="preserve">2008-05-15</t>
        </is>
      </c>
      <c r="H164" s="4">
        <v>1.6</v>
      </c>
      <c r="I164" s="4">
        <v>1.6</v>
      </c>
    </row>
    <row r="165">
      <c r="B165" s="0" t="inlineStr">
        <is>
          <t xml:space="preserve">TEXTRON SYSTEMS</t>
        </is>
      </c>
      <c r="C165" s="0" t="inlineStr">
        <is>
          <t xml:space="preserve">0006</t>
        </is>
      </c>
      <c r="D165" s="0" t="inlineStr">
        <is>
          <t xml:space="preserve">no</t>
        </is>
      </c>
      <c r="E165" s="0" t="inlineStr">
        <is>
          <t xml:space="preserve">DELIVERY ORDER</t>
        </is>
      </c>
      <c r="F165" s="0" t="inlineStr">
        <is>
          <t xml:space="preserve">2013-08-02</t>
        </is>
      </c>
      <c r="G165" s="0" t="inlineStr">
        <is>
          <t xml:space="preserve">2017-09-10</t>
        </is>
      </c>
      <c r="H165" s="4">
        <v>1.6</v>
      </c>
      <c r="I165" s="4">
        <v>1.6</v>
      </c>
    </row>
    <row r="166">
      <c r="B166" s="0" t="inlineStr">
        <is>
          <t xml:space="preserve">L3HARRIS TECHNOLOGIES</t>
        </is>
      </c>
      <c r="C166" s="0" t="inlineStr">
        <is>
          <t xml:space="preserve">E614A198406C1614N0001483C0309</t>
        </is>
      </c>
      <c r="D166" s="0" t="inlineStr">
        <is>
          <t xml:space="preserve">no</t>
        </is>
      </c>
      <c r="E166" s="0" t="inlineStr">
        <is>
          <t xml:space="preserve">DELIVERY ORDER</t>
        </is>
      </c>
      <c r="F166" s="0" t="inlineStr">
        <is>
          <t xml:space="preserve">1984-06-15</t>
        </is>
      </c>
      <c r="G166" s="0" t="inlineStr">
        <is>
          <t xml:space="preserve">1984-06-15</t>
        </is>
      </c>
      <c r="H166" s="4">
        <v>0.0</v>
      </c>
      <c r="I166" s="4">
        <v>1.5</v>
      </c>
    </row>
    <row r="167">
      <c r="B167" s="0" t="inlineStr">
        <is>
          <t xml:space="preserve">TEXTRON SYSTEMS</t>
        </is>
      </c>
      <c r="C167" s="0" t="inlineStr">
        <is>
          <t xml:space="preserve">W56KGY24F0103</t>
        </is>
      </c>
      <c r="D167" s="0" t="inlineStr">
        <is>
          <t xml:space="preserve">no</t>
        </is>
      </c>
      <c r="E167" s="0" t="inlineStr">
        <is>
          <t xml:space="preserve">DELIVERY ORDER</t>
        </is>
      </c>
      <c r="F167" s="0" t="inlineStr">
        <is>
          <t xml:space="preserve">2025-08-20</t>
        </is>
      </c>
      <c r="G167" s="0" t="inlineStr">
        <is>
          <t xml:space="preserve">2025-08-20</t>
        </is>
      </c>
      <c r="H167" s="4">
        <v>4.4</v>
      </c>
      <c r="I167" s="4">
        <v>1.5</v>
      </c>
    </row>
    <row r="168">
      <c r="B168" s="0" t="inlineStr">
        <is>
          <t xml:space="preserve">MARITIME APPLIED PHYSICS</t>
        </is>
      </c>
      <c r="C168" s="0" t="inlineStr">
        <is>
          <t xml:space="preserve">N0002426C3061</t>
        </is>
      </c>
      <c r="D168" s="0" t="inlineStr">
        <is>
          <t xml:space="preserve">no</t>
        </is>
      </c>
      <c r="E168" s="0" t="inlineStr">
        <is>
          <t xml:space="preserve">DEFINITIVE CONTRACT</t>
        </is>
      </c>
      <c r="F168" s="0" t="inlineStr">
        <is>
          <t xml:space="preserve">2026-03-25</t>
        </is>
      </c>
      <c r="G168" s="0" t="inlineStr">
        <is>
          <t xml:space="preserve">2026-03-25</t>
        </is>
      </c>
      <c r="H168" s="4">
        <v>2.0</v>
      </c>
      <c r="I168" s="4">
        <v>1.4</v>
      </c>
    </row>
    <row r="169">
      <c r="B169" s="0" t="inlineStr">
        <is>
          <t xml:space="preserve">MARITIME APPLIED PHYSICS</t>
        </is>
      </c>
      <c r="C169" s="0" t="inlineStr">
        <is>
          <t xml:space="preserve">N0002425CS059</t>
        </is>
      </c>
      <c r="D169" s="0" t="inlineStr">
        <is>
          <t xml:space="preserve">no</t>
        </is>
      </c>
      <c r="E169" s="0" t="inlineStr">
        <is>
          <t xml:space="preserve">DEFINITIVE CONTRACT</t>
        </is>
      </c>
      <c r="F169" s="0" t="inlineStr">
        <is>
          <t xml:space="preserve">2026-02-20</t>
        </is>
      </c>
      <c r="G169" s="0" t="inlineStr">
        <is>
          <t xml:space="preserve">2026-02-20</t>
        </is>
      </c>
      <c r="H169" s="4">
        <v>2.0</v>
      </c>
      <c r="I169" s="4">
        <v>1.4</v>
      </c>
    </row>
    <row r="170">
      <c r="B170" s="0" t="inlineStr">
        <is>
          <t xml:space="preserve">HII UNMANNED SYSTEMS</t>
        </is>
      </c>
      <c r="C170" s="0" t="inlineStr">
        <is>
          <t xml:space="preserve">N0017421F0173</t>
        </is>
      </c>
      <c r="D170" s="0" t="inlineStr">
        <is>
          <t xml:space="preserve">no</t>
        </is>
      </c>
      <c r="E170" s="0" t="inlineStr">
        <is>
          <t xml:space="preserve">DELIVERY ORDER</t>
        </is>
      </c>
      <c r="F170" s="0" t="inlineStr">
        <is>
          <t xml:space="preserve">2021-09-21</t>
        </is>
      </c>
      <c r="G170" s="0" t="inlineStr">
        <is>
          <t xml:space="preserve">2024-01-25</t>
        </is>
      </c>
      <c r="H170" s="4">
        <v>2.1</v>
      </c>
      <c r="I170" s="4">
        <v>1.4</v>
      </c>
    </row>
    <row r="171">
      <c r="B171" s="0" t="inlineStr">
        <is>
          <t xml:space="preserve">HII UNMANNED SYSTEMS</t>
        </is>
      </c>
      <c r="C171" s="0" t="inlineStr">
        <is>
          <t xml:space="preserve">N0003919F0511</t>
        </is>
      </c>
      <c r="D171" s="0" t="inlineStr">
        <is>
          <t xml:space="preserve">no</t>
        </is>
      </c>
      <c r="E171" s="0" t="inlineStr">
        <is>
          <t xml:space="preserve">DELIVERY ORDER</t>
        </is>
      </c>
      <c r="F171" s="0" t="inlineStr">
        <is>
          <t xml:space="preserve">2020-07-22</t>
        </is>
      </c>
      <c r="G171" s="0" t="inlineStr">
        <is>
          <t xml:space="preserve">2020-07-22</t>
        </is>
      </c>
      <c r="H171" s="4">
        <v>1.9</v>
      </c>
      <c r="I171" s="4">
        <v>1.4</v>
      </c>
    </row>
    <row r="172">
      <c r="B172" s="0" t="inlineStr">
        <is>
          <t xml:space="preserve">L3HARRIS TECHNOLOGIES</t>
        </is>
      </c>
      <c r="C172" s="0" t="inlineStr">
        <is>
          <t xml:space="preserve">00050200005BIA0300Q9234964</t>
        </is>
      </c>
      <c r="D172" s="0" t="inlineStr">
        <is>
          <t xml:space="preserve">no</t>
        </is>
      </c>
      <c r="E172" s="0" t="inlineStr">
        <is>
          <t xml:space="preserve">PURCHASE ORDER</t>
        </is>
      </c>
      <c r="F172" s="0" t="inlineStr">
        <is>
          <t xml:space="preserve">2000-05-15</t>
        </is>
      </c>
      <c r="G172" s="0" t="inlineStr">
        <is>
          <t xml:space="preserve">2000-05-15</t>
        </is>
      </c>
      <c r="H172" s="4">
        <v>0.0</v>
      </c>
      <c r="I172" s="4">
        <v>1.4</v>
      </c>
    </row>
    <row r="173">
      <c r="B173" s="0" t="inlineStr">
        <is>
          <t xml:space="preserve">AUSTAL USA</t>
        </is>
      </c>
      <c r="C173" s="0" t="inlineStr">
        <is>
          <t xml:space="preserve">N5523624F8458</t>
        </is>
      </c>
      <c r="D173" s="0" t="inlineStr">
        <is>
          <t xml:space="preserve">no</t>
        </is>
      </c>
      <c r="E173" s="0" t="inlineStr">
        <is>
          <t xml:space="preserve">DELIVERY ORDER</t>
        </is>
      </c>
      <c r="F173" s="0" t="inlineStr">
        <is>
          <t xml:space="preserve">2024-04-19</t>
        </is>
      </c>
      <c r="G173" s="0" t="inlineStr">
        <is>
          <t xml:space="preserve">2024-07-12</t>
        </is>
      </c>
      <c r="H173" s="4">
        <v>1.4</v>
      </c>
      <c r="I173" s="4">
        <v>1.4</v>
      </c>
    </row>
    <row r="174">
      <c r="B174" s="0" t="inlineStr">
        <is>
          <t xml:space="preserve">SPATIAL INTEGRATED SYSTEMS</t>
        </is>
      </c>
      <c r="C174" s="0" t="inlineStr">
        <is>
          <t xml:space="preserve">N6833520F0551</t>
        </is>
      </c>
      <c r="D174" s="0" t="inlineStr">
        <is>
          <t xml:space="preserve">no</t>
        </is>
      </c>
      <c r="E174" s="0" t="inlineStr">
        <is>
          <t xml:space="preserve">DELIVERY ORDER</t>
        </is>
      </c>
      <c r="F174" s="0" t="inlineStr">
        <is>
          <t xml:space="preserve">2022-01-20</t>
        </is>
      </c>
      <c r="G174" s="0" t="inlineStr">
        <is>
          <t xml:space="preserve">2024-01-25</t>
        </is>
      </c>
      <c r="H174" s="4">
        <v>1.3</v>
      </c>
      <c r="I174" s="4">
        <v>1.3</v>
      </c>
    </row>
    <row r="175">
      <c r="B175" s="0" t="inlineStr">
        <is>
          <t xml:space="preserve">HII UNMANNED SYSTEMS</t>
        </is>
      </c>
      <c r="C175" s="0" t="inlineStr">
        <is>
          <t xml:space="preserve">N0017420F0223</t>
        </is>
      </c>
      <c r="D175" s="0" t="inlineStr">
        <is>
          <t xml:space="preserve">no</t>
        </is>
      </c>
      <c r="E175" s="0" t="inlineStr">
        <is>
          <t xml:space="preserve">DELIVERY ORDER</t>
        </is>
      </c>
      <c r="F175" s="0" t="inlineStr">
        <is>
          <t xml:space="preserve">2020-08-20</t>
        </is>
      </c>
      <c r="G175" s="0" t="inlineStr">
        <is>
          <t xml:space="preserve">2020-08-20</t>
        </is>
      </c>
      <c r="H175" s="4">
        <v>2.0</v>
      </c>
      <c r="I175" s="4">
        <v>1.3</v>
      </c>
    </row>
    <row r="176">
      <c r="B176" s="0" t="inlineStr">
        <is>
          <t xml:space="preserve">L3HARRIS TECHNOLOGIES</t>
        </is>
      </c>
      <c r="C176" s="0" t="inlineStr">
        <is>
          <t xml:space="preserve">JA10A199112C0064N0038388GK085</t>
        </is>
      </c>
      <c r="D176" s="0" t="inlineStr">
        <is>
          <t xml:space="preserve">no</t>
        </is>
      </c>
      <c r="E176" s="0" t="inlineStr">
        <is>
          <t xml:space="preserve">DELIVERY ORDER</t>
        </is>
      </c>
      <c r="F176" s="0" t="inlineStr">
        <is>
          <t xml:space="preserve">1991-12-15</t>
        </is>
      </c>
      <c r="G176" s="0" t="inlineStr">
        <is>
          <t xml:space="preserve">1991-12-15</t>
        </is>
      </c>
      <c r="H176" s="4">
        <v>0.0</v>
      </c>
      <c r="I176" s="4">
        <v>1.3</v>
      </c>
    </row>
    <row r="177">
      <c r="B177" s="0" t="inlineStr">
        <is>
          <t xml:space="preserve">L3HARRIS TECHNOLOGIES</t>
        </is>
      </c>
      <c r="C177" s="0" t="inlineStr">
        <is>
          <t xml:space="preserve">HC090198402C0027F0470182C0041</t>
        </is>
      </c>
      <c r="D177" s="0" t="inlineStr">
        <is>
          <t xml:space="preserve">no</t>
        </is>
      </c>
      <c r="E177" s="0" t="inlineStr">
        <is>
          <t xml:space="preserve">DELIVERY ORDER</t>
        </is>
      </c>
      <c r="F177" s="0" t="inlineStr">
        <is>
          <t xml:space="preserve">1984-02-15</t>
        </is>
      </c>
      <c r="G177" s="0" t="inlineStr">
        <is>
          <t xml:space="preserve">1984-02-15</t>
        </is>
      </c>
      <c r="H177" s="4">
        <v>0.0</v>
      </c>
      <c r="I177" s="4">
        <v>1.3</v>
      </c>
    </row>
    <row r="178">
      <c r="B178" s="0" t="inlineStr">
        <is>
          <t xml:space="preserve">TEXTRON SYSTEMS</t>
        </is>
      </c>
      <c r="C178" s="0" t="inlineStr">
        <is>
          <t xml:space="preserve">W56KGY18F0010</t>
        </is>
      </c>
      <c r="D178" s="0" t="inlineStr">
        <is>
          <t xml:space="preserve">no</t>
        </is>
      </c>
      <c r="E178" s="0" t="inlineStr">
        <is>
          <t xml:space="preserve">DELIVERY ORDER</t>
        </is>
      </c>
      <c r="F178" s="0" t="inlineStr">
        <is>
          <t xml:space="preserve">2019-02-21</t>
        </is>
      </c>
      <c r="G178" s="0" t="inlineStr">
        <is>
          <t xml:space="preserve">2021-04-08</t>
        </is>
      </c>
      <c r="H178" s="4">
        <v>1.5</v>
      </c>
      <c r="I178" s="4">
        <v>1.3</v>
      </c>
    </row>
    <row r="179">
      <c r="B179" s="0" t="inlineStr">
        <is>
          <t xml:space="preserve">TEXTRON SYSTEMS</t>
        </is>
      </c>
      <c r="C179" s="0" t="inlineStr">
        <is>
          <t xml:space="preserve">N6833523C0263</t>
        </is>
      </c>
      <c r="D179" s="0" t="inlineStr">
        <is>
          <t xml:space="preserve">no</t>
        </is>
      </c>
      <c r="E179" s="0" t="inlineStr">
        <is>
          <t xml:space="preserve">DEFINITIVE CONTRACT</t>
        </is>
      </c>
      <c r="F179" s="0" t="inlineStr">
        <is>
          <t xml:space="preserve">2024-04-10</t>
        </is>
      </c>
      <c r="G179" s="0" t="inlineStr">
        <is>
          <t xml:space="preserve">2024-04-10</t>
        </is>
      </c>
      <c r="H179" s="4">
        <v>1.3</v>
      </c>
      <c r="I179" s="4">
        <v>1.3</v>
      </c>
    </row>
    <row r="180">
      <c r="B180" s="0" t="inlineStr">
        <is>
          <t xml:space="preserve">TEXTRON SYSTEMS</t>
        </is>
      </c>
      <c r="C180" s="0" t="inlineStr">
        <is>
          <t xml:space="preserve">HDTRA107C0039</t>
        </is>
      </c>
      <c r="D180" s="0" t="inlineStr">
        <is>
          <t xml:space="preserve">no</t>
        </is>
      </c>
      <c r="E180" s="0" t="inlineStr">
        <is>
          <t xml:space="preserve">DEFINITIVE CONTRACT</t>
        </is>
      </c>
      <c r="F180" s="0" t="inlineStr">
        <is>
          <t xml:space="preserve">2008-03-04</t>
        </is>
      </c>
      <c r="G180" s="0" t="inlineStr">
        <is>
          <t xml:space="preserve">2010-06-17</t>
        </is>
      </c>
      <c r="H180" s="4">
        <v>1.3</v>
      </c>
      <c r="I180" s="4">
        <v>1.3</v>
      </c>
    </row>
    <row r="181">
      <c r="B181" s="0" t="inlineStr">
        <is>
          <t xml:space="preserve">HII UNMANNED SYSTEMS</t>
        </is>
      </c>
      <c r="C181" s="0" t="inlineStr">
        <is>
          <t xml:space="preserve">N0017418F0251</t>
        </is>
      </c>
      <c r="D181" s="0" t="inlineStr">
        <is>
          <t xml:space="preserve">no</t>
        </is>
      </c>
      <c r="E181" s="0" t="inlineStr">
        <is>
          <t xml:space="preserve">DELIVERY ORDER</t>
        </is>
      </c>
      <c r="F181" s="0" t="inlineStr">
        <is>
          <t xml:space="preserve">2020-09-08</t>
        </is>
      </c>
      <c r="G181" s="0" t="inlineStr">
        <is>
          <t xml:space="preserve">2020-09-08</t>
        </is>
      </c>
      <c r="H181" s="4">
        <v>1.3</v>
      </c>
      <c r="I181" s="4">
        <v>1.2</v>
      </c>
    </row>
    <row r="182">
      <c r="B182" s="0" t="inlineStr">
        <is>
          <t xml:space="preserve">L3HARRIS TECHNOLOGIES</t>
        </is>
      </c>
      <c r="C182" s="0" t="inlineStr">
        <is>
          <t xml:space="preserve">LERC0199201BNAS325860</t>
        </is>
      </c>
      <c r="D182" s="0" t="inlineStr">
        <is>
          <t xml:space="preserve">no</t>
        </is>
      </c>
      <c r="E182" s="0" t="inlineStr">
        <is>
          <t xml:space="preserve">PURCHASE ORDER</t>
        </is>
      </c>
      <c r="F182" s="0" t="inlineStr">
        <is>
          <t xml:space="preserve">1992-01-15</t>
        </is>
      </c>
      <c r="G182" s="0" t="inlineStr">
        <is>
          <t xml:space="preserve">1992-01-15</t>
        </is>
      </c>
      <c r="H182" s="4">
        <v>0.0</v>
      </c>
      <c r="I182" s="4">
        <v>1.2</v>
      </c>
    </row>
    <row r="183">
      <c r="B183" s="0" t="inlineStr">
        <is>
          <t xml:space="preserve">TEXTRON SYSTEMS</t>
        </is>
      </c>
      <c r="C183" s="0" t="inlineStr">
        <is>
          <t xml:space="preserve">FA489725P0052</t>
        </is>
      </c>
      <c r="D183" s="0" t="inlineStr">
        <is>
          <t xml:space="preserve">no</t>
        </is>
      </c>
      <c r="E183" s="0" t="inlineStr">
        <is>
          <t xml:space="preserve">PURCHASE ORDER</t>
        </is>
      </c>
      <c r="F183" s="0" t="inlineStr">
        <is>
          <t xml:space="preserve">2025-07-14</t>
        </is>
      </c>
      <c r="G183" s="0" t="inlineStr">
        <is>
          <t xml:space="preserve">2025-07-14</t>
        </is>
      </c>
      <c r="H183" s="4">
        <v>1.2</v>
      </c>
      <c r="I183" s="4">
        <v>1.2</v>
      </c>
    </row>
    <row r="184">
      <c r="B184" s="0" t="inlineStr">
        <is>
          <t xml:space="preserve">AUSTAL USA</t>
        </is>
      </c>
      <c r="C184" s="0" t="inlineStr">
        <is>
          <t xml:space="preserve">N5523624F8461</t>
        </is>
      </c>
      <c r="D184" s="0" t="inlineStr">
        <is>
          <t xml:space="preserve">no</t>
        </is>
      </c>
      <c r="E184" s="0" t="inlineStr">
        <is>
          <t xml:space="preserve">DELIVERY ORDER</t>
        </is>
      </c>
      <c r="F184" s="0" t="inlineStr">
        <is>
          <t xml:space="preserve">2024-09-04</t>
        </is>
      </c>
      <c r="G184" s="0" t="inlineStr">
        <is>
          <t xml:space="preserve">2024-09-04</t>
        </is>
      </c>
      <c r="H184" s="4">
        <v>1.2</v>
      </c>
      <c r="I184" s="4">
        <v>1.2</v>
      </c>
    </row>
    <row r="185">
      <c r="B185" s="0" t="inlineStr">
        <is>
          <t xml:space="preserve">HII UNMANNED SYSTEMS</t>
        </is>
      </c>
      <c r="C185" s="0" t="inlineStr">
        <is>
          <t xml:space="preserve">N0017420F0393</t>
        </is>
      </c>
      <c r="D185" s="0" t="inlineStr">
        <is>
          <t xml:space="preserve">no</t>
        </is>
      </c>
      <c r="E185" s="0" t="inlineStr">
        <is>
          <t xml:space="preserve">DELIVERY ORDER</t>
        </is>
      </c>
      <c r="F185" s="0" t="inlineStr">
        <is>
          <t xml:space="preserve">2020-10-22</t>
        </is>
      </c>
      <c r="G185" s="0" t="inlineStr">
        <is>
          <t xml:space="preserve">2024-01-25</t>
        </is>
      </c>
      <c r="H185" s="4">
        <v>1.2</v>
      </c>
      <c r="I185" s="4">
        <v>1.1</v>
      </c>
    </row>
    <row r="186">
      <c r="B186" s="0" t="inlineStr">
        <is>
          <t xml:space="preserve">HII UNMANNED SYSTEMS</t>
        </is>
      </c>
      <c r="C186" s="0" t="inlineStr">
        <is>
          <t xml:space="preserve">N0003919F0108</t>
        </is>
      </c>
      <c r="D186" s="0" t="inlineStr">
        <is>
          <t xml:space="preserve">no</t>
        </is>
      </c>
      <c r="E186" s="0" t="inlineStr">
        <is>
          <t xml:space="preserve">DELIVERY ORDER</t>
        </is>
      </c>
      <c r="F186" s="0" t="inlineStr">
        <is>
          <t xml:space="preserve">2021-02-12</t>
        </is>
      </c>
      <c r="G186" s="0" t="inlineStr">
        <is>
          <t xml:space="preserve">2021-02-12</t>
        </is>
      </c>
      <c r="H186" s="4">
        <v>1.1</v>
      </c>
      <c r="I186" s="4">
        <v>1.1</v>
      </c>
    </row>
    <row r="187">
      <c r="B187" s="0" t="inlineStr">
        <is>
          <t xml:space="preserve">TEXTRON SYSTEMS</t>
        </is>
      </c>
      <c r="C187" s="0" t="inlineStr">
        <is>
          <t xml:space="preserve">FA481906C0004</t>
        </is>
      </c>
      <c r="D187" s="0" t="inlineStr">
        <is>
          <t xml:space="preserve">no</t>
        </is>
      </c>
      <c r="E187" s="0" t="inlineStr">
        <is>
          <t xml:space="preserve">DEFINITIVE CONTRACT</t>
        </is>
      </c>
      <c r="F187" s="0" t="inlineStr">
        <is>
          <t xml:space="preserve">2009-03-27</t>
        </is>
      </c>
      <c r="G187" s="0" t="inlineStr">
        <is>
          <t xml:space="preserve">2009-03-27</t>
        </is>
      </c>
      <c r="H187" s="4">
        <v>0.0</v>
      </c>
      <c r="I187" s="4">
        <v>1.1</v>
      </c>
    </row>
    <row r="188">
      <c r="B188" s="0" t="inlineStr">
        <is>
          <t xml:space="preserve">SPATIAL INTEGRATED SYSTEMS</t>
        </is>
      </c>
      <c r="C188" s="0" t="inlineStr">
        <is>
          <t xml:space="preserve">N6833520C0245</t>
        </is>
      </c>
      <c r="D188" s="0" t="inlineStr">
        <is>
          <t xml:space="preserve">no</t>
        </is>
      </c>
      <c r="E188" s="0" t="inlineStr">
        <is>
          <t xml:space="preserve">DEFINITIVE CONTRACT</t>
        </is>
      </c>
      <c r="F188" s="0" t="inlineStr">
        <is>
          <t xml:space="preserve">2023-01-11</t>
        </is>
      </c>
      <c r="G188" s="0" t="inlineStr">
        <is>
          <t xml:space="preserve">2023-01-11</t>
        </is>
      </c>
      <c r="H188" s="4">
        <v>1.3</v>
      </c>
      <c r="I188" s="4">
        <v>1.0</v>
      </c>
    </row>
    <row r="189">
      <c r="B189" s="0" t="inlineStr">
        <is>
          <t xml:space="preserve">SPATIAL INTEGRATED SYSTEMS</t>
        </is>
      </c>
      <c r="C189" s="0" t="inlineStr">
        <is>
          <t xml:space="preserve">HC102823F0130</t>
        </is>
      </c>
      <c r="D189" s="0" t="inlineStr">
        <is>
          <t xml:space="preserve">no</t>
        </is>
      </c>
      <c r="E189" s="0" t="inlineStr">
        <is>
          <t xml:space="preserve">DELIVERY ORDER</t>
        </is>
      </c>
      <c r="F189" s="0" t="inlineStr">
        <is>
          <t xml:space="preserve">2023-01-12</t>
        </is>
      </c>
      <c r="G189" s="0" t="inlineStr">
        <is>
          <t xml:space="preserve">2023-01-12</t>
        </is>
      </c>
      <c r="H189" s="4">
        <v>1.0</v>
      </c>
      <c r="I189" s="4">
        <v>1.0</v>
      </c>
    </row>
    <row r="190">
      <c r="B190" s="0" t="inlineStr">
        <is>
          <t xml:space="preserve">HII UNMANNED SYSTEMS</t>
        </is>
      </c>
      <c r="C190" s="0" t="inlineStr">
        <is>
          <t xml:space="preserve">H9222210C0051</t>
        </is>
      </c>
      <c r="D190" s="0" t="inlineStr">
        <is>
          <t xml:space="preserve">no</t>
        </is>
      </c>
      <c r="E190" s="0" t="inlineStr">
        <is>
          <t xml:space="preserve">DEFINITIVE CONTRACT</t>
        </is>
      </c>
      <c r="F190" s="0" t="inlineStr">
        <is>
          <t xml:space="preserve">2010-09-30</t>
        </is>
      </c>
      <c r="G190" s="0" t="inlineStr">
        <is>
          <t xml:space="preserve">2011-05-20</t>
        </is>
      </c>
      <c r="H190" s="4">
        <v>1.0</v>
      </c>
      <c r="I190" s="4">
        <v>1.0</v>
      </c>
    </row>
    <row r="191">
      <c r="B191" s="0" t="inlineStr">
        <is>
          <t xml:space="preserve">L3HARRIS TECHNOLOGIES</t>
        </is>
      </c>
      <c r="C191" s="0" t="inlineStr">
        <is>
          <t xml:space="preserve">AB070198201C8301DAAK8081C0103</t>
        </is>
      </c>
      <c r="D191" s="0" t="inlineStr">
        <is>
          <t xml:space="preserve">no</t>
        </is>
      </c>
      <c r="E191" s="0" t="inlineStr">
        <is>
          <t xml:space="preserve">DELIVERY ORDER</t>
        </is>
      </c>
      <c r="F191" s="0" t="inlineStr">
        <is>
          <t xml:space="preserve">1982-01-15</t>
        </is>
      </c>
      <c r="G191" s="0" t="inlineStr">
        <is>
          <t xml:space="preserve">1982-01-15</t>
        </is>
      </c>
      <c r="H191" s="4">
        <v>0.0</v>
      </c>
      <c r="I191" s="4">
        <v>1.0</v>
      </c>
    </row>
    <row r="192">
      <c r="B192" s="0" t="inlineStr">
        <is>
          <t xml:space="preserve">AUSTAL USA</t>
        </is>
      </c>
      <c r="C192" s="0" t="inlineStr">
        <is>
          <t xml:space="preserve">N5523625F8495</t>
        </is>
      </c>
      <c r="D192" s="0" t="inlineStr">
        <is>
          <t xml:space="preserve">no</t>
        </is>
      </c>
      <c r="E192" s="0" t="inlineStr">
        <is>
          <t xml:space="preserve">DELIVERY ORDER</t>
        </is>
      </c>
      <c r="F192" s="0" t="inlineStr">
        <is>
          <t xml:space="preserve">2025-08-05</t>
        </is>
      </c>
      <c r="G192" s="0" t="inlineStr">
        <is>
          <t xml:space="preserve">2025-08-05</t>
        </is>
      </c>
      <c r="H192" s="4">
        <v>1.0</v>
      </c>
      <c r="I192" s="4">
        <v>1.0</v>
      </c>
    </row>
    <row r="193">
      <c r="B193" s="0" t="inlineStr">
        <is>
          <t xml:space="preserve">SPATIAL INTEGRATED SYSTEMS</t>
        </is>
      </c>
      <c r="C193" s="0" t="inlineStr">
        <is>
          <t xml:space="preserve">HC102821F0349</t>
        </is>
      </c>
      <c r="D193" s="0" t="inlineStr">
        <is>
          <t xml:space="preserve">no</t>
        </is>
      </c>
      <c r="E193" s="0" t="inlineStr">
        <is>
          <t xml:space="preserve">DELIVERY ORDER</t>
        </is>
      </c>
      <c r="F193" s="0" t="inlineStr">
        <is>
          <t xml:space="preserve">2021-09-20</t>
        </is>
      </c>
      <c r="G193" s="0" t="inlineStr">
        <is>
          <t xml:space="preserve">2021-11-24</t>
        </is>
      </c>
      <c r="H193" s="4">
        <v>0.9</v>
      </c>
      <c r="I193" s="4">
        <v>0.9</v>
      </c>
    </row>
    <row r="194">
      <c r="B194" s="0" t="inlineStr">
        <is>
          <t xml:space="preserve">MARITIME APPLIED PHYSICS</t>
        </is>
      </c>
      <c r="C194" s="0" t="inlineStr">
        <is>
          <t xml:space="preserve">N6600120C4009</t>
        </is>
      </c>
      <c r="D194" s="0" t="inlineStr">
        <is>
          <t xml:space="preserve">no</t>
        </is>
      </c>
      <c r="E194" s="0" t="inlineStr">
        <is>
          <t xml:space="preserve">DEFINITIVE CONTRACT</t>
        </is>
      </c>
      <c r="F194" s="0" t="inlineStr">
        <is>
          <t xml:space="preserve">2022-03-23</t>
        </is>
      </c>
      <c r="G194" s="0" t="inlineStr">
        <is>
          <t xml:space="preserve">2022-03-23</t>
        </is>
      </c>
      <c r="H194" s="4">
        <v>0.9</v>
      </c>
      <c r="I194" s="4">
        <v>0.9</v>
      </c>
    </row>
    <row r="195">
      <c r="B195" s="0" t="inlineStr">
        <is>
          <t xml:space="preserve">HII UNMANNED SYSTEMS</t>
        </is>
      </c>
      <c r="C195" s="0" t="inlineStr">
        <is>
          <t xml:space="preserve">N0017422F0151</t>
        </is>
      </c>
      <c r="D195" s="0" t="inlineStr">
        <is>
          <t xml:space="preserve">no</t>
        </is>
      </c>
      <c r="E195" s="0" t="inlineStr">
        <is>
          <t xml:space="preserve">DELIVERY ORDER</t>
        </is>
      </c>
      <c r="F195" s="0" t="inlineStr">
        <is>
          <t xml:space="preserve">2025-07-30</t>
        </is>
      </c>
      <c r="G195" s="0" t="inlineStr">
        <is>
          <t xml:space="preserve">2025-07-30</t>
        </is>
      </c>
      <c r="H195" s="4">
        <v>1.6</v>
      </c>
      <c r="I195" s="4">
        <v>0.9</v>
      </c>
    </row>
    <row r="196">
      <c r="B196" s="0" t="inlineStr">
        <is>
          <t xml:space="preserve">HII UNMANNED SYSTEMS</t>
        </is>
      </c>
      <c r="C196" s="0" t="inlineStr">
        <is>
          <t xml:space="preserve">N0017423F0129</t>
        </is>
      </c>
      <c r="D196" s="0" t="inlineStr">
        <is>
          <t xml:space="preserve">no</t>
        </is>
      </c>
      <c r="E196" s="0" t="inlineStr">
        <is>
          <t xml:space="preserve">DELIVERY ORDER</t>
        </is>
      </c>
      <c r="F196" s="0" t="inlineStr">
        <is>
          <t xml:space="preserve">2024-02-05</t>
        </is>
      </c>
      <c r="G196" s="0" t="inlineStr">
        <is>
          <t xml:space="preserve">2024-02-05</t>
        </is>
      </c>
      <c r="H196" s="4">
        <v>2.2</v>
      </c>
      <c r="I196" s="4">
        <v>0.9</v>
      </c>
    </row>
    <row r="197">
      <c r="B197" s="0" t="inlineStr">
        <is>
          <t xml:space="preserve">HII UNMANNED SYSTEMS</t>
        </is>
      </c>
      <c r="C197" s="0" t="inlineStr">
        <is>
          <t xml:space="preserve">N6600117F0080</t>
        </is>
      </c>
      <c r="D197" s="0" t="inlineStr">
        <is>
          <t xml:space="preserve">no</t>
        </is>
      </c>
      <c r="E197" s="0" t="inlineStr">
        <is>
          <t xml:space="preserve">DELIVERY ORDER</t>
        </is>
      </c>
      <c r="F197" s="0" t="inlineStr">
        <is>
          <t xml:space="preserve">2017-04-21</t>
        </is>
      </c>
      <c r="G197" s="0" t="inlineStr">
        <is>
          <t xml:space="preserve">2017-04-21</t>
        </is>
      </c>
      <c r="H197" s="4">
        <v>0.9</v>
      </c>
      <c r="I197" s="4">
        <v>0.9</v>
      </c>
    </row>
    <row r="198">
      <c r="B198" s="0" t="inlineStr">
        <is>
          <t xml:space="preserve">HII UNMANNED SYSTEMS</t>
        </is>
      </c>
      <c r="C198" s="0" t="inlineStr">
        <is>
          <t xml:space="preserve">N0003920F0487</t>
        </is>
      </c>
      <c r="D198" s="0" t="inlineStr">
        <is>
          <t xml:space="preserve">no</t>
        </is>
      </c>
      <c r="E198" s="0" t="inlineStr">
        <is>
          <t xml:space="preserve">DELIVERY ORDER</t>
        </is>
      </c>
      <c r="F198" s="0" t="inlineStr">
        <is>
          <t xml:space="preserve">2021-02-17</t>
        </is>
      </c>
      <c r="G198" s="0" t="inlineStr">
        <is>
          <t xml:space="preserve">2021-02-17</t>
        </is>
      </c>
      <c r="H198" s="4">
        <v>0.9</v>
      </c>
      <c r="I198" s="4">
        <v>0.9</v>
      </c>
    </row>
    <row r="199">
      <c r="B199" s="0" t="inlineStr">
        <is>
          <t xml:space="preserve">L3HARRIS TECHNOLOGIES</t>
        </is>
      </c>
      <c r="C199" s="0" t="inlineStr">
        <is>
          <t xml:space="preserve">HC090198204C0033F0470178C0039</t>
        </is>
      </c>
      <c r="D199" s="0" t="inlineStr">
        <is>
          <t xml:space="preserve">no</t>
        </is>
      </c>
      <c r="E199" s="0" t="inlineStr">
        <is>
          <t xml:space="preserve">DELIVERY ORDER</t>
        </is>
      </c>
      <c r="F199" s="0" t="inlineStr">
        <is>
          <t xml:space="preserve">1982-04-15</t>
        </is>
      </c>
      <c r="G199" s="0" t="inlineStr">
        <is>
          <t xml:space="preserve">1982-04-15</t>
        </is>
      </c>
      <c r="H199" s="4">
        <v>0.0</v>
      </c>
      <c r="I199" s="4">
        <v>0.9</v>
      </c>
    </row>
    <row r="200">
      <c r="B200" s="0" t="inlineStr">
        <is>
          <t xml:space="preserve">L3HARRIS TECHNOLOGIES</t>
        </is>
      </c>
      <c r="C200" s="0" t="inlineStr">
        <is>
          <t xml:space="preserve">LERC0198912DNAS325860</t>
        </is>
      </c>
      <c r="D200" s="0" t="inlineStr">
        <is>
          <t xml:space="preserve">no</t>
        </is>
      </c>
      <c r="E200" s="0" t="inlineStr">
        <is>
          <t xml:space="preserve">DEFINITIVE CONTRACT</t>
        </is>
      </c>
      <c r="F200" s="0" t="inlineStr">
        <is>
          <t xml:space="preserve">1989-12-15</t>
        </is>
      </c>
      <c r="G200" s="0" t="inlineStr">
        <is>
          <t xml:space="preserve">1989-12-15</t>
        </is>
      </c>
      <c r="H200" s="4">
        <v>0.0</v>
      </c>
      <c r="I200" s="4">
        <v>0.9</v>
      </c>
    </row>
    <row r="201">
      <c r="B201" s="0" t="inlineStr">
        <is>
          <t xml:space="preserve">L3HARRIS TECHNOLOGIES</t>
        </is>
      </c>
      <c r="C201" s="0" t="inlineStr">
        <is>
          <t xml:space="preserve">MSFC0197912DNAS833687</t>
        </is>
      </c>
      <c r="D201" s="0" t="inlineStr">
        <is>
          <t xml:space="preserve">no</t>
        </is>
      </c>
      <c r="E201" s="0" t="inlineStr">
        <is>
          <t xml:space="preserve">DEFINITIVE CONTRACT</t>
        </is>
      </c>
      <c r="F201" s="0" t="inlineStr">
        <is>
          <t xml:space="preserve">1979-12-15</t>
        </is>
      </c>
      <c r="G201" s="0" t="inlineStr">
        <is>
          <t xml:space="preserve">1979-12-15</t>
        </is>
      </c>
      <c r="H201" s="4">
        <v>0.0</v>
      </c>
      <c r="I201" s="4">
        <v>0.9</v>
      </c>
    </row>
    <row r="202">
      <c r="B202" s="0" t="inlineStr">
        <is>
          <t xml:space="preserve">TEXTRON SYSTEMS</t>
        </is>
      </c>
      <c r="C202" s="0" t="inlineStr">
        <is>
          <t xml:space="preserve">N6893625F0494</t>
        </is>
      </c>
      <c r="D202" s="0" t="inlineStr">
        <is>
          <t xml:space="preserve">no</t>
        </is>
      </c>
      <c r="E202" s="0" t="inlineStr">
        <is>
          <t xml:space="preserve">DELIVERY ORDER</t>
        </is>
      </c>
      <c r="F202" s="0" t="inlineStr">
        <is>
          <t xml:space="preserve">2026-01-28</t>
        </is>
      </c>
      <c r="G202" s="0" t="inlineStr">
        <is>
          <t xml:space="preserve">2026-01-28</t>
        </is>
      </c>
      <c r="H202" s="4">
        <v>1.0</v>
      </c>
      <c r="I202" s="4">
        <v>0.9</v>
      </c>
    </row>
    <row r="203">
      <c r="B203" s="0" t="inlineStr">
        <is>
          <t xml:space="preserve">TEXTRON SYSTEMS</t>
        </is>
      </c>
      <c r="C203" s="0" t="inlineStr">
        <is>
          <t xml:space="preserve">N6893622F0530</t>
        </is>
      </c>
      <c r="D203" s="0" t="inlineStr">
        <is>
          <t xml:space="preserve">no</t>
        </is>
      </c>
      <c r="E203" s="0" t="inlineStr">
        <is>
          <t xml:space="preserve">DELIVERY ORDER</t>
        </is>
      </c>
      <c r="F203" s="0" t="inlineStr">
        <is>
          <t xml:space="preserve">2024-01-26</t>
        </is>
      </c>
      <c r="G203" s="0" t="inlineStr">
        <is>
          <t xml:space="preserve">2024-01-26</t>
        </is>
      </c>
      <c r="H203" s="4">
        <v>1.2</v>
      </c>
      <c r="I203" s="4">
        <v>0.9</v>
      </c>
    </row>
    <row r="204">
      <c r="B204" s="0" t="inlineStr">
        <is>
          <t xml:space="preserve">TEXTRON SYSTEMS</t>
        </is>
      </c>
      <c r="C204" s="0" t="inlineStr">
        <is>
          <t xml:space="preserve">0005</t>
        </is>
      </c>
      <c r="D204" s="0" t="inlineStr">
        <is>
          <t xml:space="preserve">no</t>
        </is>
      </c>
      <c r="E204" s="0" t="inlineStr">
        <is>
          <t xml:space="preserve">DELIVERY ORDER</t>
        </is>
      </c>
      <c r="F204" s="0" t="inlineStr">
        <is>
          <t xml:space="preserve">2015-12-21</t>
        </is>
      </c>
      <c r="G204" s="0" t="inlineStr">
        <is>
          <t xml:space="preserve">2015-12-21</t>
        </is>
      </c>
      <c r="H204" s="4">
        <v>0.9</v>
      </c>
      <c r="I204" s="4">
        <v>0.9</v>
      </c>
    </row>
    <row r="205">
      <c r="B205" s="0" t="inlineStr">
        <is>
          <t xml:space="preserve">TEXTRON SYSTEMS</t>
        </is>
      </c>
      <c r="C205" s="0" t="inlineStr">
        <is>
          <t xml:space="preserve">0007</t>
        </is>
      </c>
      <c r="D205" s="0" t="inlineStr">
        <is>
          <t xml:space="preserve">no</t>
        </is>
      </c>
      <c r="E205" s="0" t="inlineStr">
        <is>
          <t xml:space="preserve">DELIVERY ORDER</t>
        </is>
      </c>
      <c r="F205" s="0" t="inlineStr">
        <is>
          <t xml:space="preserve">2012-09-28</t>
        </is>
      </c>
      <c r="G205" s="0" t="inlineStr">
        <is>
          <t xml:space="preserve">2012-09-28</t>
        </is>
      </c>
      <c r="H205" s="4">
        <v>0.9</v>
      </c>
      <c r="I205" s="4">
        <v>0.9</v>
      </c>
    </row>
    <row r="206">
      <c r="B206" s="0" t="inlineStr">
        <is>
          <t xml:space="preserve">TEXTRON SYSTEMS</t>
        </is>
      </c>
      <c r="C206" s="0" t="inlineStr">
        <is>
          <t xml:space="preserve">N0038318FNQ00</t>
        </is>
      </c>
      <c r="D206" s="0" t="inlineStr">
        <is>
          <t xml:space="preserve">no</t>
        </is>
      </c>
      <c r="E206" s="0" t="inlineStr">
        <is>
          <t xml:space="preserve">DELIVERY ORDER</t>
        </is>
      </c>
      <c r="F206" s="0" t="inlineStr">
        <is>
          <t xml:space="preserve">2019-11-27</t>
        </is>
      </c>
      <c r="G206" s="0" t="inlineStr">
        <is>
          <t xml:space="preserve">2019-11-27</t>
        </is>
      </c>
      <c r="H206" s="4">
        <v>0.9</v>
      </c>
      <c r="I206" s="4">
        <v>0.9</v>
      </c>
    </row>
    <row r="207">
      <c r="B207" s="0" t="inlineStr">
        <is>
          <t xml:space="preserve">TEXTRON SYSTEMS</t>
        </is>
      </c>
      <c r="C207" s="0" t="inlineStr">
        <is>
          <t xml:space="preserve">NNA14AA75D</t>
        </is>
      </c>
      <c r="D207" s="0" t="inlineStr">
        <is>
          <t xml:space="preserve">no</t>
        </is>
      </c>
      <c r="E207" s="0" t="inlineStr">
        <is>
          <t xml:space="preserve">DELIVERY ORDER</t>
        </is>
      </c>
      <c r="F207" s="0" t="inlineStr">
        <is>
          <t xml:space="preserve">2015-01-08</t>
        </is>
      </c>
      <c r="G207" s="0" t="inlineStr">
        <is>
          <t xml:space="preserve">2015-01-08</t>
        </is>
      </c>
      <c r="H207" s="4">
        <v>0.9</v>
      </c>
      <c r="I207" s="4">
        <v>0.9</v>
      </c>
    </row>
    <row r="208">
      <c r="B208" s="0" t="inlineStr">
        <is>
          <t xml:space="preserve">TEXTRON SYSTEMS</t>
        </is>
      </c>
      <c r="C208" s="0" t="inlineStr">
        <is>
          <t xml:space="preserve">W52P1J22C0035</t>
        </is>
      </c>
      <c r="D208" s="0" t="inlineStr">
        <is>
          <t xml:space="preserve">no</t>
        </is>
      </c>
      <c r="E208" s="0" t="inlineStr">
        <is>
          <t xml:space="preserve">DEFINITIVE CONTRACT</t>
        </is>
      </c>
      <c r="F208" s="0" t="inlineStr">
        <is>
          <t xml:space="preserve">2022-07-06</t>
        </is>
      </c>
      <c r="G208" s="0" t="inlineStr">
        <is>
          <t xml:space="preserve">2022-07-06</t>
        </is>
      </c>
      <c r="H208" s="4">
        <v>0.9</v>
      </c>
      <c r="I208" s="4">
        <v>0.9</v>
      </c>
    </row>
    <row r="209">
      <c r="B209" s="0" t="inlineStr">
        <is>
          <t xml:space="preserve">OCEAN AERO</t>
        </is>
      </c>
      <c r="C209" s="0" t="inlineStr">
        <is>
          <t xml:space="preserve">N0016424PX005</t>
        </is>
      </c>
      <c r="D209" s="0" t="inlineStr">
        <is>
          <t xml:space="preserve">no</t>
        </is>
      </c>
      <c r="E209" s="0" t="inlineStr">
        <is>
          <t xml:space="preserve">PURCHASE ORDER</t>
        </is>
      </c>
      <c r="F209" s="0" t="inlineStr">
        <is>
          <t xml:space="preserve">2024-06-12</t>
        </is>
      </c>
      <c r="G209" s="0" t="inlineStr">
        <is>
          <t xml:space="preserve">2024-06-12</t>
        </is>
      </c>
      <c r="H209" s="4">
        <v>0.8</v>
      </c>
      <c r="I209" s="4">
        <v>0.8</v>
      </c>
    </row>
    <row r="210">
      <c r="B210" s="0" t="inlineStr">
        <is>
          <t xml:space="preserve">MARITIME APPLIED PHYSICS</t>
        </is>
      </c>
      <c r="C210" s="0" t="inlineStr">
        <is>
          <t xml:space="preserve">N0010424CLA06</t>
        </is>
      </c>
      <c r="D210" s="0" t="inlineStr">
        <is>
          <t xml:space="preserve">no</t>
        </is>
      </c>
      <c r="E210" s="0" t="inlineStr">
        <is>
          <t xml:space="preserve">DEFINITIVE CONTRACT</t>
        </is>
      </c>
      <c r="F210" s="0" t="inlineStr">
        <is>
          <t xml:space="preserve">2023-11-22</t>
        </is>
      </c>
      <c r="G210" s="0" t="inlineStr">
        <is>
          <t xml:space="preserve">2024-11-14</t>
        </is>
      </c>
      <c r="H210" s="4">
        <v>0.8</v>
      </c>
      <c r="I210" s="4">
        <v>0.8</v>
      </c>
    </row>
    <row r="211">
      <c r="B211" s="0" t="inlineStr">
        <is>
          <t xml:space="preserve">MARITIME APPLIED PHYSICS</t>
        </is>
      </c>
      <c r="C211" s="0" t="inlineStr">
        <is>
          <t xml:space="preserve">N0001410C0316</t>
        </is>
      </c>
      <c r="D211" s="0" t="inlineStr">
        <is>
          <t xml:space="preserve">no</t>
        </is>
      </c>
      <c r="E211" s="0" t="inlineStr">
        <is>
          <t xml:space="preserve">DEFINITIVE CONTRACT</t>
        </is>
      </c>
      <c r="F211" s="0" t="inlineStr">
        <is>
          <t xml:space="preserve">2010-07-21</t>
        </is>
      </c>
      <c r="G211" s="0" t="inlineStr">
        <is>
          <t xml:space="preserve">2011-08-05</t>
        </is>
      </c>
      <c r="H211" s="4">
        <v>1.5</v>
      </c>
      <c r="I211" s="4">
        <v>0.8</v>
      </c>
    </row>
    <row r="212">
      <c r="B212" s="0" t="inlineStr">
        <is>
          <t xml:space="preserve">SARONIC TECHNOLOGIES</t>
        </is>
      </c>
      <c r="C212" s="0" t="inlineStr">
        <is>
          <t xml:space="preserve">HQ0845269E021</t>
        </is>
      </c>
      <c r="D212" s="0" t="inlineStr">
        <is>
          <t xml:space="preserve">yes</t>
        </is>
      </c>
      <c r="E212" s="0" t="inlineStr">
        <is>
          <t xml:space="preserve">OTHER TRANSACTION AGREEMENT</t>
        </is>
      </c>
      <c r="F212" s="0" t="inlineStr">
        <is>
          <t xml:space="preserve">2025-12-19</t>
        </is>
      </c>
      <c r="G212" s="0" t="inlineStr">
        <is>
          <t xml:space="preserve">2026-03-02</t>
        </is>
      </c>
      <c r="H212" s="4">
        <v>0.7</v>
      </c>
      <c r="I212" s="4">
        <v>0.7</v>
      </c>
    </row>
    <row r="213">
      <c r="B213" s="0" t="inlineStr">
        <is>
          <t xml:space="preserve">MARITIME APPLIED PHYSICS</t>
        </is>
      </c>
      <c r="C213" s="0" t="inlineStr">
        <is>
          <t xml:space="preserve">N0010423PLA06</t>
        </is>
      </c>
      <c r="D213" s="0" t="inlineStr">
        <is>
          <t xml:space="preserve">no</t>
        </is>
      </c>
      <c r="E213" s="0" t="inlineStr">
        <is>
          <t xml:space="preserve">PURCHASE ORDER</t>
        </is>
      </c>
      <c r="F213" s="0" t="inlineStr">
        <is>
          <t xml:space="preserve">2022-10-19</t>
        </is>
      </c>
      <c r="G213" s="0" t="inlineStr">
        <is>
          <t xml:space="preserve">2024-01-25</t>
        </is>
      </c>
      <c r="H213" s="4">
        <v>0.7</v>
      </c>
      <c r="I213" s="4">
        <v>0.7</v>
      </c>
    </row>
    <row r="214">
      <c r="B214" s="0" t="inlineStr">
        <is>
          <t xml:space="preserve">MARITIME APPLIED PHYSICS</t>
        </is>
      </c>
      <c r="C214" s="0" t="inlineStr">
        <is>
          <t xml:space="preserve">N0010422PLD37</t>
        </is>
      </c>
      <c r="D214" s="0" t="inlineStr">
        <is>
          <t xml:space="preserve">no</t>
        </is>
      </c>
      <c r="E214" s="0" t="inlineStr">
        <is>
          <t xml:space="preserve">PURCHASE ORDER</t>
        </is>
      </c>
      <c r="F214" s="0" t="inlineStr">
        <is>
          <t xml:space="preserve">2023-08-22</t>
        </is>
      </c>
      <c r="G214" s="0" t="inlineStr">
        <is>
          <t xml:space="preserve">2023-10-04</t>
        </is>
      </c>
      <c r="H214" s="4">
        <v>0.7</v>
      </c>
      <c r="I214" s="4">
        <v>0.7</v>
      </c>
    </row>
    <row r="215">
      <c r="B215" s="0" t="inlineStr">
        <is>
          <t xml:space="preserve">MARITIME APPLIED PHYSICS</t>
        </is>
      </c>
      <c r="C215" s="0" t="inlineStr">
        <is>
          <t xml:space="preserve">W56HZV09C0042</t>
        </is>
      </c>
      <c r="D215" s="0" t="inlineStr">
        <is>
          <t xml:space="preserve">no</t>
        </is>
      </c>
      <c r="E215" s="0" t="inlineStr">
        <is>
          <t xml:space="preserve">DEFINITIVE CONTRACT</t>
        </is>
      </c>
      <c r="F215" s="0" t="inlineStr">
        <is>
          <t xml:space="preserve">2011-03-01</t>
        </is>
      </c>
      <c r="G215" s="0" t="inlineStr">
        <is>
          <t xml:space="preserve">2011-03-01</t>
        </is>
      </c>
      <c r="H215" s="4">
        <v>0.7</v>
      </c>
      <c r="I215" s="4">
        <v>0.7</v>
      </c>
    </row>
    <row r="216">
      <c r="B216" s="0" t="inlineStr">
        <is>
          <t xml:space="preserve">MARITIME APPLIED PHYSICS</t>
        </is>
      </c>
      <c r="C216" s="0" t="inlineStr">
        <is>
          <t xml:space="preserve">N0002400C4083</t>
        </is>
      </c>
      <c r="D216" s="0" t="inlineStr">
        <is>
          <t xml:space="preserve">no</t>
        </is>
      </c>
      <c r="E216" s="0" t="inlineStr">
        <is>
          <t xml:space="preserve">DEFINITIVE CONTRACT</t>
        </is>
      </c>
      <c r="F216" s="0" t="inlineStr">
        <is>
          <t xml:space="preserve">2000-12-22</t>
        </is>
      </c>
      <c r="G216" s="0" t="inlineStr">
        <is>
          <t xml:space="preserve">2002-03-21</t>
        </is>
      </c>
      <c r="H216" s="4">
        <v>0.0</v>
      </c>
      <c r="I216" s="4">
        <v>0.7</v>
      </c>
    </row>
    <row r="217">
      <c r="B217" s="0" t="inlineStr">
        <is>
          <t xml:space="preserve">MARITIME APPLIED PHYSICS</t>
        </is>
      </c>
      <c r="C217" s="0" t="inlineStr">
        <is>
          <t xml:space="preserve">MDA97201C0043</t>
        </is>
      </c>
      <c r="D217" s="0" t="inlineStr">
        <is>
          <t xml:space="preserve">no</t>
        </is>
      </c>
      <c r="E217" s="0" t="inlineStr">
        <is>
          <t xml:space="preserve">DEFINITIVE CONTRACT</t>
        </is>
      </c>
      <c r="F217" s="0" t="inlineStr">
        <is>
          <t xml:space="preserve">2001-06-06</t>
        </is>
      </c>
      <c r="G217" s="0" t="inlineStr">
        <is>
          <t xml:space="preserve">2001-06-06</t>
        </is>
      </c>
      <c r="H217" s="4">
        <v>0.0</v>
      </c>
      <c r="I217" s="4">
        <v>0.7</v>
      </c>
    </row>
    <row r="218">
      <c r="B218" s="0" t="inlineStr">
        <is>
          <t xml:space="preserve">MARITIME APPLIED PHYSICS</t>
        </is>
      </c>
      <c r="C218" s="0" t="inlineStr">
        <is>
          <t xml:space="preserve">N0002424CS054</t>
        </is>
      </c>
      <c r="D218" s="0" t="inlineStr">
        <is>
          <t xml:space="preserve">no</t>
        </is>
      </c>
      <c r="E218" s="0" t="inlineStr">
        <is>
          <t xml:space="preserve">DEFINITIVE CONTRACT</t>
        </is>
      </c>
      <c r="F218" s="0" t="inlineStr">
        <is>
          <t xml:space="preserve">2024-05-07</t>
        </is>
      </c>
      <c r="G218" s="0" t="inlineStr">
        <is>
          <t xml:space="preserve">2024-05-07</t>
        </is>
      </c>
      <c r="H218" s="4">
        <v>2.0</v>
      </c>
      <c r="I218" s="4">
        <v>0.7</v>
      </c>
    </row>
    <row r="219">
      <c r="B219" s="0" t="inlineStr">
        <is>
          <t xml:space="preserve">HII UNMANNED SYSTEMS</t>
        </is>
      </c>
      <c r="C219" s="0" t="inlineStr">
        <is>
          <t xml:space="preserve">0031</t>
        </is>
      </c>
      <c r="D219" s="0" t="inlineStr">
        <is>
          <t xml:space="preserve">no</t>
        </is>
      </c>
      <c r="E219" s="0" t="inlineStr">
        <is>
          <t xml:space="preserve">DELIVERY ORDER</t>
        </is>
      </c>
      <c r="F219" s="0" t="inlineStr">
        <is>
          <t xml:space="preserve">2012-09-25</t>
        </is>
      </c>
      <c r="G219" s="0" t="inlineStr">
        <is>
          <t xml:space="preserve">2012-09-25</t>
        </is>
      </c>
      <c r="H219" s="4">
        <v>1.4</v>
      </c>
      <c r="I219" s="4">
        <v>0.7</v>
      </c>
    </row>
    <row r="220">
      <c r="B220" s="0" t="inlineStr">
        <is>
          <t xml:space="preserve">HII UNMANNED SYSTEMS</t>
        </is>
      </c>
      <c r="C220" s="0" t="inlineStr">
        <is>
          <t xml:space="preserve">0025</t>
        </is>
      </c>
      <c r="D220" s="0" t="inlineStr">
        <is>
          <t xml:space="preserve">no</t>
        </is>
      </c>
      <c r="E220" s="0" t="inlineStr">
        <is>
          <t xml:space="preserve">DELIVERY ORDER</t>
        </is>
      </c>
      <c r="F220" s="0" t="inlineStr">
        <is>
          <t xml:space="preserve">2011-08-31</t>
        </is>
      </c>
      <c r="G220" s="0" t="inlineStr">
        <is>
          <t xml:space="preserve">2011-08-31</t>
        </is>
      </c>
      <c r="H220" s="4">
        <v>0.7</v>
      </c>
      <c r="I220" s="4">
        <v>0.7</v>
      </c>
    </row>
    <row r="221">
      <c r="B221" s="0" t="inlineStr">
        <is>
          <t xml:space="preserve">L3HARRIS TECHNOLOGIES</t>
        </is>
      </c>
      <c r="C221" s="0" t="inlineStr">
        <is>
          <t xml:space="preserve">0ZD11198808C2865DCA20085C0013</t>
        </is>
      </c>
      <c r="D221" s="0" t="inlineStr">
        <is>
          <t xml:space="preserve">no</t>
        </is>
      </c>
      <c r="E221" s="0" t="inlineStr">
        <is>
          <t xml:space="preserve">DELIVERY ORDER</t>
        </is>
      </c>
      <c r="F221" s="0" t="inlineStr">
        <is>
          <t xml:space="preserve">1988-08-15</t>
        </is>
      </c>
      <c r="G221" s="0" t="inlineStr">
        <is>
          <t xml:space="preserve">1988-08-15</t>
        </is>
      </c>
      <c r="H221" s="4">
        <v>0.0</v>
      </c>
      <c r="I221" s="4">
        <v>0.7</v>
      </c>
    </row>
    <row r="222">
      <c r="B222" s="0" t="inlineStr">
        <is>
          <t xml:space="preserve">L3HARRIS TECHNOLOGIES</t>
        </is>
      </c>
      <c r="C222" s="0" t="inlineStr">
        <is>
          <t xml:space="preserve">D2602198403C0673N0003982C0013</t>
        </is>
      </c>
      <c r="D222" s="0" t="inlineStr">
        <is>
          <t xml:space="preserve">no</t>
        </is>
      </c>
      <c r="E222" s="0" t="inlineStr">
        <is>
          <t xml:space="preserve">DELIVERY ORDER</t>
        </is>
      </c>
      <c r="F222" s="0" t="inlineStr">
        <is>
          <t xml:space="preserve">1984-03-15</t>
        </is>
      </c>
      <c r="G222" s="0" t="inlineStr">
        <is>
          <t xml:space="preserve">1984-03-15</t>
        </is>
      </c>
      <c r="H222" s="4">
        <v>0.0</v>
      </c>
      <c r="I222" s="4">
        <v>0.7</v>
      </c>
    </row>
    <row r="223">
      <c r="B223" s="0" t="inlineStr">
        <is>
          <t xml:space="preserve">TEXTRON SYSTEMS</t>
        </is>
      </c>
      <c r="C223" s="0" t="inlineStr">
        <is>
          <t xml:space="preserve">N0017825PC608</t>
        </is>
      </c>
      <c r="D223" s="0" t="inlineStr">
        <is>
          <t xml:space="preserve">no</t>
        </is>
      </c>
      <c r="E223" s="0" t="inlineStr">
        <is>
          <t xml:space="preserve">PURCHASE ORDER</t>
        </is>
      </c>
      <c r="F223" s="0" t="inlineStr">
        <is>
          <t xml:space="preserve">2025-07-02</t>
        </is>
      </c>
      <c r="G223" s="0" t="inlineStr">
        <is>
          <t xml:space="preserve">2025-08-29</t>
        </is>
      </c>
      <c r="H223" s="4">
        <v>0.7</v>
      </c>
      <c r="I223" s="4">
        <v>0.7</v>
      </c>
    </row>
    <row r="224">
      <c r="B224" s="0" t="inlineStr">
        <is>
          <t xml:space="preserve">TEXTRON SYSTEMS</t>
        </is>
      </c>
      <c r="C224" s="0" t="inlineStr">
        <is>
          <t xml:space="preserve">0010</t>
        </is>
      </c>
      <c r="D224" s="0" t="inlineStr">
        <is>
          <t xml:space="preserve">no</t>
        </is>
      </c>
      <c r="E224" s="0" t="inlineStr">
        <is>
          <t xml:space="preserve">DELIVERY ORDER</t>
        </is>
      </c>
      <c r="F224" s="0" t="inlineStr">
        <is>
          <t xml:space="preserve">2008-11-19</t>
        </is>
      </c>
      <c r="G224" s="0" t="inlineStr">
        <is>
          <t xml:space="preserve">2013-09-03</t>
        </is>
      </c>
      <c r="H224" s="4">
        <v>0.3</v>
      </c>
      <c r="I224" s="4">
        <v>0.7</v>
      </c>
    </row>
    <row r="225">
      <c r="B225" s="0" t="inlineStr">
        <is>
          <t xml:space="preserve">TEXTRON SYSTEMS</t>
        </is>
      </c>
      <c r="C225" s="0" t="inlineStr">
        <is>
          <t xml:space="preserve">70Z03819PR0000433</t>
        </is>
      </c>
      <c r="D225" s="0" t="inlineStr">
        <is>
          <t xml:space="preserve">no</t>
        </is>
      </c>
      <c r="E225" s="0" t="inlineStr">
        <is>
          <t xml:space="preserve">PURCHASE ORDER</t>
        </is>
      </c>
      <c r="F225" s="0" t="inlineStr">
        <is>
          <t xml:space="preserve">2019-09-16</t>
        </is>
      </c>
      <c r="G225" s="0" t="inlineStr">
        <is>
          <t xml:space="preserve">2019-09-16</t>
        </is>
      </c>
      <c r="H225" s="4">
        <v>0.7</v>
      </c>
      <c r="I225" s="4">
        <v>0.7</v>
      </c>
    </row>
    <row r="226">
      <c r="B226" s="0" t="inlineStr">
        <is>
          <t xml:space="preserve">TEXTRON SYSTEMS</t>
        </is>
      </c>
      <c r="C226" s="0" t="inlineStr">
        <is>
          <t xml:space="preserve">W911QX23C0029</t>
        </is>
      </c>
      <c r="D226" s="0" t="inlineStr">
        <is>
          <t xml:space="preserve">no</t>
        </is>
      </c>
      <c r="E226" s="0" t="inlineStr">
        <is>
          <t xml:space="preserve">DEFINITIVE CONTRACT</t>
        </is>
      </c>
      <c r="F226" s="0" t="inlineStr">
        <is>
          <t xml:space="preserve">2024-01-18</t>
        </is>
      </c>
      <c r="G226" s="0" t="inlineStr">
        <is>
          <t xml:space="preserve">2025-07-01</t>
        </is>
      </c>
      <c r="H226" s="4">
        <v>1.2</v>
      </c>
      <c r="I226" s="4">
        <v>0.7</v>
      </c>
    </row>
    <row r="227">
      <c r="B227" s="0" t="inlineStr">
        <is>
          <t xml:space="preserve">HII UNMANNED SYSTEMS</t>
        </is>
      </c>
      <c r="C227" s="0" t="inlineStr">
        <is>
          <t xml:space="preserve">N0017424F0129</t>
        </is>
      </c>
      <c r="D227" s="0" t="inlineStr">
        <is>
          <t xml:space="preserve">no</t>
        </is>
      </c>
      <c r="E227" s="0" t="inlineStr">
        <is>
          <t xml:space="preserve">DELIVERY ORDER</t>
        </is>
      </c>
      <c r="F227" s="0" t="inlineStr">
        <is>
          <t xml:space="preserve">2024-05-31</t>
        </is>
      </c>
      <c r="G227" s="0" t="inlineStr">
        <is>
          <t xml:space="preserve">2024-05-31</t>
        </is>
      </c>
      <c r="H227" s="4">
        <v>1.6</v>
      </c>
      <c r="I227" s="4">
        <v>0.6</v>
      </c>
    </row>
    <row r="228">
      <c r="B228" s="0" t="inlineStr">
        <is>
          <t xml:space="preserve">HII UNMANNED SYSTEMS</t>
        </is>
      </c>
      <c r="C228" s="0" t="inlineStr">
        <is>
          <t xml:space="preserve">N0017422F0200</t>
        </is>
      </c>
      <c r="D228" s="0" t="inlineStr">
        <is>
          <t xml:space="preserve">no</t>
        </is>
      </c>
      <c r="E228" s="0" t="inlineStr">
        <is>
          <t xml:space="preserve">DELIVERY ORDER</t>
        </is>
      </c>
      <c r="F228" s="0" t="inlineStr">
        <is>
          <t xml:space="preserve">2022-09-09</t>
        </is>
      </c>
      <c r="G228" s="0" t="inlineStr">
        <is>
          <t xml:space="preserve">2022-09-09</t>
        </is>
      </c>
      <c r="H228" s="4">
        <v>2.0</v>
      </c>
      <c r="I228" s="4">
        <v>0.6</v>
      </c>
    </row>
    <row r="229">
      <c r="B229" s="0" t="inlineStr">
        <is>
          <t xml:space="preserve">HII UNMANNED SYSTEMS</t>
        </is>
      </c>
      <c r="C229" s="0" t="inlineStr">
        <is>
          <t xml:space="preserve">N0003918F1356</t>
        </is>
      </c>
      <c r="D229" s="0" t="inlineStr">
        <is>
          <t xml:space="preserve">no</t>
        </is>
      </c>
      <c r="E229" s="0" t="inlineStr">
        <is>
          <t xml:space="preserve">DELIVERY ORDER</t>
        </is>
      </c>
      <c r="F229" s="0" t="inlineStr">
        <is>
          <t xml:space="preserve">2019-08-07</t>
        </is>
      </c>
      <c r="G229" s="0" t="inlineStr">
        <is>
          <t xml:space="preserve">2019-08-07</t>
        </is>
      </c>
      <c r="H229" s="4">
        <v>0.8</v>
      </c>
      <c r="I229" s="4">
        <v>0.6</v>
      </c>
    </row>
    <row r="230">
      <c r="B230" s="0" t="inlineStr">
        <is>
          <t xml:space="preserve">HII UNMANNED SYSTEMS</t>
        </is>
      </c>
      <c r="C230" s="0" t="inlineStr">
        <is>
          <t xml:space="preserve">N6660413C0650</t>
        </is>
      </c>
      <c r="D230" s="0" t="inlineStr">
        <is>
          <t xml:space="preserve">no</t>
        </is>
      </c>
      <c r="E230" s="0" t="inlineStr">
        <is>
          <t xml:space="preserve">DEFINITIVE CONTRACT</t>
        </is>
      </c>
      <c r="F230" s="0" t="inlineStr">
        <is>
          <t xml:space="preserve">2013-09-27</t>
        </is>
      </c>
      <c r="G230" s="0" t="inlineStr">
        <is>
          <t xml:space="preserve">2013-09-27</t>
        </is>
      </c>
      <c r="H230" s="4">
        <v>0.6</v>
      </c>
      <c r="I230" s="4">
        <v>0.6</v>
      </c>
    </row>
    <row r="231">
      <c r="B231" s="0" t="inlineStr">
        <is>
          <t xml:space="preserve">L3HARRIS TECHNOLOGIES</t>
        </is>
      </c>
      <c r="C231" s="0" t="inlineStr">
        <is>
          <t xml:space="preserve">0ZD04198210C0381MDA90481C0238</t>
        </is>
      </c>
      <c r="D231" s="0" t="inlineStr">
        <is>
          <t xml:space="preserve">no</t>
        </is>
      </c>
      <c r="E231" s="0" t="inlineStr">
        <is>
          <t xml:space="preserve">DELIVERY ORDER</t>
        </is>
      </c>
      <c r="F231" s="0" t="inlineStr">
        <is>
          <t xml:space="preserve">1982-10-15</t>
        </is>
      </c>
      <c r="G231" s="0" t="inlineStr">
        <is>
          <t xml:space="preserve">1982-10-15</t>
        </is>
      </c>
      <c r="H231" s="4">
        <v>0.0</v>
      </c>
      <c r="I231" s="4">
        <v>0.6</v>
      </c>
    </row>
    <row r="232">
      <c r="B232" s="0" t="inlineStr">
        <is>
          <t xml:space="preserve">L3HARRIS TECHNOLOGIES</t>
        </is>
      </c>
      <c r="C232" s="0" t="inlineStr">
        <is>
          <t xml:space="preserve">YG020198907C0362F0162088D0086</t>
        </is>
      </c>
      <c r="D232" s="0" t="inlineStr">
        <is>
          <t xml:space="preserve">no</t>
        </is>
      </c>
      <c r="E232" s="0" t="inlineStr">
        <is>
          <t xml:space="preserve">DELIVERY ORDER</t>
        </is>
      </c>
      <c r="F232" s="0" t="inlineStr">
        <is>
          <t xml:space="preserve">1989-07-15</t>
        </is>
      </c>
      <c r="G232" s="0" t="inlineStr">
        <is>
          <t xml:space="preserve">1989-07-15</t>
        </is>
      </c>
      <c r="H232" s="4">
        <v>0.0</v>
      </c>
      <c r="I232" s="4">
        <v>0.6</v>
      </c>
    </row>
    <row r="233">
      <c r="B233" s="0" t="inlineStr">
        <is>
          <t xml:space="preserve">L3HARRIS TECHNOLOGIES</t>
        </is>
      </c>
      <c r="C233" s="0" t="inlineStr">
        <is>
          <t xml:space="preserve">YG020199108BF0162088D0086</t>
        </is>
      </c>
      <c r="D233" s="0" t="inlineStr">
        <is>
          <t xml:space="preserve">no</t>
        </is>
      </c>
      <c r="E233" s="0" t="inlineStr">
        <is>
          <t xml:space="preserve">PURCHASE ORDER</t>
        </is>
      </c>
      <c r="F233" s="0" t="inlineStr">
        <is>
          <t xml:space="preserve">1991-08-15</t>
        </is>
      </c>
      <c r="G233" s="0" t="inlineStr">
        <is>
          <t xml:space="preserve">1991-08-15</t>
        </is>
      </c>
      <c r="H233" s="4">
        <v>0.0</v>
      </c>
      <c r="I233" s="4">
        <v>0.6</v>
      </c>
    </row>
    <row r="234">
      <c r="B234" s="0" t="inlineStr">
        <is>
          <t xml:space="preserve">L3HARRIS TECHNOLOGIES</t>
        </is>
      </c>
      <c r="C234" s="0" t="inlineStr">
        <is>
          <t xml:space="preserve">YG020199005C0204F0162088D0086</t>
        </is>
      </c>
      <c r="D234" s="0" t="inlineStr">
        <is>
          <t xml:space="preserve">no</t>
        </is>
      </c>
      <c r="E234" s="0" t="inlineStr">
        <is>
          <t xml:space="preserve">DELIVERY ORDER</t>
        </is>
      </c>
      <c r="F234" s="0" t="inlineStr">
        <is>
          <t xml:space="preserve">1990-05-15</t>
        </is>
      </c>
      <c r="G234" s="0" t="inlineStr">
        <is>
          <t xml:space="preserve">1990-05-15</t>
        </is>
      </c>
      <c r="H234" s="4">
        <v>0.0</v>
      </c>
      <c r="I234" s="4">
        <v>0.6</v>
      </c>
    </row>
    <row r="235">
      <c r="B235" s="0" t="inlineStr">
        <is>
          <t xml:space="preserve">L3HARRIS TECHNOLOGIES</t>
        </is>
      </c>
      <c r="C235" s="0" t="inlineStr">
        <is>
          <t xml:space="preserve">GS030199201BF2960191C0008</t>
        </is>
      </c>
      <c r="D235" s="0" t="inlineStr">
        <is>
          <t xml:space="preserve">no</t>
        </is>
      </c>
      <c r="E235" s="0" t="inlineStr">
        <is>
          <t xml:space="preserve">PURCHASE ORDER</t>
        </is>
      </c>
      <c r="F235" s="0" t="inlineStr">
        <is>
          <t xml:space="preserve">1992-01-15</t>
        </is>
      </c>
      <c r="G235" s="0" t="inlineStr">
        <is>
          <t xml:space="preserve">1992-01-15</t>
        </is>
      </c>
      <c r="H235" s="4">
        <v>0.0</v>
      </c>
      <c r="I235" s="4">
        <v>0.6</v>
      </c>
    </row>
    <row r="236">
      <c r="B236" s="0" t="inlineStr">
        <is>
          <t xml:space="preserve">TEXTRON SYSTEMS</t>
        </is>
      </c>
      <c r="C236" s="0" t="inlineStr">
        <is>
          <t xml:space="preserve">N0038324FZD0B</t>
        </is>
      </c>
      <c r="D236" s="0" t="inlineStr">
        <is>
          <t xml:space="preserve">no</t>
        </is>
      </c>
      <c r="E236" s="0" t="inlineStr">
        <is>
          <t xml:space="preserve">DELIVERY ORDER</t>
        </is>
      </c>
      <c r="F236" s="0" t="inlineStr">
        <is>
          <t xml:space="preserve">2024-08-28</t>
        </is>
      </c>
      <c r="G236" s="0" t="inlineStr">
        <is>
          <t xml:space="preserve">2024-08-28</t>
        </is>
      </c>
      <c r="H236" s="4">
        <v>0.6</v>
      </c>
      <c r="I236" s="4">
        <v>0.6</v>
      </c>
    </row>
    <row r="237">
      <c r="B237" s="0" t="inlineStr">
        <is>
          <t xml:space="preserve">TEXTRON SYSTEMS</t>
        </is>
      </c>
      <c r="C237" s="0" t="inlineStr">
        <is>
          <t xml:space="preserve">N0017812C1013</t>
        </is>
      </c>
      <c r="D237" s="0" t="inlineStr">
        <is>
          <t xml:space="preserve">no</t>
        </is>
      </c>
      <c r="E237" s="0" t="inlineStr">
        <is>
          <t xml:space="preserve">DEFINITIVE CONTRACT</t>
        </is>
      </c>
      <c r="F237" s="0" t="inlineStr">
        <is>
          <t xml:space="preserve">2012-09-14</t>
        </is>
      </c>
      <c r="G237" s="0" t="inlineStr">
        <is>
          <t xml:space="preserve">2012-09-14</t>
        </is>
      </c>
      <c r="H237" s="4">
        <v>0.6</v>
      </c>
      <c r="I237" s="4">
        <v>0.6</v>
      </c>
    </row>
    <row r="238">
      <c r="B238" s="0" t="inlineStr">
        <is>
          <t xml:space="preserve">AUSTAL USA</t>
        </is>
      </c>
      <c r="C238" s="0" t="inlineStr">
        <is>
          <t xml:space="preserve">N5523625F8482</t>
        </is>
      </c>
      <c r="D238" s="0" t="inlineStr">
        <is>
          <t xml:space="preserve">no</t>
        </is>
      </c>
      <c r="E238" s="0" t="inlineStr">
        <is>
          <t xml:space="preserve">DELIVERY ORDER</t>
        </is>
      </c>
      <c r="F238" s="0" t="inlineStr">
        <is>
          <t xml:space="preserve">2025-03-14</t>
        </is>
      </c>
      <c r="G238" s="0" t="inlineStr">
        <is>
          <t xml:space="preserve">2025-03-14</t>
        </is>
      </c>
      <c r="H238" s="4">
        <v>0.6</v>
      </c>
      <c r="I238" s="4">
        <v>0.6</v>
      </c>
    </row>
    <row r="239">
      <c r="B239" s="0" t="inlineStr">
        <is>
          <t xml:space="preserve">SPATIAL INTEGRATED SYSTEMS</t>
        </is>
      </c>
      <c r="C239" s="0" t="inlineStr">
        <is>
          <t xml:space="preserve">N0016423F0091</t>
        </is>
      </c>
      <c r="D239" s="0" t="inlineStr">
        <is>
          <t xml:space="preserve">no</t>
        </is>
      </c>
      <c r="E239" s="0" t="inlineStr">
        <is>
          <t xml:space="preserve">DELIVERY ORDER</t>
        </is>
      </c>
      <c r="F239" s="0" t="inlineStr">
        <is>
          <t xml:space="preserve">2023-07-07</t>
        </is>
      </c>
      <c r="G239" s="0" t="inlineStr">
        <is>
          <t xml:space="preserve">2023-07-07</t>
        </is>
      </c>
      <c r="H239" s="4">
        <v>0.5</v>
      </c>
      <c r="I239" s="4">
        <v>0.5</v>
      </c>
    </row>
    <row r="240">
      <c r="B240" s="0" t="inlineStr">
        <is>
          <t xml:space="preserve">MARITIME APPLIED PHYSICS</t>
        </is>
      </c>
      <c r="C240" s="0" t="inlineStr">
        <is>
          <t xml:space="preserve">N0010423PLB70</t>
        </is>
      </c>
      <c r="D240" s="0" t="inlineStr">
        <is>
          <t xml:space="preserve">no</t>
        </is>
      </c>
      <c r="E240" s="0" t="inlineStr">
        <is>
          <t xml:space="preserve">PURCHASE ORDER</t>
        </is>
      </c>
      <c r="F240" s="0" t="inlineStr">
        <is>
          <t xml:space="preserve">2023-02-01</t>
        </is>
      </c>
      <c r="G240" s="0" t="inlineStr">
        <is>
          <t xml:space="preserve">2024-01-25</t>
        </is>
      </c>
      <c r="H240" s="4">
        <v>0.5</v>
      </c>
      <c r="I240" s="4">
        <v>0.5</v>
      </c>
    </row>
    <row r="241">
      <c r="B241" s="0" t="inlineStr">
        <is>
          <t xml:space="preserve">MARITIME APPLIED PHYSICS</t>
        </is>
      </c>
      <c r="C241" s="0" t="inlineStr">
        <is>
          <t xml:space="preserve">SPRMM113CPB26</t>
        </is>
      </c>
      <c r="D241" s="0" t="inlineStr">
        <is>
          <t xml:space="preserve">no</t>
        </is>
      </c>
      <c r="E241" s="0" t="inlineStr">
        <is>
          <t xml:space="preserve">DEFINITIVE CONTRACT</t>
        </is>
      </c>
      <c r="F241" s="0" t="inlineStr">
        <is>
          <t xml:space="preserve">2013-07-03</t>
        </is>
      </c>
      <c r="G241" s="0" t="inlineStr">
        <is>
          <t xml:space="preserve">2013-07-25</t>
        </is>
      </c>
      <c r="H241" s="4">
        <v>0.5</v>
      </c>
      <c r="I241" s="4">
        <v>0.5</v>
      </c>
    </row>
    <row r="242">
      <c r="B242" s="0" t="inlineStr">
        <is>
          <t xml:space="preserve">MARITIME APPLIED PHYSICS</t>
        </is>
      </c>
      <c r="C242" s="0" t="inlineStr">
        <is>
          <t xml:space="preserve">HR001109C0037</t>
        </is>
      </c>
      <c r="D242" s="0" t="inlineStr">
        <is>
          <t xml:space="preserve">no</t>
        </is>
      </c>
      <c r="E242" s="0" t="inlineStr">
        <is>
          <t xml:space="preserve">DEFINITIVE CONTRACT</t>
        </is>
      </c>
      <c r="F242" s="0" t="inlineStr">
        <is>
          <t xml:space="preserve">2009-07-24</t>
        </is>
      </c>
      <c r="G242" s="0" t="inlineStr">
        <is>
          <t xml:space="preserve">2009-07-24</t>
        </is>
      </c>
      <c r="H242" s="4">
        <v>0.5</v>
      </c>
      <c r="I242" s="4">
        <v>0.5</v>
      </c>
    </row>
    <row r="243">
      <c r="B243" s="0" t="inlineStr">
        <is>
          <t xml:space="preserve">HII UNMANNED SYSTEMS</t>
        </is>
      </c>
      <c r="C243" s="0" t="inlineStr">
        <is>
          <t xml:space="preserve">N0003922F2017</t>
        </is>
      </c>
      <c r="D243" s="0" t="inlineStr">
        <is>
          <t xml:space="preserve">no</t>
        </is>
      </c>
      <c r="E243" s="0" t="inlineStr">
        <is>
          <t xml:space="preserve">DELIVERY ORDER</t>
        </is>
      </c>
      <c r="F243" s="0" t="inlineStr">
        <is>
          <t xml:space="preserve">2022-05-10</t>
        </is>
      </c>
      <c r="G243" s="0" t="inlineStr">
        <is>
          <t xml:space="preserve">2022-05-10</t>
        </is>
      </c>
      <c r="H243" s="4">
        <v>1.0</v>
      </c>
      <c r="I243" s="4">
        <v>0.5</v>
      </c>
    </row>
    <row r="244">
      <c r="B244" s="0" t="inlineStr">
        <is>
          <t xml:space="preserve">HII UNMANNED SYSTEMS</t>
        </is>
      </c>
      <c r="C244" s="0" t="inlineStr">
        <is>
          <t xml:space="preserve">N6600118F0662</t>
        </is>
      </c>
      <c r="D244" s="0" t="inlineStr">
        <is>
          <t xml:space="preserve">no</t>
        </is>
      </c>
      <c r="E244" s="0" t="inlineStr">
        <is>
          <t xml:space="preserve">DELIVERY ORDER</t>
        </is>
      </c>
      <c r="F244" s="0" t="inlineStr">
        <is>
          <t xml:space="preserve">2019-02-04</t>
        </is>
      </c>
      <c r="G244" s="0" t="inlineStr">
        <is>
          <t xml:space="preserve">2019-02-04</t>
        </is>
      </c>
      <c r="H244" s="4">
        <v>0.6</v>
      </c>
      <c r="I244" s="4">
        <v>0.5</v>
      </c>
    </row>
    <row r="245">
      <c r="B245" s="0" t="inlineStr">
        <is>
          <t xml:space="preserve">HII UNMANNED SYSTEMS</t>
        </is>
      </c>
      <c r="C245" s="0" t="inlineStr">
        <is>
          <t xml:space="preserve">0001</t>
        </is>
      </c>
      <c r="D245" s="0" t="inlineStr">
        <is>
          <t xml:space="preserve">no</t>
        </is>
      </c>
      <c r="E245" s="0" t="inlineStr">
        <is>
          <t xml:space="preserve">DELIVERY ORDER</t>
        </is>
      </c>
      <c r="F245" s="0" t="inlineStr">
        <is>
          <t xml:space="preserve">2014-04-07</t>
        </is>
      </c>
      <c r="G245" s="0" t="inlineStr">
        <is>
          <t xml:space="preserve">2014-04-07</t>
        </is>
      </c>
      <c r="H245" s="4">
        <v>0.5</v>
      </c>
      <c r="I245" s="4">
        <v>0.5</v>
      </c>
    </row>
    <row r="246">
      <c r="B246" s="0" t="inlineStr">
        <is>
          <t xml:space="preserve">HII UNMANNED SYSTEMS</t>
        </is>
      </c>
      <c r="C246" s="0" t="inlineStr">
        <is>
          <t xml:space="preserve">0014</t>
        </is>
      </c>
      <c r="D246" s="0" t="inlineStr">
        <is>
          <t xml:space="preserve">no</t>
        </is>
      </c>
      <c r="E246" s="0" t="inlineStr">
        <is>
          <t xml:space="preserve">DELIVERY ORDER</t>
        </is>
      </c>
      <c r="F246" s="0" t="inlineStr">
        <is>
          <t xml:space="preserve">2014-09-30</t>
        </is>
      </c>
      <c r="G246" s="0" t="inlineStr">
        <is>
          <t xml:space="preserve">2014-09-30</t>
        </is>
      </c>
      <c r="H246" s="4">
        <v>0.5</v>
      </c>
      <c r="I246" s="4">
        <v>0.5</v>
      </c>
    </row>
    <row r="247">
      <c r="B247" s="0" t="inlineStr">
        <is>
          <t xml:space="preserve">HII UNMANNED SYSTEMS</t>
        </is>
      </c>
      <c r="C247" s="0" t="inlineStr">
        <is>
          <t xml:space="preserve">0003</t>
        </is>
      </c>
      <c r="D247" s="0" t="inlineStr">
        <is>
          <t xml:space="preserve">no</t>
        </is>
      </c>
      <c r="E247" s="0" t="inlineStr">
        <is>
          <t xml:space="preserve">DELIVERY ORDER</t>
        </is>
      </c>
      <c r="F247" s="0" t="inlineStr">
        <is>
          <t xml:space="preserve">2012-09-19</t>
        </is>
      </c>
      <c r="G247" s="0" t="inlineStr">
        <is>
          <t xml:space="preserve">2013-01-23</t>
        </is>
      </c>
      <c r="H247" s="4">
        <v>0.5</v>
      </c>
      <c r="I247" s="4">
        <v>0.5</v>
      </c>
    </row>
    <row r="248">
      <c r="B248" s="0" t="inlineStr">
        <is>
          <t xml:space="preserve">L3HARRIS TECHNOLOGIES</t>
        </is>
      </c>
      <c r="C248" s="0" t="inlineStr">
        <is>
          <t xml:space="preserve">ZD030199303C2211MDA90391D0099</t>
        </is>
      </c>
      <c r="D248" s="0" t="inlineStr">
        <is>
          <t xml:space="preserve">no</t>
        </is>
      </c>
      <c r="E248" s="0" t="inlineStr">
        <is>
          <t xml:space="preserve">DELIVERY ORDER</t>
        </is>
      </c>
      <c r="F248" s="0" t="inlineStr">
        <is>
          <t xml:space="preserve">1993-03-15</t>
        </is>
      </c>
      <c r="G248" s="0" t="inlineStr">
        <is>
          <t xml:space="preserve">1993-03-15</t>
        </is>
      </c>
      <c r="H248" s="4">
        <v>0.0</v>
      </c>
      <c r="I248" s="4">
        <v>0.5</v>
      </c>
    </row>
    <row r="249">
      <c r="B249" s="0" t="inlineStr">
        <is>
          <t xml:space="preserve">L3HARRIS TECHNOLOGIES</t>
        </is>
      </c>
      <c r="C249" s="0" t="inlineStr">
        <is>
          <t xml:space="preserve">0ZD04198308C2429MDA90481C0238</t>
        </is>
      </c>
      <c r="D249" s="0" t="inlineStr">
        <is>
          <t xml:space="preserve">no</t>
        </is>
      </c>
      <c r="E249" s="0" t="inlineStr">
        <is>
          <t xml:space="preserve">DELIVERY ORDER</t>
        </is>
      </c>
      <c r="F249" s="0" t="inlineStr">
        <is>
          <t xml:space="preserve">1983-08-15</t>
        </is>
      </c>
      <c r="G249" s="0" t="inlineStr">
        <is>
          <t xml:space="preserve">1983-08-15</t>
        </is>
      </c>
      <c r="H249" s="4">
        <v>0.0</v>
      </c>
      <c r="I249" s="4">
        <v>0.5</v>
      </c>
    </row>
    <row r="250">
      <c r="B250" s="0" t="inlineStr">
        <is>
          <t xml:space="preserve">L3HARRIS TECHNOLOGIES</t>
        </is>
      </c>
      <c r="C250" s="0" t="inlineStr">
        <is>
          <t xml:space="preserve">HR090199102BF3361590C1469</t>
        </is>
      </c>
      <c r="D250" s="0" t="inlineStr">
        <is>
          <t xml:space="preserve">no</t>
        </is>
      </c>
      <c r="E250" s="0" t="inlineStr">
        <is>
          <t xml:space="preserve">PURCHASE ORDER</t>
        </is>
      </c>
      <c r="F250" s="0" t="inlineStr">
        <is>
          <t xml:space="preserve">1991-02-15</t>
        </is>
      </c>
      <c r="G250" s="0" t="inlineStr">
        <is>
          <t xml:space="preserve">1991-02-15</t>
        </is>
      </c>
      <c r="H250" s="4">
        <v>0.0</v>
      </c>
      <c r="I250" s="4">
        <v>0.5</v>
      </c>
    </row>
    <row r="251">
      <c r="B251" s="0" t="inlineStr">
        <is>
          <t xml:space="preserve">L3HARRIS TECHNOLOGIES</t>
        </is>
      </c>
      <c r="C251" s="0" t="inlineStr">
        <is>
          <t xml:space="preserve">AB070198403C4232DAAB0782CJ228</t>
        </is>
      </c>
      <c r="D251" s="0" t="inlineStr">
        <is>
          <t xml:space="preserve">no</t>
        </is>
      </c>
      <c r="E251" s="0" t="inlineStr">
        <is>
          <t xml:space="preserve">DELIVERY ORDER</t>
        </is>
      </c>
      <c r="F251" s="0" t="inlineStr">
        <is>
          <t xml:space="preserve">1984-03-15</t>
        </is>
      </c>
      <c r="G251" s="0" t="inlineStr">
        <is>
          <t xml:space="preserve">1984-03-15</t>
        </is>
      </c>
      <c r="H251" s="4">
        <v>0.0</v>
      </c>
      <c r="I251" s="4">
        <v>0.5</v>
      </c>
    </row>
    <row r="252">
      <c r="B252" s="0" t="inlineStr">
        <is>
          <t xml:space="preserve">L3HARRIS TECHNOLOGIES</t>
        </is>
      </c>
      <c r="C252" s="0" t="inlineStr">
        <is>
          <t xml:space="preserve">E614A198311C0280N0001482C0270</t>
        </is>
      </c>
      <c r="D252" s="0" t="inlineStr">
        <is>
          <t xml:space="preserve">no</t>
        </is>
      </c>
      <c r="E252" s="0" t="inlineStr">
        <is>
          <t xml:space="preserve">DELIVERY ORDER</t>
        </is>
      </c>
      <c r="F252" s="0" t="inlineStr">
        <is>
          <t xml:space="preserve">1983-11-15</t>
        </is>
      </c>
      <c r="G252" s="0" t="inlineStr">
        <is>
          <t xml:space="preserve">1983-11-15</t>
        </is>
      </c>
      <c r="H252" s="4">
        <v>0.0</v>
      </c>
      <c r="I252" s="4">
        <v>0.5</v>
      </c>
    </row>
    <row r="253">
      <c r="B253" s="0" t="inlineStr">
        <is>
          <t xml:space="preserve">L3HARRIS TECHNOLOGIES</t>
        </is>
      </c>
      <c r="C253" s="0" t="inlineStr">
        <is>
          <t xml:space="preserve">01190198208C4946DAAB0779G6229</t>
        </is>
      </c>
      <c r="D253" s="0" t="inlineStr">
        <is>
          <t xml:space="preserve">no</t>
        </is>
      </c>
      <c r="E253" s="0" t="inlineStr">
        <is>
          <t xml:space="preserve">DELIVERY ORDER</t>
        </is>
      </c>
      <c r="F253" s="0" t="inlineStr">
        <is>
          <t xml:space="preserve">1982-08-15</t>
        </is>
      </c>
      <c r="G253" s="0" t="inlineStr">
        <is>
          <t xml:space="preserve">1982-08-15</t>
        </is>
      </c>
      <c r="H253" s="4">
        <v>0.0</v>
      </c>
      <c r="I253" s="4">
        <v>0.5</v>
      </c>
    </row>
    <row r="254">
      <c r="B254" s="0" t="inlineStr">
        <is>
          <t xml:space="preserve">L3HARRIS TECHNOLOGIES</t>
        </is>
      </c>
      <c r="C254" s="0" t="inlineStr">
        <is>
          <t xml:space="preserve">AB070198301D3548DAAB0783CH012</t>
        </is>
      </c>
      <c r="D254" s="0" t="inlineStr">
        <is>
          <t xml:space="preserve">no</t>
        </is>
      </c>
      <c r="E254" s="0" t="inlineStr">
        <is>
          <t xml:space="preserve">DEFINITIVE CONTRACT</t>
        </is>
      </c>
      <c r="F254" s="0" t="inlineStr">
        <is>
          <t xml:space="preserve">1983-01-15</t>
        </is>
      </c>
      <c r="G254" s="0" t="inlineStr">
        <is>
          <t xml:space="preserve">1983-01-15</t>
        </is>
      </c>
      <c r="H254" s="4">
        <v>0.0</v>
      </c>
      <c r="I254" s="4">
        <v>0.5</v>
      </c>
    </row>
    <row r="255">
      <c r="B255" s="0" t="inlineStr">
        <is>
          <t xml:space="preserve">TEXTRON SYSTEMS</t>
        </is>
      </c>
      <c r="C255" s="0" t="inlineStr">
        <is>
          <t xml:space="preserve">W91CRB11C0124</t>
        </is>
      </c>
      <c r="D255" s="0" t="inlineStr">
        <is>
          <t xml:space="preserve">no</t>
        </is>
      </c>
      <c r="E255" s="0" t="inlineStr">
        <is>
          <t xml:space="preserve">DEFINITIVE CONTRACT</t>
        </is>
      </c>
      <c r="F255" s="0" t="inlineStr">
        <is>
          <t xml:space="preserve">2012-10-30</t>
        </is>
      </c>
      <c r="G255" s="0" t="inlineStr">
        <is>
          <t xml:space="preserve">2012-10-30</t>
        </is>
      </c>
      <c r="H255" s="4">
        <v>0.5</v>
      </c>
      <c r="I255" s="4">
        <v>0.5</v>
      </c>
    </row>
    <row r="256">
      <c r="B256" s="0" t="inlineStr">
        <is>
          <t xml:space="preserve">AUSTAL USA</t>
        </is>
      </c>
      <c r="C256" s="0" t="inlineStr">
        <is>
          <t xml:space="preserve">N6264925FR032</t>
        </is>
      </c>
      <c r="D256" s="0" t="inlineStr">
        <is>
          <t xml:space="preserve">no</t>
        </is>
      </c>
      <c r="E256" s="0" t="inlineStr">
        <is>
          <t xml:space="preserve">DELIVERY ORDER</t>
        </is>
      </c>
      <c r="F256" s="0" t="inlineStr">
        <is>
          <t xml:space="preserve">2025-05-30</t>
        </is>
      </c>
      <c r="G256" s="0" t="inlineStr">
        <is>
          <t xml:space="preserve">2025-05-30</t>
        </is>
      </c>
      <c r="H256" s="4">
        <v>0.5</v>
      </c>
      <c r="I256" s="4">
        <v>0.5</v>
      </c>
    </row>
    <row r="257">
      <c r="B257" s="0" t="inlineStr">
        <is>
          <t xml:space="preserve">SPATIAL INTEGRATED SYSTEMS</t>
        </is>
      </c>
      <c r="C257" s="0" t="inlineStr">
        <is>
          <t xml:space="preserve">HC102824F0102</t>
        </is>
      </c>
      <c r="D257" s="0" t="inlineStr">
        <is>
          <t xml:space="preserve">no</t>
        </is>
      </c>
      <c r="E257" s="0" t="inlineStr">
        <is>
          <t xml:space="preserve">DELIVERY ORDER</t>
        </is>
      </c>
      <c r="F257" s="0" t="inlineStr">
        <is>
          <t xml:space="preserve">2023-12-21</t>
        </is>
      </c>
      <c r="G257" s="0" t="inlineStr">
        <is>
          <t xml:space="preserve">2023-12-21</t>
        </is>
      </c>
      <c r="H257" s="4">
        <v>0.4</v>
      </c>
      <c r="I257" s="4">
        <v>0.4</v>
      </c>
    </row>
    <row r="258">
      <c r="B258" s="0" t="inlineStr">
        <is>
          <t xml:space="preserve">MARITIME APPLIED PHYSICS</t>
        </is>
      </c>
      <c r="C258" s="0" t="inlineStr">
        <is>
          <t xml:space="preserve">N0010423PLE28</t>
        </is>
      </c>
      <c r="D258" s="0" t="inlineStr">
        <is>
          <t xml:space="preserve">no</t>
        </is>
      </c>
      <c r="E258" s="0" t="inlineStr">
        <is>
          <t xml:space="preserve">PURCHASE ORDER</t>
        </is>
      </c>
      <c r="F258" s="0" t="inlineStr">
        <is>
          <t xml:space="preserve">2023-07-18</t>
        </is>
      </c>
      <c r="G258" s="0" t="inlineStr">
        <is>
          <t xml:space="preserve">2024-01-25</t>
        </is>
      </c>
      <c r="H258" s="4">
        <v>0.4</v>
      </c>
      <c r="I258" s="4">
        <v>0.4</v>
      </c>
    </row>
    <row r="259">
      <c r="B259" s="0" t="inlineStr">
        <is>
          <t xml:space="preserve">MARITIME APPLIED PHYSICS</t>
        </is>
      </c>
      <c r="C259" s="0" t="inlineStr">
        <is>
          <t xml:space="preserve">N0010423PLA05</t>
        </is>
      </c>
      <c r="D259" s="0" t="inlineStr">
        <is>
          <t xml:space="preserve">no</t>
        </is>
      </c>
      <c r="E259" s="0" t="inlineStr">
        <is>
          <t xml:space="preserve">PURCHASE ORDER</t>
        </is>
      </c>
      <c r="F259" s="0" t="inlineStr">
        <is>
          <t xml:space="preserve">2022-10-12</t>
        </is>
      </c>
      <c r="G259" s="0" t="inlineStr">
        <is>
          <t xml:space="preserve">2023-10-25</t>
        </is>
      </c>
      <c r="H259" s="4">
        <v>0.4</v>
      </c>
      <c r="I259" s="4">
        <v>0.4</v>
      </c>
    </row>
    <row r="260">
      <c r="B260" s="0" t="inlineStr">
        <is>
          <t xml:space="preserve">MARITIME APPLIED PHYSICS</t>
        </is>
      </c>
      <c r="C260" s="0" t="inlineStr">
        <is>
          <t xml:space="preserve">N0010422PLC98</t>
        </is>
      </c>
      <c r="D260" s="0" t="inlineStr">
        <is>
          <t xml:space="preserve">no</t>
        </is>
      </c>
      <c r="E260" s="0" t="inlineStr">
        <is>
          <t xml:space="preserve">PURCHASE ORDER</t>
        </is>
      </c>
      <c r="F260" s="0" t="inlineStr">
        <is>
          <t xml:space="preserve">2022-07-12</t>
        </is>
      </c>
      <c r="G260" s="0" t="inlineStr">
        <is>
          <t xml:space="preserve">2022-07-12</t>
        </is>
      </c>
      <c r="H260" s="4">
        <v>0.4</v>
      </c>
      <c r="I260" s="4">
        <v>0.4</v>
      </c>
    </row>
    <row r="261">
      <c r="B261" s="0" t="inlineStr">
        <is>
          <t xml:space="preserve">HII UNMANNED SYSTEMS</t>
        </is>
      </c>
      <c r="C261" s="0" t="inlineStr">
        <is>
          <t xml:space="preserve">N6133121F0004</t>
        </is>
      </c>
      <c r="D261" s="0" t="inlineStr">
        <is>
          <t xml:space="preserve">no</t>
        </is>
      </c>
      <c r="E261" s="0" t="inlineStr">
        <is>
          <t xml:space="preserve">DELIVERY ORDER</t>
        </is>
      </c>
      <c r="F261" s="0" t="inlineStr">
        <is>
          <t xml:space="preserve">2021-02-25</t>
        </is>
      </c>
      <c r="G261" s="0" t="inlineStr">
        <is>
          <t xml:space="preserve">2021-02-25</t>
        </is>
      </c>
      <c r="H261" s="4">
        <v>0.4</v>
      </c>
      <c r="I261" s="4">
        <v>0.4</v>
      </c>
    </row>
    <row r="262">
      <c r="B262" s="0" t="inlineStr">
        <is>
          <t xml:space="preserve">HII UNMANNED SYSTEMS</t>
        </is>
      </c>
      <c r="C262" s="0" t="inlineStr">
        <is>
          <t xml:space="preserve">0019</t>
        </is>
      </c>
      <c r="D262" s="0" t="inlineStr">
        <is>
          <t xml:space="preserve">no</t>
        </is>
      </c>
      <c r="E262" s="0" t="inlineStr">
        <is>
          <t xml:space="preserve">DELIVERY ORDER</t>
        </is>
      </c>
      <c r="F262" s="0" t="inlineStr">
        <is>
          <t xml:space="preserve">2017-03-02</t>
        </is>
      </c>
      <c r="G262" s="0" t="inlineStr">
        <is>
          <t xml:space="preserve">2017-03-02</t>
        </is>
      </c>
      <c r="H262" s="4">
        <v>0.4</v>
      </c>
      <c r="I262" s="4">
        <v>0.4</v>
      </c>
    </row>
    <row r="263">
      <c r="B263" s="0" t="inlineStr">
        <is>
          <t xml:space="preserve">L3HARRIS TECHNOLOGIES</t>
        </is>
      </c>
      <c r="C263" s="0" t="inlineStr">
        <is>
          <t xml:space="preserve">E614A198704C1632N0001485C0455</t>
        </is>
      </c>
      <c r="D263" s="0" t="inlineStr">
        <is>
          <t xml:space="preserve">no</t>
        </is>
      </c>
      <c r="E263" s="0" t="inlineStr">
        <is>
          <t xml:space="preserve">DELIVERY ORDER</t>
        </is>
      </c>
      <c r="F263" s="0" t="inlineStr">
        <is>
          <t xml:space="preserve">1987-04-15</t>
        </is>
      </c>
      <c r="G263" s="0" t="inlineStr">
        <is>
          <t xml:space="preserve">1987-04-15</t>
        </is>
      </c>
      <c r="H263" s="4">
        <v>0.0</v>
      </c>
      <c r="I263" s="4">
        <v>0.4</v>
      </c>
    </row>
    <row r="264">
      <c r="B264" s="0" t="inlineStr">
        <is>
          <t xml:space="preserve">L3HARRIS TECHNOLOGIES</t>
        </is>
      </c>
      <c r="C264" s="0" t="inlineStr">
        <is>
          <t xml:space="preserve">02140198207C1764N0001482C0270</t>
        </is>
      </c>
      <c r="D264" s="0" t="inlineStr">
        <is>
          <t xml:space="preserve">no</t>
        </is>
      </c>
      <c r="E264" s="0" t="inlineStr">
        <is>
          <t xml:space="preserve">DELIVERY ORDER</t>
        </is>
      </c>
      <c r="F264" s="0" t="inlineStr">
        <is>
          <t xml:space="preserve">1982-07-15</t>
        </is>
      </c>
      <c r="G264" s="0" t="inlineStr">
        <is>
          <t xml:space="preserve">1982-07-15</t>
        </is>
      </c>
      <c r="H264" s="4">
        <v>0.0</v>
      </c>
      <c r="I264" s="4">
        <v>0.4</v>
      </c>
    </row>
    <row r="265">
      <c r="B265" s="0" t="inlineStr">
        <is>
          <t xml:space="preserve">L3HARRIS TECHNOLOGIES</t>
        </is>
      </c>
      <c r="C265" s="0" t="inlineStr">
        <is>
          <t xml:space="preserve">HC090198109C0068F0470178C0039</t>
        </is>
      </c>
      <c r="D265" s="0" t="inlineStr">
        <is>
          <t xml:space="preserve">no</t>
        </is>
      </c>
      <c r="E265" s="0" t="inlineStr">
        <is>
          <t xml:space="preserve">DELIVERY ORDER</t>
        </is>
      </c>
      <c r="F265" s="0" t="inlineStr">
        <is>
          <t xml:space="preserve">1981-09-15</t>
        </is>
      </c>
      <c r="G265" s="0" t="inlineStr">
        <is>
          <t xml:space="preserve">1981-09-15</t>
        </is>
      </c>
      <c r="H265" s="4">
        <v>0.0</v>
      </c>
      <c r="I265" s="4">
        <v>0.4</v>
      </c>
    </row>
    <row r="266">
      <c r="B266" s="0" t="inlineStr">
        <is>
          <t xml:space="preserve">TEXTRON SYSTEMS</t>
        </is>
      </c>
      <c r="C266" s="0" t="inlineStr">
        <is>
          <t xml:space="preserve">N6893624F0592</t>
        </is>
      </c>
      <c r="D266" s="0" t="inlineStr">
        <is>
          <t xml:space="preserve">no</t>
        </is>
      </c>
      <c r="E266" s="0" t="inlineStr">
        <is>
          <t xml:space="preserve">DELIVERY ORDER</t>
        </is>
      </c>
      <c r="F266" s="0" t="inlineStr">
        <is>
          <t xml:space="preserve">2024-07-30</t>
        </is>
      </c>
      <c r="G266" s="0" t="inlineStr">
        <is>
          <t xml:space="preserve">2024-07-30</t>
        </is>
      </c>
      <c r="H266" s="4">
        <v>1.3</v>
      </c>
      <c r="I266" s="4">
        <v>0.4</v>
      </c>
    </row>
    <row r="267">
      <c r="B267" s="0" t="inlineStr">
        <is>
          <t xml:space="preserve">TEXTRON SYSTEMS</t>
        </is>
      </c>
      <c r="C267" s="0" t="inlineStr">
        <is>
          <t xml:space="preserve">N0038319FNQ02</t>
        </is>
      </c>
      <c r="D267" s="0" t="inlineStr">
        <is>
          <t xml:space="preserve">no</t>
        </is>
      </c>
      <c r="E267" s="0" t="inlineStr">
        <is>
          <t xml:space="preserve">DELIVERY ORDER</t>
        </is>
      </c>
      <c r="F267" s="0" t="inlineStr">
        <is>
          <t xml:space="preserve">2020-04-07</t>
        </is>
      </c>
      <c r="G267" s="0" t="inlineStr">
        <is>
          <t xml:space="preserve">2020-05-14</t>
        </is>
      </c>
      <c r="H267" s="4">
        <v>0.4</v>
      </c>
      <c r="I267" s="4">
        <v>0.4</v>
      </c>
    </row>
    <row r="268">
      <c r="B268" s="0" t="inlineStr">
        <is>
          <t xml:space="preserve">TEXTRON SYSTEMS</t>
        </is>
      </c>
      <c r="C268" s="0" t="inlineStr">
        <is>
          <t xml:space="preserve">FA821318C0055</t>
        </is>
      </c>
      <c r="D268" s="0" t="inlineStr">
        <is>
          <t xml:space="preserve">no</t>
        </is>
      </c>
      <c r="E268" s="0" t="inlineStr">
        <is>
          <t xml:space="preserve">DEFINITIVE CONTRACT</t>
        </is>
      </c>
      <c r="F268" s="0" t="inlineStr">
        <is>
          <t xml:space="preserve">2018-09-26</t>
        </is>
      </c>
      <c r="G268" s="0" t="inlineStr">
        <is>
          <t xml:space="preserve">2018-09-26</t>
        </is>
      </c>
      <c r="H268" s="4">
        <v>0.4</v>
      </c>
      <c r="I268" s="4">
        <v>0.4</v>
      </c>
    </row>
    <row r="269">
      <c r="B269" s="0" t="inlineStr">
        <is>
          <t xml:space="preserve">AUSTAL USA</t>
        </is>
      </c>
      <c r="C269" s="0" t="inlineStr">
        <is>
          <t xml:space="preserve">N5523624F8452</t>
        </is>
      </c>
      <c r="D269" s="0" t="inlineStr">
        <is>
          <t xml:space="preserve">no</t>
        </is>
      </c>
      <c r="E269" s="0" t="inlineStr">
        <is>
          <t xml:space="preserve">DELIVERY ORDER</t>
        </is>
      </c>
      <c r="F269" s="0" t="inlineStr">
        <is>
          <t xml:space="preserve">2024-04-26</t>
        </is>
      </c>
      <c r="G269" s="0" t="inlineStr">
        <is>
          <t xml:space="preserve">2024-04-26</t>
        </is>
      </c>
      <c r="H269" s="4">
        <v>0.4</v>
      </c>
      <c r="I269" s="4">
        <v>0.4</v>
      </c>
    </row>
    <row r="270">
      <c r="B270" s="0" t="inlineStr">
        <is>
          <t xml:space="preserve">OCEAN AERO</t>
        </is>
      </c>
      <c r="C270" s="0" t="inlineStr">
        <is>
          <t xml:space="preserve">HQ08452290061</t>
        </is>
      </c>
      <c r="D270" s="0" t="inlineStr">
        <is>
          <t xml:space="preserve">yes</t>
        </is>
      </c>
      <c r="E270" s="0" t="inlineStr">
        <is>
          <t xml:space="preserve">OTHER TRANSACTION AGREEMENT</t>
        </is>
      </c>
      <c r="F270" s="0" t="inlineStr">
        <is>
          <t xml:space="preserve">2022-08-22</t>
        </is>
      </c>
      <c r="G270" s="0" t="inlineStr">
        <is>
          <t xml:space="preserve">2022-12-21</t>
        </is>
      </c>
      <c r="H270" s="4">
        <v>0.3</v>
      </c>
      <c r="I270" s="4">
        <v>0.3</v>
      </c>
    </row>
    <row r="271">
      <c r="B271" s="0" t="inlineStr">
        <is>
          <t xml:space="preserve">SPATIAL INTEGRATED SYSTEMS</t>
        </is>
      </c>
      <c r="C271" s="0" t="inlineStr">
        <is>
          <t xml:space="preserve">HC102819F1247</t>
        </is>
      </c>
      <c r="D271" s="0" t="inlineStr">
        <is>
          <t xml:space="preserve">no</t>
        </is>
      </c>
      <c r="E271" s="0" t="inlineStr">
        <is>
          <t xml:space="preserve">DELIVERY ORDER</t>
        </is>
      </c>
      <c r="F271" s="0" t="inlineStr">
        <is>
          <t xml:space="preserve">2020-08-26</t>
        </is>
      </c>
      <c r="G271" s="0" t="inlineStr">
        <is>
          <t xml:space="preserve">2020-08-26</t>
        </is>
      </c>
      <c r="H271" s="4">
        <v>0.3</v>
      </c>
      <c r="I271" s="4">
        <v>0.3</v>
      </c>
    </row>
    <row r="272">
      <c r="B272" s="0" t="inlineStr">
        <is>
          <t xml:space="preserve">MARITIME APPLIED PHYSICS</t>
        </is>
      </c>
      <c r="C272" s="0" t="inlineStr">
        <is>
          <t xml:space="preserve">N0010425PLB23</t>
        </is>
      </c>
      <c r="D272" s="0" t="inlineStr">
        <is>
          <t xml:space="preserve">no</t>
        </is>
      </c>
      <c r="E272" s="0" t="inlineStr">
        <is>
          <t xml:space="preserve">PURCHASE ORDER</t>
        </is>
      </c>
      <c r="F272" s="0" t="inlineStr">
        <is>
          <t xml:space="preserve">2025-02-21</t>
        </is>
      </c>
      <c r="G272" s="0" t="inlineStr">
        <is>
          <t xml:space="preserve">2025-07-31</t>
        </is>
      </c>
      <c r="H272" s="4">
        <v>0.3</v>
      </c>
      <c r="I272" s="4">
        <v>0.3</v>
      </c>
    </row>
    <row r="273">
      <c r="B273" s="0" t="inlineStr">
        <is>
          <t xml:space="preserve">MARITIME APPLIED PHYSICS</t>
        </is>
      </c>
      <c r="C273" s="0" t="inlineStr">
        <is>
          <t xml:space="preserve">SPRMM122PYA33</t>
        </is>
      </c>
      <c r="D273" s="0" t="inlineStr">
        <is>
          <t xml:space="preserve">no</t>
        </is>
      </c>
      <c r="E273" s="0" t="inlineStr">
        <is>
          <t xml:space="preserve">PURCHASE ORDER</t>
        </is>
      </c>
      <c r="F273" s="0" t="inlineStr">
        <is>
          <t xml:space="preserve">2024-03-07</t>
        </is>
      </c>
      <c r="G273" s="0" t="inlineStr">
        <is>
          <t xml:space="preserve">2024-03-07</t>
        </is>
      </c>
      <c r="H273" s="4">
        <v>0.3</v>
      </c>
      <c r="I273" s="4">
        <v>0.3</v>
      </c>
    </row>
    <row r="274">
      <c r="B274" s="0" t="inlineStr">
        <is>
          <t xml:space="preserve">HII UNMANNED SYSTEMS</t>
        </is>
      </c>
      <c r="C274" s="0" t="inlineStr">
        <is>
          <t xml:space="preserve">N6133114C0016</t>
        </is>
      </c>
      <c r="D274" s="0" t="inlineStr">
        <is>
          <t xml:space="preserve">no</t>
        </is>
      </c>
      <c r="E274" s="0" t="inlineStr">
        <is>
          <t xml:space="preserve">DEFINITIVE CONTRACT</t>
        </is>
      </c>
      <c r="F274" s="0" t="inlineStr">
        <is>
          <t xml:space="preserve">2014-04-24</t>
        </is>
      </c>
      <c r="G274" s="0" t="inlineStr">
        <is>
          <t xml:space="preserve">2015-03-25</t>
        </is>
      </c>
      <c r="H274" s="4">
        <v>0.3</v>
      </c>
      <c r="I274" s="4">
        <v>0.3</v>
      </c>
    </row>
    <row r="275">
      <c r="B275" s="0" t="inlineStr">
        <is>
          <t xml:space="preserve">HII UNMANNED SYSTEMS</t>
        </is>
      </c>
      <c r="C275" s="0" t="inlineStr">
        <is>
          <t xml:space="preserve">N0003922F2016</t>
        </is>
      </c>
      <c r="D275" s="0" t="inlineStr">
        <is>
          <t xml:space="preserve">no</t>
        </is>
      </c>
      <c r="E275" s="0" t="inlineStr">
        <is>
          <t xml:space="preserve">DELIVERY ORDER</t>
        </is>
      </c>
      <c r="F275" s="0" t="inlineStr">
        <is>
          <t xml:space="preserve">2024-01-22</t>
        </is>
      </c>
      <c r="G275" s="0" t="inlineStr">
        <is>
          <t xml:space="preserve">2024-01-25</t>
        </is>
      </c>
      <c r="H275" s="4">
        <v>0.3</v>
      </c>
      <c r="I275" s="4">
        <v>0.3</v>
      </c>
    </row>
    <row r="276">
      <c r="B276" s="0" t="inlineStr">
        <is>
          <t xml:space="preserve">HII UNMANNED SYSTEMS</t>
        </is>
      </c>
      <c r="C276" s="0" t="inlineStr">
        <is>
          <t xml:space="preserve">N6660417F2594</t>
        </is>
      </c>
      <c r="D276" s="0" t="inlineStr">
        <is>
          <t xml:space="preserve">no</t>
        </is>
      </c>
      <c r="E276" s="0" t="inlineStr">
        <is>
          <t xml:space="preserve">DELIVERY ORDER</t>
        </is>
      </c>
      <c r="F276" s="0" t="inlineStr">
        <is>
          <t xml:space="preserve">2018-06-29</t>
        </is>
      </c>
      <c r="G276" s="0" t="inlineStr">
        <is>
          <t xml:space="preserve">2018-06-29</t>
        </is>
      </c>
      <c r="H276" s="4">
        <v>0.3</v>
      </c>
      <c r="I276" s="4">
        <v>0.3</v>
      </c>
    </row>
    <row r="277">
      <c r="B277" s="0" t="inlineStr">
        <is>
          <t xml:space="preserve">HII UNMANNED SYSTEMS</t>
        </is>
      </c>
      <c r="C277" s="0" t="inlineStr">
        <is>
          <t xml:space="preserve">N6133117F0403</t>
        </is>
      </c>
      <c r="D277" s="0" t="inlineStr">
        <is>
          <t xml:space="preserve">no</t>
        </is>
      </c>
      <c r="E277" s="0" t="inlineStr">
        <is>
          <t xml:space="preserve">DELIVERY ORDER</t>
        </is>
      </c>
      <c r="F277" s="0" t="inlineStr">
        <is>
          <t xml:space="preserve">2017-03-08</t>
        </is>
      </c>
      <c r="G277" s="0" t="inlineStr">
        <is>
          <t xml:space="preserve">2017-03-08</t>
        </is>
      </c>
      <c r="H277" s="4">
        <v>0.3</v>
      </c>
      <c r="I277" s="4">
        <v>0.3</v>
      </c>
    </row>
    <row r="278">
      <c r="B278" s="0" t="inlineStr">
        <is>
          <t xml:space="preserve">L3HARRIS TECHNOLOGIES</t>
        </is>
      </c>
      <c r="C278" s="0" t="inlineStr">
        <is>
          <t xml:space="preserve">00609199509CC51356V609P1698</t>
        </is>
      </c>
      <c r="D278" s="0" t="inlineStr">
        <is>
          <t xml:space="preserve">no</t>
        </is>
      </c>
      <c r="E278" s="0" t="inlineStr">
        <is>
          <t xml:space="preserve">DELIVERY ORDER</t>
        </is>
      </c>
      <c r="F278" s="0" t="inlineStr">
        <is>
          <t xml:space="preserve">1995-09-15</t>
        </is>
      </c>
      <c r="G278" s="0" t="inlineStr">
        <is>
          <t xml:space="preserve">1995-09-15</t>
        </is>
      </c>
      <c r="H278" s="4">
        <v>0.0</v>
      </c>
      <c r="I278" s="4">
        <v>0.3</v>
      </c>
    </row>
    <row r="279">
      <c r="B279" s="0" t="inlineStr">
        <is>
          <t xml:space="preserve">TEXTRON SYSTEMS</t>
        </is>
      </c>
      <c r="C279" s="0" t="inlineStr">
        <is>
          <t xml:space="preserve">N6833525F0128</t>
        </is>
      </c>
      <c r="D279" s="0" t="inlineStr">
        <is>
          <t xml:space="preserve">no</t>
        </is>
      </c>
      <c r="E279" s="0" t="inlineStr">
        <is>
          <t xml:space="preserve">DELIVERY ORDER</t>
        </is>
      </c>
      <c r="F279" s="0" t="inlineStr">
        <is>
          <t xml:space="preserve">2025-02-24</t>
        </is>
      </c>
      <c r="G279" s="0" t="inlineStr">
        <is>
          <t xml:space="preserve">2026-02-20</t>
        </is>
      </c>
      <c r="H279" s="4">
        <v>0.4</v>
      </c>
      <c r="I279" s="4">
        <v>0.3</v>
      </c>
    </row>
    <row r="280">
      <c r="B280" s="0" t="inlineStr">
        <is>
          <t xml:space="preserve">TEXTRON SYSTEMS</t>
        </is>
      </c>
      <c r="C280" s="0" t="inlineStr">
        <is>
          <t xml:space="preserve">N0038325CP013</t>
        </is>
      </c>
      <c r="D280" s="0" t="inlineStr">
        <is>
          <t xml:space="preserve">no</t>
        </is>
      </c>
      <c r="E280" s="0" t="inlineStr">
        <is>
          <t xml:space="preserve">DEFINITIVE CONTRACT</t>
        </is>
      </c>
      <c r="F280" s="0" t="inlineStr">
        <is>
          <t xml:space="preserve">2025-06-24</t>
        </is>
      </c>
      <c r="G280" s="0" t="inlineStr">
        <is>
          <t xml:space="preserve">2025-06-24</t>
        </is>
      </c>
      <c r="H280" s="4">
        <v>0.3</v>
      </c>
      <c r="I280" s="4">
        <v>0.3</v>
      </c>
    </row>
    <row r="281">
      <c r="B281" s="0" t="inlineStr">
        <is>
          <t xml:space="preserve">TEXTRON SYSTEMS</t>
        </is>
      </c>
      <c r="C281" s="0" t="inlineStr">
        <is>
          <t xml:space="preserve">N0038322FZD05</t>
        </is>
      </c>
      <c r="D281" s="0" t="inlineStr">
        <is>
          <t xml:space="preserve">no</t>
        </is>
      </c>
      <c r="E281" s="0" t="inlineStr">
        <is>
          <t xml:space="preserve">DELIVERY ORDER</t>
        </is>
      </c>
      <c r="F281" s="0" t="inlineStr">
        <is>
          <t xml:space="preserve">2021-12-21</t>
        </is>
      </c>
      <c r="G281" s="0" t="inlineStr">
        <is>
          <t xml:space="preserve">2021-12-21</t>
        </is>
      </c>
      <c r="H281" s="4">
        <v>0.3</v>
      </c>
      <c r="I281" s="4">
        <v>0.3</v>
      </c>
    </row>
    <row r="282">
      <c r="B282" s="0" t="inlineStr">
        <is>
          <t xml:space="preserve">TEXTRON SYSTEMS</t>
        </is>
      </c>
      <c r="C282" s="0" t="inlineStr">
        <is>
          <t xml:space="preserve">FA851722F0004</t>
        </is>
      </c>
      <c r="D282" s="0" t="inlineStr">
        <is>
          <t xml:space="preserve">no</t>
        </is>
      </c>
      <c r="E282" s="0" t="inlineStr">
        <is>
          <t xml:space="preserve">DELIVERY ORDER</t>
        </is>
      </c>
      <c r="F282" s="0" t="inlineStr">
        <is>
          <t xml:space="preserve">2025-02-05</t>
        </is>
      </c>
      <c r="G282" s="0" t="inlineStr">
        <is>
          <t xml:space="preserve">2025-02-05</t>
        </is>
      </c>
      <c r="H282" s="4">
        <v>0.3</v>
      </c>
      <c r="I282" s="4">
        <v>0.3</v>
      </c>
    </row>
    <row r="283">
      <c r="B283" s="0" t="inlineStr">
        <is>
          <t xml:space="preserve">TEXTRON SYSTEMS</t>
        </is>
      </c>
      <c r="C283" s="0" t="inlineStr">
        <is>
          <t xml:space="preserve">FA852323F0048</t>
        </is>
      </c>
      <c r="D283" s="0" t="inlineStr">
        <is>
          <t xml:space="preserve">no</t>
        </is>
      </c>
      <c r="E283" s="0" t="inlineStr">
        <is>
          <t xml:space="preserve">DELIVERY ORDER</t>
        </is>
      </c>
      <c r="F283" s="0" t="inlineStr">
        <is>
          <t xml:space="preserve">2023-08-28</t>
        </is>
      </c>
      <c r="G283" s="0" t="inlineStr">
        <is>
          <t xml:space="preserve">2023-08-28</t>
        </is>
      </c>
      <c r="H283" s="4">
        <v>0.3</v>
      </c>
      <c r="I283" s="4">
        <v>0.3</v>
      </c>
    </row>
    <row r="284">
      <c r="B284" s="0" t="inlineStr">
        <is>
          <t xml:space="preserve">TEXTRON SYSTEMS</t>
        </is>
      </c>
      <c r="C284" s="0" t="inlineStr">
        <is>
          <t xml:space="preserve">FA852324F0042</t>
        </is>
      </c>
      <c r="D284" s="0" t="inlineStr">
        <is>
          <t xml:space="preserve">no</t>
        </is>
      </c>
      <c r="E284" s="0" t="inlineStr">
        <is>
          <t xml:space="preserve">DELIVERY ORDER</t>
        </is>
      </c>
      <c r="F284" s="0" t="inlineStr">
        <is>
          <t xml:space="preserve">2024-06-26</t>
        </is>
      </c>
      <c r="G284" s="0" t="inlineStr">
        <is>
          <t xml:space="preserve">2024-06-26</t>
        </is>
      </c>
      <c r="H284" s="4">
        <v>0.3</v>
      </c>
      <c r="I284" s="4">
        <v>0.3</v>
      </c>
    </row>
    <row r="285">
      <c r="B285" s="0" t="inlineStr">
        <is>
          <t xml:space="preserve">TEXTRON SYSTEMS</t>
        </is>
      </c>
      <c r="C285" s="0" t="inlineStr">
        <is>
          <t xml:space="preserve">FA851720F0044</t>
        </is>
      </c>
      <c r="D285" s="0" t="inlineStr">
        <is>
          <t xml:space="preserve">no</t>
        </is>
      </c>
      <c r="E285" s="0" t="inlineStr">
        <is>
          <t xml:space="preserve">DELIVERY ORDER</t>
        </is>
      </c>
      <c r="F285" s="0" t="inlineStr">
        <is>
          <t xml:space="preserve">2020-10-26</t>
        </is>
      </c>
      <c r="G285" s="0" t="inlineStr">
        <is>
          <t xml:space="preserve">2020-10-26</t>
        </is>
      </c>
      <c r="H285" s="4">
        <v>0.3</v>
      </c>
      <c r="I285" s="4">
        <v>0.3</v>
      </c>
    </row>
    <row r="286">
      <c r="B286" s="0" t="inlineStr">
        <is>
          <t xml:space="preserve">TEXTRON SYSTEMS</t>
        </is>
      </c>
      <c r="C286" s="0" t="inlineStr">
        <is>
          <t xml:space="preserve">W911QX12C0079</t>
        </is>
      </c>
      <c r="D286" s="0" t="inlineStr">
        <is>
          <t xml:space="preserve">no</t>
        </is>
      </c>
      <c r="E286" s="0" t="inlineStr">
        <is>
          <t xml:space="preserve">DEFINITIVE CONTRACT</t>
        </is>
      </c>
      <c r="F286" s="0" t="inlineStr">
        <is>
          <t xml:space="preserve">2012-06-28</t>
        </is>
      </c>
      <c r="G286" s="0" t="inlineStr">
        <is>
          <t xml:space="preserve">2012-06-28</t>
        </is>
      </c>
      <c r="H286" s="4">
        <v>0.3</v>
      </c>
      <c r="I286" s="4">
        <v>0.3</v>
      </c>
    </row>
    <row r="287">
      <c r="B287" s="0" t="inlineStr">
        <is>
          <t xml:space="preserve">AUSTAL USA</t>
        </is>
      </c>
      <c r="C287" s="0" t="inlineStr">
        <is>
          <t xml:space="preserve">N4034523F0287</t>
        </is>
      </c>
      <c r="D287" s="0" t="inlineStr">
        <is>
          <t xml:space="preserve">no</t>
        </is>
      </c>
      <c r="E287" s="0" t="inlineStr">
        <is>
          <t xml:space="preserve">DELIVERY ORDER</t>
        </is>
      </c>
      <c r="F287" s="0" t="inlineStr">
        <is>
          <t xml:space="preserve">2023-04-28</t>
        </is>
      </c>
      <c r="G287" s="0" t="inlineStr">
        <is>
          <t xml:space="preserve">2023-04-28</t>
        </is>
      </c>
      <c r="H287" s="4">
        <v>0.3</v>
      </c>
      <c r="I287" s="4">
        <v>0.3</v>
      </c>
    </row>
    <row r="288">
      <c r="B288" s="0" t="inlineStr">
        <is>
          <t xml:space="preserve">AUSTAL USA</t>
        </is>
      </c>
      <c r="C288" s="0" t="inlineStr">
        <is>
          <t xml:space="preserve">N4034524F0244</t>
        </is>
      </c>
      <c r="D288" s="0" t="inlineStr">
        <is>
          <t xml:space="preserve">no</t>
        </is>
      </c>
      <c r="E288" s="0" t="inlineStr">
        <is>
          <t xml:space="preserve">DELIVERY ORDER</t>
        </is>
      </c>
      <c r="F288" s="0" t="inlineStr">
        <is>
          <t xml:space="preserve">2024-06-11</t>
        </is>
      </c>
      <c r="G288" s="0" t="inlineStr">
        <is>
          <t xml:space="preserve">2024-06-11</t>
        </is>
      </c>
      <c r="H288" s="4">
        <v>0.3</v>
      </c>
      <c r="I288" s="4">
        <v>0.3</v>
      </c>
    </row>
    <row r="289">
      <c r="B289" s="0" t="inlineStr">
        <is>
          <t xml:space="preserve">SEA MACHINES</t>
        </is>
      </c>
      <c r="C289" s="0" t="inlineStr">
        <is>
          <t xml:space="preserve">W912HZ22P0139</t>
        </is>
      </c>
      <c r="D289" s="0" t="inlineStr">
        <is>
          <t xml:space="preserve">no</t>
        </is>
      </c>
      <c r="E289" s="0" t="inlineStr">
        <is>
          <t xml:space="preserve">PURCHASE ORDER</t>
        </is>
      </c>
      <c r="F289" s="0" t="inlineStr">
        <is>
          <t xml:space="preserve">2022-09-16</t>
        </is>
      </c>
      <c r="G289" s="0" t="inlineStr">
        <is>
          <t xml:space="preserve">2023-03-09</t>
        </is>
      </c>
      <c r="H289" s="4">
        <v>0.3</v>
      </c>
      <c r="I289" s="4">
        <v>0.2</v>
      </c>
    </row>
    <row r="290">
      <c r="B290" s="0" t="inlineStr">
        <is>
          <t xml:space="preserve">SPATIAL INTEGRATED SYSTEMS</t>
        </is>
      </c>
      <c r="C290" s="0" t="inlineStr">
        <is>
          <t xml:space="preserve">W911N221F0194</t>
        </is>
      </c>
      <c r="D290" s="0" t="inlineStr">
        <is>
          <t xml:space="preserve">no</t>
        </is>
      </c>
      <c r="E290" s="0" t="inlineStr">
        <is>
          <t xml:space="preserve">DELIVERY ORDER</t>
        </is>
      </c>
      <c r="F290" s="0" t="inlineStr">
        <is>
          <t xml:space="preserve">2025-02-07</t>
        </is>
      </c>
      <c r="G290" s="0" t="inlineStr">
        <is>
          <t xml:space="preserve">2025-07-14</t>
        </is>
      </c>
      <c r="H290" s="4">
        <v>0.2</v>
      </c>
      <c r="I290" s="4">
        <v>0.2</v>
      </c>
    </row>
    <row r="291">
      <c r="B291" s="0" t="inlineStr">
        <is>
          <t xml:space="preserve">SPATIAL INTEGRATED SYSTEMS</t>
        </is>
      </c>
      <c r="C291" s="0" t="inlineStr">
        <is>
          <t xml:space="preserve">HC102823F0566</t>
        </is>
      </c>
      <c r="D291" s="0" t="inlineStr">
        <is>
          <t xml:space="preserve">no</t>
        </is>
      </c>
      <c r="E291" s="0" t="inlineStr">
        <is>
          <t xml:space="preserve">DELIVERY ORDER</t>
        </is>
      </c>
      <c r="F291" s="0" t="inlineStr">
        <is>
          <t xml:space="preserve">2023-06-12</t>
        </is>
      </c>
      <c r="G291" s="0" t="inlineStr">
        <is>
          <t xml:space="preserve">2023-06-12</t>
        </is>
      </c>
      <c r="H291" s="4">
        <v>0.2</v>
      </c>
      <c r="I291" s="4">
        <v>0.2</v>
      </c>
    </row>
    <row r="292">
      <c r="B292" s="0" t="inlineStr">
        <is>
          <t xml:space="preserve">SPATIAL INTEGRATED SYSTEMS</t>
        </is>
      </c>
      <c r="C292" s="0" t="inlineStr">
        <is>
          <t xml:space="preserve">HC102816F0774</t>
        </is>
      </c>
      <c r="D292" s="0" t="inlineStr">
        <is>
          <t xml:space="preserve">no</t>
        </is>
      </c>
      <c r="E292" s="0" t="inlineStr">
        <is>
          <t xml:space="preserve">DELIVERY ORDER</t>
        </is>
      </c>
      <c r="F292" s="0" t="inlineStr">
        <is>
          <t xml:space="preserve">2016-09-12</t>
        </is>
      </c>
      <c r="G292" s="0" t="inlineStr">
        <is>
          <t xml:space="preserve">2016-09-12</t>
        </is>
      </c>
      <c r="H292" s="4">
        <v>0.2</v>
      </c>
      <c r="I292" s="4">
        <v>0.2</v>
      </c>
    </row>
    <row r="293">
      <c r="B293" s="0" t="inlineStr">
        <is>
          <t xml:space="preserve">SPATIAL INTEGRATED SYSTEMS</t>
        </is>
      </c>
      <c r="C293" s="0" t="inlineStr">
        <is>
          <t xml:space="preserve">N6852025F0060</t>
        </is>
      </c>
      <c r="D293" s="0" t="inlineStr">
        <is>
          <t xml:space="preserve">no</t>
        </is>
      </c>
      <c r="E293" s="0" t="inlineStr">
        <is>
          <t xml:space="preserve">DELIVERY ORDER</t>
        </is>
      </c>
      <c r="F293" s="0" t="inlineStr">
        <is>
          <t xml:space="preserve">2025-01-29</t>
        </is>
      </c>
      <c r="G293" s="0" t="inlineStr">
        <is>
          <t xml:space="preserve">2025-01-29</t>
        </is>
      </c>
      <c r="H293" s="4">
        <v>0.2</v>
      </c>
      <c r="I293" s="4">
        <v>0.2</v>
      </c>
    </row>
    <row r="294">
      <c r="B294" s="0" t="inlineStr">
        <is>
          <t xml:space="preserve">MARITIME APPLIED PHYSICS</t>
        </is>
      </c>
      <c r="C294" s="0" t="inlineStr">
        <is>
          <t xml:space="preserve">N0010422PLD72</t>
        </is>
      </c>
      <c r="D294" s="0" t="inlineStr">
        <is>
          <t xml:space="preserve">no</t>
        </is>
      </c>
      <c r="E294" s="0" t="inlineStr">
        <is>
          <t xml:space="preserve">PURCHASE ORDER</t>
        </is>
      </c>
      <c r="F294" s="0" t="inlineStr">
        <is>
          <t xml:space="preserve">2022-08-04</t>
        </is>
      </c>
      <c r="G294" s="0" t="inlineStr">
        <is>
          <t xml:space="preserve">2024-01-25</t>
        </is>
      </c>
      <c r="H294" s="4">
        <v>0.2</v>
      </c>
      <c r="I294" s="4">
        <v>0.2</v>
      </c>
    </row>
    <row r="295">
      <c r="B295" s="0" t="inlineStr">
        <is>
          <t xml:space="preserve">MARITIME APPLIED PHYSICS</t>
        </is>
      </c>
      <c r="C295" s="0" t="inlineStr">
        <is>
          <t xml:space="preserve">N0010424PLA65</t>
        </is>
      </c>
      <c r="D295" s="0" t="inlineStr">
        <is>
          <t xml:space="preserve">no</t>
        </is>
      </c>
      <c r="E295" s="0" t="inlineStr">
        <is>
          <t xml:space="preserve">PURCHASE ORDER</t>
        </is>
      </c>
      <c r="F295" s="0" t="inlineStr">
        <is>
          <t xml:space="preserve">2023-11-16</t>
        </is>
      </c>
      <c r="G295" s="0" t="inlineStr">
        <is>
          <t xml:space="preserve">2026-03-18</t>
        </is>
      </c>
      <c r="H295" s="4">
        <v>0.2</v>
      </c>
      <c r="I295" s="4">
        <v>0.2</v>
      </c>
    </row>
    <row r="296">
      <c r="B296" s="0" t="inlineStr">
        <is>
          <t xml:space="preserve">MARITIME APPLIED PHYSICS</t>
        </is>
      </c>
      <c r="C296" s="0" t="inlineStr">
        <is>
          <t xml:space="preserve">HY02332690016</t>
        </is>
      </c>
      <c r="D296" s="0" t="inlineStr">
        <is>
          <t xml:space="preserve">yes</t>
        </is>
      </c>
      <c r="E296" s="0" t="inlineStr">
        <is>
          <t xml:space="preserve">OTHER TRANSACTION AGREEMENT</t>
        </is>
      </c>
      <c r="F296" s="0" t="inlineStr">
        <is>
          <t xml:space="preserve">2026-02-27</t>
        </is>
      </c>
      <c r="G296" s="0" t="inlineStr">
        <is>
          <t xml:space="preserve">2026-02-27</t>
        </is>
      </c>
      <c r="H296" s="4">
        <v>0.2</v>
      </c>
      <c r="I296" s="4">
        <v>0.2</v>
      </c>
    </row>
    <row r="297">
      <c r="B297" s="0" t="inlineStr">
        <is>
          <t xml:space="preserve">MARITIME APPLIED PHYSICS</t>
        </is>
      </c>
      <c r="C297" s="0" t="inlineStr">
        <is>
          <t xml:space="preserve">SPE8EE26P0194</t>
        </is>
      </c>
      <c r="D297" s="0" t="inlineStr">
        <is>
          <t xml:space="preserve">no</t>
        </is>
      </c>
      <c r="E297" s="0" t="inlineStr">
        <is>
          <t xml:space="preserve">PURCHASE ORDER</t>
        </is>
      </c>
      <c r="F297" s="0" t="inlineStr">
        <is>
          <t xml:space="preserve">2025-12-19</t>
        </is>
      </c>
      <c r="G297" s="0" t="inlineStr">
        <is>
          <t xml:space="preserve">2025-12-19</t>
        </is>
      </c>
      <c r="H297" s="4">
        <v>0.2</v>
      </c>
      <c r="I297" s="4">
        <v>0.2</v>
      </c>
    </row>
    <row r="298">
      <c r="B298" s="0" t="inlineStr">
        <is>
          <t xml:space="preserve">MARITIME APPLIED PHYSICS</t>
        </is>
      </c>
      <c r="C298" s="0" t="inlineStr">
        <is>
          <t xml:space="preserve">N0002424CS041</t>
        </is>
      </c>
      <c r="D298" s="0" t="inlineStr">
        <is>
          <t xml:space="preserve">no</t>
        </is>
      </c>
      <c r="E298" s="0" t="inlineStr">
        <is>
          <t xml:space="preserve">DEFINITIVE CONTRACT</t>
        </is>
      </c>
      <c r="F298" s="0" t="inlineStr">
        <is>
          <t xml:space="preserve">2024-09-26</t>
        </is>
      </c>
      <c r="G298" s="0" t="inlineStr">
        <is>
          <t xml:space="preserve">2024-09-26</t>
        </is>
      </c>
      <c r="H298" s="4">
        <v>0.2</v>
      </c>
      <c r="I298" s="4">
        <v>0.2</v>
      </c>
    </row>
    <row r="299">
      <c r="B299" s="0" t="inlineStr">
        <is>
          <t xml:space="preserve">MARITIME APPLIED PHYSICS</t>
        </is>
      </c>
      <c r="C299" s="0" t="inlineStr">
        <is>
          <t xml:space="preserve">N0010422PLD38</t>
        </is>
      </c>
      <c r="D299" s="0" t="inlineStr">
        <is>
          <t xml:space="preserve">no</t>
        </is>
      </c>
      <c r="E299" s="0" t="inlineStr">
        <is>
          <t xml:space="preserve">PURCHASE ORDER</t>
        </is>
      </c>
      <c r="F299" s="0" t="inlineStr">
        <is>
          <t xml:space="preserve">2023-08-22</t>
        </is>
      </c>
      <c r="G299" s="0" t="inlineStr">
        <is>
          <t xml:space="preserve">2023-08-22</t>
        </is>
      </c>
      <c r="H299" s="4">
        <v>0.2</v>
      </c>
      <c r="I299" s="4">
        <v>0.2</v>
      </c>
    </row>
    <row r="300">
      <c r="B300" s="0" t="inlineStr">
        <is>
          <t xml:space="preserve">MARITIME APPLIED PHYSICS</t>
        </is>
      </c>
      <c r="C300" s="0" t="inlineStr">
        <is>
          <t xml:space="preserve">70Z08020FP45G6600</t>
        </is>
      </c>
      <c r="D300" s="0" t="inlineStr">
        <is>
          <t xml:space="preserve">no</t>
        </is>
      </c>
      <c r="E300" s="0" t="inlineStr">
        <is>
          <t xml:space="preserve">DELIVERY ORDER</t>
        </is>
      </c>
      <c r="F300" s="0" t="inlineStr">
        <is>
          <t xml:space="preserve">2020-09-02</t>
        </is>
      </c>
      <c r="G300" s="0" t="inlineStr">
        <is>
          <t xml:space="preserve">2020-09-02</t>
        </is>
      </c>
      <c r="H300" s="4">
        <v>0.2</v>
      </c>
      <c r="I300" s="4">
        <v>0.2</v>
      </c>
    </row>
    <row r="301">
      <c r="B301" s="0" t="inlineStr">
        <is>
          <t xml:space="preserve">MARITIME APPLIED PHYSICS</t>
        </is>
      </c>
      <c r="C301" s="0" t="inlineStr">
        <is>
          <t xml:space="preserve">SPE7MC22P2570</t>
        </is>
      </c>
      <c r="D301" s="0" t="inlineStr">
        <is>
          <t xml:space="preserve">no</t>
        </is>
      </c>
      <c r="E301" s="0" t="inlineStr">
        <is>
          <t xml:space="preserve">PURCHASE ORDER</t>
        </is>
      </c>
      <c r="F301" s="0" t="inlineStr">
        <is>
          <t xml:space="preserve">2022-11-17</t>
        </is>
      </c>
      <c r="G301" s="0" t="inlineStr">
        <is>
          <t xml:space="preserve">2022-11-17</t>
        </is>
      </c>
      <c r="H301" s="4">
        <v>0.2</v>
      </c>
      <c r="I301" s="4">
        <v>0.2</v>
      </c>
    </row>
    <row r="302">
      <c r="B302" s="0" t="inlineStr">
        <is>
          <t xml:space="preserve">MARITIME APPLIED PHYSICS</t>
        </is>
      </c>
      <c r="C302" s="0" t="inlineStr">
        <is>
          <t xml:space="preserve">SPRMM121PYB10</t>
        </is>
      </c>
      <c r="D302" s="0" t="inlineStr">
        <is>
          <t xml:space="preserve">no</t>
        </is>
      </c>
      <c r="E302" s="0" t="inlineStr">
        <is>
          <t xml:space="preserve">PURCHASE ORDER</t>
        </is>
      </c>
      <c r="F302" s="0" t="inlineStr">
        <is>
          <t xml:space="preserve">2021-08-10</t>
        </is>
      </c>
      <c r="G302" s="0" t="inlineStr">
        <is>
          <t xml:space="preserve">2021-08-10</t>
        </is>
      </c>
      <c r="H302" s="4">
        <v>0.2</v>
      </c>
      <c r="I302" s="4">
        <v>0.2</v>
      </c>
    </row>
    <row r="303">
      <c r="B303" s="0" t="inlineStr">
        <is>
          <t xml:space="preserve">HII UNMANNED SYSTEMS</t>
        </is>
      </c>
      <c r="C303" s="0" t="inlineStr">
        <is>
          <t xml:space="preserve">N6133108P3517</t>
        </is>
      </c>
      <c r="D303" s="0" t="inlineStr">
        <is>
          <t xml:space="preserve">no</t>
        </is>
      </c>
      <c r="E303" s="0" t="inlineStr">
        <is>
          <t xml:space="preserve">PURCHASE ORDER</t>
        </is>
      </c>
      <c r="F303" s="0" t="inlineStr">
        <is>
          <t xml:space="preserve">2008-01-24</t>
        </is>
      </c>
      <c r="G303" s="0" t="inlineStr">
        <is>
          <t xml:space="preserve">2008-04-29</t>
        </is>
      </c>
      <c r="H303" s="4">
        <v>0.2</v>
      </c>
      <c r="I303" s="4">
        <v>0.2</v>
      </c>
    </row>
    <row r="304">
      <c r="B304" s="0" t="inlineStr">
        <is>
          <t xml:space="preserve">HII UNMANNED SYSTEMS</t>
        </is>
      </c>
      <c r="C304" s="0" t="inlineStr">
        <is>
          <t xml:space="preserve">N6133124P0129</t>
        </is>
      </c>
      <c r="D304" s="0" t="inlineStr">
        <is>
          <t xml:space="preserve">no</t>
        </is>
      </c>
      <c r="E304" s="0" t="inlineStr">
        <is>
          <t xml:space="preserve">PURCHASE ORDER</t>
        </is>
      </c>
      <c r="F304" s="0" t="inlineStr">
        <is>
          <t xml:space="preserve">2024-09-26</t>
        </is>
      </c>
      <c r="G304" s="0" t="inlineStr">
        <is>
          <t xml:space="preserve">2024-09-26</t>
        </is>
      </c>
      <c r="H304" s="4">
        <v>0.2</v>
      </c>
      <c r="I304" s="4">
        <v>0.2</v>
      </c>
    </row>
    <row r="305">
      <c r="B305" s="0" t="inlineStr">
        <is>
          <t xml:space="preserve">HII UNMANNED SYSTEMS</t>
        </is>
      </c>
      <c r="C305" s="0" t="inlineStr">
        <is>
          <t xml:space="preserve">0049</t>
        </is>
      </c>
      <c r="D305" s="0" t="inlineStr">
        <is>
          <t xml:space="preserve">no</t>
        </is>
      </c>
      <c r="E305" s="0" t="inlineStr">
        <is>
          <t xml:space="preserve">DELIVERY ORDER</t>
        </is>
      </c>
      <c r="F305" s="0" t="inlineStr">
        <is>
          <t xml:space="preserve">2012-02-15</t>
        </is>
      </c>
      <c r="G305" s="0" t="inlineStr">
        <is>
          <t xml:space="preserve">2012-02-15</t>
        </is>
      </c>
      <c r="H305" s="4">
        <v>0.2</v>
      </c>
      <c r="I305" s="4">
        <v>0.2</v>
      </c>
    </row>
    <row r="306">
      <c r="B306" s="0" t="inlineStr">
        <is>
          <t xml:space="preserve">HII UNMANNED SYSTEMS</t>
        </is>
      </c>
      <c r="C306" s="0" t="inlineStr">
        <is>
          <t xml:space="preserve">0029</t>
        </is>
      </c>
      <c r="D306" s="0" t="inlineStr">
        <is>
          <t xml:space="preserve">no</t>
        </is>
      </c>
      <c r="E306" s="0" t="inlineStr">
        <is>
          <t xml:space="preserve">DELIVERY ORDER</t>
        </is>
      </c>
      <c r="F306" s="0" t="inlineStr">
        <is>
          <t xml:space="preserve">2011-03-29</t>
        </is>
      </c>
      <c r="G306" s="0" t="inlineStr">
        <is>
          <t xml:space="preserve">2011-03-29</t>
        </is>
      </c>
      <c r="H306" s="4">
        <v>0.2</v>
      </c>
      <c r="I306" s="4">
        <v>0.2</v>
      </c>
    </row>
    <row r="307">
      <c r="B307" s="0" t="inlineStr">
        <is>
          <t xml:space="preserve">HII UNMANNED SYSTEMS</t>
        </is>
      </c>
      <c r="C307" s="0" t="inlineStr">
        <is>
          <t xml:space="preserve">N6133119F0204</t>
        </is>
      </c>
      <c r="D307" s="0" t="inlineStr">
        <is>
          <t xml:space="preserve">no</t>
        </is>
      </c>
      <c r="E307" s="0" t="inlineStr">
        <is>
          <t xml:space="preserve">DELIVERY ORDER</t>
        </is>
      </c>
      <c r="F307" s="0" t="inlineStr">
        <is>
          <t xml:space="preserve">2020-01-09</t>
        </is>
      </c>
      <c r="G307" s="0" t="inlineStr">
        <is>
          <t xml:space="preserve">2020-01-09</t>
        </is>
      </c>
      <c r="H307" s="4">
        <v>0.2</v>
      </c>
      <c r="I307" s="4">
        <v>0.2</v>
      </c>
    </row>
    <row r="308">
      <c r="B308" s="0" t="inlineStr">
        <is>
          <t xml:space="preserve">HII UNMANNED SYSTEMS</t>
        </is>
      </c>
      <c r="C308" s="0" t="inlineStr">
        <is>
          <t xml:space="preserve">N6133119P0237</t>
        </is>
      </c>
      <c r="D308" s="0" t="inlineStr">
        <is>
          <t xml:space="preserve">no</t>
        </is>
      </c>
      <c r="E308" s="0" t="inlineStr">
        <is>
          <t xml:space="preserve">PURCHASE ORDER</t>
        </is>
      </c>
      <c r="F308" s="0" t="inlineStr">
        <is>
          <t xml:space="preserve">2020-11-04</t>
        </is>
      </c>
      <c r="G308" s="0" t="inlineStr">
        <is>
          <t xml:space="preserve">2020-11-04</t>
        </is>
      </c>
      <c r="H308" s="4">
        <v>0.2</v>
      </c>
      <c r="I308" s="4">
        <v>0.2</v>
      </c>
    </row>
    <row r="309">
      <c r="B309" s="0" t="inlineStr">
        <is>
          <t xml:space="preserve">HII UNMANNED SYSTEMS</t>
        </is>
      </c>
      <c r="C309" s="0" t="inlineStr">
        <is>
          <t xml:space="preserve">DOCEA133W12SE2240</t>
        </is>
      </c>
      <c r="D309" s="0" t="inlineStr">
        <is>
          <t xml:space="preserve">no</t>
        </is>
      </c>
      <c r="E309" s="0" t="inlineStr">
        <is>
          <t xml:space="preserve">PURCHASE ORDER</t>
        </is>
      </c>
      <c r="F309" s="0" t="inlineStr">
        <is>
          <t xml:space="preserve">2016-07-26</t>
        </is>
      </c>
      <c r="G309" s="0" t="inlineStr">
        <is>
          <t xml:space="preserve">2016-07-26</t>
        </is>
      </c>
      <c r="H309" s="4">
        <v>0.2</v>
      </c>
      <c r="I309" s="4">
        <v>0.2</v>
      </c>
    </row>
    <row r="310">
      <c r="B310" s="0" t="inlineStr">
        <is>
          <t xml:space="preserve">L3HARRIS TECHNOLOGIES</t>
        </is>
      </c>
      <c r="C310" s="0" t="inlineStr">
        <is>
          <t xml:space="preserve">0ZD04198202C1407MDA90481C0238</t>
        </is>
      </c>
      <c r="D310" s="0" t="inlineStr">
        <is>
          <t xml:space="preserve">no</t>
        </is>
      </c>
      <c r="E310" s="0" t="inlineStr">
        <is>
          <t xml:space="preserve">DELIVERY ORDER</t>
        </is>
      </c>
      <c r="F310" s="0" t="inlineStr">
        <is>
          <t xml:space="preserve">1982-02-15</t>
        </is>
      </c>
      <c r="G310" s="0" t="inlineStr">
        <is>
          <t xml:space="preserve">1982-02-15</t>
        </is>
      </c>
      <c r="H310" s="4">
        <v>0.0</v>
      </c>
      <c r="I310" s="4">
        <v>0.2</v>
      </c>
    </row>
    <row r="311">
      <c r="B311" s="0" t="inlineStr">
        <is>
          <t xml:space="preserve">L3HARRIS TECHNOLOGIES</t>
        </is>
      </c>
      <c r="C311" s="0" t="inlineStr">
        <is>
          <t xml:space="preserve">E612A198509D2270N0001485C0383</t>
        </is>
      </c>
      <c r="D311" s="0" t="inlineStr">
        <is>
          <t xml:space="preserve">no</t>
        </is>
      </c>
      <c r="E311" s="0" t="inlineStr">
        <is>
          <t xml:space="preserve">DEFINITIVE CONTRACT</t>
        </is>
      </c>
      <c r="F311" s="0" t="inlineStr">
        <is>
          <t xml:space="preserve">1985-09-15</t>
        </is>
      </c>
      <c r="G311" s="0" t="inlineStr">
        <is>
          <t xml:space="preserve">1985-09-15</t>
        </is>
      </c>
      <c r="H311" s="4">
        <v>0.0</v>
      </c>
      <c r="I311" s="4">
        <v>0.2</v>
      </c>
    </row>
    <row r="312">
      <c r="B312" s="0" t="inlineStr">
        <is>
          <t xml:space="preserve">L3HARRIS TECHNOLOGIES</t>
        </is>
      </c>
      <c r="C312" s="0" t="inlineStr">
        <is>
          <t xml:space="preserve">AB070198402C39683968DAAB0784DJ505</t>
        </is>
      </c>
      <c r="D312" s="0" t="inlineStr">
        <is>
          <t xml:space="preserve">no</t>
        </is>
      </c>
      <c r="E312" s="0" t="inlineStr">
        <is>
          <t xml:space="preserve">DELIVERY ORDER</t>
        </is>
      </c>
      <c r="F312" s="0" t="inlineStr">
        <is>
          <t xml:space="preserve">1984-02-15</t>
        </is>
      </c>
      <c r="G312" s="0" t="inlineStr">
        <is>
          <t xml:space="preserve">1984-02-15</t>
        </is>
      </c>
      <c r="H312" s="4">
        <v>0.0</v>
      </c>
      <c r="I312" s="4">
        <v>0.2</v>
      </c>
    </row>
    <row r="313">
      <c r="B313" s="0" t="inlineStr">
        <is>
          <t xml:space="preserve">L3HARRIS TECHNOLOGIES</t>
        </is>
      </c>
      <c r="C313" s="0" t="inlineStr">
        <is>
          <t xml:space="preserve">02140198204D1363N0001482C0270</t>
        </is>
      </c>
      <c r="D313" s="0" t="inlineStr">
        <is>
          <t xml:space="preserve">no</t>
        </is>
      </c>
      <c r="E313" s="0" t="inlineStr">
        <is>
          <t xml:space="preserve">DEFINITIVE CONTRACT</t>
        </is>
      </c>
      <c r="F313" s="0" t="inlineStr">
        <is>
          <t xml:space="preserve">1982-04-15</t>
        </is>
      </c>
      <c r="G313" s="0" t="inlineStr">
        <is>
          <t xml:space="preserve">1982-04-15</t>
        </is>
      </c>
      <c r="H313" s="4">
        <v>0.0</v>
      </c>
      <c r="I313" s="4">
        <v>0.2</v>
      </c>
    </row>
    <row r="314">
      <c r="B314" s="0" t="inlineStr">
        <is>
          <t xml:space="preserve">L3HARRIS TECHNOLOGIES</t>
        </is>
      </c>
      <c r="C314" s="0" t="inlineStr">
        <is>
          <t xml:space="preserve">HJ030198109C0211F3060279C0268</t>
        </is>
      </c>
      <c r="D314" s="0" t="inlineStr">
        <is>
          <t xml:space="preserve">no</t>
        </is>
      </c>
      <c r="E314" s="0" t="inlineStr">
        <is>
          <t xml:space="preserve">DELIVERY ORDER</t>
        </is>
      </c>
      <c r="F314" s="0" t="inlineStr">
        <is>
          <t xml:space="preserve">1981-09-15</t>
        </is>
      </c>
      <c r="G314" s="0" t="inlineStr">
        <is>
          <t xml:space="preserve">1981-09-15</t>
        </is>
      </c>
      <c r="H314" s="4">
        <v>0.0</v>
      </c>
      <c r="I314" s="4">
        <v>0.2</v>
      </c>
    </row>
    <row r="315">
      <c r="B315" s="0" t="inlineStr">
        <is>
          <t xml:space="preserve">L3HARRIS TECHNOLOGIES</t>
        </is>
      </c>
      <c r="C315" s="0" t="inlineStr">
        <is>
          <t xml:space="preserve">HC090198103C0033F0470178C0039</t>
        </is>
      </c>
      <c r="D315" s="0" t="inlineStr">
        <is>
          <t xml:space="preserve">no</t>
        </is>
      </c>
      <c r="E315" s="0" t="inlineStr">
        <is>
          <t xml:space="preserve">DELIVERY ORDER</t>
        </is>
      </c>
      <c r="F315" s="0" t="inlineStr">
        <is>
          <t xml:space="preserve">1981-03-15</t>
        </is>
      </c>
      <c r="G315" s="0" t="inlineStr">
        <is>
          <t xml:space="preserve">1981-03-15</t>
        </is>
      </c>
      <c r="H315" s="4">
        <v>0.0</v>
      </c>
      <c r="I315" s="4">
        <v>0.2</v>
      </c>
    </row>
    <row r="316">
      <c r="B316" s="0" t="inlineStr">
        <is>
          <t xml:space="preserve">TEXTRON SYSTEMS</t>
        </is>
      </c>
      <c r="C316" s="0" t="inlineStr">
        <is>
          <t xml:space="preserve">W911QY21F0126</t>
        </is>
      </c>
      <c r="D316" s="0" t="inlineStr">
        <is>
          <t xml:space="preserve">no</t>
        </is>
      </c>
      <c r="E316" s="0" t="inlineStr">
        <is>
          <t xml:space="preserve">DELIVERY ORDER</t>
        </is>
      </c>
      <c r="F316" s="0" t="inlineStr">
        <is>
          <t xml:space="preserve">2021-02-04</t>
        </is>
      </c>
      <c r="G316" s="0" t="inlineStr">
        <is>
          <t xml:space="preserve">2021-02-04</t>
        </is>
      </c>
      <c r="H316" s="4">
        <v>0.2</v>
      </c>
      <c r="I316" s="4">
        <v>0.2</v>
      </c>
    </row>
    <row r="317">
      <c r="B317" s="0" t="inlineStr">
        <is>
          <t xml:space="preserve">TEXTRON SYSTEMS</t>
        </is>
      </c>
      <c r="C317" s="0" t="inlineStr">
        <is>
          <t xml:space="preserve">FA853325F0075</t>
        </is>
      </c>
      <c r="D317" s="0" t="inlineStr">
        <is>
          <t xml:space="preserve">no</t>
        </is>
      </c>
      <c r="E317" s="0" t="inlineStr">
        <is>
          <t xml:space="preserve">DELIVERY ORDER</t>
        </is>
      </c>
      <c r="F317" s="0" t="inlineStr">
        <is>
          <t xml:space="preserve">2025-05-08</t>
        </is>
      </c>
      <c r="G317" s="0" t="inlineStr">
        <is>
          <t xml:space="preserve">2025-05-08</t>
        </is>
      </c>
      <c r="H317" s="4">
        <v>0.2</v>
      </c>
      <c r="I317" s="4">
        <v>0.2</v>
      </c>
    </row>
    <row r="318">
      <c r="B318" s="0" t="inlineStr">
        <is>
          <t xml:space="preserve">TEXTRON SYSTEMS</t>
        </is>
      </c>
      <c r="C318" s="0" t="inlineStr">
        <is>
          <t xml:space="preserve">FA865017F2721</t>
        </is>
      </c>
      <c r="D318" s="0" t="inlineStr">
        <is>
          <t xml:space="preserve">no</t>
        </is>
      </c>
      <c r="E318" s="0" t="inlineStr">
        <is>
          <t xml:space="preserve">DELIVERY ORDER</t>
        </is>
      </c>
      <c r="F318" s="0" t="inlineStr">
        <is>
          <t xml:space="preserve">2017-12-04</t>
        </is>
      </c>
      <c r="G318" s="0" t="inlineStr">
        <is>
          <t xml:space="preserve">2017-12-04</t>
        </is>
      </c>
      <c r="H318" s="4">
        <v>0.2</v>
      </c>
      <c r="I318" s="4">
        <v>0.2</v>
      </c>
    </row>
    <row r="319">
      <c r="B319" s="0" t="inlineStr">
        <is>
          <t xml:space="preserve">TEXTRON SYSTEMS</t>
        </is>
      </c>
      <c r="C319" s="0" t="inlineStr">
        <is>
          <t xml:space="preserve">N6893623F0815</t>
        </is>
      </c>
      <c r="D319" s="0" t="inlineStr">
        <is>
          <t xml:space="preserve">no</t>
        </is>
      </c>
      <c r="E319" s="0" t="inlineStr">
        <is>
          <t xml:space="preserve">DELIVERY ORDER</t>
        </is>
      </c>
      <c r="F319" s="0" t="inlineStr">
        <is>
          <t xml:space="preserve">2024-08-23</t>
        </is>
      </c>
      <c r="G319" s="0" t="inlineStr">
        <is>
          <t xml:space="preserve">2024-08-23</t>
        </is>
      </c>
      <c r="H319" s="4">
        <v>0.2</v>
      </c>
      <c r="I319" s="4">
        <v>0.2</v>
      </c>
    </row>
    <row r="320">
      <c r="B320" s="0" t="inlineStr">
        <is>
          <t xml:space="preserve">TEXTRON SYSTEMS</t>
        </is>
      </c>
      <c r="C320" s="0" t="inlineStr">
        <is>
          <t xml:space="preserve">N0038324PP163</t>
        </is>
      </c>
      <c r="D320" s="0" t="inlineStr">
        <is>
          <t xml:space="preserve">no</t>
        </is>
      </c>
      <c r="E320" s="0" t="inlineStr">
        <is>
          <t xml:space="preserve">PURCHASE ORDER</t>
        </is>
      </c>
      <c r="F320" s="0" t="inlineStr">
        <is>
          <t xml:space="preserve">2024-07-23</t>
        </is>
      </c>
      <c r="G320" s="0" t="inlineStr">
        <is>
          <t xml:space="preserve">2024-07-23</t>
        </is>
      </c>
      <c r="H320" s="4">
        <v>0.2</v>
      </c>
      <c r="I320" s="4">
        <v>0.2</v>
      </c>
    </row>
    <row r="321">
      <c r="B321" s="0" t="inlineStr">
        <is>
          <t xml:space="preserve">TEXTRON SYSTEMS</t>
        </is>
      </c>
      <c r="C321" s="0" t="inlineStr">
        <is>
          <t xml:space="preserve">0009</t>
        </is>
      </c>
      <c r="D321" s="0" t="inlineStr">
        <is>
          <t xml:space="preserve">no</t>
        </is>
      </c>
      <c r="E321" s="0" t="inlineStr">
        <is>
          <t xml:space="preserve">DELIVERY ORDER</t>
        </is>
      </c>
      <c r="F321" s="0" t="inlineStr">
        <is>
          <t xml:space="preserve">2016-09-30</t>
        </is>
      </c>
      <c r="G321" s="0" t="inlineStr">
        <is>
          <t xml:space="preserve">2016-09-30</t>
        </is>
      </c>
      <c r="H321" s="4">
        <v>0.2</v>
      </c>
      <c r="I321" s="4">
        <v>0.2</v>
      </c>
    </row>
    <row r="322">
      <c r="B322" s="0" t="inlineStr">
        <is>
          <t xml:space="preserve">TEXTRON SYSTEMS</t>
        </is>
      </c>
      <c r="C322" s="0" t="inlineStr">
        <is>
          <t xml:space="preserve">SPE7M119C0005</t>
        </is>
      </c>
      <c r="D322" s="0" t="inlineStr">
        <is>
          <t xml:space="preserve">no</t>
        </is>
      </c>
      <c r="E322" s="0" t="inlineStr">
        <is>
          <t xml:space="preserve">DEFINITIVE CONTRACT</t>
        </is>
      </c>
      <c r="F322" s="0" t="inlineStr">
        <is>
          <t xml:space="preserve">2019-02-28</t>
        </is>
      </c>
      <c r="G322" s="0" t="inlineStr">
        <is>
          <t xml:space="preserve">2019-02-28</t>
        </is>
      </c>
      <c r="H322" s="4">
        <v>0.2</v>
      </c>
      <c r="I322" s="4">
        <v>0.2</v>
      </c>
    </row>
    <row r="323">
      <c r="B323" s="0" t="inlineStr">
        <is>
          <t xml:space="preserve">TEXTRON SYSTEMS</t>
        </is>
      </c>
      <c r="C323" s="0" t="inlineStr">
        <is>
          <t xml:space="preserve">N6833520P0069</t>
        </is>
      </c>
      <c r="D323" s="0" t="inlineStr">
        <is>
          <t xml:space="preserve">no</t>
        </is>
      </c>
      <c r="E323" s="0" t="inlineStr">
        <is>
          <t xml:space="preserve">PURCHASE ORDER</t>
        </is>
      </c>
      <c r="F323" s="0" t="inlineStr">
        <is>
          <t xml:space="preserve">2020-04-01</t>
        </is>
      </c>
      <c r="G323" s="0" t="inlineStr">
        <is>
          <t xml:space="preserve">2020-04-01</t>
        </is>
      </c>
      <c r="H323" s="4">
        <v>0.2</v>
      </c>
      <c r="I323" s="4">
        <v>0.2</v>
      </c>
    </row>
    <row r="324">
      <c r="B324" s="0" t="inlineStr">
        <is>
          <t xml:space="preserve">TEXTRON SYSTEMS</t>
        </is>
      </c>
      <c r="C324" s="0" t="inlineStr">
        <is>
          <t xml:space="preserve">FA821317F1003</t>
        </is>
      </c>
      <c r="D324" s="0" t="inlineStr">
        <is>
          <t xml:space="preserve">no</t>
        </is>
      </c>
      <c r="E324" s="0" t="inlineStr">
        <is>
          <t xml:space="preserve">DELIVERY ORDER</t>
        </is>
      </c>
      <c r="F324" s="0" t="inlineStr">
        <is>
          <t xml:space="preserve">2023-06-26</t>
        </is>
      </c>
      <c r="G324" s="0" t="inlineStr">
        <is>
          <t xml:space="preserve">2023-06-26</t>
        </is>
      </c>
      <c r="H324" s="4">
        <v>0.2</v>
      </c>
      <c r="I324" s="4">
        <v>0.2</v>
      </c>
    </row>
    <row r="325">
      <c r="B325" s="0" t="inlineStr">
        <is>
          <t xml:space="preserve">AUSTAL USA</t>
        </is>
      </c>
      <c r="C325" s="0" t="inlineStr">
        <is>
          <t xml:space="preserve">N6264925FRA13</t>
        </is>
      </c>
      <c r="D325" s="0" t="inlineStr">
        <is>
          <t xml:space="preserve">no</t>
        </is>
      </c>
      <c r="E325" s="0" t="inlineStr">
        <is>
          <t xml:space="preserve">DELIVERY ORDER</t>
        </is>
      </c>
      <c r="F325" s="0" t="inlineStr">
        <is>
          <t xml:space="preserve">2026-01-05</t>
        </is>
      </c>
      <c r="G325" s="0" t="inlineStr">
        <is>
          <t xml:space="preserve">2026-01-05</t>
        </is>
      </c>
      <c r="H325" s="4">
        <v>0.2</v>
      </c>
      <c r="I325" s="4">
        <v>0.2</v>
      </c>
    </row>
    <row r="326">
      <c r="B326" s="0" t="inlineStr">
        <is>
          <t xml:space="preserve">AUSTAL USA</t>
        </is>
      </c>
      <c r="C326" s="0" t="inlineStr">
        <is>
          <t xml:space="preserve">N4034523F0256</t>
        </is>
      </c>
      <c r="D326" s="0" t="inlineStr">
        <is>
          <t xml:space="preserve">no</t>
        </is>
      </c>
      <c r="E326" s="0" t="inlineStr">
        <is>
          <t xml:space="preserve">DELIVERY ORDER</t>
        </is>
      </c>
      <c r="F326" s="0" t="inlineStr">
        <is>
          <t xml:space="preserve">2023-03-27</t>
        </is>
      </c>
      <c r="G326" s="0" t="inlineStr">
        <is>
          <t xml:space="preserve">2023-03-27</t>
        </is>
      </c>
      <c r="H326" s="4">
        <v>0.2</v>
      </c>
      <c r="I326" s="4">
        <v>0.2</v>
      </c>
    </row>
    <row r="327">
      <c r="B327" s="0" t="inlineStr">
        <is>
          <t xml:space="preserve">AUSTAL USA</t>
        </is>
      </c>
      <c r="C327" s="0" t="inlineStr">
        <is>
          <t xml:space="preserve">N6264925FR010</t>
        </is>
      </c>
      <c r="D327" s="0" t="inlineStr">
        <is>
          <t xml:space="preserve">no</t>
        </is>
      </c>
      <c r="E327" s="0" t="inlineStr">
        <is>
          <t xml:space="preserve">DELIVERY ORDER</t>
        </is>
      </c>
      <c r="F327" s="0" t="inlineStr">
        <is>
          <t xml:space="preserve">2024-12-09</t>
        </is>
      </c>
      <c r="G327" s="0" t="inlineStr">
        <is>
          <t xml:space="preserve">2024-12-09</t>
        </is>
      </c>
      <c r="H327" s="4">
        <v>0.2</v>
      </c>
      <c r="I327" s="4">
        <v>0.2</v>
      </c>
    </row>
    <row r="328">
      <c r="B328" s="0" t="inlineStr">
        <is>
          <t xml:space="preserve">AUSTAL USA</t>
        </is>
      </c>
      <c r="C328" s="0" t="inlineStr">
        <is>
          <t xml:space="preserve">N5523625F8498</t>
        </is>
      </c>
      <c r="D328" s="0" t="inlineStr">
        <is>
          <t xml:space="preserve">no</t>
        </is>
      </c>
      <c r="E328" s="0" t="inlineStr">
        <is>
          <t xml:space="preserve">DELIVERY ORDER</t>
        </is>
      </c>
      <c r="F328" s="0" t="inlineStr">
        <is>
          <t xml:space="preserve">2025-02-11</t>
        </is>
      </c>
      <c r="G328" s="0" t="inlineStr">
        <is>
          <t xml:space="preserve">2025-02-11</t>
        </is>
      </c>
      <c r="H328" s="4">
        <v>0.2</v>
      </c>
      <c r="I328" s="4">
        <v>0.2</v>
      </c>
    </row>
    <row r="329">
      <c r="B329" s="0" t="inlineStr">
        <is>
          <t xml:space="preserve">AUSTAL USA</t>
        </is>
      </c>
      <c r="C329" s="0" t="inlineStr">
        <is>
          <t xml:space="preserve">N5523625F8486</t>
        </is>
      </c>
      <c r="D329" s="0" t="inlineStr">
        <is>
          <t xml:space="preserve">no</t>
        </is>
      </c>
      <c r="E329" s="0" t="inlineStr">
        <is>
          <t xml:space="preserve">DELIVERY ORDER</t>
        </is>
      </c>
      <c r="F329" s="0" t="inlineStr">
        <is>
          <t xml:space="preserve">2024-12-19</t>
        </is>
      </c>
      <c r="G329" s="0" t="inlineStr">
        <is>
          <t xml:space="preserve">2024-12-19</t>
        </is>
      </c>
      <c r="H329" s="4">
        <v>0.2</v>
      </c>
      <c r="I329" s="4">
        <v>0.2</v>
      </c>
    </row>
    <row r="330">
      <c r="B330" s="0" t="inlineStr">
        <is>
          <t xml:space="preserve">AUSTAL USA</t>
        </is>
      </c>
      <c r="C330" s="0" t="inlineStr">
        <is>
          <t xml:space="preserve">N6264925FR015</t>
        </is>
      </c>
      <c r="D330" s="0" t="inlineStr">
        <is>
          <t xml:space="preserve">no</t>
        </is>
      </c>
      <c r="E330" s="0" t="inlineStr">
        <is>
          <t xml:space="preserve">DELIVERY ORDER</t>
        </is>
      </c>
      <c r="F330" s="0" t="inlineStr">
        <is>
          <t xml:space="preserve">2024-12-16</t>
        </is>
      </c>
      <c r="G330" s="0" t="inlineStr">
        <is>
          <t xml:space="preserve">2024-12-16</t>
        </is>
      </c>
      <c r="H330" s="4">
        <v>0.2</v>
      </c>
      <c r="I330" s="4">
        <v>0.2</v>
      </c>
    </row>
    <row r="331">
      <c r="B331" s="0" t="inlineStr">
        <is>
          <t xml:space="preserve">AUSTAL USA</t>
        </is>
      </c>
      <c r="C331" s="0" t="inlineStr">
        <is>
          <t xml:space="preserve">N4034523F0426</t>
        </is>
      </c>
      <c r="D331" s="0" t="inlineStr">
        <is>
          <t xml:space="preserve">no</t>
        </is>
      </c>
      <c r="E331" s="0" t="inlineStr">
        <is>
          <t xml:space="preserve">DELIVERY ORDER</t>
        </is>
      </c>
      <c r="F331" s="0" t="inlineStr">
        <is>
          <t xml:space="preserve">2023-08-28</t>
        </is>
      </c>
      <c r="G331" s="0" t="inlineStr">
        <is>
          <t xml:space="preserve">2023-08-28</t>
        </is>
      </c>
      <c r="H331" s="4">
        <v>0.2</v>
      </c>
      <c r="I331" s="4">
        <v>0.2</v>
      </c>
    </row>
    <row r="332">
      <c r="B332" s="0" t="inlineStr">
        <is>
          <t xml:space="preserve">AUSTAL USA</t>
        </is>
      </c>
      <c r="C332" s="0" t="inlineStr">
        <is>
          <t xml:space="preserve">N4034522F0112</t>
        </is>
      </c>
      <c r="D332" s="0" t="inlineStr">
        <is>
          <t xml:space="preserve">no</t>
        </is>
      </c>
      <c r="E332" s="0" t="inlineStr">
        <is>
          <t xml:space="preserve">DELIVERY ORDER</t>
        </is>
      </c>
      <c r="F332" s="0" t="inlineStr">
        <is>
          <t xml:space="preserve">2022-03-08</t>
        </is>
      </c>
      <c r="G332" s="0" t="inlineStr">
        <is>
          <t xml:space="preserve">2022-03-08</t>
        </is>
      </c>
      <c r="H332" s="4">
        <v>0.2</v>
      </c>
      <c r="I332" s="4">
        <v>0.2</v>
      </c>
    </row>
    <row r="333">
      <c r="B333" s="0" t="inlineStr">
        <is>
          <t xml:space="preserve">OCEAN AERO</t>
        </is>
      </c>
      <c r="C333" s="0" t="inlineStr">
        <is>
          <t xml:space="preserve">N6133125F1003</t>
        </is>
      </c>
      <c r="D333" s="0" t="inlineStr">
        <is>
          <t xml:space="preserve">no</t>
        </is>
      </c>
      <c r="E333" s="0" t="inlineStr">
        <is>
          <t xml:space="preserve">DELIVERY ORDER</t>
        </is>
      </c>
      <c r="F333" s="0" t="inlineStr">
        <is>
          <t xml:space="preserve">2025-04-24</t>
        </is>
      </c>
      <c r="G333" s="0" t="inlineStr">
        <is>
          <t xml:space="preserve">2025-04-24</t>
        </is>
      </c>
      <c r="H333" s="4">
        <v>0.1</v>
      </c>
      <c r="I333" s="4">
        <v>0.1</v>
      </c>
    </row>
    <row r="334">
      <c r="B334" s="0" t="inlineStr">
        <is>
          <t xml:space="preserve">SPATIAL INTEGRATED SYSTEMS</t>
        </is>
      </c>
      <c r="C334" s="0" t="inlineStr">
        <is>
          <t xml:space="preserve">N0016413F0013</t>
        </is>
      </c>
      <c r="D334" s="0" t="inlineStr">
        <is>
          <t xml:space="preserve">no</t>
        </is>
      </c>
      <c r="E334" s="0" t="inlineStr">
        <is>
          <t xml:space="preserve">DELIVERY ORDER</t>
        </is>
      </c>
      <c r="F334" s="0" t="inlineStr">
        <is>
          <t xml:space="preserve">2012-11-16</t>
        </is>
      </c>
      <c r="G334" s="0" t="inlineStr">
        <is>
          <t xml:space="preserve">2012-11-16</t>
        </is>
      </c>
      <c r="H334" s="4">
        <v>0.1</v>
      </c>
      <c r="I334" s="4">
        <v>0.1</v>
      </c>
    </row>
    <row r="335">
      <c r="B335" s="0" t="inlineStr">
        <is>
          <t xml:space="preserve">SPATIAL INTEGRATED SYSTEMS</t>
        </is>
      </c>
      <c r="C335" s="0" t="inlineStr">
        <is>
          <t xml:space="preserve">N0017325F5310</t>
        </is>
      </c>
      <c r="D335" s="0" t="inlineStr">
        <is>
          <t xml:space="preserve">no</t>
        </is>
      </c>
      <c r="E335" s="0" t="inlineStr">
        <is>
          <t xml:space="preserve">DELIVERY ORDER</t>
        </is>
      </c>
      <c r="F335" s="0" t="inlineStr">
        <is>
          <t xml:space="preserve">2025-04-21</t>
        </is>
      </c>
      <c r="G335" s="0" t="inlineStr">
        <is>
          <t xml:space="preserve">2025-04-21</t>
        </is>
      </c>
      <c r="H335" s="4">
        <v>0.1</v>
      </c>
      <c r="I335" s="4">
        <v>0.1</v>
      </c>
    </row>
    <row r="336">
      <c r="B336" s="0" t="inlineStr">
        <is>
          <t xml:space="preserve">SPATIAL INTEGRATED SYSTEMS</t>
        </is>
      </c>
      <c r="C336" s="0" t="inlineStr">
        <is>
          <t xml:space="preserve">N0025325F7011</t>
        </is>
      </c>
      <c r="D336" s="0" t="inlineStr">
        <is>
          <t xml:space="preserve">no</t>
        </is>
      </c>
      <c r="E336" s="0" t="inlineStr">
        <is>
          <t xml:space="preserve">DELIVERY ORDER</t>
        </is>
      </c>
      <c r="F336" s="0" t="inlineStr">
        <is>
          <t xml:space="preserve">2025-07-14</t>
        </is>
      </c>
      <c r="G336" s="0" t="inlineStr">
        <is>
          <t xml:space="preserve">2025-07-14</t>
        </is>
      </c>
      <c r="H336" s="4">
        <v>0.1</v>
      </c>
      <c r="I336" s="4">
        <v>0.1</v>
      </c>
    </row>
    <row r="337">
      <c r="B337" s="0" t="inlineStr">
        <is>
          <t xml:space="preserve">SPATIAL INTEGRATED SYSTEMS</t>
        </is>
      </c>
      <c r="C337" s="0" t="inlineStr">
        <is>
          <t xml:space="preserve">FA821920F0027</t>
        </is>
      </c>
      <c r="D337" s="0" t="inlineStr">
        <is>
          <t xml:space="preserve">no</t>
        </is>
      </c>
      <c r="E337" s="0" t="inlineStr">
        <is>
          <t xml:space="preserve">DELIVERY ORDER</t>
        </is>
      </c>
      <c r="F337" s="0" t="inlineStr">
        <is>
          <t xml:space="preserve">2020-06-03</t>
        </is>
      </c>
      <c r="G337" s="0" t="inlineStr">
        <is>
          <t xml:space="preserve">2020-06-03</t>
        </is>
      </c>
      <c r="H337" s="4">
        <v>0.1</v>
      </c>
      <c r="I337" s="4">
        <v>0.1</v>
      </c>
    </row>
    <row r="338">
      <c r="B338" s="0" t="inlineStr">
        <is>
          <t xml:space="preserve">SPATIAL INTEGRATED SYSTEMS</t>
        </is>
      </c>
      <c r="C338" s="0" t="inlineStr">
        <is>
          <t xml:space="preserve">FA860420F1098</t>
        </is>
      </c>
      <c r="D338" s="0" t="inlineStr">
        <is>
          <t xml:space="preserve">no</t>
        </is>
      </c>
      <c r="E338" s="0" t="inlineStr">
        <is>
          <t xml:space="preserve">DELIVERY ORDER</t>
        </is>
      </c>
      <c r="F338" s="0" t="inlineStr">
        <is>
          <t xml:space="preserve">2020-08-12</t>
        </is>
      </c>
      <c r="G338" s="0" t="inlineStr">
        <is>
          <t xml:space="preserve">2020-08-12</t>
        </is>
      </c>
      <c r="H338" s="4">
        <v>0.1</v>
      </c>
      <c r="I338" s="4">
        <v>0.1</v>
      </c>
    </row>
    <row r="339">
      <c r="B339" s="0" t="inlineStr">
        <is>
          <t xml:space="preserve">SPATIAL INTEGRATED SYSTEMS</t>
        </is>
      </c>
      <c r="C339" s="0" t="inlineStr">
        <is>
          <t xml:space="preserve">N6660408M3169</t>
        </is>
      </c>
      <c r="D339" s="0" t="inlineStr">
        <is>
          <t xml:space="preserve">no</t>
        </is>
      </c>
      <c r="E339" s="0" t="inlineStr">
        <is>
          <t xml:space="preserve">PURCHASE ORDER</t>
        </is>
      </c>
      <c r="F339" s="0" t="inlineStr">
        <is>
          <t xml:space="preserve">2008-05-13</t>
        </is>
      </c>
      <c r="G339" s="0" t="inlineStr">
        <is>
          <t xml:space="preserve">2008-05-13</t>
        </is>
      </c>
      <c r="H339" s="4">
        <v>0.1</v>
      </c>
      <c r="I339" s="4">
        <v>0.1</v>
      </c>
    </row>
    <row r="340">
      <c r="B340" s="0" t="inlineStr">
        <is>
          <t xml:space="preserve">SPATIAL INTEGRATED SYSTEMS</t>
        </is>
      </c>
      <c r="C340" s="0" t="inlineStr">
        <is>
          <t xml:space="preserve">HHSN276201100406U</t>
        </is>
      </c>
      <c r="D340" s="0" t="inlineStr">
        <is>
          <t xml:space="preserve">no</t>
        </is>
      </c>
      <c r="E340" s="0" t="inlineStr">
        <is>
          <t xml:space="preserve">DELIVERY ORDER</t>
        </is>
      </c>
      <c r="F340" s="0" t="inlineStr">
        <is>
          <t xml:space="preserve">2011-09-15</t>
        </is>
      </c>
      <c r="G340" s="0" t="inlineStr">
        <is>
          <t xml:space="preserve">2011-09-15</t>
        </is>
      </c>
      <c r="H340" s="4">
        <v>0.1</v>
      </c>
      <c r="I340" s="4">
        <v>0.1</v>
      </c>
    </row>
    <row r="341">
      <c r="B341" s="0" t="inlineStr">
        <is>
          <t xml:space="preserve">SPATIAL INTEGRATED SYSTEMS</t>
        </is>
      </c>
      <c r="C341" s="0" t="inlineStr">
        <is>
          <t xml:space="preserve">DS000200008CT0300DS0210GS35F5466H</t>
        </is>
      </c>
      <c r="D341" s="0" t="inlineStr">
        <is>
          <t xml:space="preserve">no</t>
        </is>
      </c>
      <c r="E341" s="0" t="inlineStr">
        <is>
          <t xml:space="preserve">DELIVERY ORDER</t>
        </is>
      </c>
      <c r="F341" s="0" t="inlineStr">
        <is>
          <t xml:space="preserve">2000-08-15</t>
        </is>
      </c>
      <c r="G341" s="0" t="inlineStr">
        <is>
          <t xml:space="preserve">2000-08-15</t>
        </is>
      </c>
      <c r="H341" s="4">
        <v>0.0</v>
      </c>
      <c r="I341" s="4">
        <v>0.1</v>
      </c>
    </row>
    <row r="342">
      <c r="B342" s="0" t="inlineStr">
        <is>
          <t xml:space="preserve">SPATIAL INTEGRATED SYSTEMS</t>
        </is>
      </c>
      <c r="C342" s="0" t="inlineStr">
        <is>
          <t xml:space="preserve">M6700120F1070</t>
        </is>
      </c>
      <c r="D342" s="0" t="inlineStr">
        <is>
          <t xml:space="preserve">no</t>
        </is>
      </c>
      <c r="E342" s="0" t="inlineStr">
        <is>
          <t xml:space="preserve">DELIVERY ORDER</t>
        </is>
      </c>
      <c r="F342" s="0" t="inlineStr">
        <is>
          <t xml:space="preserve">2020-04-10</t>
        </is>
      </c>
      <c r="G342" s="0" t="inlineStr">
        <is>
          <t xml:space="preserve">2020-04-10</t>
        </is>
      </c>
      <c r="H342" s="4">
        <v>0.1</v>
      </c>
      <c r="I342" s="4">
        <v>0.1</v>
      </c>
    </row>
    <row r="343">
      <c r="B343" s="0" t="inlineStr">
        <is>
          <t xml:space="preserve">SPATIAL INTEGRATED SYSTEMS</t>
        </is>
      </c>
      <c r="C343" s="0" t="inlineStr">
        <is>
          <t xml:space="preserve">80NSSC20F0658</t>
        </is>
      </c>
      <c r="D343" s="0" t="inlineStr">
        <is>
          <t xml:space="preserve">no</t>
        </is>
      </c>
      <c r="E343" s="0" t="inlineStr">
        <is>
          <t xml:space="preserve">DELIVERY ORDER</t>
        </is>
      </c>
      <c r="F343" s="0" t="inlineStr">
        <is>
          <t xml:space="preserve">2020-04-08</t>
        </is>
      </c>
      <c r="G343" s="0" t="inlineStr">
        <is>
          <t xml:space="preserve">2020-04-08</t>
        </is>
      </c>
      <c r="H343" s="4">
        <v>0.1</v>
      </c>
      <c r="I343" s="4">
        <v>0.1</v>
      </c>
    </row>
    <row r="344">
      <c r="B344" s="0" t="inlineStr">
        <is>
          <t xml:space="preserve">SPATIAL INTEGRATED SYSTEMS</t>
        </is>
      </c>
      <c r="C344" s="0" t="inlineStr">
        <is>
          <t xml:space="preserve">N0016414P0128</t>
        </is>
      </c>
      <c r="D344" s="0" t="inlineStr">
        <is>
          <t xml:space="preserve">no</t>
        </is>
      </c>
      <c r="E344" s="0" t="inlineStr">
        <is>
          <t xml:space="preserve">PURCHASE ORDER</t>
        </is>
      </c>
      <c r="F344" s="0" t="inlineStr">
        <is>
          <t xml:space="preserve">2013-12-20</t>
        </is>
      </c>
      <c r="G344" s="0" t="inlineStr">
        <is>
          <t xml:space="preserve">2017-02-15</t>
        </is>
      </c>
      <c r="H344" s="4">
        <v>0.1</v>
      </c>
      <c r="I344" s="4">
        <v>0.1</v>
      </c>
    </row>
    <row r="345">
      <c r="B345" s="0" t="inlineStr">
        <is>
          <t xml:space="preserve">SPATIAL INTEGRATED SYSTEMS</t>
        </is>
      </c>
      <c r="C345" s="0" t="inlineStr">
        <is>
          <t xml:space="preserve">N0016417F0043</t>
        </is>
      </c>
      <c r="D345" s="0" t="inlineStr">
        <is>
          <t xml:space="preserve">no</t>
        </is>
      </c>
      <c r="E345" s="0" t="inlineStr">
        <is>
          <t xml:space="preserve">DELIVERY ORDER</t>
        </is>
      </c>
      <c r="F345" s="0" t="inlineStr">
        <is>
          <t xml:space="preserve">2017-02-23</t>
        </is>
      </c>
      <c r="G345" s="0" t="inlineStr">
        <is>
          <t xml:space="preserve">2017-02-23</t>
        </is>
      </c>
      <c r="H345" s="4">
        <v>0.2</v>
      </c>
      <c r="I345" s="4">
        <v>0.1</v>
      </c>
    </row>
    <row r="346">
      <c r="B346" s="0" t="inlineStr">
        <is>
          <t xml:space="preserve">SPATIAL INTEGRATED SYSTEMS</t>
        </is>
      </c>
      <c r="C346" s="0" t="inlineStr">
        <is>
          <t xml:space="preserve">HC102818F0946</t>
        </is>
      </c>
      <c r="D346" s="0" t="inlineStr">
        <is>
          <t xml:space="preserve">no</t>
        </is>
      </c>
      <c r="E346" s="0" t="inlineStr">
        <is>
          <t xml:space="preserve">DELIVERY ORDER</t>
        </is>
      </c>
      <c r="F346" s="0" t="inlineStr">
        <is>
          <t xml:space="preserve">2019-05-14</t>
        </is>
      </c>
      <c r="G346" s="0" t="inlineStr">
        <is>
          <t xml:space="preserve">2019-05-14</t>
        </is>
      </c>
      <c r="H346" s="4">
        <v>0.1</v>
      </c>
      <c r="I346" s="4">
        <v>0.1</v>
      </c>
    </row>
    <row r="347">
      <c r="B347" s="0" t="inlineStr">
        <is>
          <t xml:space="preserve">SPATIAL INTEGRATED SYSTEMS</t>
        </is>
      </c>
      <c r="C347" s="0" t="inlineStr">
        <is>
          <t xml:space="preserve">HC102816F0451</t>
        </is>
      </c>
      <c r="D347" s="0" t="inlineStr">
        <is>
          <t xml:space="preserve">no</t>
        </is>
      </c>
      <c r="E347" s="0" t="inlineStr">
        <is>
          <t xml:space="preserve">DELIVERY ORDER</t>
        </is>
      </c>
      <c r="F347" s="0" t="inlineStr">
        <is>
          <t xml:space="preserve">2016-07-06</t>
        </is>
      </c>
      <c r="G347" s="0" t="inlineStr">
        <is>
          <t xml:space="preserve">2017-06-13</t>
        </is>
      </c>
      <c r="H347" s="4">
        <v>0.1</v>
      </c>
      <c r="I347" s="4">
        <v>0.1</v>
      </c>
    </row>
    <row r="348">
      <c r="B348" s="0" t="inlineStr">
        <is>
          <t xml:space="preserve">SPATIAL INTEGRATED SYSTEMS</t>
        </is>
      </c>
      <c r="C348" s="0" t="inlineStr">
        <is>
          <t xml:space="preserve">HC102815F0302</t>
        </is>
      </c>
      <c r="D348" s="0" t="inlineStr">
        <is>
          <t xml:space="preserve">no</t>
        </is>
      </c>
      <c r="E348" s="0" t="inlineStr">
        <is>
          <t xml:space="preserve">DELIVERY ORDER</t>
        </is>
      </c>
      <c r="F348" s="0" t="inlineStr">
        <is>
          <t xml:space="preserve">2015-07-01</t>
        </is>
      </c>
      <c r="G348" s="0" t="inlineStr">
        <is>
          <t xml:space="preserve">2015-07-01</t>
        </is>
      </c>
      <c r="H348" s="4">
        <v>0.1</v>
      </c>
      <c r="I348" s="4">
        <v>0.1</v>
      </c>
    </row>
    <row r="349">
      <c r="B349" s="0" t="inlineStr">
        <is>
          <t xml:space="preserve">SPATIAL INTEGRATED SYSTEMS</t>
        </is>
      </c>
      <c r="C349" s="0" t="inlineStr">
        <is>
          <t xml:space="preserve">HC102815F0256</t>
        </is>
      </c>
      <c r="D349" s="0" t="inlineStr">
        <is>
          <t xml:space="preserve">no</t>
        </is>
      </c>
      <c r="E349" s="0" t="inlineStr">
        <is>
          <t xml:space="preserve">DELIVERY ORDER</t>
        </is>
      </c>
      <c r="F349" s="0" t="inlineStr">
        <is>
          <t xml:space="preserve">2015-06-02</t>
        </is>
      </c>
      <c r="G349" s="0" t="inlineStr">
        <is>
          <t xml:space="preserve">2015-06-02</t>
        </is>
      </c>
      <c r="H349" s="4">
        <v>0.1</v>
      </c>
      <c r="I349" s="4">
        <v>0.1</v>
      </c>
    </row>
    <row r="350">
      <c r="B350" s="0" t="inlineStr">
        <is>
          <t xml:space="preserve">SPATIAL INTEGRATED SYSTEMS</t>
        </is>
      </c>
      <c r="C350" s="0" t="inlineStr">
        <is>
          <t xml:space="preserve">N0016725F1112</t>
        </is>
      </c>
      <c r="D350" s="0" t="inlineStr">
        <is>
          <t xml:space="preserve">no</t>
        </is>
      </c>
      <c r="E350" s="0" t="inlineStr">
        <is>
          <t xml:space="preserve">DELIVERY ORDER</t>
        </is>
      </c>
      <c r="F350" s="0" t="inlineStr">
        <is>
          <t xml:space="preserve">2025-07-16</t>
        </is>
      </c>
      <c r="G350" s="0" t="inlineStr">
        <is>
          <t xml:space="preserve">2025-07-16</t>
        </is>
      </c>
      <c r="H350" s="4">
        <v>0.1</v>
      </c>
      <c r="I350" s="4">
        <v>0.1</v>
      </c>
    </row>
    <row r="351">
      <c r="B351" s="0" t="inlineStr">
        <is>
          <t xml:space="preserve">SPATIAL INTEGRATED SYSTEMS</t>
        </is>
      </c>
      <c r="C351" s="0" t="inlineStr">
        <is>
          <t xml:space="preserve">80NSSC25FA300</t>
        </is>
      </c>
      <c r="D351" s="0" t="inlineStr">
        <is>
          <t xml:space="preserve">no</t>
        </is>
      </c>
      <c r="E351" s="0" t="inlineStr">
        <is>
          <t xml:space="preserve">DELIVERY ORDER</t>
        </is>
      </c>
      <c r="F351" s="0" t="inlineStr">
        <is>
          <t xml:space="preserve">2025-03-24</t>
        </is>
      </c>
      <c r="G351" s="0" t="inlineStr">
        <is>
          <t xml:space="preserve">2025-03-24</t>
        </is>
      </c>
      <c r="H351" s="4">
        <v>0.1</v>
      </c>
      <c r="I351" s="4">
        <v>0.1</v>
      </c>
    </row>
    <row r="352">
      <c r="B352" s="0" t="inlineStr">
        <is>
          <t xml:space="preserve">MARITIME APPLIED PHYSICS</t>
        </is>
      </c>
      <c r="C352" s="0" t="inlineStr">
        <is>
          <t xml:space="preserve">N0010421PCD71</t>
        </is>
      </c>
      <c r="D352" s="0" t="inlineStr">
        <is>
          <t xml:space="preserve">no</t>
        </is>
      </c>
      <c r="E352" s="0" t="inlineStr">
        <is>
          <t xml:space="preserve">PURCHASE ORDER</t>
        </is>
      </c>
      <c r="F352" s="0" t="inlineStr">
        <is>
          <t xml:space="preserve">2021-09-08</t>
        </is>
      </c>
      <c r="G352" s="0" t="inlineStr">
        <is>
          <t xml:space="preserve">2023-02-16</t>
        </is>
      </c>
      <c r="H352" s="4">
        <v>0.1</v>
      </c>
      <c r="I352" s="4">
        <v>0.1</v>
      </c>
    </row>
    <row r="353">
      <c r="B353" s="0" t="inlineStr">
        <is>
          <t xml:space="preserve">MARITIME APPLIED PHYSICS</t>
        </is>
      </c>
      <c r="C353" s="0" t="inlineStr">
        <is>
          <t xml:space="preserve">N0010423PLB62</t>
        </is>
      </c>
      <c r="D353" s="0" t="inlineStr">
        <is>
          <t xml:space="preserve">no</t>
        </is>
      </c>
      <c r="E353" s="0" t="inlineStr">
        <is>
          <t xml:space="preserve">PURCHASE ORDER</t>
        </is>
      </c>
      <c r="F353" s="0" t="inlineStr">
        <is>
          <t xml:space="preserve">2023-02-17</t>
        </is>
      </c>
      <c r="G353" s="0" t="inlineStr">
        <is>
          <t xml:space="preserve">2025-03-24</t>
        </is>
      </c>
      <c r="H353" s="4">
        <v>0.1</v>
      </c>
      <c r="I353" s="4">
        <v>0.1</v>
      </c>
    </row>
    <row r="354">
      <c r="B354" s="0" t="inlineStr">
        <is>
          <t xml:space="preserve">MARITIME APPLIED PHYSICS</t>
        </is>
      </c>
      <c r="C354" s="0" t="inlineStr">
        <is>
          <t xml:space="preserve">W912KZ12P0124</t>
        </is>
      </c>
      <c r="D354" s="0" t="inlineStr">
        <is>
          <t xml:space="preserve">no</t>
        </is>
      </c>
      <c r="E354" s="0" t="inlineStr">
        <is>
          <t xml:space="preserve">PURCHASE ORDER</t>
        </is>
      </c>
      <c r="F354" s="0" t="inlineStr">
        <is>
          <t xml:space="preserve">2013-08-17</t>
        </is>
      </c>
      <c r="G354" s="0" t="inlineStr">
        <is>
          <t xml:space="preserve">2013-08-17</t>
        </is>
      </c>
      <c r="H354" s="4">
        <v>0.1</v>
      </c>
      <c r="I354" s="4">
        <v>0.1</v>
      </c>
    </row>
    <row r="355">
      <c r="B355" s="0" t="inlineStr">
        <is>
          <t xml:space="preserve">MARITIME APPLIED PHYSICS</t>
        </is>
      </c>
      <c r="C355" s="0" t="inlineStr">
        <is>
          <t xml:space="preserve">N0010422PLC59</t>
        </is>
      </c>
      <c r="D355" s="0" t="inlineStr">
        <is>
          <t xml:space="preserve">no</t>
        </is>
      </c>
      <c r="E355" s="0" t="inlineStr">
        <is>
          <t xml:space="preserve">PURCHASE ORDER</t>
        </is>
      </c>
      <c r="F355" s="0" t="inlineStr">
        <is>
          <t xml:space="preserve">2022-06-22</t>
        </is>
      </c>
      <c r="G355" s="0" t="inlineStr">
        <is>
          <t xml:space="preserve">2022-06-22</t>
        </is>
      </c>
      <c r="H355" s="4">
        <v>0.1</v>
      </c>
      <c r="I355" s="4">
        <v>0.1</v>
      </c>
    </row>
    <row r="356">
      <c r="B356" s="0" t="inlineStr">
        <is>
          <t xml:space="preserve">MARITIME APPLIED PHYSICS</t>
        </is>
      </c>
      <c r="C356" s="0" t="inlineStr">
        <is>
          <t xml:space="preserve">70Z08018FP45D3600</t>
        </is>
      </c>
      <c r="D356" s="0" t="inlineStr">
        <is>
          <t xml:space="preserve">no</t>
        </is>
      </c>
      <c r="E356" s="0" t="inlineStr">
        <is>
          <t xml:space="preserve">DELIVERY ORDER</t>
        </is>
      </c>
      <c r="F356" s="0" t="inlineStr">
        <is>
          <t xml:space="preserve">2018-03-28</t>
        </is>
      </c>
      <c r="G356" s="0" t="inlineStr">
        <is>
          <t xml:space="preserve">2018-03-28</t>
        </is>
      </c>
      <c r="H356" s="4">
        <v>0.1</v>
      </c>
      <c r="I356" s="4">
        <v>0.1</v>
      </c>
    </row>
    <row r="357">
      <c r="B357" s="0" t="inlineStr">
        <is>
          <t xml:space="preserve">MARITIME APPLIED PHYSICS</t>
        </is>
      </c>
      <c r="C357" s="0" t="inlineStr">
        <is>
          <t xml:space="preserve">70Z08018FP4598200</t>
        </is>
      </c>
      <c r="D357" s="0" t="inlineStr">
        <is>
          <t xml:space="preserve">no</t>
        </is>
      </c>
      <c r="E357" s="0" t="inlineStr">
        <is>
          <t xml:space="preserve">DELIVERY ORDER</t>
        </is>
      </c>
      <c r="F357" s="0" t="inlineStr">
        <is>
          <t xml:space="preserve">2018-03-16</t>
        </is>
      </c>
      <c r="G357" s="0" t="inlineStr">
        <is>
          <t xml:space="preserve">2018-03-16</t>
        </is>
      </c>
      <c r="H357" s="4">
        <v>0.1</v>
      </c>
      <c r="I357" s="4">
        <v>0.1</v>
      </c>
    </row>
    <row r="358">
      <c r="B358" s="0" t="inlineStr">
        <is>
          <t xml:space="preserve">MARITIME APPLIED PHYSICS</t>
        </is>
      </c>
      <c r="C358" s="0" t="inlineStr">
        <is>
          <t xml:space="preserve">70Z08020FP45P2700</t>
        </is>
      </c>
      <c r="D358" s="0" t="inlineStr">
        <is>
          <t xml:space="preserve">no</t>
        </is>
      </c>
      <c r="E358" s="0" t="inlineStr">
        <is>
          <t xml:space="preserve">DELIVERY ORDER</t>
        </is>
      </c>
      <c r="F358" s="0" t="inlineStr">
        <is>
          <t xml:space="preserve">2020-09-25</t>
        </is>
      </c>
      <c r="G358" s="0" t="inlineStr">
        <is>
          <t xml:space="preserve">2020-10-14</t>
        </is>
      </c>
      <c r="H358" s="4">
        <v>0.1</v>
      </c>
      <c r="I358" s="4">
        <v>0.1</v>
      </c>
    </row>
    <row r="359">
      <c r="B359" s="0" t="inlineStr">
        <is>
          <t xml:space="preserve">MARITIME APPLIED PHYSICS</t>
        </is>
      </c>
      <c r="C359" s="0" t="inlineStr">
        <is>
          <t xml:space="preserve">HSCG8016JP45B42</t>
        </is>
      </c>
      <c r="D359" s="0" t="inlineStr">
        <is>
          <t xml:space="preserve">no</t>
        </is>
      </c>
      <c r="E359" s="0" t="inlineStr">
        <is>
          <t xml:space="preserve">DELIVERY ORDER</t>
        </is>
      </c>
      <c r="F359" s="0" t="inlineStr">
        <is>
          <t xml:space="preserve">2016-04-05</t>
        </is>
      </c>
      <c r="G359" s="0" t="inlineStr">
        <is>
          <t xml:space="preserve">2016-04-12</t>
        </is>
      </c>
      <c r="H359" s="4">
        <v>0.1</v>
      </c>
      <c r="I359" s="4">
        <v>0.1</v>
      </c>
    </row>
    <row r="360">
      <c r="B360" s="0" t="inlineStr">
        <is>
          <t xml:space="preserve">MARITIME APPLIED PHYSICS</t>
        </is>
      </c>
      <c r="C360" s="0" t="inlineStr">
        <is>
          <t xml:space="preserve">HSCG8016JP45C12</t>
        </is>
      </c>
      <c r="D360" s="0" t="inlineStr">
        <is>
          <t xml:space="preserve">no</t>
        </is>
      </c>
      <c r="E360" s="0" t="inlineStr">
        <is>
          <t xml:space="preserve">DELIVERY ORDER</t>
        </is>
      </c>
      <c r="F360" s="0" t="inlineStr">
        <is>
          <t xml:space="preserve">2016-09-02</t>
        </is>
      </c>
      <c r="G360" s="0" t="inlineStr">
        <is>
          <t xml:space="preserve">2016-09-02</t>
        </is>
      </c>
      <c r="H360" s="4">
        <v>0.1</v>
      </c>
      <c r="I360" s="4">
        <v>0.1</v>
      </c>
    </row>
    <row r="361">
      <c r="B361" s="0" t="inlineStr">
        <is>
          <t xml:space="preserve">MARITIME APPLIED PHYSICS</t>
        </is>
      </c>
      <c r="C361" s="0" t="inlineStr">
        <is>
          <t xml:space="preserve">N6833521C0735</t>
        </is>
      </c>
      <c r="D361" s="0" t="inlineStr">
        <is>
          <t xml:space="preserve">no</t>
        </is>
      </c>
      <c r="E361" s="0" t="inlineStr">
        <is>
          <t xml:space="preserve">DEFINITIVE CONTRACT</t>
        </is>
      </c>
      <c r="F361" s="0" t="inlineStr">
        <is>
          <t xml:space="preserve">2021-08-13</t>
        </is>
      </c>
      <c r="G361" s="0" t="inlineStr">
        <is>
          <t xml:space="preserve">2021-08-13</t>
        </is>
      </c>
      <c r="H361" s="4">
        <v>0.2</v>
      </c>
      <c r="I361" s="4">
        <v>0.1</v>
      </c>
    </row>
    <row r="362">
      <c r="B362" s="0" t="inlineStr">
        <is>
          <t xml:space="preserve">MARITIME APPLIED PHYSICS</t>
        </is>
      </c>
      <c r="C362" s="0" t="inlineStr">
        <is>
          <t xml:space="preserve">W56HZV08C0060</t>
        </is>
      </c>
      <c r="D362" s="0" t="inlineStr">
        <is>
          <t xml:space="preserve">no</t>
        </is>
      </c>
      <c r="E362" s="0" t="inlineStr">
        <is>
          <t xml:space="preserve">DEFINITIVE CONTRACT</t>
        </is>
      </c>
      <c r="F362" s="0" t="inlineStr">
        <is>
          <t xml:space="preserve">2007-11-27</t>
        </is>
      </c>
      <c r="G362" s="0" t="inlineStr">
        <is>
          <t xml:space="preserve">2007-11-27</t>
        </is>
      </c>
      <c r="H362" s="4">
        <v>0.1</v>
      </c>
      <c r="I362" s="4">
        <v>0.1</v>
      </c>
    </row>
    <row r="363">
      <c r="B363" s="0" t="inlineStr">
        <is>
          <t xml:space="preserve">MARITIME APPLIED PHYSICS</t>
        </is>
      </c>
      <c r="C363" s="0" t="inlineStr">
        <is>
          <t xml:space="preserve">N6833517C0323</t>
        </is>
      </c>
      <c r="D363" s="0" t="inlineStr">
        <is>
          <t xml:space="preserve">no</t>
        </is>
      </c>
      <c r="E363" s="0" t="inlineStr">
        <is>
          <t xml:space="preserve">DEFINITIVE CONTRACT</t>
        </is>
      </c>
      <c r="F363" s="0" t="inlineStr">
        <is>
          <t xml:space="preserve">2017-05-09</t>
        </is>
      </c>
      <c r="G363" s="0" t="inlineStr">
        <is>
          <t xml:space="preserve">2017-05-09</t>
        </is>
      </c>
      <c r="H363" s="4">
        <v>0.2</v>
      </c>
      <c r="I363" s="4">
        <v>0.1</v>
      </c>
    </row>
    <row r="364">
      <c r="B364" s="0" t="inlineStr">
        <is>
          <t xml:space="preserve">MARITIME APPLIED PHYSICS</t>
        </is>
      </c>
      <c r="C364" s="0" t="inlineStr">
        <is>
          <t xml:space="preserve">HSCG8016JP45B66</t>
        </is>
      </c>
      <c r="D364" s="0" t="inlineStr">
        <is>
          <t xml:space="preserve">no</t>
        </is>
      </c>
      <c r="E364" s="0" t="inlineStr">
        <is>
          <t xml:space="preserve">DELIVERY ORDER</t>
        </is>
      </c>
      <c r="F364" s="0" t="inlineStr">
        <is>
          <t xml:space="preserve">2016-04-15</t>
        </is>
      </c>
      <c r="G364" s="0" t="inlineStr">
        <is>
          <t xml:space="preserve">2016-04-15</t>
        </is>
      </c>
      <c r="H364" s="4">
        <v>0.1</v>
      </c>
      <c r="I364" s="4">
        <v>0.1</v>
      </c>
    </row>
    <row r="365">
      <c r="B365" s="0" t="inlineStr">
        <is>
          <t xml:space="preserve">MARITIME APPLIED PHYSICS</t>
        </is>
      </c>
      <c r="C365" s="0" t="inlineStr">
        <is>
          <t xml:space="preserve">INF15PX00038</t>
        </is>
      </c>
      <c r="D365" s="0" t="inlineStr">
        <is>
          <t xml:space="preserve">no</t>
        </is>
      </c>
      <c r="E365" s="0" t="inlineStr">
        <is>
          <t xml:space="preserve">PURCHASE ORDER</t>
        </is>
      </c>
      <c r="F365" s="0" t="inlineStr">
        <is>
          <t xml:space="preserve">2014-11-03</t>
        </is>
      </c>
      <c r="G365" s="0" t="inlineStr">
        <is>
          <t xml:space="preserve">2015-04-30</t>
        </is>
      </c>
      <c r="H365" s="4">
        <v>0.1</v>
      </c>
      <c r="I365" s="4">
        <v>0.1</v>
      </c>
    </row>
    <row r="366">
      <c r="B366" s="0" t="inlineStr">
        <is>
          <t xml:space="preserve">MARITIME APPLIED PHYSICS</t>
        </is>
      </c>
      <c r="C366" s="0" t="inlineStr">
        <is>
          <t xml:space="preserve">M6785415C6514</t>
        </is>
      </c>
      <c r="D366" s="0" t="inlineStr">
        <is>
          <t xml:space="preserve">no</t>
        </is>
      </c>
      <c r="E366" s="0" t="inlineStr">
        <is>
          <t xml:space="preserve">DEFINITIVE CONTRACT</t>
        </is>
      </c>
      <c r="F366" s="0" t="inlineStr">
        <is>
          <t xml:space="preserve">2015-01-15</t>
        </is>
      </c>
      <c r="G366" s="0" t="inlineStr">
        <is>
          <t xml:space="preserve">2015-01-15</t>
        </is>
      </c>
      <c r="H366" s="4">
        <v>0.1</v>
      </c>
      <c r="I366" s="4">
        <v>0.1</v>
      </c>
    </row>
    <row r="367">
      <c r="B367" s="0" t="inlineStr">
        <is>
          <t xml:space="preserve">MARITIME APPLIED PHYSICS</t>
        </is>
      </c>
      <c r="C367" s="0" t="inlineStr">
        <is>
          <t xml:space="preserve">INF501817M690</t>
        </is>
      </c>
      <c r="D367" s="0" t="inlineStr">
        <is>
          <t xml:space="preserve">no</t>
        </is>
      </c>
      <c r="E367" s="0" t="inlineStr">
        <is>
          <t xml:space="preserve">PURCHASE ORDER</t>
        </is>
      </c>
      <c r="F367" s="0" t="inlineStr">
        <is>
          <t xml:space="preserve">2007-09-15</t>
        </is>
      </c>
      <c r="G367" s="0" t="inlineStr">
        <is>
          <t xml:space="preserve">2008-09-26</t>
        </is>
      </c>
      <c r="H367" s="4">
        <v>0.1</v>
      </c>
      <c r="I367" s="4">
        <v>0.1</v>
      </c>
    </row>
    <row r="368">
      <c r="B368" s="0" t="inlineStr">
        <is>
          <t xml:space="preserve">MARITIME APPLIED PHYSICS</t>
        </is>
      </c>
      <c r="C368" s="0" t="inlineStr">
        <is>
          <t xml:space="preserve">N0001403M0349</t>
        </is>
      </c>
      <c r="D368" s="0" t="inlineStr">
        <is>
          <t xml:space="preserve">no</t>
        </is>
      </c>
      <c r="E368" s="0" t="inlineStr">
        <is>
          <t xml:space="preserve">PURCHASE ORDER</t>
        </is>
      </c>
      <c r="F368" s="0" t="inlineStr">
        <is>
          <t xml:space="preserve">2004-04-02</t>
        </is>
      </c>
      <c r="G368" s="0" t="inlineStr">
        <is>
          <t xml:space="preserve">2004-04-02</t>
        </is>
      </c>
      <c r="H368" s="4">
        <v>0.0</v>
      </c>
      <c r="I368" s="4">
        <v>0.1</v>
      </c>
    </row>
    <row r="369">
      <c r="B369" s="0" t="inlineStr">
        <is>
          <t xml:space="preserve">MARITIME APPLIED PHYSICS</t>
        </is>
      </c>
      <c r="C369" s="0" t="inlineStr">
        <is>
          <t xml:space="preserve">N6553808M0036</t>
        </is>
      </c>
      <c r="D369" s="0" t="inlineStr">
        <is>
          <t xml:space="preserve">no</t>
        </is>
      </c>
      <c r="E369" s="0" t="inlineStr">
        <is>
          <t xml:space="preserve">PURCHASE ORDER</t>
        </is>
      </c>
      <c r="F369" s="0" t="inlineStr">
        <is>
          <t xml:space="preserve">2009-05-04</t>
        </is>
      </c>
      <c r="G369" s="0" t="inlineStr">
        <is>
          <t xml:space="preserve">2009-05-04</t>
        </is>
      </c>
      <c r="H369" s="4">
        <v>0.1</v>
      </c>
      <c r="I369" s="4">
        <v>0.1</v>
      </c>
    </row>
    <row r="370">
      <c r="B370" s="0" t="inlineStr">
        <is>
          <t xml:space="preserve">MARITIME APPLIED PHYSICS</t>
        </is>
      </c>
      <c r="C370" s="0" t="inlineStr">
        <is>
          <t xml:space="preserve">N0010421PCB78</t>
        </is>
      </c>
      <c r="D370" s="0" t="inlineStr">
        <is>
          <t xml:space="preserve">no</t>
        </is>
      </c>
      <c r="E370" s="0" t="inlineStr">
        <is>
          <t xml:space="preserve">PURCHASE ORDER</t>
        </is>
      </c>
      <c r="F370" s="0" t="inlineStr">
        <is>
          <t xml:space="preserve">2022-02-11</t>
        </is>
      </c>
      <c r="G370" s="0" t="inlineStr">
        <is>
          <t xml:space="preserve">2022-02-11</t>
        </is>
      </c>
      <c r="H370" s="4">
        <v>0.2</v>
      </c>
      <c r="I370" s="4">
        <v>0.1</v>
      </c>
    </row>
    <row r="371">
      <c r="B371" s="0" t="inlineStr">
        <is>
          <t xml:space="preserve">MARITIME APPLIED PHYSICS</t>
        </is>
      </c>
      <c r="C371" s="0" t="inlineStr">
        <is>
          <t xml:space="preserve">70Z08020FP45A6800</t>
        </is>
      </c>
      <c r="D371" s="0" t="inlineStr">
        <is>
          <t xml:space="preserve">no</t>
        </is>
      </c>
      <c r="E371" s="0" t="inlineStr">
        <is>
          <t xml:space="preserve">DELIVERY ORDER</t>
        </is>
      </c>
      <c r="F371" s="0" t="inlineStr">
        <is>
          <t xml:space="preserve">2020-04-08</t>
        </is>
      </c>
      <c r="G371" s="0" t="inlineStr">
        <is>
          <t xml:space="preserve">2020-04-08</t>
        </is>
      </c>
      <c r="H371" s="4">
        <v>0.1</v>
      </c>
      <c r="I371" s="4">
        <v>0.1</v>
      </c>
    </row>
    <row r="372">
      <c r="B372" s="0" t="inlineStr">
        <is>
          <t xml:space="preserve">MARITIME APPLIED PHYSICS</t>
        </is>
      </c>
      <c r="C372" s="0" t="inlineStr">
        <is>
          <t xml:space="preserve">70Z08020FP45E3900</t>
        </is>
      </c>
      <c r="D372" s="0" t="inlineStr">
        <is>
          <t xml:space="preserve">no</t>
        </is>
      </c>
      <c r="E372" s="0" t="inlineStr">
        <is>
          <t xml:space="preserve">DELIVERY ORDER</t>
        </is>
      </c>
      <c r="F372" s="0" t="inlineStr">
        <is>
          <t xml:space="preserve">2020-06-23</t>
        </is>
      </c>
      <c r="G372" s="0" t="inlineStr">
        <is>
          <t xml:space="preserve">2020-06-23</t>
        </is>
      </c>
      <c r="H372" s="4">
        <v>0.1</v>
      </c>
      <c r="I372" s="4">
        <v>0.1</v>
      </c>
    </row>
    <row r="373">
      <c r="B373" s="0" t="inlineStr">
        <is>
          <t xml:space="preserve">MARITIME APPLIED PHYSICS</t>
        </is>
      </c>
      <c r="C373" s="0" t="inlineStr">
        <is>
          <t xml:space="preserve">70Z08019FP45J9800</t>
        </is>
      </c>
      <c r="D373" s="0" t="inlineStr">
        <is>
          <t xml:space="preserve">no</t>
        </is>
      </c>
      <c r="E373" s="0" t="inlineStr">
        <is>
          <t xml:space="preserve">DELIVERY ORDER</t>
        </is>
      </c>
      <c r="F373" s="0" t="inlineStr">
        <is>
          <t xml:space="preserve">2019-06-21</t>
        </is>
      </c>
      <c r="G373" s="0" t="inlineStr">
        <is>
          <t xml:space="preserve">2019-06-21</t>
        </is>
      </c>
      <c r="H373" s="4">
        <v>0.1</v>
      </c>
      <c r="I373" s="4">
        <v>0.1</v>
      </c>
    </row>
    <row r="374">
      <c r="B374" s="0" t="inlineStr">
        <is>
          <t xml:space="preserve">MARITIME APPLIED PHYSICS</t>
        </is>
      </c>
      <c r="C374" s="0" t="inlineStr">
        <is>
          <t xml:space="preserve">70Z08020FP45E9000</t>
        </is>
      </c>
      <c r="D374" s="0" t="inlineStr">
        <is>
          <t xml:space="preserve">no</t>
        </is>
      </c>
      <c r="E374" s="0" t="inlineStr">
        <is>
          <t xml:space="preserve">DELIVERY ORDER</t>
        </is>
      </c>
      <c r="F374" s="0" t="inlineStr">
        <is>
          <t xml:space="preserve">2020-08-19</t>
        </is>
      </c>
      <c r="G374" s="0" t="inlineStr">
        <is>
          <t xml:space="preserve">2020-08-19</t>
        </is>
      </c>
      <c r="H374" s="4">
        <v>0.1</v>
      </c>
      <c r="I374" s="4">
        <v>0.1</v>
      </c>
    </row>
    <row r="375">
      <c r="B375" s="0" t="inlineStr">
        <is>
          <t xml:space="preserve">MARITIME APPLIED PHYSICS</t>
        </is>
      </c>
      <c r="C375" s="0" t="inlineStr">
        <is>
          <t xml:space="preserve">70Z08018FP45G6100</t>
        </is>
      </c>
      <c r="D375" s="0" t="inlineStr">
        <is>
          <t xml:space="preserve">no</t>
        </is>
      </c>
      <c r="E375" s="0" t="inlineStr">
        <is>
          <t xml:space="preserve">DELIVERY ORDER</t>
        </is>
      </c>
      <c r="F375" s="0" t="inlineStr">
        <is>
          <t xml:space="preserve">2018-05-10</t>
        </is>
      </c>
      <c r="G375" s="0" t="inlineStr">
        <is>
          <t xml:space="preserve">2018-05-10</t>
        </is>
      </c>
      <c r="H375" s="4">
        <v>0.1</v>
      </c>
      <c r="I375" s="4">
        <v>0.1</v>
      </c>
    </row>
    <row r="376">
      <c r="B376" s="0" t="inlineStr">
        <is>
          <t xml:space="preserve">MARITIME APPLIED PHYSICS</t>
        </is>
      </c>
      <c r="C376" s="0" t="inlineStr">
        <is>
          <t xml:space="preserve">N6833520C0637</t>
        </is>
      </c>
      <c r="D376" s="0" t="inlineStr">
        <is>
          <t xml:space="preserve">no</t>
        </is>
      </c>
      <c r="E376" s="0" t="inlineStr">
        <is>
          <t xml:space="preserve">DEFINITIVE CONTRACT</t>
        </is>
      </c>
      <c r="F376" s="0" t="inlineStr">
        <is>
          <t xml:space="preserve">2020-08-06</t>
        </is>
      </c>
      <c r="G376" s="0" t="inlineStr">
        <is>
          <t xml:space="preserve">2020-08-06</t>
        </is>
      </c>
      <c r="H376" s="4">
        <v>0.2</v>
      </c>
      <c r="I376" s="4">
        <v>0.1</v>
      </c>
    </row>
    <row r="377">
      <c r="B377" s="0" t="inlineStr">
        <is>
          <t xml:space="preserve">MARITIME APPLIED PHYSICS</t>
        </is>
      </c>
      <c r="C377" s="0" t="inlineStr">
        <is>
          <t xml:space="preserve">W911NF12C0093</t>
        </is>
      </c>
      <c r="D377" s="0" t="inlineStr">
        <is>
          <t xml:space="preserve">no</t>
        </is>
      </c>
      <c r="E377" s="0" t="inlineStr">
        <is>
          <t xml:space="preserve">DEFINITIVE CONTRACT</t>
        </is>
      </c>
      <c r="F377" s="0" t="inlineStr">
        <is>
          <t xml:space="preserve">2012-09-13</t>
        </is>
      </c>
      <c r="G377" s="0" t="inlineStr">
        <is>
          <t xml:space="preserve">2012-09-13</t>
        </is>
      </c>
      <c r="H377" s="4">
        <v>0.1</v>
      </c>
      <c r="I377" s="4">
        <v>0.1</v>
      </c>
    </row>
    <row r="378">
      <c r="B378" s="0" t="inlineStr">
        <is>
          <t xml:space="preserve">MARITIME APPLIED PHYSICS</t>
        </is>
      </c>
      <c r="C378" s="0" t="inlineStr">
        <is>
          <t xml:space="preserve">0002</t>
        </is>
      </c>
      <c r="D378" s="0" t="inlineStr">
        <is>
          <t xml:space="preserve">no</t>
        </is>
      </c>
      <c r="E378" s="0" t="inlineStr">
        <is>
          <t xml:space="preserve">DELIVERY ORDER</t>
        </is>
      </c>
      <c r="F378" s="0" t="inlineStr">
        <is>
          <t xml:space="preserve">2016-09-30</t>
        </is>
      </c>
      <c r="G378" s="0" t="inlineStr">
        <is>
          <t xml:space="preserve">2016-09-30</t>
        </is>
      </c>
      <c r="H378" s="4">
        <v>0.3</v>
      </c>
      <c r="I378" s="4">
        <v>0.1</v>
      </c>
    </row>
    <row r="379">
      <c r="B379" s="0" t="inlineStr">
        <is>
          <t xml:space="preserve">MARITIME APPLIED PHYSICS</t>
        </is>
      </c>
      <c r="C379" s="0" t="inlineStr">
        <is>
          <t xml:space="preserve">SPRMM121PYB51</t>
        </is>
      </c>
      <c r="D379" s="0" t="inlineStr">
        <is>
          <t xml:space="preserve">no</t>
        </is>
      </c>
      <c r="E379" s="0" t="inlineStr">
        <is>
          <t xml:space="preserve">PURCHASE ORDER</t>
        </is>
      </c>
      <c r="F379" s="0" t="inlineStr">
        <is>
          <t xml:space="preserve">2021-03-10</t>
        </is>
      </c>
      <c r="G379" s="0" t="inlineStr">
        <is>
          <t xml:space="preserve">2021-03-10</t>
        </is>
      </c>
      <c r="H379" s="4">
        <v>0.1</v>
      </c>
      <c r="I379" s="4">
        <v>0.1</v>
      </c>
    </row>
    <row r="380">
      <c r="B380" s="0" t="inlineStr">
        <is>
          <t xml:space="preserve">MARITIME APPLIED PHYSICS</t>
        </is>
      </c>
      <c r="C380" s="0" t="inlineStr">
        <is>
          <t xml:space="preserve">FA955011C0074</t>
        </is>
      </c>
      <c r="D380" s="0" t="inlineStr">
        <is>
          <t xml:space="preserve">no</t>
        </is>
      </c>
      <c r="E380" s="0" t="inlineStr">
        <is>
          <t xml:space="preserve">DEFINITIVE CONTRACT</t>
        </is>
      </c>
      <c r="F380" s="0" t="inlineStr">
        <is>
          <t xml:space="preserve">2011-07-27</t>
        </is>
      </c>
      <c r="G380" s="0" t="inlineStr">
        <is>
          <t xml:space="preserve">2011-07-27</t>
        </is>
      </c>
      <c r="H380" s="4">
        <v>0.1</v>
      </c>
      <c r="I380" s="4">
        <v>0.1</v>
      </c>
    </row>
    <row r="381">
      <c r="B381" s="0" t="inlineStr">
        <is>
          <t xml:space="preserve">HII UNMANNED SYSTEMS</t>
        </is>
      </c>
      <c r="C381" s="0" t="inlineStr">
        <is>
          <t xml:space="preserve">N0010406PLA07</t>
        </is>
      </c>
      <c r="D381" s="0" t="inlineStr">
        <is>
          <t xml:space="preserve">no</t>
        </is>
      </c>
      <c r="E381" s="0" t="inlineStr">
        <is>
          <t xml:space="preserve">PURCHASE ORDER</t>
        </is>
      </c>
      <c r="F381" s="0" t="inlineStr">
        <is>
          <t xml:space="preserve">2005-10-24</t>
        </is>
      </c>
      <c r="G381" s="0" t="inlineStr">
        <is>
          <t xml:space="preserve">2005-10-24</t>
        </is>
      </c>
      <c r="H381" s="4">
        <v>0.0</v>
      </c>
      <c r="I381" s="4">
        <v>0.1</v>
      </c>
    </row>
    <row r="382">
      <c r="B382" s="0" t="inlineStr">
        <is>
          <t xml:space="preserve">HII UNMANNED SYSTEMS</t>
        </is>
      </c>
      <c r="C382" s="0" t="inlineStr">
        <is>
          <t xml:space="preserve">N0010406ML001</t>
        </is>
      </c>
      <c r="D382" s="0" t="inlineStr">
        <is>
          <t xml:space="preserve">no</t>
        </is>
      </c>
      <c r="E382" s="0" t="inlineStr">
        <is>
          <t xml:space="preserve">PURCHASE ORDER</t>
        </is>
      </c>
      <c r="F382" s="0" t="inlineStr">
        <is>
          <t xml:space="preserve">2006-03-14</t>
        </is>
      </c>
      <c r="G382" s="0" t="inlineStr">
        <is>
          <t xml:space="preserve">2006-03-14</t>
        </is>
      </c>
      <c r="H382" s="4">
        <v>0.0</v>
      </c>
      <c r="I382" s="4">
        <v>0.1</v>
      </c>
    </row>
    <row r="383">
      <c r="B383" s="0" t="inlineStr">
        <is>
          <t xml:space="preserve">HII UNMANNED SYSTEMS</t>
        </is>
      </c>
      <c r="C383" s="0" t="inlineStr">
        <is>
          <t xml:space="preserve">N0010407PLA51</t>
        </is>
      </c>
      <c r="D383" s="0" t="inlineStr">
        <is>
          <t xml:space="preserve">no</t>
        </is>
      </c>
      <c r="E383" s="0" t="inlineStr">
        <is>
          <t xml:space="preserve">PURCHASE ORDER</t>
        </is>
      </c>
      <c r="F383" s="0" t="inlineStr">
        <is>
          <t xml:space="preserve">2006-10-17</t>
        </is>
      </c>
      <c r="G383" s="0" t="inlineStr">
        <is>
          <t xml:space="preserve">2006-10-17</t>
        </is>
      </c>
      <c r="H383" s="4">
        <v>0.1</v>
      </c>
      <c r="I383" s="4">
        <v>0.1</v>
      </c>
    </row>
    <row r="384">
      <c r="B384" s="0" t="inlineStr">
        <is>
          <t xml:space="preserve">HII UNMANNED SYSTEMS</t>
        </is>
      </c>
      <c r="C384" s="0" t="inlineStr">
        <is>
          <t xml:space="preserve">N0010498PLM90</t>
        </is>
      </c>
      <c r="D384" s="0" t="inlineStr">
        <is>
          <t xml:space="preserve">no</t>
        </is>
      </c>
      <c r="E384" s="0" t="inlineStr">
        <is>
          <t xml:space="preserve">PURCHASE ORDER</t>
        </is>
      </c>
      <c r="F384" s="0" t="inlineStr">
        <is>
          <t xml:space="preserve">1998-09-29</t>
        </is>
      </c>
      <c r="G384" s="0" t="inlineStr">
        <is>
          <t xml:space="preserve">1998-09-29</t>
        </is>
      </c>
      <c r="H384" s="4">
        <v>0.0</v>
      </c>
      <c r="I384" s="4">
        <v>0.1</v>
      </c>
    </row>
    <row r="385">
      <c r="B385" s="0" t="inlineStr">
        <is>
          <t xml:space="preserve">HII UNMANNED SYSTEMS</t>
        </is>
      </c>
      <c r="C385" s="0" t="inlineStr">
        <is>
          <t xml:space="preserve">N6133111P5901</t>
        </is>
      </c>
      <c r="D385" s="0" t="inlineStr">
        <is>
          <t xml:space="preserve">no</t>
        </is>
      </c>
      <c r="E385" s="0" t="inlineStr">
        <is>
          <t xml:space="preserve">PURCHASE ORDER</t>
        </is>
      </c>
      <c r="F385" s="0" t="inlineStr">
        <is>
          <t xml:space="preserve">2011-03-28</t>
        </is>
      </c>
      <c r="G385" s="0" t="inlineStr">
        <is>
          <t xml:space="preserve">2011-03-28</t>
        </is>
      </c>
      <c r="H385" s="4">
        <v>0.1</v>
      </c>
      <c r="I385" s="4">
        <v>0.1</v>
      </c>
    </row>
    <row r="386">
      <c r="B386" s="0" t="inlineStr">
        <is>
          <t xml:space="preserve">HII UNMANNED SYSTEMS</t>
        </is>
      </c>
      <c r="C386" s="0" t="inlineStr">
        <is>
          <t xml:space="preserve">N6133108P4519</t>
        </is>
      </c>
      <c r="D386" s="0" t="inlineStr">
        <is>
          <t xml:space="preserve">no</t>
        </is>
      </c>
      <c r="E386" s="0" t="inlineStr">
        <is>
          <t xml:space="preserve">PURCHASE ORDER</t>
        </is>
      </c>
      <c r="F386" s="0" t="inlineStr">
        <is>
          <t xml:space="preserve">2008-07-22</t>
        </is>
      </c>
      <c r="G386" s="0" t="inlineStr">
        <is>
          <t xml:space="preserve">2008-07-22</t>
        </is>
      </c>
      <c r="H386" s="4">
        <v>0.1</v>
      </c>
      <c r="I386" s="4">
        <v>0.1</v>
      </c>
    </row>
    <row r="387">
      <c r="B387" s="0" t="inlineStr">
        <is>
          <t xml:space="preserve">HII UNMANNED SYSTEMS</t>
        </is>
      </c>
      <c r="C387" s="0" t="inlineStr">
        <is>
          <t xml:space="preserve">N6133101C0031</t>
        </is>
      </c>
      <c r="D387" s="0" t="inlineStr">
        <is>
          <t xml:space="preserve">no</t>
        </is>
      </c>
      <c r="E387" s="0" t="inlineStr">
        <is>
          <t xml:space="preserve">DEFINITIVE CONTRACT</t>
        </is>
      </c>
      <c r="F387" s="0" t="inlineStr">
        <is>
          <t xml:space="preserve">2001-06-29</t>
        </is>
      </c>
      <c r="G387" s="0" t="inlineStr">
        <is>
          <t xml:space="preserve">2001-06-29</t>
        </is>
      </c>
      <c r="H387" s="4">
        <v>0.0</v>
      </c>
      <c r="I387" s="4">
        <v>0.1</v>
      </c>
    </row>
    <row r="388">
      <c r="B388" s="0" t="inlineStr">
        <is>
          <t xml:space="preserve">HII UNMANNED SYSTEMS</t>
        </is>
      </c>
      <c r="C388" s="0" t="inlineStr">
        <is>
          <t xml:space="preserve">N6133105P9515</t>
        </is>
      </c>
      <c r="D388" s="0" t="inlineStr">
        <is>
          <t xml:space="preserve">no</t>
        </is>
      </c>
      <c r="E388" s="0" t="inlineStr">
        <is>
          <t xml:space="preserve">PURCHASE ORDER</t>
        </is>
      </c>
      <c r="F388" s="0" t="inlineStr">
        <is>
          <t xml:space="preserve">2005-09-21</t>
        </is>
      </c>
      <c r="G388" s="0" t="inlineStr">
        <is>
          <t xml:space="preserve">2005-09-21</t>
        </is>
      </c>
      <c r="H388" s="4">
        <v>0.0</v>
      </c>
      <c r="I388" s="4">
        <v>0.1</v>
      </c>
    </row>
    <row r="389">
      <c r="B389" s="0" t="inlineStr">
        <is>
          <t xml:space="preserve">HII UNMANNED SYSTEMS</t>
        </is>
      </c>
      <c r="C389" s="0" t="inlineStr">
        <is>
          <t xml:space="preserve">N0003922F1049</t>
        </is>
      </c>
      <c r="D389" s="0" t="inlineStr">
        <is>
          <t xml:space="preserve">no</t>
        </is>
      </c>
      <c r="E389" s="0" t="inlineStr">
        <is>
          <t xml:space="preserve">DELIVERY ORDER</t>
        </is>
      </c>
      <c r="F389" s="0" t="inlineStr">
        <is>
          <t xml:space="preserve">2022-09-20</t>
        </is>
      </c>
      <c r="G389" s="0" t="inlineStr">
        <is>
          <t xml:space="preserve">2024-01-22</t>
        </is>
      </c>
      <c r="H389" s="4">
        <v>0.1</v>
      </c>
      <c r="I389" s="4">
        <v>0.1</v>
      </c>
    </row>
    <row r="390">
      <c r="B390" s="0" t="inlineStr">
        <is>
          <t xml:space="preserve">HII UNMANNED SYSTEMS</t>
        </is>
      </c>
      <c r="C390" s="0" t="inlineStr">
        <is>
          <t xml:space="preserve">N6133121F0108</t>
        </is>
      </c>
      <c r="D390" s="0" t="inlineStr">
        <is>
          <t xml:space="preserve">no</t>
        </is>
      </c>
      <c r="E390" s="0" t="inlineStr">
        <is>
          <t xml:space="preserve">DELIVERY ORDER</t>
        </is>
      </c>
      <c r="F390" s="0" t="inlineStr">
        <is>
          <t xml:space="preserve">2024-01-22</t>
        </is>
      </c>
      <c r="G390" s="0" t="inlineStr">
        <is>
          <t xml:space="preserve">2024-01-22</t>
        </is>
      </c>
      <c r="H390" s="4">
        <v>0.1</v>
      </c>
      <c r="I390" s="4">
        <v>0.1</v>
      </c>
    </row>
    <row r="391">
      <c r="B391" s="0" t="inlineStr">
        <is>
          <t xml:space="preserve">HII UNMANNED SYSTEMS</t>
        </is>
      </c>
      <c r="C391" s="0" t="inlineStr">
        <is>
          <t xml:space="preserve">N0017421F0003</t>
        </is>
      </c>
      <c r="D391" s="0" t="inlineStr">
        <is>
          <t xml:space="preserve">no</t>
        </is>
      </c>
      <c r="E391" s="0" t="inlineStr">
        <is>
          <t xml:space="preserve">DELIVERY ORDER</t>
        </is>
      </c>
      <c r="F391" s="0" t="inlineStr">
        <is>
          <t xml:space="preserve">2024-01-25</t>
        </is>
      </c>
      <c r="G391" s="0" t="inlineStr">
        <is>
          <t xml:space="preserve">2024-01-25</t>
        </is>
      </c>
      <c r="H391" s="4">
        <v>0.2</v>
      </c>
      <c r="I391" s="4">
        <v>0.1</v>
      </c>
    </row>
    <row r="392">
      <c r="B392" s="0" t="inlineStr">
        <is>
          <t xml:space="preserve">HII UNMANNED SYSTEMS</t>
        </is>
      </c>
      <c r="C392" s="0" t="inlineStr">
        <is>
          <t xml:space="preserve">N0017423F0077</t>
        </is>
      </c>
      <c r="D392" s="0" t="inlineStr">
        <is>
          <t xml:space="preserve">no</t>
        </is>
      </c>
      <c r="E392" s="0" t="inlineStr">
        <is>
          <t xml:space="preserve">DELIVERY ORDER</t>
        </is>
      </c>
      <c r="F392" s="0" t="inlineStr">
        <is>
          <t xml:space="preserve">2023-04-20</t>
        </is>
      </c>
      <c r="G392" s="0" t="inlineStr">
        <is>
          <t xml:space="preserve">2023-04-20</t>
        </is>
      </c>
      <c r="H392" s="4">
        <v>0.1</v>
      </c>
      <c r="I392" s="4">
        <v>0.1</v>
      </c>
    </row>
    <row r="393">
      <c r="B393" s="0" t="inlineStr">
        <is>
          <t xml:space="preserve">HII UNMANNED SYSTEMS</t>
        </is>
      </c>
      <c r="C393" s="0" t="inlineStr">
        <is>
          <t xml:space="preserve">0036</t>
        </is>
      </c>
      <c r="D393" s="0" t="inlineStr">
        <is>
          <t xml:space="preserve">no</t>
        </is>
      </c>
      <c r="E393" s="0" t="inlineStr">
        <is>
          <t xml:space="preserve">DELIVERY ORDER</t>
        </is>
      </c>
      <c r="F393" s="0" t="inlineStr">
        <is>
          <t xml:space="preserve">2011-07-28</t>
        </is>
      </c>
      <c r="G393" s="0" t="inlineStr">
        <is>
          <t xml:space="preserve">2011-07-28</t>
        </is>
      </c>
      <c r="H393" s="4">
        <v>0.1</v>
      </c>
      <c r="I393" s="4">
        <v>0.1</v>
      </c>
    </row>
    <row r="394">
      <c r="B394" s="0" t="inlineStr">
        <is>
          <t xml:space="preserve">HII UNMANNED SYSTEMS</t>
        </is>
      </c>
      <c r="C394" s="0" t="inlineStr">
        <is>
          <t xml:space="preserve">N0003921F2130</t>
        </is>
      </c>
      <c r="D394" s="0" t="inlineStr">
        <is>
          <t xml:space="preserve">no</t>
        </is>
      </c>
      <c r="E394" s="0" t="inlineStr">
        <is>
          <t xml:space="preserve">DELIVERY ORDER</t>
        </is>
      </c>
      <c r="F394" s="0" t="inlineStr">
        <is>
          <t xml:space="preserve">2021-09-28</t>
        </is>
      </c>
      <c r="G394" s="0" t="inlineStr">
        <is>
          <t xml:space="preserve">2021-09-28</t>
        </is>
      </c>
      <c r="H394" s="4">
        <v>0.2</v>
      </c>
      <c r="I394" s="4">
        <v>0.1</v>
      </c>
    </row>
    <row r="395">
      <c r="B395" s="0" t="inlineStr">
        <is>
          <t xml:space="preserve">HII UNMANNED SYSTEMS</t>
        </is>
      </c>
      <c r="C395" s="0" t="inlineStr">
        <is>
          <t xml:space="preserve">N0017420F0333</t>
        </is>
      </c>
      <c r="D395" s="0" t="inlineStr">
        <is>
          <t xml:space="preserve">no</t>
        </is>
      </c>
      <c r="E395" s="0" t="inlineStr">
        <is>
          <t xml:space="preserve">DELIVERY ORDER</t>
        </is>
      </c>
      <c r="F395" s="0" t="inlineStr">
        <is>
          <t xml:space="preserve">2020-09-17</t>
        </is>
      </c>
      <c r="G395" s="0" t="inlineStr">
        <is>
          <t xml:space="preserve">2020-09-17</t>
        </is>
      </c>
      <c r="H395" s="4">
        <v>0.1</v>
      </c>
      <c r="I395" s="4">
        <v>0.1</v>
      </c>
    </row>
    <row r="396">
      <c r="B396" s="0" t="inlineStr">
        <is>
          <t xml:space="preserve">HII UNMANNED SYSTEMS</t>
        </is>
      </c>
      <c r="C396" s="0" t="inlineStr">
        <is>
          <t xml:space="preserve">0002</t>
        </is>
      </c>
      <c r="D396" s="0" t="inlineStr">
        <is>
          <t xml:space="preserve">no</t>
        </is>
      </c>
      <c r="E396" s="0" t="inlineStr">
        <is>
          <t xml:space="preserve">DELIVERY ORDER</t>
        </is>
      </c>
      <c r="F396" s="0" t="inlineStr">
        <is>
          <t xml:space="preserve">2013-12-20</t>
        </is>
      </c>
      <c r="G396" s="0" t="inlineStr">
        <is>
          <t xml:space="preserve">2013-12-20</t>
        </is>
      </c>
      <c r="H396" s="4">
        <v>0.1</v>
      </c>
      <c r="I396" s="4">
        <v>0.1</v>
      </c>
    </row>
    <row r="397">
      <c r="B397" s="0" t="inlineStr">
        <is>
          <t xml:space="preserve">HII UNMANNED SYSTEMS</t>
        </is>
      </c>
      <c r="C397" s="0" t="inlineStr">
        <is>
          <t xml:space="preserve">0038</t>
        </is>
      </c>
      <c r="D397" s="0" t="inlineStr">
        <is>
          <t xml:space="preserve">no</t>
        </is>
      </c>
      <c r="E397" s="0" t="inlineStr">
        <is>
          <t xml:space="preserve">DELIVERY ORDER</t>
        </is>
      </c>
      <c r="F397" s="0" t="inlineStr">
        <is>
          <t xml:space="preserve">2014-01-15</t>
        </is>
      </c>
      <c r="G397" s="0" t="inlineStr">
        <is>
          <t xml:space="preserve">2014-01-15</t>
        </is>
      </c>
      <c r="H397" s="4">
        <v>0.2</v>
      </c>
      <c r="I397" s="4">
        <v>0.1</v>
      </c>
    </row>
    <row r="398">
      <c r="B398" s="0" t="inlineStr">
        <is>
          <t xml:space="preserve">HII UNMANNED SYSTEMS</t>
        </is>
      </c>
      <c r="C398" s="0" t="inlineStr">
        <is>
          <t xml:space="preserve">SPE4A613MR824</t>
        </is>
      </c>
      <c r="D398" s="0" t="inlineStr">
        <is>
          <t xml:space="preserve">no</t>
        </is>
      </c>
      <c r="E398" s="0" t="inlineStr">
        <is>
          <t xml:space="preserve">PURCHASE ORDER</t>
        </is>
      </c>
      <c r="F398" s="0" t="inlineStr">
        <is>
          <t xml:space="preserve">2013-12-30</t>
        </is>
      </c>
      <c r="G398" s="0" t="inlineStr">
        <is>
          <t xml:space="preserve">2013-12-30</t>
        </is>
      </c>
      <c r="H398" s="4">
        <v>0.1</v>
      </c>
      <c r="I398" s="4">
        <v>0.1</v>
      </c>
    </row>
    <row r="399">
      <c r="B399" s="0" t="inlineStr">
        <is>
          <t xml:space="preserve">L3HARRIS TECHNOLOGIES</t>
        </is>
      </c>
      <c r="C399" s="0" t="inlineStr">
        <is>
          <t xml:space="preserve">0009</t>
        </is>
      </c>
      <c r="D399" s="0" t="inlineStr">
        <is>
          <t xml:space="preserve">no</t>
        </is>
      </c>
      <c r="E399" s="0" t="inlineStr">
        <is>
          <t xml:space="preserve">DELIVERY ORDER</t>
        </is>
      </c>
      <c r="F399" s="0" t="inlineStr">
        <is>
          <t xml:space="preserve">1997-09-30</t>
        </is>
      </c>
      <c r="G399" s="0" t="inlineStr">
        <is>
          <t xml:space="preserve">1997-09-30</t>
        </is>
      </c>
      <c r="H399" s="4">
        <v>0.0</v>
      </c>
      <c r="I399" s="4">
        <v>0.1</v>
      </c>
    </row>
    <row r="400">
      <c r="B400" s="0" t="inlineStr">
        <is>
          <t xml:space="preserve">L3HARRIS TECHNOLOGIES</t>
        </is>
      </c>
      <c r="C400" s="0" t="inlineStr">
        <is>
          <t xml:space="preserve">09000198812DDLA90089C0852</t>
        </is>
      </c>
      <c r="D400" s="0" t="inlineStr">
        <is>
          <t xml:space="preserve">no</t>
        </is>
      </c>
      <c r="E400" s="0" t="inlineStr">
        <is>
          <t xml:space="preserve">DEFINITIVE CONTRACT</t>
        </is>
      </c>
      <c r="F400" s="0" t="inlineStr">
        <is>
          <t xml:space="preserve">1988-12-15</t>
        </is>
      </c>
      <c r="G400" s="0" t="inlineStr">
        <is>
          <t xml:space="preserve">1988-12-15</t>
        </is>
      </c>
      <c r="H400" s="4">
        <v>0.0</v>
      </c>
      <c r="I400" s="4">
        <v>0.1</v>
      </c>
    </row>
    <row r="401">
      <c r="B401" s="0" t="inlineStr">
        <is>
          <t xml:space="preserve">L3HARRIS TECHNOLOGIES</t>
        </is>
      </c>
      <c r="C401" s="0" t="inlineStr">
        <is>
          <t xml:space="preserve">AB070199205BDAAB0790CJ004</t>
        </is>
      </c>
      <c r="D401" s="0" t="inlineStr">
        <is>
          <t xml:space="preserve">no</t>
        </is>
      </c>
      <c r="E401" s="0" t="inlineStr">
        <is>
          <t xml:space="preserve">PURCHASE ORDER</t>
        </is>
      </c>
      <c r="F401" s="0" t="inlineStr">
        <is>
          <t xml:space="preserve">1992-05-15</t>
        </is>
      </c>
      <c r="G401" s="0" t="inlineStr">
        <is>
          <t xml:space="preserve">1992-05-15</t>
        </is>
      </c>
      <c r="H401" s="4">
        <v>0.0</v>
      </c>
      <c r="I401" s="4">
        <v>0.1</v>
      </c>
    </row>
    <row r="402">
      <c r="B402" s="0" t="inlineStr">
        <is>
          <t xml:space="preserve">L3HARRIS TECHNOLOGIES</t>
        </is>
      </c>
      <c r="C402" s="0" t="inlineStr">
        <is>
          <t xml:space="preserve">SG600199012BDASG6088C0102</t>
        </is>
      </c>
      <c r="D402" s="0" t="inlineStr">
        <is>
          <t xml:space="preserve">no</t>
        </is>
      </c>
      <c r="E402" s="0" t="inlineStr">
        <is>
          <t xml:space="preserve">PURCHASE ORDER</t>
        </is>
      </c>
      <c r="F402" s="0" t="inlineStr">
        <is>
          <t xml:space="preserve">1990-12-15</t>
        </is>
      </c>
      <c r="G402" s="0" t="inlineStr">
        <is>
          <t xml:space="preserve">1990-12-15</t>
        </is>
      </c>
      <c r="H402" s="4">
        <v>0.0</v>
      </c>
      <c r="I402" s="4">
        <v>0.1</v>
      </c>
    </row>
    <row r="403">
      <c r="B403" s="0" t="inlineStr">
        <is>
          <t xml:space="preserve">L3HARRIS TECHNOLOGIES</t>
        </is>
      </c>
      <c r="C403" s="0" t="inlineStr">
        <is>
          <t xml:space="preserve">AC090198608D0280DAAC0986C0218</t>
        </is>
      </c>
      <c r="D403" s="0" t="inlineStr">
        <is>
          <t xml:space="preserve">no</t>
        </is>
      </c>
      <c r="E403" s="0" t="inlineStr">
        <is>
          <t xml:space="preserve">DEFINITIVE CONTRACT</t>
        </is>
      </c>
      <c r="F403" s="0" t="inlineStr">
        <is>
          <t xml:space="preserve">1986-08-15</t>
        </is>
      </c>
      <c r="G403" s="0" t="inlineStr">
        <is>
          <t xml:space="preserve">1986-08-15</t>
        </is>
      </c>
      <c r="H403" s="4">
        <v>0.0</v>
      </c>
      <c r="I403" s="4">
        <v>0.1</v>
      </c>
    </row>
    <row r="404">
      <c r="B404" s="0" t="inlineStr">
        <is>
          <t xml:space="preserve">L3HARRIS TECHNOLOGIES</t>
        </is>
      </c>
      <c r="C404" s="0" t="inlineStr">
        <is>
          <t xml:space="preserve">JA100198605CA568A568N0010485G0330</t>
        </is>
      </c>
      <c r="D404" s="0" t="inlineStr">
        <is>
          <t xml:space="preserve">no</t>
        </is>
      </c>
      <c r="E404" s="0" t="inlineStr">
        <is>
          <t xml:space="preserve">DELIVERY ORDER</t>
        </is>
      </c>
      <c r="F404" s="0" t="inlineStr">
        <is>
          <t xml:space="preserve">1986-05-15</t>
        </is>
      </c>
      <c r="G404" s="0" t="inlineStr">
        <is>
          <t xml:space="preserve">1986-05-15</t>
        </is>
      </c>
      <c r="H404" s="4">
        <v>0.0</v>
      </c>
      <c r="I404" s="4">
        <v>0.1</v>
      </c>
    </row>
    <row r="405">
      <c r="B405" s="0" t="inlineStr">
        <is>
          <t xml:space="preserve">L3HARRIS TECHNOLOGIES</t>
        </is>
      </c>
      <c r="C405" s="0" t="inlineStr">
        <is>
          <t xml:space="preserve">D2602198311D0150N0003984C0008</t>
        </is>
      </c>
      <c r="D405" s="0" t="inlineStr">
        <is>
          <t xml:space="preserve">no</t>
        </is>
      </c>
      <c r="E405" s="0" t="inlineStr">
        <is>
          <t xml:space="preserve">DEFINITIVE CONTRACT</t>
        </is>
      </c>
      <c r="F405" s="0" t="inlineStr">
        <is>
          <t xml:space="preserve">1983-11-15</t>
        </is>
      </c>
      <c r="G405" s="0" t="inlineStr">
        <is>
          <t xml:space="preserve">1983-11-15</t>
        </is>
      </c>
      <c r="H405" s="4">
        <v>0.0</v>
      </c>
      <c r="I405" s="4">
        <v>0.1</v>
      </c>
    </row>
    <row r="406">
      <c r="B406" s="0" t="inlineStr">
        <is>
          <t xml:space="preserve">L3HARRIS TECHNOLOGIES</t>
        </is>
      </c>
      <c r="C406" s="0" t="inlineStr">
        <is>
          <t xml:space="preserve">LERC0199203BNAS325860</t>
        </is>
      </c>
      <c r="D406" s="0" t="inlineStr">
        <is>
          <t xml:space="preserve">no</t>
        </is>
      </c>
      <c r="E406" s="0" t="inlineStr">
        <is>
          <t xml:space="preserve">PURCHASE ORDER</t>
        </is>
      </c>
      <c r="F406" s="0" t="inlineStr">
        <is>
          <t xml:space="preserve">1992-03-15</t>
        </is>
      </c>
      <c r="G406" s="0" t="inlineStr">
        <is>
          <t xml:space="preserve">1992-03-15</t>
        </is>
      </c>
      <c r="H406" s="4">
        <v>0.0</v>
      </c>
      <c r="I406" s="4">
        <v>0.1</v>
      </c>
    </row>
    <row r="407">
      <c r="B407" s="0" t="inlineStr">
        <is>
          <t xml:space="preserve">L3HARRIS TECHNOLOGIES</t>
        </is>
      </c>
      <c r="C407" s="0" t="inlineStr">
        <is>
          <t xml:space="preserve">3294198409C40329442255543A75051</t>
        </is>
      </c>
      <c r="D407" s="0" t="inlineStr">
        <is>
          <t xml:space="preserve">no</t>
        </is>
      </c>
      <c r="E407" s="0" t="inlineStr">
        <is>
          <t xml:space="preserve">DELIVERY ORDER</t>
        </is>
      </c>
      <c r="F407" s="0" t="inlineStr">
        <is>
          <t xml:space="preserve">1984-09-15</t>
        </is>
      </c>
      <c r="G407" s="0" t="inlineStr">
        <is>
          <t xml:space="preserve">1984-09-15</t>
        </is>
      </c>
      <c r="H407" s="4">
        <v>0.0</v>
      </c>
      <c r="I407" s="4">
        <v>0.1</v>
      </c>
    </row>
    <row r="408">
      <c r="B408" s="0" t="inlineStr">
        <is>
          <t xml:space="preserve">L3HARRIS TECHNOLOGIES</t>
        </is>
      </c>
      <c r="C408" s="0" t="inlineStr">
        <is>
          <t xml:space="preserve">3294198302C4332943242543A75051</t>
        </is>
      </c>
      <c r="D408" s="0" t="inlineStr">
        <is>
          <t xml:space="preserve">no</t>
        </is>
      </c>
      <c r="E408" s="0" t="inlineStr">
        <is>
          <t xml:space="preserve">DELIVERY ORDER</t>
        </is>
      </c>
      <c r="F408" s="0" t="inlineStr">
        <is>
          <t xml:space="preserve">1983-02-15</t>
        </is>
      </c>
      <c r="G408" s="0" t="inlineStr">
        <is>
          <t xml:space="preserve">1983-02-15</t>
        </is>
      </c>
      <c r="H408" s="4">
        <v>0.0</v>
      </c>
      <c r="I408" s="4">
        <v>0.1</v>
      </c>
    </row>
    <row r="409">
      <c r="B409" s="0" t="inlineStr">
        <is>
          <t xml:space="preserve">L3HARRIS TECHNOLOGIES</t>
        </is>
      </c>
      <c r="C409" s="0" t="inlineStr">
        <is>
          <t xml:space="preserve">EP001198409DTEP8466N</t>
        </is>
      </c>
      <c r="D409" s="0" t="inlineStr">
        <is>
          <t xml:space="preserve">no</t>
        </is>
      </c>
      <c r="E409" s="0" t="inlineStr">
        <is>
          <t xml:space="preserve">DEFINITIVE CONTRACT</t>
        </is>
      </c>
      <c r="F409" s="0" t="inlineStr">
        <is>
          <t xml:space="preserve">1984-09-15</t>
        </is>
      </c>
      <c r="G409" s="0" t="inlineStr">
        <is>
          <t xml:space="preserve">1984-09-15</t>
        </is>
      </c>
      <c r="H409" s="4">
        <v>0.0</v>
      </c>
      <c r="I409" s="4">
        <v>0.1</v>
      </c>
    </row>
    <row r="410">
      <c r="B410" s="0" t="inlineStr">
        <is>
          <t xml:space="preserve">L3HARRIS TECHNOLOGIES</t>
        </is>
      </c>
      <c r="C410" s="0" t="inlineStr">
        <is>
          <t xml:space="preserve">02140198109C2675N0001475C1146</t>
        </is>
      </c>
      <c r="D410" s="0" t="inlineStr">
        <is>
          <t xml:space="preserve">no</t>
        </is>
      </c>
      <c r="E410" s="0" t="inlineStr">
        <is>
          <t xml:space="preserve">DELIVERY ORDER</t>
        </is>
      </c>
      <c r="F410" s="0" t="inlineStr">
        <is>
          <t xml:space="preserve">1981-09-15</t>
        </is>
      </c>
      <c r="G410" s="0" t="inlineStr">
        <is>
          <t xml:space="preserve">1981-09-15</t>
        </is>
      </c>
      <c r="H410" s="4">
        <v>0.0</v>
      </c>
      <c r="I410" s="4">
        <v>0.1</v>
      </c>
    </row>
    <row r="411">
      <c r="B411" s="0" t="inlineStr">
        <is>
          <t xml:space="preserve">L3HARRIS TECHNOLOGIES</t>
        </is>
      </c>
      <c r="C411" s="0" t="inlineStr">
        <is>
          <t xml:space="preserve">000AB198407DNA84ABC00212</t>
        </is>
      </c>
      <c r="D411" s="0" t="inlineStr">
        <is>
          <t xml:space="preserve">no</t>
        </is>
      </c>
      <c r="E411" s="0" t="inlineStr">
        <is>
          <t xml:space="preserve">DEFINITIVE CONTRACT</t>
        </is>
      </c>
      <c r="F411" s="0" t="inlineStr">
        <is>
          <t xml:space="preserve">1984-07-15</t>
        </is>
      </c>
      <c r="G411" s="0" t="inlineStr">
        <is>
          <t xml:space="preserve">1984-07-15</t>
        </is>
      </c>
      <c r="H411" s="4">
        <v>0.0</v>
      </c>
      <c r="I411" s="4">
        <v>0.1</v>
      </c>
    </row>
    <row r="412">
      <c r="B412" s="0" t="inlineStr">
        <is>
          <t xml:space="preserve">L3HARRIS TECHNOLOGIES</t>
        </is>
      </c>
      <c r="C412" s="0" t="inlineStr">
        <is>
          <t xml:space="preserve">LARC0198407BNAS115763</t>
        </is>
      </c>
      <c r="D412" s="0" t="inlineStr">
        <is>
          <t xml:space="preserve">no</t>
        </is>
      </c>
      <c r="E412" s="0" t="inlineStr">
        <is>
          <t xml:space="preserve">PURCHASE ORDER</t>
        </is>
      </c>
      <c r="F412" s="0" t="inlineStr">
        <is>
          <t xml:space="preserve">1984-07-15</t>
        </is>
      </c>
      <c r="G412" s="0" t="inlineStr">
        <is>
          <t xml:space="preserve">1984-07-15</t>
        </is>
      </c>
      <c r="H412" s="4">
        <v>0.0</v>
      </c>
      <c r="I412" s="4">
        <v>0.1</v>
      </c>
    </row>
    <row r="413">
      <c r="B413" s="0" t="inlineStr">
        <is>
          <t xml:space="preserve">L3HARRIS TECHNOLOGIES</t>
        </is>
      </c>
      <c r="C413" s="0" t="inlineStr">
        <is>
          <t xml:space="preserve">LARC0199002BNAS118872</t>
        </is>
      </c>
      <c r="D413" s="0" t="inlineStr">
        <is>
          <t xml:space="preserve">no</t>
        </is>
      </c>
      <c r="E413" s="0" t="inlineStr">
        <is>
          <t xml:space="preserve">PURCHASE ORDER</t>
        </is>
      </c>
      <c r="F413" s="0" t="inlineStr">
        <is>
          <t xml:space="preserve">1990-02-15</t>
        </is>
      </c>
      <c r="G413" s="0" t="inlineStr">
        <is>
          <t xml:space="preserve">1990-02-15</t>
        </is>
      </c>
      <c r="H413" s="4">
        <v>0.0</v>
      </c>
      <c r="I413" s="4">
        <v>0.1</v>
      </c>
    </row>
    <row r="414">
      <c r="B414" s="0" t="inlineStr">
        <is>
          <t xml:space="preserve">L3HARRIS TECHNOLOGIES</t>
        </is>
      </c>
      <c r="C414" s="0" t="inlineStr">
        <is>
          <t xml:space="preserve">HC090198303C0042F0470182C0041</t>
        </is>
      </c>
      <c r="D414" s="0" t="inlineStr">
        <is>
          <t xml:space="preserve">no</t>
        </is>
      </c>
      <c r="E414" s="0" t="inlineStr">
        <is>
          <t xml:space="preserve">DELIVERY ORDER</t>
        </is>
      </c>
      <c r="F414" s="0" t="inlineStr">
        <is>
          <t xml:space="preserve">1983-03-15</t>
        </is>
      </c>
      <c r="G414" s="0" t="inlineStr">
        <is>
          <t xml:space="preserve">1983-03-15</t>
        </is>
      </c>
      <c r="H414" s="4">
        <v>0.0</v>
      </c>
      <c r="I414" s="4">
        <v>0.1</v>
      </c>
    </row>
    <row r="415">
      <c r="B415" s="0" t="inlineStr">
        <is>
          <t xml:space="preserve">L3HARRIS TECHNOLOGIES</t>
        </is>
      </c>
      <c r="C415" s="0" t="inlineStr">
        <is>
          <t xml:space="preserve">AB070198112C02710271DAAB0779G6229</t>
        </is>
      </c>
      <c r="D415" s="0" t="inlineStr">
        <is>
          <t xml:space="preserve">no</t>
        </is>
      </c>
      <c r="E415" s="0" t="inlineStr">
        <is>
          <t xml:space="preserve">DELIVERY ORDER</t>
        </is>
      </c>
      <c r="F415" s="0" t="inlineStr">
        <is>
          <t xml:space="preserve">1981-12-15</t>
        </is>
      </c>
      <c r="G415" s="0" t="inlineStr">
        <is>
          <t xml:space="preserve">1981-12-15</t>
        </is>
      </c>
      <c r="H415" s="4">
        <v>0.0</v>
      </c>
      <c r="I415" s="4">
        <v>0.1</v>
      </c>
    </row>
    <row r="416">
      <c r="B416" s="0" t="inlineStr">
        <is>
          <t xml:space="preserve">L3HARRIS TECHNOLOGIES</t>
        </is>
      </c>
      <c r="C416" s="0" t="inlineStr">
        <is>
          <t xml:space="preserve">W911QX23P0178</t>
        </is>
      </c>
      <c r="D416" s="0" t="inlineStr">
        <is>
          <t xml:space="preserve">no</t>
        </is>
      </c>
      <c r="E416" s="0" t="inlineStr">
        <is>
          <t xml:space="preserve">PURCHASE ORDER</t>
        </is>
      </c>
      <c r="F416" s="0" t="inlineStr">
        <is>
          <t xml:space="preserve">2023-09-19</t>
        </is>
      </c>
      <c r="G416" s="0" t="inlineStr">
        <is>
          <t xml:space="preserve">2023-09-19</t>
        </is>
      </c>
      <c r="H416" s="4">
        <v>0.1</v>
      </c>
      <c r="I416" s="4">
        <v>0.1</v>
      </c>
    </row>
    <row r="417">
      <c r="B417" s="0" t="inlineStr">
        <is>
          <t xml:space="preserve">TEXTRON SYSTEMS</t>
        </is>
      </c>
      <c r="C417" s="0" t="inlineStr">
        <is>
          <t xml:space="preserve">FA448425P0035</t>
        </is>
      </c>
      <c r="D417" s="0" t="inlineStr">
        <is>
          <t xml:space="preserve">no</t>
        </is>
      </c>
      <c r="E417" s="0" t="inlineStr">
        <is>
          <t xml:space="preserve">PURCHASE ORDER</t>
        </is>
      </c>
      <c r="F417" s="0" t="inlineStr">
        <is>
          <t xml:space="preserve">2025-09-25</t>
        </is>
      </c>
      <c r="G417" s="0" t="inlineStr">
        <is>
          <t xml:space="preserve">2025-09-25</t>
        </is>
      </c>
      <c r="H417" s="4">
        <v>0.3</v>
      </c>
      <c r="I417" s="4">
        <v>0.1</v>
      </c>
    </row>
    <row r="418">
      <c r="B418" s="0" t="inlineStr">
        <is>
          <t xml:space="preserve">TEXTRON SYSTEMS</t>
        </is>
      </c>
      <c r="C418" s="0" t="inlineStr">
        <is>
          <t xml:space="preserve">FA480921P0114</t>
        </is>
      </c>
      <c r="D418" s="0" t="inlineStr">
        <is>
          <t xml:space="preserve">no</t>
        </is>
      </c>
      <c r="E418" s="0" t="inlineStr">
        <is>
          <t xml:space="preserve">PURCHASE ORDER</t>
        </is>
      </c>
      <c r="F418" s="0" t="inlineStr">
        <is>
          <t xml:space="preserve">2025-05-27</t>
        </is>
      </c>
      <c r="G418" s="0" t="inlineStr">
        <is>
          <t xml:space="preserve">2025-05-27</t>
        </is>
      </c>
      <c r="H418" s="4">
        <v>0.1</v>
      </c>
      <c r="I418" s="4">
        <v>0.1</v>
      </c>
    </row>
    <row r="419">
      <c r="B419" s="0" t="inlineStr">
        <is>
          <t xml:space="preserve">TEXTRON SYSTEMS</t>
        </is>
      </c>
      <c r="C419" s="0" t="inlineStr">
        <is>
          <t xml:space="preserve">N6893625F0245</t>
        </is>
      </c>
      <c r="D419" s="0" t="inlineStr">
        <is>
          <t xml:space="preserve">no</t>
        </is>
      </c>
      <c r="E419" s="0" t="inlineStr">
        <is>
          <t xml:space="preserve">DELIVERY ORDER</t>
        </is>
      </c>
      <c r="F419" s="0" t="inlineStr">
        <is>
          <t xml:space="preserve">2025-03-26</t>
        </is>
      </c>
      <c r="G419" s="0" t="inlineStr">
        <is>
          <t xml:space="preserve">2025-03-26</t>
        </is>
      </c>
      <c r="H419" s="4">
        <v>0.1</v>
      </c>
      <c r="I419" s="4">
        <v>0.1</v>
      </c>
    </row>
    <row r="420">
      <c r="B420" s="0" t="inlineStr">
        <is>
          <t xml:space="preserve">TEXTRON SYSTEMS</t>
        </is>
      </c>
      <c r="C420" s="0" t="inlineStr">
        <is>
          <t xml:space="preserve">N0038324FZD07</t>
        </is>
      </c>
      <c r="D420" s="0" t="inlineStr">
        <is>
          <t xml:space="preserve">no</t>
        </is>
      </c>
      <c r="E420" s="0" t="inlineStr">
        <is>
          <t xml:space="preserve">DELIVERY ORDER</t>
        </is>
      </c>
      <c r="F420" s="0" t="inlineStr">
        <is>
          <t xml:space="preserve">2024-12-19</t>
        </is>
      </c>
      <c r="G420" s="0" t="inlineStr">
        <is>
          <t xml:space="preserve">2024-12-19</t>
        </is>
      </c>
      <c r="H420" s="4">
        <v>0.1</v>
      </c>
      <c r="I420" s="4">
        <v>0.1</v>
      </c>
    </row>
    <row r="421">
      <c r="B421" s="0" t="inlineStr">
        <is>
          <t xml:space="preserve">TEXTRON SYSTEMS</t>
        </is>
      </c>
      <c r="C421" s="0" t="inlineStr">
        <is>
          <t xml:space="preserve">N6833524P0043</t>
        </is>
      </c>
      <c r="D421" s="0" t="inlineStr">
        <is>
          <t xml:space="preserve">no</t>
        </is>
      </c>
      <c r="E421" s="0" t="inlineStr">
        <is>
          <t xml:space="preserve">PURCHASE ORDER</t>
        </is>
      </c>
      <c r="F421" s="0" t="inlineStr">
        <is>
          <t xml:space="preserve">2023-11-20</t>
        </is>
      </c>
      <c r="G421" s="0" t="inlineStr">
        <is>
          <t xml:space="preserve">2023-11-20</t>
        </is>
      </c>
      <c r="H421" s="4">
        <v>0.1</v>
      </c>
      <c r="I421" s="4">
        <v>0.1</v>
      </c>
    </row>
    <row r="422">
      <c r="B422" s="0" t="inlineStr">
        <is>
          <t xml:space="preserve">TEXTRON SYSTEMS</t>
        </is>
      </c>
      <c r="C422" s="0" t="inlineStr">
        <is>
          <t xml:space="preserve">N0038324PC292</t>
        </is>
      </c>
      <c r="D422" s="0" t="inlineStr">
        <is>
          <t xml:space="preserve">no</t>
        </is>
      </c>
      <c r="E422" s="0" t="inlineStr">
        <is>
          <t xml:space="preserve">PURCHASE ORDER</t>
        </is>
      </c>
      <c r="F422" s="0" t="inlineStr">
        <is>
          <t xml:space="preserve">2024-07-30</t>
        </is>
      </c>
      <c r="G422" s="0" t="inlineStr">
        <is>
          <t xml:space="preserve">2024-07-30</t>
        </is>
      </c>
      <c r="H422" s="4">
        <v>0.1</v>
      </c>
      <c r="I422" s="4">
        <v>0.1</v>
      </c>
    </row>
    <row r="423">
      <c r="B423" s="0" t="inlineStr">
        <is>
          <t xml:space="preserve">TEXTRON SYSTEMS</t>
        </is>
      </c>
      <c r="C423" s="0" t="inlineStr">
        <is>
          <t xml:space="preserve">RJ04</t>
        </is>
      </c>
      <c r="D423" s="0" t="inlineStr">
        <is>
          <t xml:space="preserve">no</t>
        </is>
      </c>
      <c r="E423" s="0" t="inlineStr">
        <is>
          <t xml:space="preserve">DELIVERY ORDER</t>
        </is>
      </c>
      <c r="F423" s="0" t="inlineStr">
        <is>
          <t xml:space="preserve">2001-09-30</t>
        </is>
      </c>
      <c r="G423" s="0" t="inlineStr">
        <is>
          <t xml:space="preserve">2001-09-30</t>
        </is>
      </c>
      <c r="H423" s="4">
        <v>0.0</v>
      </c>
      <c r="I423" s="4">
        <v>0.1</v>
      </c>
    </row>
    <row r="424">
      <c r="B424" s="0" t="inlineStr">
        <is>
          <t xml:space="preserve">TEXTRON SYSTEMS</t>
        </is>
      </c>
      <c r="C424" s="0" t="inlineStr">
        <is>
          <t xml:space="preserve">SPE4A615M9378</t>
        </is>
      </c>
      <c r="D424" s="0" t="inlineStr">
        <is>
          <t xml:space="preserve">no</t>
        </is>
      </c>
      <c r="E424" s="0" t="inlineStr">
        <is>
          <t xml:space="preserve">PURCHASE ORDER</t>
        </is>
      </c>
      <c r="F424" s="0" t="inlineStr">
        <is>
          <t xml:space="preserve">2015-05-12</t>
        </is>
      </c>
      <c r="G424" s="0" t="inlineStr">
        <is>
          <t xml:space="preserve">2015-05-12</t>
        </is>
      </c>
      <c r="H424" s="4">
        <v>0.1</v>
      </c>
      <c r="I424" s="4">
        <v>0.1</v>
      </c>
    </row>
    <row r="425">
      <c r="B425" s="0" t="inlineStr">
        <is>
          <t xml:space="preserve">TEXTRON SYSTEMS</t>
        </is>
      </c>
      <c r="C425" s="0" t="inlineStr">
        <is>
          <t xml:space="preserve">N4279409M0004</t>
        </is>
      </c>
      <c r="D425" s="0" t="inlineStr">
        <is>
          <t xml:space="preserve">no</t>
        </is>
      </c>
      <c r="E425" s="0" t="inlineStr">
        <is>
          <t xml:space="preserve">PURCHASE ORDER</t>
        </is>
      </c>
      <c r="F425" s="0" t="inlineStr">
        <is>
          <t xml:space="preserve">2008-10-21</t>
        </is>
      </c>
      <c r="G425" s="0" t="inlineStr">
        <is>
          <t xml:space="preserve">2008-10-21</t>
        </is>
      </c>
      <c r="H425" s="4">
        <v>0.1</v>
      </c>
      <c r="I425" s="4">
        <v>0.1</v>
      </c>
    </row>
    <row r="426">
      <c r="B426" s="0" t="inlineStr">
        <is>
          <t xml:space="preserve">TEXTRON SYSTEMS</t>
        </is>
      </c>
      <c r="C426" s="0" t="inlineStr">
        <is>
          <t xml:space="preserve">N0042114P0829</t>
        </is>
      </c>
      <c r="D426" s="0" t="inlineStr">
        <is>
          <t xml:space="preserve">no</t>
        </is>
      </c>
      <c r="E426" s="0" t="inlineStr">
        <is>
          <t xml:space="preserve">PURCHASE ORDER</t>
        </is>
      </c>
      <c r="F426" s="0" t="inlineStr">
        <is>
          <t xml:space="preserve">2014-09-11</t>
        </is>
      </c>
      <c r="G426" s="0" t="inlineStr">
        <is>
          <t xml:space="preserve">2014-09-11</t>
        </is>
      </c>
      <c r="H426" s="4">
        <v>0.1</v>
      </c>
      <c r="I426" s="4">
        <v>0.1</v>
      </c>
    </row>
    <row r="427">
      <c r="B427" s="0" t="inlineStr">
        <is>
          <t xml:space="preserve">TEXTRON SYSTEMS</t>
        </is>
      </c>
      <c r="C427" s="0" t="inlineStr">
        <is>
          <t xml:space="preserve">N0038314PP129</t>
        </is>
      </c>
      <c r="D427" s="0" t="inlineStr">
        <is>
          <t xml:space="preserve">no</t>
        </is>
      </c>
      <c r="E427" s="0" t="inlineStr">
        <is>
          <t xml:space="preserve">PURCHASE ORDER</t>
        </is>
      </c>
      <c r="F427" s="0" t="inlineStr">
        <is>
          <t xml:space="preserve">2013-11-26</t>
        </is>
      </c>
      <c r="G427" s="0" t="inlineStr">
        <is>
          <t xml:space="preserve">2013-11-26</t>
        </is>
      </c>
      <c r="H427" s="4">
        <v>0.1</v>
      </c>
      <c r="I427" s="4">
        <v>0.1</v>
      </c>
    </row>
    <row r="428">
      <c r="B428" s="0" t="inlineStr">
        <is>
          <t xml:space="preserve">TEXTRON SYSTEMS</t>
        </is>
      </c>
      <c r="C428" s="0" t="inlineStr">
        <is>
          <t xml:space="preserve">N0038312PP517</t>
        </is>
      </c>
      <c r="D428" s="0" t="inlineStr">
        <is>
          <t xml:space="preserve">no</t>
        </is>
      </c>
      <c r="E428" s="0" t="inlineStr">
        <is>
          <t xml:space="preserve">PURCHASE ORDER</t>
        </is>
      </c>
      <c r="F428" s="0" t="inlineStr">
        <is>
          <t xml:space="preserve">2012-07-20</t>
        </is>
      </c>
      <c r="G428" s="0" t="inlineStr">
        <is>
          <t xml:space="preserve">2012-07-20</t>
        </is>
      </c>
      <c r="H428" s="4">
        <v>0.1</v>
      </c>
      <c r="I428" s="4">
        <v>0.1</v>
      </c>
    </row>
    <row r="429">
      <c r="B429" s="0" t="inlineStr">
        <is>
          <t xml:space="preserve">TEXTRON SYSTEMS</t>
        </is>
      </c>
      <c r="C429" s="0" t="inlineStr">
        <is>
          <t xml:space="preserve">N0038319P013P</t>
        </is>
      </c>
      <c r="D429" s="0" t="inlineStr">
        <is>
          <t xml:space="preserve">no</t>
        </is>
      </c>
      <c r="E429" s="0" t="inlineStr">
        <is>
          <t xml:space="preserve">PURCHASE ORDER</t>
        </is>
      </c>
      <c r="F429" s="0" t="inlineStr">
        <is>
          <t xml:space="preserve">2019-04-10</t>
        </is>
      </c>
      <c r="G429" s="0" t="inlineStr">
        <is>
          <t xml:space="preserve">2019-04-10</t>
        </is>
      </c>
      <c r="H429" s="4">
        <v>0.1</v>
      </c>
      <c r="I429" s="4">
        <v>0.1</v>
      </c>
    </row>
    <row r="430">
      <c r="B430" s="0" t="inlineStr">
        <is>
          <t xml:space="preserve">TEXTRON SYSTEMS</t>
        </is>
      </c>
      <c r="C430" s="0" t="inlineStr">
        <is>
          <t xml:space="preserve">UR42</t>
        </is>
      </c>
      <c r="D430" s="0" t="inlineStr">
        <is>
          <t xml:space="preserve">no</t>
        </is>
      </c>
      <c r="E430" s="0" t="inlineStr">
        <is>
          <t xml:space="preserve">DELIVERY ORDER</t>
        </is>
      </c>
      <c r="F430" s="0" t="inlineStr">
        <is>
          <t xml:space="preserve">2012-03-30</t>
        </is>
      </c>
      <c r="G430" s="0" t="inlineStr">
        <is>
          <t xml:space="preserve">2012-03-30</t>
        </is>
      </c>
      <c r="H430" s="4">
        <v>0.1</v>
      </c>
      <c r="I430" s="4">
        <v>0.1</v>
      </c>
    </row>
    <row r="431">
      <c r="B431" s="0" t="inlineStr">
        <is>
          <t xml:space="preserve">TEXTRON SYSTEMS</t>
        </is>
      </c>
      <c r="C431" s="0" t="inlineStr">
        <is>
          <t xml:space="preserve">N0038306PPC84</t>
        </is>
      </c>
      <c r="D431" s="0" t="inlineStr">
        <is>
          <t xml:space="preserve">no</t>
        </is>
      </c>
      <c r="E431" s="0" t="inlineStr">
        <is>
          <t xml:space="preserve">PURCHASE ORDER</t>
        </is>
      </c>
      <c r="F431" s="0" t="inlineStr">
        <is>
          <t xml:space="preserve">2006-08-22</t>
        </is>
      </c>
      <c r="G431" s="0" t="inlineStr">
        <is>
          <t xml:space="preserve">2006-08-22</t>
        </is>
      </c>
      <c r="H431" s="4">
        <v>0.1</v>
      </c>
      <c r="I431" s="4">
        <v>0.1</v>
      </c>
    </row>
    <row r="432">
      <c r="B432" s="0" t="inlineStr">
        <is>
          <t xml:space="preserve">TEXTRON SYSTEMS</t>
        </is>
      </c>
      <c r="C432" s="0" t="inlineStr">
        <is>
          <t xml:space="preserve">N0038304PP978</t>
        </is>
      </c>
      <c r="D432" s="0" t="inlineStr">
        <is>
          <t xml:space="preserve">no</t>
        </is>
      </c>
      <c r="E432" s="0" t="inlineStr">
        <is>
          <t xml:space="preserve">PURCHASE ORDER</t>
        </is>
      </c>
      <c r="F432" s="0" t="inlineStr">
        <is>
          <t xml:space="preserve">2004-06-29</t>
        </is>
      </c>
      <c r="G432" s="0" t="inlineStr">
        <is>
          <t xml:space="preserve">2004-06-29</t>
        </is>
      </c>
      <c r="H432" s="4">
        <v>0.0</v>
      </c>
      <c r="I432" s="4">
        <v>0.1</v>
      </c>
    </row>
    <row r="433">
      <c r="B433" s="0" t="inlineStr">
        <is>
          <t xml:space="preserve">TEXTRON SYSTEMS</t>
        </is>
      </c>
      <c r="C433" s="0" t="inlineStr">
        <is>
          <t xml:space="preserve">SPM7L310M6925</t>
        </is>
      </c>
      <c r="D433" s="0" t="inlineStr">
        <is>
          <t xml:space="preserve">no</t>
        </is>
      </c>
      <c r="E433" s="0" t="inlineStr">
        <is>
          <t xml:space="preserve">PURCHASE ORDER</t>
        </is>
      </c>
      <c r="F433" s="0" t="inlineStr">
        <is>
          <t xml:space="preserve">2010-05-20</t>
        </is>
      </c>
      <c r="G433" s="0" t="inlineStr">
        <is>
          <t xml:space="preserve">2010-05-20</t>
        </is>
      </c>
      <c r="H433" s="4">
        <v>0.1</v>
      </c>
      <c r="I433" s="4">
        <v>0.1</v>
      </c>
    </row>
    <row r="434">
      <c r="B434" s="0" t="inlineStr">
        <is>
          <t xml:space="preserve">TEXTRON SYSTEMS</t>
        </is>
      </c>
      <c r="C434" s="0" t="inlineStr">
        <is>
          <t xml:space="preserve">N0017818P6164</t>
        </is>
      </c>
      <c r="D434" s="0" t="inlineStr">
        <is>
          <t xml:space="preserve">no</t>
        </is>
      </c>
      <c r="E434" s="0" t="inlineStr">
        <is>
          <t xml:space="preserve">PURCHASE ORDER</t>
        </is>
      </c>
      <c r="F434" s="0" t="inlineStr">
        <is>
          <t xml:space="preserve">2018-05-17</t>
        </is>
      </c>
      <c r="G434" s="0" t="inlineStr">
        <is>
          <t xml:space="preserve">2018-05-17</t>
        </is>
      </c>
      <c r="H434" s="4">
        <v>0.1</v>
      </c>
      <c r="I434" s="4">
        <v>0.1</v>
      </c>
    </row>
    <row r="435">
      <c r="B435" s="0" t="inlineStr">
        <is>
          <t xml:space="preserve">TEXTRON SYSTEMS</t>
        </is>
      </c>
      <c r="C435" s="0" t="inlineStr">
        <is>
          <t xml:space="preserve">W15QKN08P0470</t>
        </is>
      </c>
      <c r="D435" s="0" t="inlineStr">
        <is>
          <t xml:space="preserve">no</t>
        </is>
      </c>
      <c r="E435" s="0" t="inlineStr">
        <is>
          <t xml:space="preserve">PURCHASE ORDER</t>
        </is>
      </c>
      <c r="F435" s="0" t="inlineStr">
        <is>
          <t xml:space="preserve">2008-08-11</t>
        </is>
      </c>
      <c r="G435" s="0" t="inlineStr">
        <is>
          <t xml:space="preserve">2008-08-11</t>
        </is>
      </c>
      <c r="H435" s="4">
        <v>0.1</v>
      </c>
      <c r="I435" s="4">
        <v>0.1</v>
      </c>
    </row>
    <row r="436">
      <c r="B436" s="0" t="inlineStr">
        <is>
          <t xml:space="preserve">TEXTRON SYSTEMS</t>
        </is>
      </c>
      <c r="C436" s="0" t="inlineStr">
        <is>
          <t xml:space="preserve">W15QKN08P0576</t>
        </is>
      </c>
      <c r="D436" s="0" t="inlineStr">
        <is>
          <t xml:space="preserve">no</t>
        </is>
      </c>
      <c r="E436" s="0" t="inlineStr">
        <is>
          <t xml:space="preserve">PURCHASE ORDER</t>
        </is>
      </c>
      <c r="F436" s="0" t="inlineStr">
        <is>
          <t xml:space="preserve">2008-09-26</t>
        </is>
      </c>
      <c r="G436" s="0" t="inlineStr">
        <is>
          <t xml:space="preserve">2008-09-26</t>
        </is>
      </c>
      <c r="H436" s="4">
        <v>0.1</v>
      </c>
      <c r="I436" s="4">
        <v>0.1</v>
      </c>
    </row>
    <row r="437">
      <c r="B437" s="0" t="inlineStr">
        <is>
          <t xml:space="preserve">TEXTRON SYSTEMS</t>
        </is>
      </c>
      <c r="C437" s="0" t="inlineStr">
        <is>
          <t xml:space="preserve">NNA15BB99D</t>
        </is>
      </c>
      <c r="D437" s="0" t="inlineStr">
        <is>
          <t xml:space="preserve">no</t>
        </is>
      </c>
      <c r="E437" s="0" t="inlineStr">
        <is>
          <t xml:space="preserve">DELIVERY ORDER</t>
        </is>
      </c>
      <c r="F437" s="0" t="inlineStr">
        <is>
          <t xml:space="preserve">2015-11-23</t>
        </is>
      </c>
      <c r="G437" s="0" t="inlineStr">
        <is>
          <t xml:space="preserve">2015-11-23</t>
        </is>
      </c>
      <c r="H437" s="4">
        <v>0.1</v>
      </c>
      <c r="I437" s="4">
        <v>0.1</v>
      </c>
    </row>
    <row r="438">
      <c r="B438" s="0" t="inlineStr">
        <is>
          <t xml:space="preserve">TEXTRON SYSTEMS</t>
        </is>
      </c>
      <c r="C438" s="0" t="inlineStr">
        <is>
          <t xml:space="preserve">HSHQDC09P00113</t>
        </is>
      </c>
      <c r="D438" s="0" t="inlineStr">
        <is>
          <t xml:space="preserve">no</t>
        </is>
      </c>
      <c r="E438" s="0" t="inlineStr">
        <is>
          <t xml:space="preserve">PURCHASE ORDER</t>
        </is>
      </c>
      <c r="F438" s="0" t="inlineStr">
        <is>
          <t xml:space="preserve">2014-08-15</t>
        </is>
      </c>
      <c r="G438" s="0" t="inlineStr">
        <is>
          <t xml:space="preserve">2014-08-15</t>
        </is>
      </c>
      <c r="H438" s="4">
        <v>0.1</v>
      </c>
      <c r="I438" s="4">
        <v>0.1</v>
      </c>
    </row>
    <row r="439">
      <c r="B439" s="0" t="inlineStr">
        <is>
          <t xml:space="preserve">TEXTRON SYSTEMS</t>
        </is>
      </c>
      <c r="C439" s="0" t="inlineStr">
        <is>
          <t xml:space="preserve">N0002401C2234</t>
        </is>
      </c>
      <c r="D439" s="0" t="inlineStr">
        <is>
          <t xml:space="preserve">no</t>
        </is>
      </c>
      <c r="E439" s="0" t="inlineStr">
        <is>
          <t xml:space="preserve">DEFINITIVE CONTRACT</t>
        </is>
      </c>
      <c r="F439" s="0" t="inlineStr">
        <is>
          <t xml:space="preserve">2001-06-28</t>
        </is>
      </c>
      <c r="G439" s="0" t="inlineStr">
        <is>
          <t xml:space="preserve">2001-06-28</t>
        </is>
      </c>
      <c r="H439" s="4">
        <v>0.0</v>
      </c>
      <c r="I439" s="4">
        <v>0.1</v>
      </c>
    </row>
    <row r="440">
      <c r="B440" s="0" t="inlineStr">
        <is>
          <t xml:space="preserve">TEXTRON SYSTEMS</t>
        </is>
      </c>
      <c r="C440" s="0" t="inlineStr">
        <is>
          <t xml:space="preserve">N0010417PXA02</t>
        </is>
      </c>
      <c r="D440" s="0" t="inlineStr">
        <is>
          <t xml:space="preserve">no</t>
        </is>
      </c>
      <c r="E440" s="0" t="inlineStr">
        <is>
          <t xml:space="preserve">PURCHASE ORDER</t>
        </is>
      </c>
      <c r="F440" s="0" t="inlineStr">
        <is>
          <t xml:space="preserve">2017-04-04</t>
        </is>
      </c>
      <c r="G440" s="0" t="inlineStr">
        <is>
          <t xml:space="preserve">2017-04-04</t>
        </is>
      </c>
      <c r="H440" s="4">
        <v>0.1</v>
      </c>
      <c r="I440" s="4">
        <v>0.1</v>
      </c>
    </row>
    <row r="441">
      <c r="B441" s="0" t="inlineStr">
        <is>
          <t xml:space="preserve">TEXTRON SYSTEMS</t>
        </is>
      </c>
      <c r="C441" s="0" t="inlineStr">
        <is>
          <t xml:space="preserve">SP056001MD064</t>
        </is>
      </c>
      <c r="D441" s="0" t="inlineStr">
        <is>
          <t xml:space="preserve">no</t>
        </is>
      </c>
      <c r="E441" s="0" t="inlineStr">
        <is>
          <t xml:space="preserve">PURCHASE ORDER</t>
        </is>
      </c>
      <c r="F441" s="0" t="inlineStr">
        <is>
          <t xml:space="preserve">2001-01-31</t>
        </is>
      </c>
      <c r="G441" s="0" t="inlineStr">
        <is>
          <t xml:space="preserve">2001-01-31</t>
        </is>
      </c>
      <c r="H441" s="4">
        <v>0.0</v>
      </c>
      <c r="I441" s="4">
        <v>0.1</v>
      </c>
    </row>
    <row r="442">
      <c r="B442" s="0" t="inlineStr">
        <is>
          <t xml:space="preserve">TEXTRON SYSTEMS</t>
        </is>
      </c>
      <c r="C442" s="0" t="inlineStr">
        <is>
          <t xml:space="preserve">SPM7L213V2301</t>
        </is>
      </c>
      <c r="D442" s="0" t="inlineStr">
        <is>
          <t xml:space="preserve">no</t>
        </is>
      </c>
      <c r="E442" s="0" t="inlineStr">
        <is>
          <t xml:space="preserve">PURCHASE ORDER</t>
        </is>
      </c>
      <c r="F442" s="0" t="inlineStr">
        <is>
          <t xml:space="preserve">2013-01-18</t>
        </is>
      </c>
      <c r="G442" s="0" t="inlineStr">
        <is>
          <t xml:space="preserve">2013-01-18</t>
        </is>
      </c>
      <c r="H442" s="4">
        <v>0.1</v>
      </c>
      <c r="I442" s="4">
        <v>0.1</v>
      </c>
    </row>
    <row r="443">
      <c r="B443" s="0" t="inlineStr">
        <is>
          <t xml:space="preserve">BOLLINGER</t>
        </is>
      </c>
      <c r="C443" s="0" t="inlineStr">
        <is>
          <t xml:space="preserve">DJJ5PJMD010268</t>
        </is>
      </c>
      <c r="D443" s="0" t="inlineStr">
        <is>
          <t xml:space="preserve">no</t>
        </is>
      </c>
      <c r="E443" s="0" t="inlineStr">
        <is>
          <t xml:space="preserve">PURCHASE ORDER</t>
        </is>
      </c>
      <c r="F443" s="0" t="inlineStr">
        <is>
          <t xml:space="preserve">2005-09-26</t>
        </is>
      </c>
      <c r="G443" s="0" t="inlineStr">
        <is>
          <t xml:space="preserve">2005-09-30</t>
        </is>
      </c>
      <c r="H443" s="4">
        <v>0.1</v>
      </c>
      <c r="I443" s="4">
        <v>0.1</v>
      </c>
    </row>
    <row r="444">
      <c r="B444" s="0" t="inlineStr">
        <is>
          <t xml:space="preserve">BOLLINGER</t>
        </is>
      </c>
      <c r="C444" s="0" t="inlineStr">
        <is>
          <t xml:space="preserve">5PJMD010268</t>
        </is>
      </c>
      <c r="D444" s="0" t="inlineStr">
        <is>
          <t xml:space="preserve">no</t>
        </is>
      </c>
      <c r="E444" s="0" t="inlineStr">
        <is>
          <t xml:space="preserve">PURCHASE ORDER</t>
        </is>
      </c>
      <c r="F444" s="0" t="inlineStr">
        <is>
          <t xml:space="preserve">2005-09-26</t>
        </is>
      </c>
      <c r="G444" s="0" t="inlineStr">
        <is>
          <t xml:space="preserve">2005-09-26</t>
        </is>
      </c>
      <c r="H444" s="4">
        <v>0.1</v>
      </c>
      <c r="I444" s="4">
        <v>0.1</v>
      </c>
    </row>
    <row r="445">
      <c r="B445" s="0" t="inlineStr">
        <is>
          <t xml:space="preserve">AUSTAL USA</t>
        </is>
      </c>
      <c r="C445" s="0" t="inlineStr">
        <is>
          <t xml:space="preserve">N3220522P0181</t>
        </is>
      </c>
      <c r="D445" s="0" t="inlineStr">
        <is>
          <t xml:space="preserve">no</t>
        </is>
      </c>
      <c r="E445" s="0" t="inlineStr">
        <is>
          <t xml:space="preserve">PURCHASE ORDER</t>
        </is>
      </c>
      <c r="F445" s="0" t="inlineStr">
        <is>
          <t xml:space="preserve">2022-08-25</t>
        </is>
      </c>
      <c r="G445" s="0" t="inlineStr">
        <is>
          <t xml:space="preserve">2023-03-04</t>
        </is>
      </c>
      <c r="H445" s="4">
        <v>0.1</v>
      </c>
      <c r="I445" s="4">
        <v>0.1</v>
      </c>
    </row>
    <row r="446">
      <c r="B446" s="0" t="inlineStr">
        <is>
          <t xml:space="preserve">AUSTAL USA</t>
        </is>
      </c>
      <c r="C446" s="0" t="inlineStr">
        <is>
          <t xml:space="preserve">N3220522P2150</t>
        </is>
      </c>
      <c r="D446" s="0" t="inlineStr">
        <is>
          <t xml:space="preserve">no</t>
        </is>
      </c>
      <c r="E446" s="0" t="inlineStr">
        <is>
          <t xml:space="preserve">PURCHASE ORDER</t>
        </is>
      </c>
      <c r="F446" s="0" t="inlineStr">
        <is>
          <t xml:space="preserve">2022-07-01</t>
        </is>
      </c>
      <c r="G446" s="0" t="inlineStr">
        <is>
          <t xml:space="preserve">2022-07-01</t>
        </is>
      </c>
      <c r="H446" s="4">
        <v>0.1</v>
      </c>
      <c r="I446" s="4">
        <v>0.1</v>
      </c>
    </row>
    <row r="447">
      <c r="B447" s="0" t="inlineStr">
        <is>
          <t xml:space="preserve">AUSTAL USA</t>
        </is>
      </c>
      <c r="C447" s="0" t="inlineStr">
        <is>
          <t xml:space="preserve">N5523616P0158</t>
        </is>
      </c>
      <c r="D447" s="0" t="inlineStr">
        <is>
          <t xml:space="preserve">no</t>
        </is>
      </c>
      <c r="E447" s="0" t="inlineStr">
        <is>
          <t xml:space="preserve">PURCHASE ORDER</t>
        </is>
      </c>
      <c r="F447" s="0" t="inlineStr">
        <is>
          <t xml:space="preserve">2016-03-29</t>
        </is>
      </c>
      <c r="G447" s="0" t="inlineStr">
        <is>
          <t xml:space="preserve">2016-03-29</t>
        </is>
      </c>
      <c r="H447" s="4">
        <v>0.1</v>
      </c>
      <c r="I447" s="4">
        <v>0.1</v>
      </c>
    </row>
    <row r="448">
      <c r="B448" s="0" t="inlineStr">
        <is>
          <t xml:space="preserve">AUSTAL USA</t>
        </is>
      </c>
      <c r="C448" s="0" t="inlineStr">
        <is>
          <t xml:space="preserve">N0001409M0345</t>
        </is>
      </c>
      <c r="D448" s="0" t="inlineStr">
        <is>
          <t xml:space="preserve">no</t>
        </is>
      </c>
      <c r="E448" s="0" t="inlineStr">
        <is>
          <t xml:space="preserve">PURCHASE ORDER</t>
        </is>
      </c>
      <c r="F448" s="0" t="inlineStr">
        <is>
          <t xml:space="preserve">2009-06-26</t>
        </is>
      </c>
      <c r="G448" s="0" t="inlineStr">
        <is>
          <t xml:space="preserve">2009-06-26</t>
        </is>
      </c>
      <c r="H448" s="4">
        <v>0.1</v>
      </c>
      <c r="I448" s="4">
        <v>0.1</v>
      </c>
    </row>
    <row r="449">
      <c r="B449" s="0" t="inlineStr">
        <is>
          <t xml:space="preserve">AUSTAL USA</t>
        </is>
      </c>
      <c r="C449" s="0" t="inlineStr">
        <is>
          <t xml:space="preserve">N5523618P0119</t>
        </is>
      </c>
      <c r="D449" s="0" t="inlineStr">
        <is>
          <t xml:space="preserve">no</t>
        </is>
      </c>
      <c r="E449" s="0" t="inlineStr">
        <is>
          <t xml:space="preserve">PURCHASE ORDER</t>
        </is>
      </c>
      <c r="F449" s="0" t="inlineStr">
        <is>
          <t xml:space="preserve">2018-05-25</t>
        </is>
      </c>
      <c r="G449" s="0" t="inlineStr">
        <is>
          <t xml:space="preserve">2018-05-25</t>
        </is>
      </c>
      <c r="H449" s="4">
        <v>0.1</v>
      </c>
      <c r="I449" s="4">
        <v>0.1</v>
      </c>
    </row>
    <row r="450">
      <c r="B450" s="0" t="inlineStr">
        <is>
          <t xml:space="preserve">AUSTAL USA</t>
        </is>
      </c>
      <c r="C450" s="0" t="inlineStr">
        <is>
          <t xml:space="preserve">N5523617P0065</t>
        </is>
      </c>
      <c r="D450" s="0" t="inlineStr">
        <is>
          <t xml:space="preserve">no</t>
        </is>
      </c>
      <c r="E450" s="0" t="inlineStr">
        <is>
          <t xml:space="preserve">PURCHASE ORDER</t>
        </is>
      </c>
      <c r="F450" s="0" t="inlineStr">
        <is>
          <t xml:space="preserve">2017-06-14</t>
        </is>
      </c>
      <c r="G450" s="0" t="inlineStr">
        <is>
          <t xml:space="preserve">2017-06-14</t>
        </is>
      </c>
      <c r="H450" s="4">
        <v>0.1</v>
      </c>
      <c r="I450" s="4">
        <v>0.1</v>
      </c>
    </row>
    <row r="451">
      <c r="B451" s="0" t="inlineStr">
        <is>
          <t xml:space="preserve">AUSTAL USA</t>
        </is>
      </c>
      <c r="C451" s="0" t="inlineStr">
        <is>
          <t xml:space="preserve">N3220524P2270</t>
        </is>
      </c>
      <c r="D451" s="0" t="inlineStr">
        <is>
          <t xml:space="preserve">no</t>
        </is>
      </c>
      <c r="E451" s="0" t="inlineStr">
        <is>
          <t xml:space="preserve">PURCHASE ORDER</t>
        </is>
      </c>
      <c r="F451" s="0" t="inlineStr">
        <is>
          <t xml:space="preserve">2024-10-30</t>
        </is>
      </c>
      <c r="G451" s="0" t="inlineStr">
        <is>
          <t xml:space="preserve">2024-10-30</t>
        </is>
      </c>
      <c r="H451" s="4">
        <v>0.1</v>
      </c>
      <c r="I451" s="4">
        <v>0.1</v>
      </c>
    </row>
    <row r="452">
      <c r="B452" s="0" t="inlineStr">
        <is>
          <t xml:space="preserve">AUSTAL USA</t>
        </is>
      </c>
      <c r="C452" s="0" t="inlineStr">
        <is>
          <t xml:space="preserve">N4034524F0529</t>
        </is>
      </c>
      <c r="D452" s="0" t="inlineStr">
        <is>
          <t xml:space="preserve">no</t>
        </is>
      </c>
      <c r="E452" s="0" t="inlineStr">
        <is>
          <t xml:space="preserve">DELIVERY ORDER</t>
        </is>
      </c>
      <c r="F452" s="0" t="inlineStr">
        <is>
          <t xml:space="preserve">2024-08-19</t>
        </is>
      </c>
      <c r="G452" s="0" t="inlineStr">
        <is>
          <t xml:space="preserve">2024-08-19</t>
        </is>
      </c>
      <c r="H452" s="4">
        <v>0.1</v>
      </c>
      <c r="I452" s="4">
        <v>0.1</v>
      </c>
    </row>
    <row r="453">
      <c r="B453" s="0" t="inlineStr">
        <is>
          <t xml:space="preserve">AUSTAL USA</t>
        </is>
      </c>
      <c r="C453" s="0" t="inlineStr">
        <is>
          <t xml:space="preserve">N4034522F0210</t>
        </is>
      </c>
      <c r="D453" s="0" t="inlineStr">
        <is>
          <t xml:space="preserve">no</t>
        </is>
      </c>
      <c r="E453" s="0" t="inlineStr">
        <is>
          <t xml:space="preserve">DELIVERY ORDER</t>
        </is>
      </c>
      <c r="F453" s="0" t="inlineStr">
        <is>
          <t xml:space="preserve">2022-06-29</t>
        </is>
      </c>
      <c r="G453" s="0" t="inlineStr">
        <is>
          <t xml:space="preserve">2022-06-29</t>
        </is>
      </c>
      <c r="H453" s="4">
        <v>0.1</v>
      </c>
      <c r="I453" s="4">
        <v>0.1</v>
      </c>
    </row>
    <row r="454">
      <c r="B454" s="0" t="inlineStr">
        <is>
          <t xml:space="preserve">AUSTAL USA</t>
        </is>
      </c>
      <c r="C454" s="0" t="inlineStr">
        <is>
          <t xml:space="preserve">N4034523F0244</t>
        </is>
      </c>
      <c r="D454" s="0" t="inlineStr">
        <is>
          <t xml:space="preserve">no</t>
        </is>
      </c>
      <c r="E454" s="0" t="inlineStr">
        <is>
          <t xml:space="preserve">DELIVERY ORDER</t>
        </is>
      </c>
      <c r="F454" s="0" t="inlineStr">
        <is>
          <t xml:space="preserve">2023-03-21</t>
        </is>
      </c>
      <c r="G454" s="0" t="inlineStr">
        <is>
          <t xml:space="preserve">2023-03-21</t>
        </is>
      </c>
      <c r="H454" s="4">
        <v>0.1</v>
      </c>
      <c r="I454" s="4">
        <v>0.1</v>
      </c>
    </row>
    <row r="455">
      <c r="B455" s="0" t="inlineStr">
        <is>
          <t xml:space="preserve">SARONIC TECHNOLOGIES</t>
        </is>
      </c>
      <c r="C455" s="0" t="inlineStr">
        <is>
          <t xml:space="preserve">47QTCA26D003X</t>
        </is>
      </c>
      <c r="D455" s="0" t="inlineStr">
        <is>
          <t xml:space="preserve">no</t>
        </is>
      </c>
      <c r="E455" s="0" t="inlineStr">
        <is>
          <t xml:space="preserve">FSS</t>
        </is>
      </c>
      <c r="F455" s="0" t="inlineStr">
        <is>
          <t xml:space="preserve">2026-03-10</t>
        </is>
      </c>
      <c r="G455" s="0" t="inlineStr">
        <is>
          <t xml:space="preserve">2026-06-22</t>
        </is>
      </c>
      <c r="H455" s="4">
        <v>0.8</v>
      </c>
      <c r="I455" s="4">
        <v>0.0</v>
      </c>
    </row>
    <row r="456">
      <c r="B456" s="0" t="inlineStr">
        <is>
          <t xml:space="preserve">SARONIC TECHNOLOGIES</t>
        </is>
      </c>
      <c r="C456" s="0" t="inlineStr">
        <is>
          <t xml:space="preserve">HQ085926FE712</t>
        </is>
      </c>
      <c r="D456" s="0" t="inlineStr">
        <is>
          <t xml:space="preserve">no</t>
        </is>
      </c>
      <c r="E456" s="0" t="inlineStr">
        <is>
          <t xml:space="preserve">DELIVERY ORDER</t>
        </is>
      </c>
      <c r="F456" s="0" t="inlineStr">
        <is>
          <t xml:space="preserve">2025-12-05</t>
        </is>
      </c>
      <c r="G456" s="0" t="inlineStr">
        <is>
          <t xml:space="preserve">2025-12-05</t>
        </is>
      </c>
      <c r="H456" s="4">
        <v>0.0</v>
      </c>
      <c r="I456" s="4">
        <v>0.0</v>
      </c>
    </row>
    <row r="457">
      <c r="B457" s="0" t="inlineStr">
        <is>
          <t xml:space="preserve">SARONIC TECHNOLOGIES</t>
        </is>
      </c>
      <c r="C457" s="0" t="inlineStr">
        <is>
          <t xml:space="preserve">HQ085926DF529</t>
        </is>
      </c>
      <c r="D457" s="0" t="inlineStr">
        <is>
          <t xml:space="preserve">no</t>
        </is>
      </c>
      <c r="E457" s="0" t="inlineStr">
        <is>
          <t xml:space="preserve">IDC</t>
        </is>
      </c>
      <c r="F457" s="0" t="inlineStr">
        <is>
          <t xml:space="preserve">2025-12-04</t>
        </is>
      </c>
      <c r="G457" s="0" t="inlineStr">
        <is>
          <t xml:space="preserve">2025-12-04</t>
        </is>
      </c>
      <c r="H457" s="4">
        <v>151000.0</v>
      </c>
      <c r="I457" s="4">
        <v>0.0</v>
      </c>
    </row>
    <row r="458">
      <c r="B458" s="0" t="inlineStr">
        <is>
          <t xml:space="preserve">OCEAN AERO</t>
        </is>
      </c>
      <c r="C458" s="0" t="inlineStr">
        <is>
          <t xml:space="preserve">N6133125D1002</t>
        </is>
      </c>
      <c r="D458" s="0" t="inlineStr">
        <is>
          <t xml:space="preserve">no</t>
        </is>
      </c>
      <c r="E458" s="0" t="inlineStr">
        <is>
          <t xml:space="preserve">IDC</t>
        </is>
      </c>
      <c r="F458" s="0" t="inlineStr">
        <is>
          <t xml:space="preserve">2025-04-24</t>
        </is>
      </c>
      <c r="G458" s="0" t="inlineStr">
        <is>
          <t xml:space="preserve">2025-04-24</t>
        </is>
      </c>
      <c r="H458" s="4">
        <v>17.1</v>
      </c>
      <c r="I458" s="4">
        <v>0.0</v>
      </c>
    </row>
    <row r="459">
      <c r="B459" s="0" t="inlineStr">
        <is>
          <t xml:space="preserve">SPATIAL INTEGRATED SYSTEMS</t>
        </is>
      </c>
      <c r="C459" s="0" t="inlineStr">
        <is>
          <t xml:space="preserve">N0017316F0182</t>
        </is>
      </c>
      <c r="D459" s="0" t="inlineStr">
        <is>
          <t xml:space="preserve">no</t>
        </is>
      </c>
      <c r="E459" s="0" t="inlineStr">
        <is>
          <t xml:space="preserve">DELIVERY ORDER</t>
        </is>
      </c>
      <c r="F459" s="0" t="inlineStr">
        <is>
          <t xml:space="preserve">2016-02-05</t>
        </is>
      </c>
      <c r="G459" s="0" t="inlineStr">
        <is>
          <t xml:space="preserve">2016-02-05</t>
        </is>
      </c>
      <c r="H459" s="4">
        <v>0.0</v>
      </c>
      <c r="I459" s="4">
        <v>0.0</v>
      </c>
    </row>
    <row r="460">
      <c r="B460" s="0" t="inlineStr">
        <is>
          <t xml:space="preserve">SPATIAL INTEGRATED SYSTEMS</t>
        </is>
      </c>
      <c r="C460" s="0" t="inlineStr">
        <is>
          <t xml:space="preserve">N6660424M1154</t>
        </is>
      </c>
      <c r="D460" s="0" t="inlineStr">
        <is>
          <t xml:space="preserve">no</t>
        </is>
      </c>
      <c r="E460" s="0" t="inlineStr">
        <is>
          <t xml:space="preserve">DELIVERY ORDER</t>
        </is>
      </c>
      <c r="F460" s="0" t="inlineStr">
        <is>
          <t xml:space="preserve">2024-03-15</t>
        </is>
      </c>
      <c r="G460" s="0" t="inlineStr">
        <is>
          <t xml:space="preserve">2024-03-15</t>
        </is>
      </c>
      <c r="H460" s="4">
        <v>0.0</v>
      </c>
      <c r="I460" s="4">
        <v>0.0</v>
      </c>
    </row>
    <row r="461">
      <c r="B461" s="0" t="inlineStr">
        <is>
          <t xml:space="preserve">SPATIAL INTEGRATED SYSTEMS</t>
        </is>
      </c>
      <c r="C461" s="0" t="inlineStr">
        <is>
          <t xml:space="preserve">N0017819D8548</t>
        </is>
      </c>
      <c r="D461" s="0" t="inlineStr">
        <is>
          <t xml:space="preserve">no</t>
        </is>
      </c>
      <c r="E461" s="0" t="inlineStr">
        <is>
          <t xml:space="preserve">IDC</t>
        </is>
      </c>
      <c r="F461" s="0" t="inlineStr">
        <is>
          <t xml:space="preserve">2021-10-30</t>
        </is>
      </c>
      <c r="G461" s="0" t="inlineStr">
        <is>
          <t xml:space="preserve">2024-01-04</t>
        </is>
      </c>
      <c r="H461" s="4">
        <v>0.0</v>
      </c>
      <c r="I461" s="4">
        <v>0.0</v>
      </c>
    </row>
    <row r="462">
      <c r="B462" s="0" t="inlineStr">
        <is>
          <t xml:space="preserve">SPATIAL INTEGRATED SYSTEMS</t>
        </is>
      </c>
      <c r="C462" s="0" t="inlineStr">
        <is>
          <t xml:space="preserve">W911PT26FA184</t>
        </is>
      </c>
      <c r="D462" s="0" t="inlineStr">
        <is>
          <t xml:space="preserve">no</t>
        </is>
      </c>
      <c r="E462" s="0" t="inlineStr">
        <is>
          <t xml:space="preserve">DELIVERY ORDER</t>
        </is>
      </c>
      <c r="F462" s="0" t="inlineStr">
        <is>
          <t xml:space="preserve">2026-03-18</t>
        </is>
      </c>
      <c r="G462" s="0" t="inlineStr">
        <is>
          <t xml:space="preserve">2026-03-18</t>
        </is>
      </c>
      <c r="H462" s="4">
        <v>0.0</v>
      </c>
      <c r="I462" s="4">
        <v>0.0</v>
      </c>
    </row>
    <row r="463">
      <c r="B463" s="0" t="inlineStr">
        <is>
          <t xml:space="preserve">SPATIAL INTEGRATED SYSTEMS</t>
        </is>
      </c>
      <c r="C463" s="0" t="inlineStr">
        <is>
          <t xml:space="preserve">N0016416F0019</t>
        </is>
      </c>
      <c r="D463" s="0" t="inlineStr">
        <is>
          <t xml:space="preserve">no</t>
        </is>
      </c>
      <c r="E463" s="0" t="inlineStr">
        <is>
          <t xml:space="preserve">DELIVERY ORDER</t>
        </is>
      </c>
      <c r="F463" s="0" t="inlineStr">
        <is>
          <t xml:space="preserve">2016-02-09</t>
        </is>
      </c>
      <c r="G463" s="0" t="inlineStr">
        <is>
          <t xml:space="preserve">2016-02-09</t>
        </is>
      </c>
      <c r="H463" s="4">
        <v>0.0</v>
      </c>
      <c r="I463" s="4">
        <v>0.0</v>
      </c>
    </row>
    <row r="464">
      <c r="B464" s="0" t="inlineStr">
        <is>
          <t xml:space="preserve">SPATIAL INTEGRATED SYSTEMS</t>
        </is>
      </c>
      <c r="C464" s="0" t="inlineStr">
        <is>
          <t xml:space="preserve">GS35F160CA</t>
        </is>
      </c>
      <c r="D464" s="0" t="inlineStr">
        <is>
          <t xml:space="preserve">no</t>
        </is>
      </c>
      <c r="E464" s="0" t="inlineStr">
        <is>
          <t xml:space="preserve">FSS</t>
        </is>
      </c>
      <c r="F464" s="0" t="inlineStr">
        <is>
          <t xml:space="preserve">2018-12-19</t>
        </is>
      </c>
      <c r="G464" s="0" t="inlineStr">
        <is>
          <t xml:space="preserve">2025-12-29</t>
        </is>
      </c>
      <c r="H464" s="4">
        <v>33.8</v>
      </c>
      <c r="I464" s="4">
        <v>0.0</v>
      </c>
    </row>
    <row r="465">
      <c r="B465" s="0" t="inlineStr">
        <is>
          <t xml:space="preserve">SPATIAL INTEGRATED SYSTEMS</t>
        </is>
      </c>
      <c r="C465" s="0" t="inlineStr">
        <is>
          <t xml:space="preserve">70Z03825FM0000012</t>
        </is>
      </c>
      <c r="D465" s="0" t="inlineStr">
        <is>
          <t xml:space="preserve">no</t>
        </is>
      </c>
      <c r="E465" s="0" t="inlineStr">
        <is>
          <t xml:space="preserve">DELIVERY ORDER</t>
        </is>
      </c>
      <c r="F465" s="0" t="inlineStr">
        <is>
          <t xml:space="preserve">2025-06-23</t>
        </is>
      </c>
      <c r="G465" s="0" t="inlineStr">
        <is>
          <t xml:space="preserve">2025-06-23</t>
        </is>
      </c>
      <c r="H465" s="4">
        <v>0.0</v>
      </c>
      <c r="I465" s="4">
        <v>0.0</v>
      </c>
    </row>
    <row r="466">
      <c r="B466" s="0" t="inlineStr">
        <is>
          <t xml:space="preserve">SPATIAL INTEGRATED SYSTEMS</t>
        </is>
      </c>
      <c r="C466" s="0" t="inlineStr">
        <is>
          <t xml:space="preserve">N3904020F0117</t>
        </is>
      </c>
      <c r="D466" s="0" t="inlineStr">
        <is>
          <t xml:space="preserve">no</t>
        </is>
      </c>
      <c r="E466" s="0" t="inlineStr">
        <is>
          <t xml:space="preserve">DELIVERY ORDER</t>
        </is>
      </c>
      <c r="F466" s="0" t="inlineStr">
        <is>
          <t xml:space="preserve">2020-07-15</t>
        </is>
      </c>
      <c r="G466" s="0" t="inlineStr">
        <is>
          <t xml:space="preserve">2020-07-15</t>
        </is>
      </c>
      <c r="H466" s="4">
        <v>0.0</v>
      </c>
      <c r="I466" s="4">
        <v>0.0</v>
      </c>
    </row>
    <row r="467">
      <c r="B467" s="0" t="inlineStr">
        <is>
          <t xml:space="preserve">SPATIAL INTEGRATED SYSTEMS</t>
        </is>
      </c>
      <c r="C467" s="0" t="inlineStr">
        <is>
          <t xml:space="preserve">FA251724FG037</t>
        </is>
      </c>
      <c r="D467" s="0" t="inlineStr">
        <is>
          <t xml:space="preserve">no</t>
        </is>
      </c>
      <c r="E467" s="0" t="inlineStr">
        <is>
          <t xml:space="preserve">DELIVERY ORDER</t>
        </is>
      </c>
      <c r="F467" s="0" t="inlineStr">
        <is>
          <t xml:space="preserve">2023-10-01</t>
        </is>
      </c>
      <c r="G467" s="0" t="inlineStr">
        <is>
          <t xml:space="preserve">2023-10-01</t>
        </is>
      </c>
      <c r="H467" s="4">
        <v>0.0</v>
      </c>
      <c r="I467" s="4">
        <v>0.0</v>
      </c>
    </row>
    <row r="468">
      <c r="B468" s="0" t="inlineStr">
        <is>
          <t xml:space="preserve">SPATIAL INTEGRATED SYSTEMS</t>
        </is>
      </c>
      <c r="C468" s="0" t="inlineStr">
        <is>
          <t xml:space="preserve">N0017814D7930</t>
        </is>
      </c>
      <c r="D468" s="0" t="inlineStr">
        <is>
          <t xml:space="preserve">no</t>
        </is>
      </c>
      <c r="E468" s="0" t="inlineStr">
        <is>
          <t xml:space="preserve">IDC</t>
        </is>
      </c>
      <c r="F468" s="0" t="inlineStr">
        <is>
          <t xml:space="preserve">2013-11-19</t>
        </is>
      </c>
      <c r="G468" s="0" t="inlineStr">
        <is>
          <t xml:space="preserve">2018-06-21</t>
        </is>
      </c>
      <c r="H468" s="4">
        <v>145098.9</v>
      </c>
      <c r="I468" s="4">
        <v>0.0</v>
      </c>
    </row>
    <row r="469">
      <c r="B469" s="0" t="inlineStr">
        <is>
          <t xml:space="preserve">SPATIAL INTEGRATED SYSTEMS</t>
        </is>
      </c>
      <c r="C469" s="0" t="inlineStr">
        <is>
          <t xml:space="preserve">N6660406M3603</t>
        </is>
      </c>
      <c r="D469" s="0" t="inlineStr">
        <is>
          <t xml:space="preserve">no</t>
        </is>
      </c>
      <c r="E469" s="0" t="inlineStr">
        <is>
          <t xml:space="preserve">PURCHASE ORDER</t>
        </is>
      </c>
      <c r="F469" s="0" t="inlineStr">
        <is>
          <t xml:space="preserve">2006-06-05</t>
        </is>
      </c>
      <c r="G469" s="0" t="inlineStr">
        <is>
          <t xml:space="preserve">2006-06-05</t>
        </is>
      </c>
      <c r="H469" s="4">
        <v>0.0</v>
      </c>
      <c r="I469" s="4">
        <v>0.0</v>
      </c>
    </row>
    <row r="470">
      <c r="B470" s="0" t="inlineStr">
        <is>
          <t xml:space="preserve">SPATIAL INTEGRATED SYSTEMS</t>
        </is>
      </c>
      <c r="C470" s="0" t="inlineStr">
        <is>
          <t xml:space="preserve">N0002420D6352</t>
        </is>
      </c>
      <c r="D470" s="0" t="inlineStr">
        <is>
          <t xml:space="preserve">no</t>
        </is>
      </c>
      <c r="E470" s="0" t="inlineStr">
        <is>
          <t xml:space="preserve">IDC</t>
        </is>
      </c>
      <c r="F470" s="0" t="inlineStr">
        <is>
          <t xml:space="preserve">2020-09-21</t>
        </is>
      </c>
      <c r="G470" s="0" t="inlineStr">
        <is>
          <t xml:space="preserve">2020-09-21</t>
        </is>
      </c>
      <c r="H470" s="4">
        <v>982.1</v>
      </c>
      <c r="I470" s="4">
        <v>0.0</v>
      </c>
    </row>
    <row r="471">
      <c r="B471" s="0" t="inlineStr">
        <is>
          <t xml:space="preserve">SPATIAL INTEGRATED SYSTEMS</t>
        </is>
      </c>
      <c r="C471" s="0" t="inlineStr">
        <is>
          <t xml:space="preserve">N4215821PN029</t>
        </is>
      </c>
      <c r="D471" s="0" t="inlineStr">
        <is>
          <t xml:space="preserve">no</t>
        </is>
      </c>
      <c r="E471" s="0" t="inlineStr">
        <is>
          <t xml:space="preserve">PURCHASE ORDER</t>
        </is>
      </c>
      <c r="F471" s="0" t="inlineStr">
        <is>
          <t xml:space="preserve">2021-01-12</t>
        </is>
      </c>
      <c r="G471" s="0" t="inlineStr">
        <is>
          <t xml:space="preserve">2021-01-12</t>
        </is>
      </c>
      <c r="H471" s="4">
        <v>0.0</v>
      </c>
      <c r="I471" s="4">
        <v>0.0</v>
      </c>
    </row>
    <row r="472">
      <c r="B472" s="0" t="inlineStr">
        <is>
          <t xml:space="preserve">SPATIAL INTEGRATED SYSTEMS</t>
        </is>
      </c>
      <c r="C472" s="0" t="inlineStr">
        <is>
          <t xml:space="preserve">N4215821FN003</t>
        </is>
      </c>
      <c r="D472" s="0" t="inlineStr">
        <is>
          <t xml:space="preserve">no</t>
        </is>
      </c>
      <c r="E472" s="0" t="inlineStr">
        <is>
          <t xml:space="preserve">DELIVERY ORDER</t>
        </is>
      </c>
      <c r="F472" s="0" t="inlineStr">
        <is>
          <t xml:space="preserve">2021-02-19</t>
        </is>
      </c>
      <c r="G472" s="0" t="inlineStr">
        <is>
          <t xml:space="preserve">2021-02-19</t>
        </is>
      </c>
      <c r="H472" s="4">
        <v>0.0</v>
      </c>
      <c r="I472" s="4">
        <v>0.0</v>
      </c>
    </row>
    <row r="473">
      <c r="B473" s="0" t="inlineStr">
        <is>
          <t xml:space="preserve">SPATIAL INTEGRATED SYSTEMS</t>
        </is>
      </c>
      <c r="C473" s="0" t="inlineStr">
        <is>
          <t xml:space="preserve">N0017322F1221</t>
        </is>
      </c>
      <c r="D473" s="0" t="inlineStr">
        <is>
          <t xml:space="preserve">no</t>
        </is>
      </c>
      <c r="E473" s="0" t="inlineStr">
        <is>
          <t xml:space="preserve">DELIVERY ORDER</t>
        </is>
      </c>
      <c r="F473" s="0" t="inlineStr">
        <is>
          <t xml:space="preserve">2022-03-04</t>
        </is>
      </c>
      <c r="G473" s="0" t="inlineStr">
        <is>
          <t xml:space="preserve">2022-04-11</t>
        </is>
      </c>
      <c r="H473" s="4">
        <v>0.0</v>
      </c>
      <c r="I473" s="4">
        <v>0.0</v>
      </c>
    </row>
    <row r="474">
      <c r="B474" s="0" t="inlineStr">
        <is>
          <t xml:space="preserve">SPATIAL INTEGRATED SYSTEMS</t>
        </is>
      </c>
      <c r="C474" s="0" t="inlineStr">
        <is>
          <t xml:space="preserve">M0014616FX073</t>
        </is>
      </c>
      <c r="D474" s="0" t="inlineStr">
        <is>
          <t xml:space="preserve">no</t>
        </is>
      </c>
      <c r="E474" s="0" t="inlineStr">
        <is>
          <t xml:space="preserve">DELIVERY ORDER</t>
        </is>
      </c>
      <c r="F474" s="0" t="inlineStr">
        <is>
          <t xml:space="preserve">2016-06-30</t>
        </is>
      </c>
      <c r="G474" s="0" t="inlineStr">
        <is>
          <t xml:space="preserve">2016-06-30</t>
        </is>
      </c>
      <c r="H474" s="4">
        <v>0.0</v>
      </c>
      <c r="I474" s="4">
        <v>0.0</v>
      </c>
    </row>
    <row r="475">
      <c r="B475" s="0" t="inlineStr">
        <is>
          <t xml:space="preserve">SPATIAL INTEGRATED SYSTEMS</t>
        </is>
      </c>
      <c r="C475" s="0" t="inlineStr">
        <is>
          <t xml:space="preserve">GS35F5466H</t>
        </is>
      </c>
      <c r="D475" s="0" t="inlineStr">
        <is>
          <t xml:space="preserve">no</t>
        </is>
      </c>
      <c r="E475" s="0" t="inlineStr">
        <is>
          <t xml:space="preserve">FSS</t>
        </is>
      </c>
      <c r="F475" s="0" t="inlineStr">
        <is>
          <t xml:space="preserve">2011-07-14</t>
        </is>
      </c>
      <c r="G475" s="0" t="inlineStr">
        <is>
          <t xml:space="preserve">2011-07-14</t>
        </is>
      </c>
      <c r="H475" s="4">
        <v>46.0</v>
      </c>
      <c r="I475" s="4">
        <v>0.0</v>
      </c>
    </row>
    <row r="476">
      <c r="B476" s="0" t="inlineStr">
        <is>
          <t xml:space="preserve">SPATIAL INTEGRATED SYSTEMS</t>
        </is>
      </c>
      <c r="C476" s="0" t="inlineStr">
        <is>
          <t xml:space="preserve">M0014606PN003</t>
        </is>
      </c>
      <c r="D476" s="0" t="inlineStr">
        <is>
          <t xml:space="preserve">no</t>
        </is>
      </c>
      <c r="E476" s="0" t="inlineStr">
        <is>
          <t xml:space="preserve">PURCHASE ORDER</t>
        </is>
      </c>
      <c r="F476" s="0" t="inlineStr">
        <is>
          <t xml:space="preserve">2005-10-12</t>
        </is>
      </c>
      <c r="G476" s="0" t="inlineStr">
        <is>
          <t xml:space="preserve">2005-10-12</t>
        </is>
      </c>
      <c r="H476" s="4">
        <v>0.0</v>
      </c>
      <c r="I476" s="4">
        <v>0.0</v>
      </c>
    </row>
    <row r="477">
      <c r="B477" s="0" t="inlineStr">
        <is>
          <t xml:space="preserve">SPATIAL INTEGRATED SYSTEMS</t>
        </is>
      </c>
      <c r="C477" s="0" t="inlineStr">
        <is>
          <t xml:space="preserve">N6893619F0789</t>
        </is>
      </c>
      <c r="D477" s="0" t="inlineStr">
        <is>
          <t xml:space="preserve">no</t>
        </is>
      </c>
      <c r="E477" s="0" t="inlineStr">
        <is>
          <t xml:space="preserve">DELIVERY ORDER</t>
        </is>
      </c>
      <c r="F477" s="0" t="inlineStr">
        <is>
          <t xml:space="preserve">2019-09-27</t>
        </is>
      </c>
      <c r="G477" s="0" t="inlineStr">
        <is>
          <t xml:space="preserve">2019-09-27</t>
        </is>
      </c>
      <c r="H477" s="4">
        <v>0.0</v>
      </c>
      <c r="I477" s="4">
        <v>0.0</v>
      </c>
    </row>
    <row r="478">
      <c r="B478" s="0" t="inlineStr">
        <is>
          <t xml:space="preserve">SPATIAL INTEGRATED SYSTEMS</t>
        </is>
      </c>
      <c r="C478" s="0" t="inlineStr">
        <is>
          <t xml:space="preserve">N6133116F4511</t>
        </is>
      </c>
      <c r="D478" s="0" t="inlineStr">
        <is>
          <t xml:space="preserve">no</t>
        </is>
      </c>
      <c r="E478" s="0" t="inlineStr">
        <is>
          <t xml:space="preserve">DELIVERY ORDER</t>
        </is>
      </c>
      <c r="F478" s="0" t="inlineStr">
        <is>
          <t xml:space="preserve">2016-04-19</t>
        </is>
      </c>
      <c r="G478" s="0" t="inlineStr">
        <is>
          <t xml:space="preserve">2016-04-19</t>
        </is>
      </c>
      <c r="H478" s="4">
        <v>0.0</v>
      </c>
      <c r="I478" s="4">
        <v>0.0</v>
      </c>
    </row>
    <row r="479">
      <c r="B479" s="0" t="inlineStr">
        <is>
          <t xml:space="preserve">SPATIAL INTEGRATED SYSTEMS</t>
        </is>
      </c>
      <c r="C479" s="0" t="inlineStr">
        <is>
          <t xml:space="preserve">W91ZLK09P0850</t>
        </is>
      </c>
      <c r="D479" s="0" t="inlineStr">
        <is>
          <t xml:space="preserve">no</t>
        </is>
      </c>
      <c r="E479" s="0" t="inlineStr">
        <is>
          <t xml:space="preserve">PURCHASE ORDER</t>
        </is>
      </c>
      <c r="F479" s="0" t="inlineStr">
        <is>
          <t xml:space="preserve">2009-05-27</t>
        </is>
      </c>
      <c r="G479" s="0" t="inlineStr">
        <is>
          <t xml:space="preserve">2009-05-27</t>
        </is>
      </c>
      <c r="H479" s="4">
        <v>0.0</v>
      </c>
      <c r="I479" s="4">
        <v>0.0</v>
      </c>
    </row>
    <row r="480">
      <c r="B480" s="0" t="inlineStr">
        <is>
          <t xml:space="preserve">SPATIAL INTEGRATED SYSTEMS</t>
        </is>
      </c>
      <c r="C480" s="0" t="inlineStr">
        <is>
          <t xml:space="preserve">W56HZV05PL575</t>
        </is>
      </c>
      <c r="D480" s="0" t="inlineStr">
        <is>
          <t xml:space="preserve">no</t>
        </is>
      </c>
      <c r="E480" s="0" t="inlineStr">
        <is>
          <t xml:space="preserve">PURCHASE ORDER</t>
        </is>
      </c>
      <c r="F480" s="0" t="inlineStr">
        <is>
          <t xml:space="preserve">2005-03-14</t>
        </is>
      </c>
      <c r="G480" s="0" t="inlineStr">
        <is>
          <t xml:space="preserve">2005-03-14</t>
        </is>
      </c>
      <c r="H480" s="4">
        <v>0.0</v>
      </c>
      <c r="I480" s="4">
        <v>0.0</v>
      </c>
    </row>
    <row r="481">
      <c r="B481" s="0" t="inlineStr">
        <is>
          <t xml:space="preserve">SPATIAL INTEGRATED SYSTEMS</t>
        </is>
      </c>
      <c r="C481" s="0" t="inlineStr">
        <is>
          <t xml:space="preserve">N6893613P0586</t>
        </is>
      </c>
      <c r="D481" s="0" t="inlineStr">
        <is>
          <t xml:space="preserve">no</t>
        </is>
      </c>
      <c r="E481" s="0" t="inlineStr">
        <is>
          <t xml:space="preserve">PURCHASE ORDER</t>
        </is>
      </c>
      <c r="F481" s="0" t="inlineStr">
        <is>
          <t xml:space="preserve">2013-08-18</t>
        </is>
      </c>
      <c r="G481" s="0" t="inlineStr">
        <is>
          <t xml:space="preserve">2013-08-18</t>
        </is>
      </c>
      <c r="H481" s="4">
        <v>0.0</v>
      </c>
      <c r="I481" s="4">
        <v>0.0</v>
      </c>
    </row>
    <row r="482">
      <c r="B482" s="0" t="inlineStr">
        <is>
          <t xml:space="preserve">SPATIAL INTEGRATED SYSTEMS</t>
        </is>
      </c>
      <c r="C482" s="0" t="inlineStr">
        <is>
          <t xml:space="preserve">N0017818FS626</t>
        </is>
      </c>
      <c r="D482" s="0" t="inlineStr">
        <is>
          <t xml:space="preserve">no</t>
        </is>
      </c>
      <c r="E482" s="0" t="inlineStr">
        <is>
          <t xml:space="preserve">DELIVERY ORDER</t>
        </is>
      </c>
      <c r="F482" s="0" t="inlineStr">
        <is>
          <t xml:space="preserve">2017-12-06</t>
        </is>
      </c>
      <c r="G482" s="0" t="inlineStr">
        <is>
          <t xml:space="preserve">2017-12-06</t>
        </is>
      </c>
      <c r="H482" s="4">
        <v>0.0</v>
      </c>
      <c r="I482" s="4">
        <v>0.0</v>
      </c>
    </row>
    <row r="483">
      <c r="B483" s="0" t="inlineStr">
        <is>
          <t xml:space="preserve">SPATIAL INTEGRATED SYSTEMS</t>
        </is>
      </c>
      <c r="C483" s="0" t="inlineStr">
        <is>
          <t xml:space="preserve">N0016716P0298</t>
        </is>
      </c>
      <c r="D483" s="0" t="inlineStr">
        <is>
          <t xml:space="preserve">no</t>
        </is>
      </c>
      <c r="E483" s="0" t="inlineStr">
        <is>
          <t xml:space="preserve">PURCHASE ORDER</t>
        </is>
      </c>
      <c r="F483" s="0" t="inlineStr">
        <is>
          <t xml:space="preserve">2016-08-31</t>
        </is>
      </c>
      <c r="G483" s="0" t="inlineStr">
        <is>
          <t xml:space="preserve">2016-08-31</t>
        </is>
      </c>
      <c r="H483" s="4">
        <v>0.0</v>
      </c>
      <c r="I483" s="4">
        <v>0.0</v>
      </c>
    </row>
    <row r="484">
      <c r="B484" s="0" t="inlineStr">
        <is>
          <t xml:space="preserve">SPATIAL INTEGRATED SYSTEMS</t>
        </is>
      </c>
      <c r="C484" s="0" t="inlineStr">
        <is>
          <t xml:space="preserve">HC102816F0240</t>
        </is>
      </c>
      <c r="D484" s="0" t="inlineStr">
        <is>
          <t xml:space="preserve">no</t>
        </is>
      </c>
      <c r="E484" s="0" t="inlineStr">
        <is>
          <t xml:space="preserve">DELIVERY ORDER</t>
        </is>
      </c>
      <c r="F484" s="0" t="inlineStr">
        <is>
          <t xml:space="preserve">2016-04-08</t>
        </is>
      </c>
      <c r="G484" s="0" t="inlineStr">
        <is>
          <t xml:space="preserve">2016-04-08</t>
        </is>
      </c>
      <c r="H484" s="4">
        <v>0.0</v>
      </c>
      <c r="I484" s="4">
        <v>0.0</v>
      </c>
    </row>
    <row r="485">
      <c r="B485" s="0" t="inlineStr">
        <is>
          <t xml:space="preserve">SPATIAL INTEGRATED SYSTEMS</t>
        </is>
      </c>
      <c r="C485" s="0" t="inlineStr">
        <is>
          <t xml:space="preserve">N0025315F0047</t>
        </is>
      </c>
      <c r="D485" s="0" t="inlineStr">
        <is>
          <t xml:space="preserve">no</t>
        </is>
      </c>
      <c r="E485" s="0" t="inlineStr">
        <is>
          <t xml:space="preserve">DELIVERY ORDER</t>
        </is>
      </c>
      <c r="F485" s="0" t="inlineStr">
        <is>
          <t xml:space="preserve">2015-09-30</t>
        </is>
      </c>
      <c r="G485" s="0" t="inlineStr">
        <is>
          <t xml:space="preserve">2015-09-30</t>
        </is>
      </c>
      <c r="H485" s="4">
        <v>0.0</v>
      </c>
      <c r="I485" s="4">
        <v>0.0</v>
      </c>
    </row>
    <row r="486">
      <c r="B486" s="0" t="inlineStr">
        <is>
          <t xml:space="preserve">SPATIAL INTEGRATED SYSTEMS</t>
        </is>
      </c>
      <c r="C486" s="0" t="inlineStr">
        <is>
          <t xml:space="preserve">N0017311P0975</t>
        </is>
      </c>
      <c r="D486" s="0" t="inlineStr">
        <is>
          <t xml:space="preserve">no</t>
        </is>
      </c>
      <c r="E486" s="0" t="inlineStr">
        <is>
          <t xml:space="preserve">PURCHASE ORDER</t>
        </is>
      </c>
      <c r="F486" s="0" t="inlineStr">
        <is>
          <t xml:space="preserve">2011-05-11</t>
        </is>
      </c>
      <c r="G486" s="0" t="inlineStr">
        <is>
          <t xml:space="preserve">2011-05-11</t>
        </is>
      </c>
      <c r="H486" s="4">
        <v>0.0</v>
      </c>
      <c r="I486" s="4">
        <v>0.0</v>
      </c>
    </row>
    <row r="487">
      <c r="B487" s="0" t="inlineStr">
        <is>
          <t xml:space="preserve">SPATIAL INTEGRATED SYSTEMS</t>
        </is>
      </c>
      <c r="C487" s="0" t="inlineStr">
        <is>
          <t xml:space="preserve">M0014604PN051</t>
        </is>
      </c>
      <c r="D487" s="0" t="inlineStr">
        <is>
          <t xml:space="preserve">no</t>
        </is>
      </c>
      <c r="E487" s="0" t="inlineStr">
        <is>
          <t xml:space="preserve">PURCHASE ORDER</t>
        </is>
      </c>
      <c r="F487" s="0" t="inlineStr">
        <is>
          <t xml:space="preserve">2004-03-15</t>
        </is>
      </c>
      <c r="G487" s="0" t="inlineStr">
        <is>
          <t xml:space="preserve">2004-03-15</t>
        </is>
      </c>
      <c r="H487" s="4">
        <v>0.0</v>
      </c>
      <c r="I487" s="4">
        <v>0.0</v>
      </c>
    </row>
    <row r="488">
      <c r="B488" s="0" t="inlineStr">
        <is>
          <t xml:space="preserve">SPATIAL INTEGRATED SYSTEMS</t>
        </is>
      </c>
      <c r="C488" s="0" t="inlineStr">
        <is>
          <t xml:space="preserve">N0017309P0711</t>
        </is>
      </c>
      <c r="D488" s="0" t="inlineStr">
        <is>
          <t xml:space="preserve">no</t>
        </is>
      </c>
      <c r="E488" s="0" t="inlineStr">
        <is>
          <t xml:space="preserve">PURCHASE ORDER</t>
        </is>
      </c>
      <c r="F488" s="0" t="inlineStr">
        <is>
          <t xml:space="preserve">2009-03-27</t>
        </is>
      </c>
      <c r="G488" s="0" t="inlineStr">
        <is>
          <t xml:space="preserve">2009-03-27</t>
        </is>
      </c>
      <c r="H488" s="4">
        <v>0.0</v>
      </c>
      <c r="I488" s="4">
        <v>0.0</v>
      </c>
    </row>
    <row r="489">
      <c r="B489" s="0" t="inlineStr">
        <is>
          <t xml:space="preserve">SPATIAL INTEGRATED SYSTEMS</t>
        </is>
      </c>
      <c r="C489" s="0" t="inlineStr">
        <is>
          <t xml:space="preserve">N0017308P0039</t>
        </is>
      </c>
      <c r="D489" s="0" t="inlineStr">
        <is>
          <t xml:space="preserve">no</t>
        </is>
      </c>
      <c r="E489" s="0" t="inlineStr">
        <is>
          <t xml:space="preserve">PURCHASE ORDER</t>
        </is>
      </c>
      <c r="F489" s="0" t="inlineStr">
        <is>
          <t xml:space="preserve">2007-11-05</t>
        </is>
      </c>
      <c r="G489" s="0" t="inlineStr">
        <is>
          <t xml:space="preserve">2007-11-05</t>
        </is>
      </c>
      <c r="H489" s="4">
        <v>0.0</v>
      </c>
      <c r="I489" s="4">
        <v>0.0</v>
      </c>
    </row>
    <row r="490">
      <c r="B490" s="0" t="inlineStr">
        <is>
          <t xml:space="preserve">SPATIAL INTEGRATED SYSTEMS</t>
        </is>
      </c>
      <c r="C490" s="0" t="inlineStr">
        <is>
          <t xml:space="preserve">N0016415F0099</t>
        </is>
      </c>
      <c r="D490" s="0" t="inlineStr">
        <is>
          <t xml:space="preserve">no</t>
        </is>
      </c>
      <c r="E490" s="0" t="inlineStr">
        <is>
          <t xml:space="preserve">DELIVERY ORDER</t>
        </is>
      </c>
      <c r="F490" s="0" t="inlineStr">
        <is>
          <t xml:space="preserve">2015-06-09</t>
        </is>
      </c>
      <c r="G490" s="0" t="inlineStr">
        <is>
          <t xml:space="preserve">2015-06-09</t>
        </is>
      </c>
      <c r="H490" s="4">
        <v>0.0</v>
      </c>
      <c r="I490" s="4">
        <v>0.0</v>
      </c>
    </row>
    <row r="491">
      <c r="B491" s="0" t="inlineStr">
        <is>
          <t xml:space="preserve">SPATIAL INTEGRATED SYSTEMS</t>
        </is>
      </c>
      <c r="C491" s="0" t="inlineStr">
        <is>
          <t xml:space="preserve">N0016412F0125</t>
        </is>
      </c>
      <c r="D491" s="0" t="inlineStr">
        <is>
          <t xml:space="preserve">no</t>
        </is>
      </c>
      <c r="E491" s="0" t="inlineStr">
        <is>
          <t xml:space="preserve">DELIVERY ORDER</t>
        </is>
      </c>
      <c r="F491" s="0" t="inlineStr">
        <is>
          <t xml:space="preserve">2012-08-28</t>
        </is>
      </c>
      <c r="G491" s="0" t="inlineStr">
        <is>
          <t xml:space="preserve">2012-08-28</t>
        </is>
      </c>
      <c r="H491" s="4">
        <v>0.0</v>
      </c>
      <c r="I491" s="4">
        <v>0.0</v>
      </c>
    </row>
    <row r="492">
      <c r="B492" s="0" t="inlineStr">
        <is>
          <t xml:space="preserve">SPATIAL INTEGRATED SYSTEMS</t>
        </is>
      </c>
      <c r="C492" s="0" t="inlineStr">
        <is>
          <t xml:space="preserve">N0025321F0025</t>
        </is>
      </c>
      <c r="D492" s="0" t="inlineStr">
        <is>
          <t xml:space="preserve">no</t>
        </is>
      </c>
      <c r="E492" s="0" t="inlineStr">
        <is>
          <t xml:space="preserve">DELIVERY ORDER</t>
        </is>
      </c>
      <c r="F492" s="0" t="inlineStr">
        <is>
          <t xml:space="preserve">2021-03-24</t>
        </is>
      </c>
      <c r="G492" s="0" t="inlineStr">
        <is>
          <t xml:space="preserve">2021-03-24</t>
        </is>
      </c>
      <c r="H492" s="4">
        <v>0.0</v>
      </c>
      <c r="I492" s="4">
        <v>0.0</v>
      </c>
    </row>
    <row r="493">
      <c r="B493" s="0" t="inlineStr">
        <is>
          <t xml:space="preserve">SPATIAL INTEGRATED SYSTEMS</t>
        </is>
      </c>
      <c r="C493" s="0" t="inlineStr">
        <is>
          <t xml:space="preserve">SPMYM116F0172</t>
        </is>
      </c>
      <c r="D493" s="0" t="inlineStr">
        <is>
          <t xml:space="preserve">no</t>
        </is>
      </c>
      <c r="E493" s="0" t="inlineStr">
        <is>
          <t xml:space="preserve">DELIVERY ORDER</t>
        </is>
      </c>
      <c r="F493" s="0" t="inlineStr">
        <is>
          <t xml:space="preserve">2016-09-28</t>
        </is>
      </c>
      <c r="G493" s="0" t="inlineStr">
        <is>
          <t xml:space="preserve">2016-09-28</t>
        </is>
      </c>
      <c r="H493" s="4">
        <v>0.0</v>
      </c>
      <c r="I493" s="4">
        <v>0.0</v>
      </c>
    </row>
    <row r="494">
      <c r="B494" s="0" t="inlineStr">
        <is>
          <t xml:space="preserve">SPATIAL INTEGRATED SYSTEMS</t>
        </is>
      </c>
      <c r="C494" s="0" t="inlineStr">
        <is>
          <t xml:space="preserve">FA251725FG054</t>
        </is>
      </c>
      <c r="D494" s="0" t="inlineStr">
        <is>
          <t xml:space="preserve">no</t>
        </is>
      </c>
      <c r="E494" s="0" t="inlineStr">
        <is>
          <t xml:space="preserve">DELIVERY ORDER</t>
        </is>
      </c>
      <c r="F494" s="0" t="inlineStr">
        <is>
          <t xml:space="preserve">2024-10-01</t>
        </is>
      </c>
      <c r="G494" s="0" t="inlineStr">
        <is>
          <t xml:space="preserve">2024-10-01</t>
        </is>
      </c>
      <c r="H494" s="4">
        <v>0.0</v>
      </c>
      <c r="I494" s="4">
        <v>0.0</v>
      </c>
    </row>
    <row r="495">
      <c r="B495" s="0" t="inlineStr">
        <is>
          <t xml:space="preserve">SPATIAL INTEGRATED SYSTEMS</t>
        </is>
      </c>
      <c r="C495" s="0" t="inlineStr">
        <is>
          <t xml:space="preserve">FA940124F0015</t>
        </is>
      </c>
      <c r="D495" s="0" t="inlineStr">
        <is>
          <t xml:space="preserve">no</t>
        </is>
      </c>
      <c r="E495" s="0" t="inlineStr">
        <is>
          <t xml:space="preserve">DELIVERY ORDER</t>
        </is>
      </c>
      <c r="F495" s="0" t="inlineStr">
        <is>
          <t xml:space="preserve">2024-04-09</t>
        </is>
      </c>
      <c r="G495" s="0" t="inlineStr">
        <is>
          <t xml:space="preserve">2024-04-09</t>
        </is>
      </c>
      <c r="H495" s="4">
        <v>0.0</v>
      </c>
      <c r="I495" s="4">
        <v>0.0</v>
      </c>
    </row>
    <row r="496">
      <c r="B496" s="0" t="inlineStr">
        <is>
          <t xml:space="preserve">SPATIAL INTEGRATED SYSTEMS</t>
        </is>
      </c>
      <c r="C496" s="0" t="inlineStr">
        <is>
          <t xml:space="preserve">N0017805D4572</t>
        </is>
      </c>
      <c r="D496" s="0" t="inlineStr">
        <is>
          <t xml:space="preserve">no</t>
        </is>
      </c>
      <c r="E496" s="0" t="inlineStr">
        <is>
          <t xml:space="preserve">IDC</t>
        </is>
      </c>
      <c r="F496" s="0" t="inlineStr">
        <is>
          <t xml:space="preserve">2005-05-31</t>
        </is>
      </c>
      <c r="G496" s="0" t="inlineStr">
        <is>
          <t xml:space="preserve">2005-05-31</t>
        </is>
      </c>
      <c r="H496" s="4">
        <v>943142.9</v>
      </c>
      <c r="I496" s="4">
        <v>0.0</v>
      </c>
    </row>
    <row r="497">
      <c r="B497" s="0" t="inlineStr">
        <is>
          <t xml:space="preserve">SPATIAL INTEGRATED SYSTEMS</t>
        </is>
      </c>
      <c r="C497" s="0" t="inlineStr">
        <is>
          <t xml:space="preserve">N6133122FG092</t>
        </is>
      </c>
      <c r="D497" s="0" t="inlineStr">
        <is>
          <t xml:space="preserve">no</t>
        </is>
      </c>
      <c r="E497" s="0" t="inlineStr">
        <is>
          <t xml:space="preserve">DELIVERY ORDER</t>
        </is>
      </c>
      <c r="F497" s="0" t="inlineStr">
        <is>
          <t xml:space="preserve">2022-07-05</t>
        </is>
      </c>
      <c r="G497" s="0" t="inlineStr">
        <is>
          <t xml:space="preserve">2022-07-05</t>
        </is>
      </c>
      <c r="H497" s="4">
        <v>0.0</v>
      </c>
      <c r="I497" s="4">
        <v>0.0</v>
      </c>
    </row>
    <row r="498">
      <c r="B498" s="0" t="inlineStr">
        <is>
          <t xml:space="preserve">MARITIME APPLIED PHYSICS</t>
        </is>
      </c>
      <c r="C498" s="0" t="inlineStr">
        <is>
          <t xml:space="preserve">SPE4A624V6662</t>
        </is>
      </c>
      <c r="D498" s="0" t="inlineStr">
        <is>
          <t xml:space="preserve">no</t>
        </is>
      </c>
      <c r="E498" s="0" t="inlineStr">
        <is>
          <t xml:space="preserve">PURCHASE ORDER</t>
        </is>
      </c>
      <c r="F498" s="0" t="inlineStr">
        <is>
          <t xml:space="preserve">2024-01-09</t>
        </is>
      </c>
      <c r="G498" s="0" t="inlineStr">
        <is>
          <t xml:space="preserve">2024-08-15</t>
        </is>
      </c>
      <c r="H498" s="4">
        <v>0.0</v>
      </c>
      <c r="I498" s="4">
        <v>0.0</v>
      </c>
    </row>
    <row r="499">
      <c r="B499" s="0" t="inlineStr">
        <is>
          <t xml:space="preserve">MARITIME APPLIED PHYSICS</t>
        </is>
      </c>
      <c r="C499" s="0" t="inlineStr">
        <is>
          <t xml:space="preserve">N0060425P4024</t>
        </is>
      </c>
      <c r="D499" s="0" t="inlineStr">
        <is>
          <t xml:space="preserve">no</t>
        </is>
      </c>
      <c r="E499" s="0" t="inlineStr">
        <is>
          <t xml:space="preserve">PURCHASE ORDER</t>
        </is>
      </c>
      <c r="F499" s="0" t="inlineStr">
        <is>
          <t xml:space="preserve">2025-05-06</t>
        </is>
      </c>
      <c r="G499" s="0" t="inlineStr">
        <is>
          <t xml:space="preserve">2025-05-06</t>
        </is>
      </c>
      <c r="H499" s="4">
        <v>0.0</v>
      </c>
      <c r="I499" s="4">
        <v>0.0</v>
      </c>
    </row>
    <row r="500">
      <c r="B500" s="0" t="inlineStr">
        <is>
          <t xml:space="preserve">MARITIME APPLIED PHYSICS</t>
        </is>
      </c>
      <c r="C500" s="0" t="inlineStr">
        <is>
          <t xml:space="preserve">N0010423PNC33</t>
        </is>
      </c>
      <c r="D500" s="0" t="inlineStr">
        <is>
          <t xml:space="preserve">no</t>
        </is>
      </c>
      <c r="E500" s="0" t="inlineStr">
        <is>
          <t xml:space="preserve">PURCHASE ORDER</t>
        </is>
      </c>
      <c r="F500" s="0" t="inlineStr">
        <is>
          <t xml:space="preserve">2023-04-05</t>
        </is>
      </c>
      <c r="G500" s="0" t="inlineStr">
        <is>
          <t xml:space="preserve">2023-10-11</t>
        </is>
      </c>
      <c r="H500" s="4">
        <v>0.0</v>
      </c>
      <c r="I500" s="4">
        <v>0.0</v>
      </c>
    </row>
    <row r="501">
      <c r="B501" s="0" t="inlineStr">
        <is>
          <t xml:space="preserve">MARITIME APPLIED PHYSICS</t>
        </is>
      </c>
      <c r="C501" s="0" t="inlineStr">
        <is>
          <t xml:space="preserve">SPE8EE24P0346</t>
        </is>
      </c>
      <c r="D501" s="0" t="inlineStr">
        <is>
          <t xml:space="preserve">no</t>
        </is>
      </c>
      <c r="E501" s="0" t="inlineStr">
        <is>
          <t xml:space="preserve">PURCHASE ORDER</t>
        </is>
      </c>
      <c r="F501" s="0" t="inlineStr">
        <is>
          <t xml:space="preserve">2024-02-15</t>
        </is>
      </c>
      <c r="G501" s="0" t="inlineStr">
        <is>
          <t xml:space="preserve">2024-02-15</t>
        </is>
      </c>
      <c r="H501" s="4">
        <v>0.0</v>
      </c>
      <c r="I501" s="4">
        <v>0.0</v>
      </c>
    </row>
    <row r="502">
      <c r="B502" s="0" t="inlineStr">
        <is>
          <t xml:space="preserve">MARITIME APPLIED PHYSICS</t>
        </is>
      </c>
      <c r="C502" s="0" t="inlineStr">
        <is>
          <t xml:space="preserve">W912KZ13P0129</t>
        </is>
      </c>
      <c r="D502" s="0" t="inlineStr">
        <is>
          <t xml:space="preserve">no</t>
        </is>
      </c>
      <c r="E502" s="0" t="inlineStr">
        <is>
          <t xml:space="preserve">PURCHASE ORDER</t>
        </is>
      </c>
      <c r="F502" s="0" t="inlineStr">
        <is>
          <t xml:space="preserve">2013-08-30</t>
        </is>
      </c>
      <c r="G502" s="0" t="inlineStr">
        <is>
          <t xml:space="preserve">2013-09-06</t>
        </is>
      </c>
      <c r="H502" s="4">
        <v>0.0</v>
      </c>
      <c r="I502" s="4">
        <v>0.0</v>
      </c>
    </row>
    <row r="503">
      <c r="B503" s="0" t="inlineStr">
        <is>
          <t xml:space="preserve">MARITIME APPLIED PHYSICS</t>
        </is>
      </c>
      <c r="C503" s="0" t="inlineStr">
        <is>
          <t xml:space="preserve">SPE8EE24P0354</t>
        </is>
      </c>
      <c r="D503" s="0" t="inlineStr">
        <is>
          <t xml:space="preserve">no</t>
        </is>
      </c>
      <c r="E503" s="0" t="inlineStr">
        <is>
          <t xml:space="preserve">PURCHASE ORDER</t>
        </is>
      </c>
      <c r="F503" s="0" t="inlineStr">
        <is>
          <t xml:space="preserve">2024-02-21</t>
        </is>
      </c>
      <c r="G503" s="0" t="inlineStr">
        <is>
          <t xml:space="preserve">2024-02-21</t>
        </is>
      </c>
      <c r="H503" s="4">
        <v>0.0</v>
      </c>
      <c r="I503" s="4">
        <v>0.0</v>
      </c>
    </row>
    <row r="504">
      <c r="B504" s="0" t="inlineStr">
        <is>
          <t xml:space="preserve">MARITIME APPLIED PHYSICS</t>
        </is>
      </c>
      <c r="C504" s="0" t="inlineStr">
        <is>
          <t xml:space="preserve">SPE4A624PC366</t>
        </is>
      </c>
      <c r="D504" s="0" t="inlineStr">
        <is>
          <t xml:space="preserve">no</t>
        </is>
      </c>
      <c r="E504" s="0" t="inlineStr">
        <is>
          <t xml:space="preserve">PURCHASE ORDER</t>
        </is>
      </c>
      <c r="F504" s="0" t="inlineStr">
        <is>
          <t xml:space="preserve">2024-01-11</t>
        </is>
      </c>
      <c r="G504" s="0" t="inlineStr">
        <is>
          <t xml:space="preserve">2024-01-11</t>
        </is>
      </c>
      <c r="H504" s="4">
        <v>0.0</v>
      </c>
      <c r="I504" s="4">
        <v>0.0</v>
      </c>
    </row>
    <row r="505">
      <c r="B505" s="0" t="inlineStr">
        <is>
          <t xml:space="preserve">MARITIME APPLIED PHYSICS</t>
        </is>
      </c>
      <c r="C505" s="0" t="inlineStr">
        <is>
          <t xml:space="preserve">SPE4A624PC553</t>
        </is>
      </c>
      <c r="D505" s="0" t="inlineStr">
        <is>
          <t xml:space="preserve">no</t>
        </is>
      </c>
      <c r="E505" s="0" t="inlineStr">
        <is>
          <t xml:space="preserve">PURCHASE ORDER</t>
        </is>
      </c>
      <c r="F505" s="0" t="inlineStr">
        <is>
          <t xml:space="preserve">2024-01-16</t>
        </is>
      </c>
      <c r="G505" s="0" t="inlineStr">
        <is>
          <t xml:space="preserve">2024-01-16</t>
        </is>
      </c>
      <c r="H505" s="4">
        <v>0.0</v>
      </c>
      <c r="I505" s="4">
        <v>0.0</v>
      </c>
    </row>
    <row r="506">
      <c r="B506" s="0" t="inlineStr">
        <is>
          <t xml:space="preserve">MARITIME APPLIED PHYSICS</t>
        </is>
      </c>
      <c r="C506" s="0" t="inlineStr">
        <is>
          <t xml:space="preserve">SPE4A526P2673</t>
        </is>
      </c>
      <c r="D506" s="0" t="inlineStr">
        <is>
          <t xml:space="preserve">no</t>
        </is>
      </c>
      <c r="E506" s="0" t="inlineStr">
        <is>
          <t xml:space="preserve">PURCHASE ORDER</t>
        </is>
      </c>
      <c r="F506" s="0" t="inlineStr">
        <is>
          <t xml:space="preserve">2026-02-13</t>
        </is>
      </c>
      <c r="G506" s="0" t="inlineStr">
        <is>
          <t xml:space="preserve">2026-02-13</t>
        </is>
      </c>
      <c r="H506" s="4">
        <v>0.0</v>
      </c>
      <c r="I506" s="4">
        <v>0.0</v>
      </c>
    </row>
    <row r="507">
      <c r="B507" s="0" t="inlineStr">
        <is>
          <t xml:space="preserve">MARITIME APPLIED PHYSICS</t>
        </is>
      </c>
      <c r="C507" s="0" t="inlineStr">
        <is>
          <t xml:space="preserve">SPRMM125PHF08</t>
        </is>
      </c>
      <c r="D507" s="0" t="inlineStr">
        <is>
          <t xml:space="preserve">no</t>
        </is>
      </c>
      <c r="E507" s="0" t="inlineStr">
        <is>
          <t xml:space="preserve">PURCHASE ORDER</t>
        </is>
      </c>
      <c r="F507" s="0" t="inlineStr">
        <is>
          <t xml:space="preserve">2025-04-10</t>
        </is>
      </c>
      <c r="G507" s="0" t="inlineStr">
        <is>
          <t xml:space="preserve">2025-04-10</t>
        </is>
      </c>
      <c r="H507" s="4">
        <v>0.0</v>
      </c>
      <c r="I507" s="4">
        <v>0.0</v>
      </c>
    </row>
    <row r="508">
      <c r="B508" s="0" t="inlineStr">
        <is>
          <t xml:space="preserve">MARITIME APPLIED PHYSICS</t>
        </is>
      </c>
      <c r="C508" s="0" t="inlineStr">
        <is>
          <t xml:space="preserve">SPE8EE24P0874</t>
        </is>
      </c>
      <c r="D508" s="0" t="inlineStr">
        <is>
          <t xml:space="preserve">no</t>
        </is>
      </c>
      <c r="E508" s="0" t="inlineStr">
        <is>
          <t xml:space="preserve">PURCHASE ORDER</t>
        </is>
      </c>
      <c r="F508" s="0" t="inlineStr">
        <is>
          <t xml:space="preserve">2024-09-03</t>
        </is>
      </c>
      <c r="G508" s="0" t="inlineStr">
        <is>
          <t xml:space="preserve">2024-09-03</t>
        </is>
      </c>
      <c r="H508" s="4">
        <v>0.0</v>
      </c>
      <c r="I508" s="4">
        <v>0.0</v>
      </c>
    </row>
    <row r="509">
      <c r="B509" s="0" t="inlineStr">
        <is>
          <t xml:space="preserve">MARITIME APPLIED PHYSICS</t>
        </is>
      </c>
      <c r="C509" s="0" t="inlineStr">
        <is>
          <t xml:space="preserve">N0002420D6339</t>
        </is>
      </c>
      <c r="D509" s="0" t="inlineStr">
        <is>
          <t xml:space="preserve">no</t>
        </is>
      </c>
      <c r="E509" s="0" t="inlineStr">
        <is>
          <t xml:space="preserve">IDC</t>
        </is>
      </c>
      <c r="F509" s="0" t="inlineStr">
        <is>
          <t xml:space="preserve">2020-02-05</t>
        </is>
      </c>
      <c r="G509" s="0" t="inlineStr">
        <is>
          <t xml:space="preserve">2025-02-03</t>
        </is>
      </c>
      <c r="H509" s="4">
        <v>982.1</v>
      </c>
      <c r="I509" s="4">
        <v>0.0</v>
      </c>
    </row>
    <row r="510">
      <c r="B510" s="0" t="inlineStr">
        <is>
          <t xml:space="preserve">MARITIME APPLIED PHYSICS</t>
        </is>
      </c>
      <c r="C510" s="0" t="inlineStr">
        <is>
          <t xml:space="preserve">SPE7MC24P2598</t>
        </is>
      </c>
      <c r="D510" s="0" t="inlineStr">
        <is>
          <t xml:space="preserve">no</t>
        </is>
      </c>
      <c r="E510" s="0" t="inlineStr">
        <is>
          <t xml:space="preserve">PURCHASE ORDER</t>
        </is>
      </c>
      <c r="F510" s="0" t="inlineStr">
        <is>
          <t xml:space="preserve">2024-09-26</t>
        </is>
      </c>
      <c r="G510" s="0" t="inlineStr">
        <is>
          <t xml:space="preserve">2024-09-26</t>
        </is>
      </c>
      <c r="H510" s="4">
        <v>0.0</v>
      </c>
      <c r="I510" s="4">
        <v>0.0</v>
      </c>
    </row>
    <row r="511">
      <c r="B511" s="0" t="inlineStr">
        <is>
          <t xml:space="preserve">MARITIME APPLIED PHYSICS</t>
        </is>
      </c>
      <c r="C511" s="0" t="inlineStr">
        <is>
          <t xml:space="preserve">SPE4A623V3779</t>
        </is>
      </c>
      <c r="D511" s="0" t="inlineStr">
        <is>
          <t xml:space="preserve">no</t>
        </is>
      </c>
      <c r="E511" s="0" t="inlineStr">
        <is>
          <t xml:space="preserve">PURCHASE ORDER</t>
        </is>
      </c>
      <c r="F511" s="0" t="inlineStr">
        <is>
          <t xml:space="preserve">2022-11-22</t>
        </is>
      </c>
      <c r="G511" s="0" t="inlineStr">
        <is>
          <t xml:space="preserve">2022-11-22</t>
        </is>
      </c>
      <c r="H511" s="4">
        <v>0.0</v>
      </c>
      <c r="I511" s="4">
        <v>0.0</v>
      </c>
    </row>
    <row r="512">
      <c r="B512" s="0" t="inlineStr">
        <is>
          <t xml:space="preserve">MARITIME APPLIED PHYSICS</t>
        </is>
      </c>
      <c r="C512" s="0" t="inlineStr">
        <is>
          <t xml:space="preserve">70Z08019FP45D7800</t>
        </is>
      </c>
      <c r="D512" s="0" t="inlineStr">
        <is>
          <t xml:space="preserve">no</t>
        </is>
      </c>
      <c r="E512" s="0" t="inlineStr">
        <is>
          <t xml:space="preserve">DELIVERY ORDER</t>
        </is>
      </c>
      <c r="F512" s="0" t="inlineStr">
        <is>
          <t xml:space="preserve">2019-05-07</t>
        </is>
      </c>
      <c r="G512" s="0" t="inlineStr">
        <is>
          <t xml:space="preserve">2019-05-07</t>
        </is>
      </c>
      <c r="H512" s="4">
        <v>0.0</v>
      </c>
      <c r="I512" s="4">
        <v>0.0</v>
      </c>
    </row>
    <row r="513">
      <c r="B513" s="0" t="inlineStr">
        <is>
          <t xml:space="preserve">MARITIME APPLIED PHYSICS</t>
        </is>
      </c>
      <c r="C513" s="0" t="inlineStr">
        <is>
          <t xml:space="preserve">70Z08018PP45G71</t>
        </is>
      </c>
      <c r="D513" s="0" t="inlineStr">
        <is>
          <t xml:space="preserve">no</t>
        </is>
      </c>
      <c r="E513" s="0" t="inlineStr">
        <is>
          <t xml:space="preserve">PURCHASE ORDER</t>
        </is>
      </c>
      <c r="F513" s="0" t="inlineStr">
        <is>
          <t xml:space="preserve">2018-05-11</t>
        </is>
      </c>
      <c r="G513" s="0" t="inlineStr">
        <is>
          <t xml:space="preserve">2018-05-11</t>
        </is>
      </c>
      <c r="H513" s="4">
        <v>0.0</v>
      </c>
      <c r="I513" s="4">
        <v>0.0</v>
      </c>
    </row>
    <row r="514">
      <c r="B514" s="0" t="inlineStr">
        <is>
          <t xml:space="preserve">MARITIME APPLIED PHYSICS</t>
        </is>
      </c>
      <c r="C514" s="0" t="inlineStr">
        <is>
          <t xml:space="preserve">SPE4A623PF885</t>
        </is>
      </c>
      <c r="D514" s="0" t="inlineStr">
        <is>
          <t xml:space="preserve">no</t>
        </is>
      </c>
      <c r="E514" s="0" t="inlineStr">
        <is>
          <t xml:space="preserve">PURCHASE ORDER</t>
        </is>
      </c>
      <c r="F514" s="0" t="inlineStr">
        <is>
          <t xml:space="preserve">2023-05-23</t>
        </is>
      </c>
      <c r="G514" s="0" t="inlineStr">
        <is>
          <t xml:space="preserve">2023-05-23</t>
        </is>
      </c>
      <c r="H514" s="4">
        <v>0.0</v>
      </c>
      <c r="I514" s="4">
        <v>0.0</v>
      </c>
    </row>
    <row r="515">
      <c r="B515" s="0" t="inlineStr">
        <is>
          <t xml:space="preserve">MARITIME APPLIED PHYSICS</t>
        </is>
      </c>
      <c r="C515" s="0" t="inlineStr">
        <is>
          <t xml:space="preserve">SPE7L122V7267</t>
        </is>
      </c>
      <c r="D515" s="0" t="inlineStr">
        <is>
          <t xml:space="preserve">no</t>
        </is>
      </c>
      <c r="E515" s="0" t="inlineStr">
        <is>
          <t xml:space="preserve">PURCHASE ORDER</t>
        </is>
      </c>
      <c r="F515" s="0" t="inlineStr">
        <is>
          <t xml:space="preserve">2022-05-25</t>
        </is>
      </c>
      <c r="G515" s="0" t="inlineStr">
        <is>
          <t xml:space="preserve">2022-05-25</t>
        </is>
      </c>
      <c r="H515" s="4">
        <v>0.0</v>
      </c>
      <c r="I515" s="4">
        <v>0.0</v>
      </c>
    </row>
    <row r="516">
      <c r="B516" s="0" t="inlineStr">
        <is>
          <t xml:space="preserve">MARITIME APPLIED PHYSICS</t>
        </is>
      </c>
      <c r="C516" s="0" t="inlineStr">
        <is>
          <t xml:space="preserve">SPE7L322V5566</t>
        </is>
      </c>
      <c r="D516" s="0" t="inlineStr">
        <is>
          <t xml:space="preserve">no</t>
        </is>
      </c>
      <c r="E516" s="0" t="inlineStr">
        <is>
          <t xml:space="preserve">PURCHASE ORDER</t>
        </is>
      </c>
      <c r="F516" s="0" t="inlineStr">
        <is>
          <t xml:space="preserve">2022-03-01</t>
        </is>
      </c>
      <c r="G516" s="0" t="inlineStr">
        <is>
          <t xml:space="preserve">2022-03-01</t>
        </is>
      </c>
      <c r="H516" s="4">
        <v>0.0</v>
      </c>
      <c r="I516" s="4">
        <v>0.0</v>
      </c>
    </row>
    <row r="517">
      <c r="B517" s="0" t="inlineStr">
        <is>
          <t xml:space="preserve">MARITIME APPLIED PHYSICS</t>
        </is>
      </c>
      <c r="C517" s="0" t="inlineStr">
        <is>
          <t xml:space="preserve">N0010421PCC19</t>
        </is>
      </c>
      <c r="D517" s="0" t="inlineStr">
        <is>
          <t xml:space="preserve">no</t>
        </is>
      </c>
      <c r="E517" s="0" t="inlineStr">
        <is>
          <t xml:space="preserve">PURCHASE ORDER</t>
        </is>
      </c>
      <c r="F517" s="0" t="inlineStr">
        <is>
          <t xml:space="preserve">2021-06-04</t>
        </is>
      </c>
      <c r="G517" s="0" t="inlineStr">
        <is>
          <t xml:space="preserve">2021-06-04</t>
        </is>
      </c>
      <c r="H517" s="4">
        <v>0.0</v>
      </c>
      <c r="I517" s="4">
        <v>0.0</v>
      </c>
    </row>
    <row r="518">
      <c r="B518" s="0" t="inlineStr">
        <is>
          <t xml:space="preserve">MARITIME APPLIED PHYSICS</t>
        </is>
      </c>
      <c r="C518" s="0" t="inlineStr">
        <is>
          <t xml:space="preserve">SPE4A620PL413</t>
        </is>
      </c>
      <c r="D518" s="0" t="inlineStr">
        <is>
          <t xml:space="preserve">no</t>
        </is>
      </c>
      <c r="E518" s="0" t="inlineStr">
        <is>
          <t xml:space="preserve">PURCHASE ORDER</t>
        </is>
      </c>
      <c r="F518" s="0" t="inlineStr">
        <is>
          <t xml:space="preserve">2020-06-30</t>
        </is>
      </c>
      <c r="G518" s="0" t="inlineStr">
        <is>
          <t xml:space="preserve">2020-06-30</t>
        </is>
      </c>
      <c r="H518" s="4">
        <v>0.0</v>
      </c>
      <c r="I518" s="4">
        <v>0.0</v>
      </c>
    </row>
    <row r="519">
      <c r="B519" s="0" t="inlineStr">
        <is>
          <t xml:space="preserve">MARITIME APPLIED PHYSICS</t>
        </is>
      </c>
      <c r="C519" s="0" t="inlineStr">
        <is>
          <t xml:space="preserve">SPE8EE20P0274</t>
        </is>
      </c>
      <c r="D519" s="0" t="inlineStr">
        <is>
          <t xml:space="preserve">no</t>
        </is>
      </c>
      <c r="E519" s="0" t="inlineStr">
        <is>
          <t xml:space="preserve">PURCHASE ORDER</t>
        </is>
      </c>
      <c r="F519" s="0" t="inlineStr">
        <is>
          <t xml:space="preserve">2019-12-31</t>
        </is>
      </c>
      <c r="G519" s="0" t="inlineStr">
        <is>
          <t xml:space="preserve">2019-12-31</t>
        </is>
      </c>
      <c r="H519" s="4">
        <v>0.0</v>
      </c>
      <c r="I519" s="4">
        <v>0.0</v>
      </c>
    </row>
    <row r="520">
      <c r="B520" s="0" t="inlineStr">
        <is>
          <t xml:space="preserve">MARITIME APPLIED PHYSICS</t>
        </is>
      </c>
      <c r="C520" s="0" t="inlineStr">
        <is>
          <t xml:space="preserve">SPE7MC16M4774</t>
        </is>
      </c>
      <c r="D520" s="0" t="inlineStr">
        <is>
          <t xml:space="preserve">no</t>
        </is>
      </c>
      <c r="E520" s="0" t="inlineStr">
        <is>
          <t xml:space="preserve">PURCHASE ORDER</t>
        </is>
      </c>
      <c r="F520" s="0" t="inlineStr">
        <is>
          <t xml:space="preserve">2016-03-29</t>
        </is>
      </c>
      <c r="G520" s="0" t="inlineStr">
        <is>
          <t xml:space="preserve">2016-03-29</t>
        </is>
      </c>
      <c r="H520" s="4">
        <v>0.0</v>
      </c>
      <c r="I520" s="4">
        <v>0.0</v>
      </c>
    </row>
    <row r="521">
      <c r="B521" s="0" t="inlineStr">
        <is>
          <t xml:space="preserve">MARITIME APPLIED PHYSICS</t>
        </is>
      </c>
      <c r="C521" s="0" t="inlineStr">
        <is>
          <t xml:space="preserve">SPE7M017V4549</t>
        </is>
      </c>
      <c r="D521" s="0" t="inlineStr">
        <is>
          <t xml:space="preserve">no</t>
        </is>
      </c>
      <c r="E521" s="0" t="inlineStr">
        <is>
          <t xml:space="preserve">PURCHASE ORDER</t>
        </is>
      </c>
      <c r="F521" s="0" t="inlineStr">
        <is>
          <t xml:space="preserve">2017-01-27</t>
        </is>
      </c>
      <c r="G521" s="0" t="inlineStr">
        <is>
          <t xml:space="preserve">2017-01-27</t>
        </is>
      </c>
      <c r="H521" s="4">
        <v>0.0</v>
      </c>
      <c r="I521" s="4">
        <v>0.0</v>
      </c>
    </row>
    <row r="522">
      <c r="B522" s="0" t="inlineStr">
        <is>
          <t xml:space="preserve">MARITIME APPLIED PHYSICS</t>
        </is>
      </c>
      <c r="C522" s="0" t="inlineStr">
        <is>
          <t xml:space="preserve">SPE8EE18P7028</t>
        </is>
      </c>
      <c r="D522" s="0" t="inlineStr">
        <is>
          <t xml:space="preserve">no</t>
        </is>
      </c>
      <c r="E522" s="0" t="inlineStr">
        <is>
          <t xml:space="preserve">PURCHASE ORDER</t>
        </is>
      </c>
      <c r="F522" s="0" t="inlineStr">
        <is>
          <t xml:space="preserve">2017-11-20</t>
        </is>
      </c>
      <c r="G522" s="0" t="inlineStr">
        <is>
          <t xml:space="preserve">2017-11-20</t>
        </is>
      </c>
      <c r="H522" s="4">
        <v>0.0</v>
      </c>
      <c r="I522" s="4">
        <v>0.0</v>
      </c>
    </row>
    <row r="523">
      <c r="B523" s="0" t="inlineStr">
        <is>
          <t xml:space="preserve">MARITIME APPLIED PHYSICS</t>
        </is>
      </c>
      <c r="C523" s="0" t="inlineStr">
        <is>
          <t xml:space="preserve">SPE5EM19V3802</t>
        </is>
      </c>
      <c r="D523" s="0" t="inlineStr">
        <is>
          <t xml:space="preserve">no</t>
        </is>
      </c>
      <c r="E523" s="0" t="inlineStr">
        <is>
          <t xml:space="preserve">PURCHASE ORDER</t>
        </is>
      </c>
      <c r="F523" s="0" t="inlineStr">
        <is>
          <t xml:space="preserve">2019-04-09</t>
        </is>
      </c>
      <c r="G523" s="0" t="inlineStr">
        <is>
          <t xml:space="preserve">2019-04-09</t>
        </is>
      </c>
      <c r="H523" s="4">
        <v>0.0</v>
      </c>
      <c r="I523" s="4">
        <v>0.0</v>
      </c>
    </row>
    <row r="524">
      <c r="B524" s="0" t="inlineStr">
        <is>
          <t xml:space="preserve">MARITIME APPLIED PHYSICS</t>
        </is>
      </c>
      <c r="C524" s="0" t="inlineStr">
        <is>
          <t xml:space="preserve">SPE5E818V9466</t>
        </is>
      </c>
      <c r="D524" s="0" t="inlineStr">
        <is>
          <t xml:space="preserve">no</t>
        </is>
      </c>
      <c r="E524" s="0" t="inlineStr">
        <is>
          <t xml:space="preserve">PURCHASE ORDER</t>
        </is>
      </c>
      <c r="F524" s="0" t="inlineStr">
        <is>
          <t xml:space="preserve">2018-08-30</t>
        </is>
      </c>
      <c r="G524" s="0" t="inlineStr">
        <is>
          <t xml:space="preserve">2018-08-30</t>
        </is>
      </c>
      <c r="H524" s="4">
        <v>0.0</v>
      </c>
      <c r="I524" s="4">
        <v>0.0</v>
      </c>
    </row>
    <row r="525">
      <c r="B525" s="0" t="inlineStr">
        <is>
          <t xml:space="preserve">MARITIME APPLIED PHYSICS</t>
        </is>
      </c>
      <c r="C525" s="0" t="inlineStr">
        <is>
          <t xml:space="preserve">SPE4A418V4326</t>
        </is>
      </c>
      <c r="D525" s="0" t="inlineStr">
        <is>
          <t xml:space="preserve">no</t>
        </is>
      </c>
      <c r="E525" s="0" t="inlineStr">
        <is>
          <t xml:space="preserve">PURCHASE ORDER</t>
        </is>
      </c>
      <c r="F525" s="0" t="inlineStr">
        <is>
          <t xml:space="preserve">2018-02-21</t>
        </is>
      </c>
      <c r="G525" s="0" t="inlineStr">
        <is>
          <t xml:space="preserve">2018-02-21</t>
        </is>
      </c>
      <c r="H525" s="4">
        <v>0.0</v>
      </c>
      <c r="I525" s="4">
        <v>0.0</v>
      </c>
    </row>
    <row r="526">
      <c r="B526" s="0" t="inlineStr">
        <is>
          <t xml:space="preserve">MARITIME APPLIED PHYSICS</t>
        </is>
      </c>
      <c r="C526" s="0" t="inlineStr">
        <is>
          <t xml:space="preserve">GS35F0508J</t>
        </is>
      </c>
      <c r="D526" s="0" t="inlineStr">
        <is>
          <t xml:space="preserve">no</t>
        </is>
      </c>
      <c r="E526" s="0" t="inlineStr">
        <is>
          <t xml:space="preserve">FSS</t>
        </is>
      </c>
      <c r="F526" s="0" t="inlineStr">
        <is>
          <t xml:space="preserve">1999-06-15</t>
        </is>
      </c>
      <c r="G526" s="0" t="inlineStr">
        <is>
          <t xml:space="preserve">1999-06-15</t>
        </is>
      </c>
      <c r="H526" s="4">
        <v>0.0</v>
      </c>
      <c r="I526" s="4">
        <v>0.0</v>
      </c>
    </row>
    <row r="527">
      <c r="B527" s="0" t="inlineStr">
        <is>
          <t xml:space="preserve">MARITIME APPLIED PHYSICS</t>
        </is>
      </c>
      <c r="C527" s="0" t="inlineStr">
        <is>
          <t xml:space="preserve">SPRMM125PHL03</t>
        </is>
      </c>
      <c r="D527" s="0" t="inlineStr">
        <is>
          <t xml:space="preserve">no</t>
        </is>
      </c>
      <c r="E527" s="0" t="inlineStr">
        <is>
          <t xml:space="preserve">PURCHASE ORDER</t>
        </is>
      </c>
      <c r="F527" s="0" t="inlineStr">
        <is>
          <t xml:space="preserve">2026-01-14</t>
        </is>
      </c>
      <c r="G527" s="0" t="inlineStr">
        <is>
          <t xml:space="preserve">2026-01-14</t>
        </is>
      </c>
      <c r="H527" s="4">
        <v>0.0</v>
      </c>
      <c r="I527" s="4">
        <v>0.0</v>
      </c>
    </row>
    <row r="528">
      <c r="B528" s="0" t="inlineStr">
        <is>
          <t xml:space="preserve">MARITIME APPLIED PHYSICS</t>
        </is>
      </c>
      <c r="C528" s="0" t="inlineStr">
        <is>
          <t xml:space="preserve">SPE7L525V2015</t>
        </is>
      </c>
      <c r="D528" s="0" t="inlineStr">
        <is>
          <t xml:space="preserve">no</t>
        </is>
      </c>
      <c r="E528" s="0" t="inlineStr">
        <is>
          <t xml:space="preserve">PURCHASE ORDER</t>
        </is>
      </c>
      <c r="F528" s="0" t="inlineStr">
        <is>
          <t xml:space="preserve">2025-09-17</t>
        </is>
      </c>
      <c r="G528" s="0" t="inlineStr">
        <is>
          <t xml:space="preserve">2025-09-17</t>
        </is>
      </c>
      <c r="H528" s="4">
        <v>0.0</v>
      </c>
      <c r="I528" s="4">
        <v>0.0</v>
      </c>
    </row>
    <row r="529">
      <c r="B529" s="0" t="inlineStr">
        <is>
          <t xml:space="preserve">MARITIME APPLIED PHYSICS</t>
        </is>
      </c>
      <c r="C529" s="0" t="inlineStr">
        <is>
          <t xml:space="preserve">N0010424PSB13</t>
        </is>
      </c>
      <c r="D529" s="0" t="inlineStr">
        <is>
          <t xml:space="preserve">no</t>
        </is>
      </c>
      <c r="E529" s="0" t="inlineStr">
        <is>
          <t xml:space="preserve">PURCHASE ORDER</t>
        </is>
      </c>
      <c r="F529" s="0" t="inlineStr">
        <is>
          <t xml:space="preserve">2024-10-10</t>
        </is>
      </c>
      <c r="G529" s="0" t="inlineStr">
        <is>
          <t xml:space="preserve">2024-10-10</t>
        </is>
      </c>
      <c r="H529" s="4">
        <v>0.0</v>
      </c>
      <c r="I529" s="4">
        <v>0.0</v>
      </c>
    </row>
    <row r="530">
      <c r="B530" s="0" t="inlineStr">
        <is>
          <t xml:space="preserve">MARITIME APPLIED PHYSICS</t>
        </is>
      </c>
      <c r="C530" s="0" t="inlineStr">
        <is>
          <t xml:space="preserve">SPE7L025P1531</t>
        </is>
      </c>
      <c r="D530" s="0" t="inlineStr">
        <is>
          <t xml:space="preserve">no</t>
        </is>
      </c>
      <c r="E530" s="0" t="inlineStr">
        <is>
          <t xml:space="preserve">PURCHASE ORDER</t>
        </is>
      </c>
      <c r="F530" s="0" t="inlineStr">
        <is>
          <t xml:space="preserve">2025-05-01</t>
        </is>
      </c>
      <c r="G530" s="0" t="inlineStr">
        <is>
          <t xml:space="preserve">2025-05-01</t>
        </is>
      </c>
      <c r="H530" s="4">
        <v>0.0</v>
      </c>
      <c r="I530" s="4">
        <v>0.0</v>
      </c>
    </row>
    <row r="531">
      <c r="B531" s="0" t="inlineStr">
        <is>
          <t xml:space="preserve">MARITIME APPLIED PHYSICS</t>
        </is>
      </c>
      <c r="C531" s="0" t="inlineStr">
        <is>
          <t xml:space="preserve">SPE7MC24P2055</t>
        </is>
      </c>
      <c r="D531" s="0" t="inlineStr">
        <is>
          <t xml:space="preserve">no</t>
        </is>
      </c>
      <c r="E531" s="0" t="inlineStr">
        <is>
          <t xml:space="preserve">PURCHASE ORDER</t>
        </is>
      </c>
      <c r="F531" s="0" t="inlineStr">
        <is>
          <t xml:space="preserve">2024-07-17</t>
        </is>
      </c>
      <c r="G531" s="0" t="inlineStr">
        <is>
          <t xml:space="preserve">2024-07-17</t>
        </is>
      </c>
      <c r="H531" s="4">
        <v>0.0</v>
      </c>
      <c r="I531" s="4">
        <v>0.0</v>
      </c>
    </row>
    <row r="532">
      <c r="B532" s="0" t="inlineStr">
        <is>
          <t xml:space="preserve">MARITIME APPLIED PHYSICS</t>
        </is>
      </c>
      <c r="C532" s="0" t="inlineStr">
        <is>
          <t xml:space="preserve">SPE4A623V498T</t>
        </is>
      </c>
      <c r="D532" s="0" t="inlineStr">
        <is>
          <t xml:space="preserve">no</t>
        </is>
      </c>
      <c r="E532" s="0" t="inlineStr">
        <is>
          <t xml:space="preserve">PURCHASE ORDER</t>
        </is>
      </c>
      <c r="F532" s="0" t="inlineStr">
        <is>
          <t xml:space="preserve">2023-08-28</t>
        </is>
      </c>
      <c r="G532" s="0" t="inlineStr">
        <is>
          <t xml:space="preserve">2023-08-28</t>
        </is>
      </c>
      <c r="H532" s="4">
        <v>0.0</v>
      </c>
      <c r="I532" s="4">
        <v>0.0</v>
      </c>
    </row>
    <row r="533">
      <c r="B533" s="0" t="inlineStr">
        <is>
          <t xml:space="preserve">MARITIME APPLIED PHYSICS</t>
        </is>
      </c>
      <c r="C533" s="0" t="inlineStr">
        <is>
          <t xml:space="preserve">SPE7L322F005E</t>
        </is>
      </c>
      <c r="D533" s="0" t="inlineStr">
        <is>
          <t xml:space="preserve">no</t>
        </is>
      </c>
      <c r="E533" s="0" t="inlineStr">
        <is>
          <t xml:space="preserve">DELIVERY ORDER</t>
        </is>
      </c>
      <c r="F533" s="0" t="inlineStr">
        <is>
          <t xml:space="preserve">2022-03-31</t>
        </is>
      </c>
      <c r="G533" s="0" t="inlineStr">
        <is>
          <t xml:space="preserve">2022-03-31</t>
        </is>
      </c>
      <c r="H533" s="4">
        <v>0.0</v>
      </c>
      <c r="I533" s="4">
        <v>0.0</v>
      </c>
    </row>
    <row r="534">
      <c r="B534" s="0" t="inlineStr">
        <is>
          <t xml:space="preserve">MARITIME APPLIED PHYSICS</t>
        </is>
      </c>
      <c r="C534" s="0" t="inlineStr">
        <is>
          <t xml:space="preserve">N0017814D7822</t>
        </is>
      </c>
      <c r="D534" s="0" t="inlineStr">
        <is>
          <t xml:space="preserve">no</t>
        </is>
      </c>
      <c r="E534" s="0" t="inlineStr">
        <is>
          <t xml:space="preserve">IDC</t>
        </is>
      </c>
      <c r="F534" s="0" t="inlineStr">
        <is>
          <t xml:space="preserve">2015-01-23</t>
        </is>
      </c>
      <c r="G534" s="0" t="inlineStr">
        <is>
          <t xml:space="preserve">2016-11-23</t>
        </is>
      </c>
      <c r="H534" s="4">
        <v>145098.9</v>
      </c>
      <c r="I534" s="4">
        <v>0.0</v>
      </c>
    </row>
    <row r="535">
      <c r="B535" s="0" t="inlineStr">
        <is>
          <t xml:space="preserve">MARITIME APPLIED PHYSICS</t>
        </is>
      </c>
      <c r="C535" s="0" t="inlineStr">
        <is>
          <t xml:space="preserve">N0017806D4804</t>
        </is>
      </c>
      <c r="D535" s="0" t="inlineStr">
        <is>
          <t xml:space="preserve">no</t>
        </is>
      </c>
      <c r="E535" s="0" t="inlineStr">
        <is>
          <t xml:space="preserve">IDC</t>
        </is>
      </c>
      <c r="F535" s="0" t="inlineStr">
        <is>
          <t xml:space="preserve">2006-06-01</t>
        </is>
      </c>
      <c r="G535" s="0" t="inlineStr">
        <is>
          <t xml:space="preserve">2013-12-03</t>
        </is>
      </c>
      <c r="H535" s="4">
        <v>1015692.4</v>
      </c>
      <c r="I535" s="4">
        <v>0.0</v>
      </c>
    </row>
    <row r="536">
      <c r="B536" s="0" t="inlineStr">
        <is>
          <t xml:space="preserve">MARITIME APPLIED PHYSICS</t>
        </is>
      </c>
      <c r="C536" s="0" t="inlineStr">
        <is>
          <t xml:space="preserve">SPE4A621PF193</t>
        </is>
      </c>
      <c r="D536" s="0" t="inlineStr">
        <is>
          <t xml:space="preserve">no</t>
        </is>
      </c>
      <c r="E536" s="0" t="inlineStr">
        <is>
          <t xml:space="preserve">PURCHASE ORDER</t>
        </is>
      </c>
      <c r="F536" s="0" t="inlineStr">
        <is>
          <t xml:space="preserve">2021-03-26</t>
        </is>
      </c>
      <c r="G536" s="0" t="inlineStr">
        <is>
          <t xml:space="preserve">2021-03-26</t>
        </is>
      </c>
      <c r="H536" s="4">
        <v>0.0</v>
      </c>
      <c r="I536" s="4">
        <v>0.0</v>
      </c>
    </row>
    <row r="537">
      <c r="B537" s="0" t="inlineStr">
        <is>
          <t xml:space="preserve">MARITIME APPLIED PHYSICS</t>
        </is>
      </c>
      <c r="C537" s="0" t="inlineStr">
        <is>
          <t xml:space="preserve">SPE7MC21P3783</t>
        </is>
      </c>
      <c r="D537" s="0" t="inlineStr">
        <is>
          <t xml:space="preserve">no</t>
        </is>
      </c>
      <c r="E537" s="0" t="inlineStr">
        <is>
          <t xml:space="preserve">PURCHASE ORDER</t>
        </is>
      </c>
      <c r="F537" s="0" t="inlineStr">
        <is>
          <t xml:space="preserve">2021-06-03</t>
        </is>
      </c>
      <c r="G537" s="0" t="inlineStr">
        <is>
          <t xml:space="preserve">2021-06-03</t>
        </is>
      </c>
      <c r="H537" s="4">
        <v>0.0</v>
      </c>
      <c r="I537" s="4">
        <v>0.0</v>
      </c>
    </row>
    <row r="538">
      <c r="B538" s="0" t="inlineStr">
        <is>
          <t xml:space="preserve">MARITIME APPLIED PHYSICS</t>
        </is>
      </c>
      <c r="C538" s="0" t="inlineStr">
        <is>
          <t xml:space="preserve">N6449816D0001</t>
        </is>
      </c>
      <c r="D538" s="0" t="inlineStr">
        <is>
          <t xml:space="preserve">no</t>
        </is>
      </c>
      <c r="E538" s="0" t="inlineStr">
        <is>
          <t xml:space="preserve">IDC</t>
        </is>
      </c>
      <c r="F538" s="0" t="inlineStr">
        <is>
          <t xml:space="preserve">2020-09-04</t>
        </is>
      </c>
      <c r="G538" s="0" t="inlineStr">
        <is>
          <t xml:space="preserve">2020-09-04</t>
        </is>
      </c>
      <c r="H538" s="4">
        <v>2.4</v>
      </c>
      <c r="I538" s="4">
        <v>0.0</v>
      </c>
    </row>
    <row r="539">
      <c r="B539" s="0" t="inlineStr">
        <is>
          <t xml:space="preserve">MARITIME APPLIED PHYSICS</t>
        </is>
      </c>
      <c r="C539" s="0" t="inlineStr">
        <is>
          <t xml:space="preserve">SPRMM114PPG04</t>
        </is>
      </c>
      <c r="D539" s="0" t="inlineStr">
        <is>
          <t xml:space="preserve">no</t>
        </is>
      </c>
      <c r="E539" s="0" t="inlineStr">
        <is>
          <t xml:space="preserve">PURCHASE ORDER</t>
        </is>
      </c>
      <c r="F539" s="0" t="inlineStr">
        <is>
          <t xml:space="preserve">2014-02-25</t>
        </is>
      </c>
      <c r="G539" s="0" t="inlineStr">
        <is>
          <t xml:space="preserve">2014-02-25</t>
        </is>
      </c>
      <c r="H539" s="4">
        <v>0.0</v>
      </c>
      <c r="I539" s="4">
        <v>0.0</v>
      </c>
    </row>
    <row r="540">
      <c r="B540" s="0" t="inlineStr">
        <is>
          <t xml:space="preserve">HII UNMANNED SYSTEMS</t>
        </is>
      </c>
      <c r="C540" s="0" t="inlineStr">
        <is>
          <t xml:space="preserve">1333MJ22PNRMA0057</t>
        </is>
      </c>
      <c r="D540" s="0" t="inlineStr">
        <is>
          <t xml:space="preserve">no</t>
        </is>
      </c>
      <c r="E540" s="0" t="inlineStr">
        <is>
          <t xml:space="preserve">PURCHASE ORDER</t>
        </is>
      </c>
      <c r="F540" s="0" t="inlineStr">
        <is>
          <t xml:space="preserve">2022-08-25</t>
        </is>
      </c>
      <c r="G540" s="0" t="inlineStr">
        <is>
          <t xml:space="preserve">2022-08-25</t>
        </is>
      </c>
      <c r="H540" s="4">
        <v>0.0</v>
      </c>
      <c r="I540" s="4">
        <v>0.0</v>
      </c>
    </row>
    <row r="541">
      <c r="B541" s="0" t="inlineStr">
        <is>
          <t xml:space="preserve">HII UNMANNED SYSTEMS</t>
        </is>
      </c>
      <c r="C541" s="0" t="inlineStr">
        <is>
          <t xml:space="preserve">N6133107P6164</t>
        </is>
      </c>
      <c r="D541" s="0" t="inlineStr">
        <is>
          <t xml:space="preserve">no</t>
        </is>
      </c>
      <c r="E541" s="0" t="inlineStr">
        <is>
          <t xml:space="preserve">PURCHASE ORDER</t>
        </is>
      </c>
      <c r="F541" s="0" t="inlineStr">
        <is>
          <t xml:space="preserve">2007-08-01</t>
        </is>
      </c>
      <c r="G541" s="0" t="inlineStr">
        <is>
          <t xml:space="preserve">2007-08-01</t>
        </is>
      </c>
      <c r="H541" s="4">
        <v>0.0</v>
      </c>
      <c r="I541" s="4">
        <v>0.0</v>
      </c>
    </row>
    <row r="542">
      <c r="B542" s="0" t="inlineStr">
        <is>
          <t xml:space="preserve">HII UNMANNED SYSTEMS</t>
        </is>
      </c>
      <c r="C542" s="0" t="inlineStr">
        <is>
          <t xml:space="preserve">N6133104P2844</t>
        </is>
      </c>
      <c r="D542" s="0" t="inlineStr">
        <is>
          <t xml:space="preserve">no</t>
        </is>
      </c>
      <c r="E542" s="0" t="inlineStr">
        <is>
          <t xml:space="preserve">PURCHASE ORDER</t>
        </is>
      </c>
      <c r="F542" s="0" t="inlineStr">
        <is>
          <t xml:space="preserve">2004-06-30</t>
        </is>
      </c>
      <c r="G542" s="0" t="inlineStr">
        <is>
          <t xml:space="preserve">2004-06-30</t>
        </is>
      </c>
      <c r="H542" s="4">
        <v>0.0</v>
      </c>
      <c r="I542" s="4">
        <v>0.0</v>
      </c>
    </row>
    <row r="543">
      <c r="B543" s="0" t="inlineStr">
        <is>
          <t xml:space="preserve">HII UNMANNED SYSTEMS</t>
        </is>
      </c>
      <c r="C543" s="0" t="inlineStr">
        <is>
          <t xml:space="preserve">N6133110P6004</t>
        </is>
      </c>
      <c r="D543" s="0" t="inlineStr">
        <is>
          <t xml:space="preserve">no</t>
        </is>
      </c>
      <c r="E543" s="0" t="inlineStr">
        <is>
          <t xml:space="preserve">PURCHASE ORDER</t>
        </is>
      </c>
      <c r="F543" s="0" t="inlineStr">
        <is>
          <t xml:space="preserve">2009-12-08</t>
        </is>
      </c>
      <c r="G543" s="0" t="inlineStr">
        <is>
          <t xml:space="preserve">2009-12-08</t>
        </is>
      </c>
      <c r="H543" s="4">
        <v>0.0</v>
      </c>
      <c r="I543" s="4">
        <v>0.0</v>
      </c>
    </row>
    <row r="544">
      <c r="B544" s="0" t="inlineStr">
        <is>
          <t xml:space="preserve">HII UNMANNED SYSTEMS</t>
        </is>
      </c>
      <c r="C544" s="0" t="inlineStr">
        <is>
          <t xml:space="preserve">N6133109P8529</t>
        </is>
      </c>
      <c r="D544" s="0" t="inlineStr">
        <is>
          <t xml:space="preserve">no</t>
        </is>
      </c>
      <c r="E544" s="0" t="inlineStr">
        <is>
          <t xml:space="preserve">PURCHASE ORDER</t>
        </is>
      </c>
      <c r="F544" s="0" t="inlineStr">
        <is>
          <t xml:space="preserve">2009-02-05</t>
        </is>
      </c>
      <c r="G544" s="0" t="inlineStr">
        <is>
          <t xml:space="preserve">2009-02-05</t>
        </is>
      </c>
      <c r="H544" s="4">
        <v>0.0</v>
      </c>
      <c r="I544" s="4">
        <v>0.0</v>
      </c>
    </row>
    <row r="545">
      <c r="B545" s="0" t="inlineStr">
        <is>
          <t xml:space="preserve">HII UNMANNED SYSTEMS</t>
        </is>
      </c>
      <c r="C545" s="0" t="inlineStr">
        <is>
          <t xml:space="preserve">N6133109P8522</t>
        </is>
      </c>
      <c r="D545" s="0" t="inlineStr">
        <is>
          <t xml:space="preserve">no</t>
        </is>
      </c>
      <c r="E545" s="0" t="inlineStr">
        <is>
          <t xml:space="preserve">PURCHASE ORDER</t>
        </is>
      </c>
      <c r="F545" s="0" t="inlineStr">
        <is>
          <t xml:space="preserve">2009-01-15</t>
        </is>
      </c>
      <c r="G545" s="0" t="inlineStr">
        <is>
          <t xml:space="preserve">2009-01-15</t>
        </is>
      </c>
      <c r="H545" s="4">
        <v>0.0</v>
      </c>
      <c r="I545" s="4">
        <v>0.0</v>
      </c>
    </row>
    <row r="546">
      <c r="B546" s="0" t="inlineStr">
        <is>
          <t xml:space="preserve">HII UNMANNED SYSTEMS</t>
        </is>
      </c>
      <c r="C546" s="0" t="inlineStr">
        <is>
          <t xml:space="preserve">N6133109P6516</t>
        </is>
      </c>
      <c r="D546" s="0" t="inlineStr">
        <is>
          <t xml:space="preserve">no</t>
        </is>
      </c>
      <c r="E546" s="0" t="inlineStr">
        <is>
          <t xml:space="preserve">PURCHASE ORDER</t>
        </is>
      </c>
      <c r="F546" s="0" t="inlineStr">
        <is>
          <t xml:space="preserve">2009-01-15</t>
        </is>
      </c>
      <c r="G546" s="0" t="inlineStr">
        <is>
          <t xml:space="preserve">2009-01-15</t>
        </is>
      </c>
      <c r="H546" s="4">
        <v>0.0</v>
      </c>
      <c r="I546" s="4">
        <v>0.0</v>
      </c>
    </row>
    <row r="547">
      <c r="B547" s="0" t="inlineStr">
        <is>
          <t xml:space="preserve">HII UNMANNED SYSTEMS</t>
        </is>
      </c>
      <c r="C547" s="0" t="inlineStr">
        <is>
          <t xml:space="preserve">N6133109P1714</t>
        </is>
      </c>
      <c r="D547" s="0" t="inlineStr">
        <is>
          <t xml:space="preserve">no</t>
        </is>
      </c>
      <c r="E547" s="0" t="inlineStr">
        <is>
          <t xml:space="preserve">PURCHASE ORDER</t>
        </is>
      </c>
      <c r="F547" s="0" t="inlineStr">
        <is>
          <t xml:space="preserve">2008-12-09</t>
        </is>
      </c>
      <c r="G547" s="0" t="inlineStr">
        <is>
          <t xml:space="preserve">2008-12-09</t>
        </is>
      </c>
      <c r="H547" s="4">
        <v>0.0</v>
      </c>
      <c r="I547" s="4">
        <v>0.0</v>
      </c>
    </row>
    <row r="548">
      <c r="B548" s="0" t="inlineStr">
        <is>
          <t xml:space="preserve">HII UNMANNED SYSTEMS</t>
        </is>
      </c>
      <c r="C548" s="0" t="inlineStr">
        <is>
          <t xml:space="preserve">N6133106P2777</t>
        </is>
      </c>
      <c r="D548" s="0" t="inlineStr">
        <is>
          <t xml:space="preserve">no</t>
        </is>
      </c>
      <c r="E548" s="0" t="inlineStr">
        <is>
          <t xml:space="preserve">PURCHASE ORDER</t>
        </is>
      </c>
      <c r="F548" s="0" t="inlineStr">
        <is>
          <t xml:space="preserve">2006-04-19</t>
        </is>
      </c>
      <c r="G548" s="0" t="inlineStr">
        <is>
          <t xml:space="preserve">2006-04-19</t>
        </is>
      </c>
      <c r="H548" s="4">
        <v>0.0</v>
      </c>
      <c r="I548" s="4">
        <v>0.0</v>
      </c>
    </row>
    <row r="549">
      <c r="B549" s="0" t="inlineStr">
        <is>
          <t xml:space="preserve">HII UNMANNED SYSTEMS</t>
        </is>
      </c>
      <c r="C549" s="0" t="inlineStr">
        <is>
          <t xml:space="preserve">N6133115D0016</t>
        </is>
      </c>
      <c r="D549" s="0" t="inlineStr">
        <is>
          <t xml:space="preserve">no</t>
        </is>
      </c>
      <c r="E549" s="0" t="inlineStr">
        <is>
          <t xml:space="preserve">IDC</t>
        </is>
      </c>
      <c r="F549" s="0" t="inlineStr">
        <is>
          <t xml:space="preserve">2015-06-15</t>
        </is>
      </c>
      <c r="G549" s="0" t="inlineStr">
        <is>
          <t xml:space="preserve">2022-01-25</t>
        </is>
      </c>
      <c r="H549" s="4">
        <v>35.0</v>
      </c>
      <c r="I549" s="4">
        <v>0.0</v>
      </c>
    </row>
    <row r="550">
      <c r="B550" s="0" t="inlineStr">
        <is>
          <t xml:space="preserve">HII UNMANNED SYSTEMS</t>
        </is>
      </c>
      <c r="C550" s="0" t="inlineStr">
        <is>
          <t xml:space="preserve">N6133105P2789</t>
        </is>
      </c>
      <c r="D550" s="0" t="inlineStr">
        <is>
          <t xml:space="preserve">no</t>
        </is>
      </c>
      <c r="E550" s="0" t="inlineStr">
        <is>
          <t xml:space="preserve">PURCHASE ORDER</t>
        </is>
      </c>
      <c r="F550" s="0" t="inlineStr">
        <is>
          <t xml:space="preserve">2005-02-03</t>
        </is>
      </c>
      <c r="G550" s="0" t="inlineStr">
        <is>
          <t xml:space="preserve">2005-02-03</t>
        </is>
      </c>
      <c r="H550" s="4">
        <v>0.0</v>
      </c>
      <c r="I550" s="4">
        <v>0.0</v>
      </c>
    </row>
    <row r="551">
      <c r="B551" s="0" t="inlineStr">
        <is>
          <t xml:space="preserve">HII UNMANNED SYSTEMS</t>
        </is>
      </c>
      <c r="C551" s="0" t="inlineStr">
        <is>
          <t xml:space="preserve">N6133105P1522</t>
        </is>
      </c>
      <c r="D551" s="0" t="inlineStr">
        <is>
          <t xml:space="preserve">no</t>
        </is>
      </c>
      <c r="E551" s="0" t="inlineStr">
        <is>
          <t xml:space="preserve">PURCHASE ORDER</t>
        </is>
      </c>
      <c r="F551" s="0" t="inlineStr">
        <is>
          <t xml:space="preserve">2005-08-09</t>
        </is>
      </c>
      <c r="G551" s="0" t="inlineStr">
        <is>
          <t xml:space="preserve">2005-08-09</t>
        </is>
      </c>
      <c r="H551" s="4">
        <v>0.0</v>
      </c>
      <c r="I551" s="4">
        <v>0.0</v>
      </c>
    </row>
    <row r="552">
      <c r="B552" s="0" t="inlineStr">
        <is>
          <t xml:space="preserve">HII UNMANNED SYSTEMS</t>
        </is>
      </c>
      <c r="C552" s="0" t="inlineStr">
        <is>
          <t xml:space="preserve">N6133105P4524</t>
        </is>
      </c>
      <c r="D552" s="0" t="inlineStr">
        <is>
          <t xml:space="preserve">no</t>
        </is>
      </c>
      <c r="E552" s="0" t="inlineStr">
        <is>
          <t xml:space="preserve">PURCHASE ORDER</t>
        </is>
      </c>
      <c r="F552" s="0" t="inlineStr">
        <is>
          <t xml:space="preserve">2005-07-26</t>
        </is>
      </c>
      <c r="G552" s="0" t="inlineStr">
        <is>
          <t xml:space="preserve">2005-07-26</t>
        </is>
      </c>
      <c r="H552" s="4">
        <v>0.0</v>
      </c>
      <c r="I552" s="4">
        <v>0.0</v>
      </c>
    </row>
    <row r="553">
      <c r="B553" s="0" t="inlineStr">
        <is>
          <t xml:space="preserve">HII UNMANNED SYSTEMS</t>
        </is>
      </c>
      <c r="C553" s="0" t="inlineStr">
        <is>
          <t xml:space="preserve">SPE4A614VJ066</t>
        </is>
      </c>
      <c r="D553" s="0" t="inlineStr">
        <is>
          <t xml:space="preserve">no</t>
        </is>
      </c>
      <c r="E553" s="0" t="inlineStr">
        <is>
          <t xml:space="preserve">PURCHASE ORDER</t>
        </is>
      </c>
      <c r="F553" s="0" t="inlineStr">
        <is>
          <t xml:space="preserve">2015-03-17</t>
        </is>
      </c>
      <c r="G553" s="0" t="inlineStr">
        <is>
          <t xml:space="preserve">2015-03-17</t>
        </is>
      </c>
      <c r="H553" s="4">
        <v>0.0</v>
      </c>
      <c r="I553" s="4">
        <v>0.0</v>
      </c>
    </row>
    <row r="554">
      <c r="B554" s="0" t="inlineStr">
        <is>
          <t xml:space="preserve">HII UNMANNED SYSTEMS</t>
        </is>
      </c>
      <c r="C554" s="0" t="inlineStr">
        <is>
          <t xml:space="preserve">H9224305P0539</t>
        </is>
      </c>
      <c r="D554" s="0" t="inlineStr">
        <is>
          <t xml:space="preserve">no</t>
        </is>
      </c>
      <c r="E554" s="0" t="inlineStr">
        <is>
          <t xml:space="preserve">PURCHASE ORDER</t>
        </is>
      </c>
      <c r="F554" s="0" t="inlineStr">
        <is>
          <t xml:space="preserve">2005-08-09</t>
        </is>
      </c>
      <c r="G554" s="0" t="inlineStr">
        <is>
          <t xml:space="preserve">2005-08-09</t>
        </is>
      </c>
      <c r="H554" s="4">
        <v>0.0</v>
      </c>
      <c r="I554" s="4">
        <v>0.0</v>
      </c>
    </row>
    <row r="555">
      <c r="B555" s="0" t="inlineStr">
        <is>
          <t xml:space="preserve">HII UNMANNED SYSTEMS</t>
        </is>
      </c>
      <c r="C555" s="0" t="inlineStr">
        <is>
          <t xml:space="preserve">SPRMM112PWJ81</t>
        </is>
      </c>
      <c r="D555" s="0" t="inlineStr">
        <is>
          <t xml:space="preserve">no</t>
        </is>
      </c>
      <c r="E555" s="0" t="inlineStr">
        <is>
          <t xml:space="preserve">PURCHASE ORDER</t>
        </is>
      </c>
      <c r="F555" s="0" t="inlineStr">
        <is>
          <t xml:space="preserve">2012-08-24</t>
        </is>
      </c>
      <c r="G555" s="0" t="inlineStr">
        <is>
          <t xml:space="preserve">2012-08-24</t>
        </is>
      </c>
      <c r="H555" s="4">
        <v>0.0</v>
      </c>
      <c r="I555" s="4">
        <v>0.0</v>
      </c>
    </row>
    <row r="556">
      <c r="B556" s="0" t="inlineStr">
        <is>
          <t xml:space="preserve">HII UNMANNED SYSTEMS</t>
        </is>
      </c>
      <c r="C556" s="0" t="inlineStr">
        <is>
          <t xml:space="preserve">N6133104P2582</t>
        </is>
      </c>
      <c r="D556" s="0" t="inlineStr">
        <is>
          <t xml:space="preserve">no</t>
        </is>
      </c>
      <c r="E556" s="0" t="inlineStr">
        <is>
          <t xml:space="preserve">PURCHASE ORDER</t>
        </is>
      </c>
      <c r="F556" s="0" t="inlineStr">
        <is>
          <t xml:space="preserve">2004-07-19</t>
        </is>
      </c>
      <c r="G556" s="0" t="inlineStr">
        <is>
          <t xml:space="preserve">2004-07-19</t>
        </is>
      </c>
      <c r="H556" s="4">
        <v>0.0</v>
      </c>
      <c r="I556" s="4">
        <v>0.0</v>
      </c>
    </row>
    <row r="557">
      <c r="B557" s="0" t="inlineStr">
        <is>
          <t xml:space="preserve">HII UNMANNED SYSTEMS</t>
        </is>
      </c>
      <c r="C557" s="0" t="inlineStr">
        <is>
          <t xml:space="preserve">N6133110P8609</t>
        </is>
      </c>
      <c r="D557" s="0" t="inlineStr">
        <is>
          <t xml:space="preserve">no</t>
        </is>
      </c>
      <c r="E557" s="0" t="inlineStr">
        <is>
          <t xml:space="preserve">PURCHASE ORDER</t>
        </is>
      </c>
      <c r="F557" s="0" t="inlineStr">
        <is>
          <t xml:space="preserve">2010-09-09</t>
        </is>
      </c>
      <c r="G557" s="0" t="inlineStr">
        <is>
          <t xml:space="preserve">2010-09-09</t>
        </is>
      </c>
      <c r="H557" s="4">
        <v>0.0</v>
      </c>
      <c r="I557" s="4">
        <v>0.0</v>
      </c>
    </row>
    <row r="558">
      <c r="B558" s="0" t="inlineStr">
        <is>
          <t xml:space="preserve">HII UNMANNED SYSTEMS</t>
        </is>
      </c>
      <c r="C558" s="0" t="inlineStr">
        <is>
          <t xml:space="preserve">N6133110P1708</t>
        </is>
      </c>
      <c r="D558" s="0" t="inlineStr">
        <is>
          <t xml:space="preserve">no</t>
        </is>
      </c>
      <c r="E558" s="0" t="inlineStr">
        <is>
          <t xml:space="preserve">PURCHASE ORDER</t>
        </is>
      </c>
      <c r="F558" s="0" t="inlineStr">
        <is>
          <t xml:space="preserve">2009-12-02</t>
        </is>
      </c>
      <c r="G558" s="0" t="inlineStr">
        <is>
          <t xml:space="preserve">2009-12-02</t>
        </is>
      </c>
      <c r="H558" s="4">
        <v>0.0</v>
      </c>
      <c r="I558" s="4">
        <v>0.0</v>
      </c>
    </row>
    <row r="559">
      <c r="B559" s="0" t="inlineStr">
        <is>
          <t xml:space="preserve">HII UNMANNED SYSTEMS</t>
        </is>
      </c>
      <c r="C559" s="0" t="inlineStr">
        <is>
          <t xml:space="preserve">N6133108P8599</t>
        </is>
      </c>
      <c r="D559" s="0" t="inlineStr">
        <is>
          <t xml:space="preserve">no</t>
        </is>
      </c>
      <c r="E559" s="0" t="inlineStr">
        <is>
          <t xml:space="preserve">PURCHASE ORDER</t>
        </is>
      </c>
      <c r="F559" s="0" t="inlineStr">
        <is>
          <t xml:space="preserve">2008-08-22</t>
        </is>
      </c>
      <c r="G559" s="0" t="inlineStr">
        <is>
          <t xml:space="preserve">2008-08-22</t>
        </is>
      </c>
      <c r="H559" s="4">
        <v>0.0</v>
      </c>
      <c r="I559" s="4">
        <v>0.0</v>
      </c>
    </row>
    <row r="560">
      <c r="B560" s="0" t="inlineStr">
        <is>
          <t xml:space="preserve">HII UNMANNED SYSTEMS</t>
        </is>
      </c>
      <c r="C560" s="0" t="inlineStr">
        <is>
          <t xml:space="preserve">N6133106P2072</t>
        </is>
      </c>
      <c r="D560" s="0" t="inlineStr">
        <is>
          <t xml:space="preserve">no</t>
        </is>
      </c>
      <c r="E560" s="0" t="inlineStr">
        <is>
          <t xml:space="preserve">PURCHASE ORDER</t>
        </is>
      </c>
      <c r="F560" s="0" t="inlineStr">
        <is>
          <t xml:space="preserve">2006-03-20</t>
        </is>
      </c>
      <c r="G560" s="0" t="inlineStr">
        <is>
          <t xml:space="preserve">2006-03-20</t>
        </is>
      </c>
      <c r="H560" s="4">
        <v>0.0</v>
      </c>
      <c r="I560" s="4">
        <v>0.0</v>
      </c>
    </row>
    <row r="561">
      <c r="B561" s="0" t="inlineStr">
        <is>
          <t xml:space="preserve">HII UNMANNED SYSTEMS</t>
        </is>
      </c>
      <c r="C561" s="0" t="inlineStr">
        <is>
          <t xml:space="preserve">N6133104P1085</t>
        </is>
      </c>
      <c r="D561" s="0" t="inlineStr">
        <is>
          <t xml:space="preserve">no</t>
        </is>
      </c>
      <c r="E561" s="0" t="inlineStr">
        <is>
          <t xml:space="preserve">PURCHASE ORDER</t>
        </is>
      </c>
      <c r="F561" s="0" t="inlineStr">
        <is>
          <t xml:space="preserve">2004-09-27</t>
        </is>
      </c>
      <c r="G561" s="0" t="inlineStr">
        <is>
          <t xml:space="preserve">2004-09-27</t>
        </is>
      </c>
      <c r="H561" s="4">
        <v>0.0</v>
      </c>
      <c r="I561" s="4">
        <v>0.0</v>
      </c>
    </row>
    <row r="562">
      <c r="B562" s="0" t="inlineStr">
        <is>
          <t xml:space="preserve">HII UNMANNED SYSTEMS</t>
        </is>
      </c>
      <c r="C562" s="0" t="inlineStr">
        <is>
          <t xml:space="preserve">SPM7M507M0220</t>
        </is>
      </c>
      <c r="D562" s="0" t="inlineStr">
        <is>
          <t xml:space="preserve">no</t>
        </is>
      </c>
      <c r="E562" s="0" t="inlineStr">
        <is>
          <t xml:space="preserve">PURCHASE ORDER</t>
        </is>
      </c>
      <c r="F562" s="0" t="inlineStr">
        <is>
          <t xml:space="preserve">2006-10-26</t>
        </is>
      </c>
      <c r="G562" s="0" t="inlineStr">
        <is>
          <t xml:space="preserve">2006-10-26</t>
        </is>
      </c>
      <c r="H562" s="4">
        <v>0.0</v>
      </c>
      <c r="I562" s="4">
        <v>0.0</v>
      </c>
    </row>
    <row r="563">
      <c r="B563" s="0" t="inlineStr">
        <is>
          <t xml:space="preserve">HII UNMANNED SYSTEMS</t>
        </is>
      </c>
      <c r="C563" s="0" t="inlineStr">
        <is>
          <t xml:space="preserve">N0010498PLJ77</t>
        </is>
      </c>
      <c r="D563" s="0" t="inlineStr">
        <is>
          <t xml:space="preserve">no</t>
        </is>
      </c>
      <c r="E563" s="0" t="inlineStr">
        <is>
          <t xml:space="preserve">PURCHASE ORDER</t>
        </is>
      </c>
      <c r="F563" s="0" t="inlineStr">
        <is>
          <t xml:space="preserve">1998-07-20</t>
        </is>
      </c>
      <c r="G563" s="0" t="inlineStr">
        <is>
          <t xml:space="preserve">1998-07-20</t>
        </is>
      </c>
      <c r="H563" s="4">
        <v>0.0</v>
      </c>
      <c r="I563" s="4">
        <v>0.0</v>
      </c>
    </row>
    <row r="564">
      <c r="B564" s="0" t="inlineStr">
        <is>
          <t xml:space="preserve">HII UNMANNED SYSTEMS</t>
        </is>
      </c>
      <c r="C564" s="0" t="inlineStr">
        <is>
          <t xml:space="preserve">N6133105P3525</t>
        </is>
      </c>
      <c r="D564" s="0" t="inlineStr">
        <is>
          <t xml:space="preserve">no</t>
        </is>
      </c>
      <c r="E564" s="0" t="inlineStr">
        <is>
          <t xml:space="preserve">PURCHASE ORDER</t>
        </is>
      </c>
      <c r="F564" s="0" t="inlineStr">
        <is>
          <t xml:space="preserve">2005-04-14</t>
        </is>
      </c>
      <c r="G564" s="0" t="inlineStr">
        <is>
          <t xml:space="preserve">2005-04-14</t>
        </is>
      </c>
      <c r="H564" s="4">
        <v>0.0</v>
      </c>
      <c r="I564" s="4">
        <v>0.0</v>
      </c>
    </row>
    <row r="565">
      <c r="B565" s="0" t="inlineStr">
        <is>
          <t xml:space="preserve">HII UNMANNED SYSTEMS</t>
        </is>
      </c>
      <c r="C565" s="0" t="inlineStr">
        <is>
          <t xml:space="preserve">SPE7M515V2129</t>
        </is>
      </c>
      <c r="D565" s="0" t="inlineStr">
        <is>
          <t xml:space="preserve">no</t>
        </is>
      </c>
      <c r="E565" s="0" t="inlineStr">
        <is>
          <t xml:space="preserve">PURCHASE ORDER</t>
        </is>
      </c>
      <c r="F565" s="0" t="inlineStr">
        <is>
          <t xml:space="preserve">2015-03-09</t>
        </is>
      </c>
      <c r="G565" s="0" t="inlineStr">
        <is>
          <t xml:space="preserve">2015-03-09</t>
        </is>
      </c>
      <c r="H565" s="4">
        <v>0.0</v>
      </c>
      <c r="I565" s="4">
        <v>0.0</v>
      </c>
    </row>
    <row r="566">
      <c r="B566" s="0" t="inlineStr">
        <is>
          <t xml:space="preserve">HII UNMANNED SYSTEMS</t>
        </is>
      </c>
      <c r="C566" s="0" t="inlineStr">
        <is>
          <t xml:space="preserve">N6133106P4032</t>
        </is>
      </c>
      <c r="D566" s="0" t="inlineStr">
        <is>
          <t xml:space="preserve">no</t>
        </is>
      </c>
      <c r="E566" s="0" t="inlineStr">
        <is>
          <t xml:space="preserve">PURCHASE ORDER</t>
        </is>
      </c>
      <c r="F566" s="0" t="inlineStr">
        <is>
          <t xml:space="preserve">2007-01-25</t>
        </is>
      </c>
      <c r="G566" s="0" t="inlineStr">
        <is>
          <t xml:space="preserve">2007-01-25</t>
        </is>
      </c>
      <c r="H566" s="4">
        <v>0.0</v>
      </c>
      <c r="I566" s="4">
        <v>0.0</v>
      </c>
    </row>
    <row r="567">
      <c r="B567" s="0" t="inlineStr">
        <is>
          <t xml:space="preserve">HII UNMANNED SYSTEMS</t>
        </is>
      </c>
      <c r="C567" s="0" t="inlineStr">
        <is>
          <t xml:space="preserve">N6133104P1741</t>
        </is>
      </c>
      <c r="D567" s="0" t="inlineStr">
        <is>
          <t xml:space="preserve">no</t>
        </is>
      </c>
      <c r="E567" s="0" t="inlineStr">
        <is>
          <t xml:space="preserve">PURCHASE ORDER</t>
        </is>
      </c>
      <c r="F567" s="0" t="inlineStr">
        <is>
          <t xml:space="preserve">2004-06-09</t>
        </is>
      </c>
      <c r="G567" s="0" t="inlineStr">
        <is>
          <t xml:space="preserve">2004-06-09</t>
        </is>
      </c>
      <c r="H567" s="4">
        <v>0.0</v>
      </c>
      <c r="I567" s="4">
        <v>0.0</v>
      </c>
    </row>
    <row r="568">
      <c r="B568" s="0" t="inlineStr">
        <is>
          <t xml:space="preserve">HII UNMANNED SYSTEMS</t>
        </is>
      </c>
      <c r="C568" s="0" t="inlineStr">
        <is>
          <t xml:space="preserve">N6133111P9724</t>
        </is>
      </c>
      <c r="D568" s="0" t="inlineStr">
        <is>
          <t xml:space="preserve">no</t>
        </is>
      </c>
      <c r="E568" s="0" t="inlineStr">
        <is>
          <t xml:space="preserve">PURCHASE ORDER</t>
        </is>
      </c>
      <c r="F568" s="0" t="inlineStr">
        <is>
          <t xml:space="preserve">2011-05-13</t>
        </is>
      </c>
      <c r="G568" s="0" t="inlineStr">
        <is>
          <t xml:space="preserve">2011-05-13</t>
        </is>
      </c>
      <c r="H568" s="4">
        <v>0.0</v>
      </c>
      <c r="I568" s="4">
        <v>0.0</v>
      </c>
    </row>
    <row r="569">
      <c r="B569" s="0" t="inlineStr">
        <is>
          <t xml:space="preserve">HII UNMANNED SYSTEMS</t>
        </is>
      </c>
      <c r="C569" s="0" t="inlineStr">
        <is>
          <t xml:space="preserve">N6133110P7506</t>
        </is>
      </c>
      <c r="D569" s="0" t="inlineStr">
        <is>
          <t xml:space="preserve">no</t>
        </is>
      </c>
      <c r="E569" s="0" t="inlineStr">
        <is>
          <t xml:space="preserve">PURCHASE ORDER</t>
        </is>
      </c>
      <c r="F569" s="0" t="inlineStr">
        <is>
          <t xml:space="preserve">2009-12-10</t>
        </is>
      </c>
      <c r="G569" s="0" t="inlineStr">
        <is>
          <t xml:space="preserve">2009-12-10</t>
        </is>
      </c>
      <c r="H569" s="4">
        <v>0.0</v>
      </c>
      <c r="I569" s="4">
        <v>0.0</v>
      </c>
    </row>
    <row r="570">
      <c r="B570" s="0" t="inlineStr">
        <is>
          <t xml:space="preserve">HII UNMANNED SYSTEMS</t>
        </is>
      </c>
      <c r="C570" s="0" t="inlineStr">
        <is>
          <t xml:space="preserve">N6133109P8543</t>
        </is>
      </c>
      <c r="D570" s="0" t="inlineStr">
        <is>
          <t xml:space="preserve">no</t>
        </is>
      </c>
      <c r="E570" s="0" t="inlineStr">
        <is>
          <t xml:space="preserve">PURCHASE ORDER</t>
        </is>
      </c>
      <c r="F570" s="0" t="inlineStr">
        <is>
          <t xml:space="preserve">2009-03-13</t>
        </is>
      </c>
      <c r="G570" s="0" t="inlineStr">
        <is>
          <t xml:space="preserve">2009-03-13</t>
        </is>
      </c>
      <c r="H570" s="4">
        <v>0.0</v>
      </c>
      <c r="I570" s="4">
        <v>0.0</v>
      </c>
    </row>
    <row r="571">
      <c r="B571" s="0" t="inlineStr">
        <is>
          <t xml:space="preserve">HII UNMANNED SYSTEMS</t>
        </is>
      </c>
      <c r="C571" s="0" t="inlineStr">
        <is>
          <t xml:space="preserve">N6133109P7505</t>
        </is>
      </c>
      <c r="D571" s="0" t="inlineStr">
        <is>
          <t xml:space="preserve">no</t>
        </is>
      </c>
      <c r="E571" s="0" t="inlineStr">
        <is>
          <t xml:space="preserve">PURCHASE ORDER</t>
        </is>
      </c>
      <c r="F571" s="0" t="inlineStr">
        <is>
          <t xml:space="preserve">2008-12-05</t>
        </is>
      </c>
      <c r="G571" s="0" t="inlineStr">
        <is>
          <t xml:space="preserve">2008-12-05</t>
        </is>
      </c>
      <c r="H571" s="4">
        <v>0.0</v>
      </c>
      <c r="I571" s="4">
        <v>0.0</v>
      </c>
    </row>
    <row r="572">
      <c r="B572" s="0" t="inlineStr">
        <is>
          <t xml:space="preserve">HII UNMANNED SYSTEMS</t>
        </is>
      </c>
      <c r="C572" s="0" t="inlineStr">
        <is>
          <t xml:space="preserve">N6133104P2872</t>
        </is>
      </c>
      <c r="D572" s="0" t="inlineStr">
        <is>
          <t xml:space="preserve">no</t>
        </is>
      </c>
      <c r="E572" s="0" t="inlineStr">
        <is>
          <t xml:space="preserve">PURCHASE ORDER</t>
        </is>
      </c>
      <c r="F572" s="0" t="inlineStr">
        <is>
          <t xml:space="preserve">2004-08-25</t>
        </is>
      </c>
      <c r="G572" s="0" t="inlineStr">
        <is>
          <t xml:space="preserve">2004-08-25</t>
        </is>
      </c>
      <c r="H572" s="4">
        <v>0.0</v>
      </c>
      <c r="I572" s="4">
        <v>0.0</v>
      </c>
    </row>
    <row r="573">
      <c r="B573" s="0" t="inlineStr">
        <is>
          <t xml:space="preserve">HII UNMANNED SYSTEMS</t>
        </is>
      </c>
      <c r="C573" s="0" t="inlineStr">
        <is>
          <t xml:space="preserve">N6133104P1088</t>
        </is>
      </c>
      <c r="D573" s="0" t="inlineStr">
        <is>
          <t xml:space="preserve">no</t>
        </is>
      </c>
      <c r="E573" s="0" t="inlineStr">
        <is>
          <t xml:space="preserve">PURCHASE ORDER</t>
        </is>
      </c>
      <c r="F573" s="0" t="inlineStr">
        <is>
          <t xml:space="preserve">2004-09-24</t>
        </is>
      </c>
      <c r="G573" s="0" t="inlineStr">
        <is>
          <t xml:space="preserve">2004-09-24</t>
        </is>
      </c>
      <c r="H573" s="4">
        <v>0.0</v>
      </c>
      <c r="I573" s="4">
        <v>0.0</v>
      </c>
    </row>
    <row r="574">
      <c r="B574" s="0" t="inlineStr">
        <is>
          <t xml:space="preserve">HII UNMANNED SYSTEMS</t>
        </is>
      </c>
      <c r="C574" s="0" t="inlineStr">
        <is>
          <t xml:space="preserve">SPM7M513V1484</t>
        </is>
      </c>
      <c r="D574" s="0" t="inlineStr">
        <is>
          <t xml:space="preserve">no</t>
        </is>
      </c>
      <c r="E574" s="0" t="inlineStr">
        <is>
          <t xml:space="preserve">PURCHASE ORDER</t>
        </is>
      </c>
      <c r="F574" s="0" t="inlineStr">
        <is>
          <t xml:space="preserve">2012-11-19</t>
        </is>
      </c>
      <c r="G574" s="0" t="inlineStr">
        <is>
          <t xml:space="preserve">2012-11-19</t>
        </is>
      </c>
      <c r="H574" s="4">
        <v>0.0</v>
      </c>
      <c r="I574" s="4">
        <v>0.0</v>
      </c>
    </row>
    <row r="575">
      <c r="B575" s="0" t="inlineStr">
        <is>
          <t xml:space="preserve">HII UNMANNED SYSTEMS</t>
        </is>
      </c>
      <c r="C575" s="0" t="inlineStr">
        <is>
          <t xml:space="preserve">N0010400PLA30</t>
        </is>
      </c>
      <c r="D575" s="0" t="inlineStr">
        <is>
          <t xml:space="preserve">no</t>
        </is>
      </c>
      <c r="E575" s="0" t="inlineStr">
        <is>
          <t xml:space="preserve">PURCHASE ORDER</t>
        </is>
      </c>
      <c r="F575" s="0" t="inlineStr">
        <is>
          <t xml:space="preserve">2000-01-10</t>
        </is>
      </c>
      <c r="G575" s="0" t="inlineStr">
        <is>
          <t xml:space="preserve">2000-01-10</t>
        </is>
      </c>
      <c r="H575" s="4">
        <v>0.0</v>
      </c>
      <c r="I575" s="4">
        <v>0.0</v>
      </c>
    </row>
    <row r="576">
      <c r="B576" s="0" t="inlineStr">
        <is>
          <t xml:space="preserve">HII UNMANNED SYSTEMS</t>
        </is>
      </c>
      <c r="C576" s="0" t="inlineStr">
        <is>
          <t xml:space="preserve">N6133106P4515</t>
        </is>
      </c>
      <c r="D576" s="0" t="inlineStr">
        <is>
          <t xml:space="preserve">no</t>
        </is>
      </c>
      <c r="E576" s="0" t="inlineStr">
        <is>
          <t xml:space="preserve">PURCHASE ORDER</t>
        </is>
      </c>
      <c r="F576" s="0" t="inlineStr">
        <is>
          <t xml:space="preserve">2006-03-24</t>
        </is>
      </c>
      <c r="G576" s="0" t="inlineStr">
        <is>
          <t xml:space="preserve">2006-03-24</t>
        </is>
      </c>
      <c r="H576" s="4">
        <v>0.0</v>
      </c>
      <c r="I576" s="4">
        <v>0.0</v>
      </c>
    </row>
    <row r="577">
      <c r="B577" s="0" t="inlineStr">
        <is>
          <t xml:space="preserve">HII UNMANNED SYSTEMS</t>
        </is>
      </c>
      <c r="C577" s="0" t="inlineStr">
        <is>
          <t xml:space="preserve">N6133105P2086</t>
        </is>
      </c>
      <c r="D577" s="0" t="inlineStr">
        <is>
          <t xml:space="preserve">no</t>
        </is>
      </c>
      <c r="E577" s="0" t="inlineStr">
        <is>
          <t xml:space="preserve">PURCHASE ORDER</t>
        </is>
      </c>
      <c r="F577" s="0" t="inlineStr">
        <is>
          <t xml:space="preserve">2005-03-04</t>
        </is>
      </c>
      <c r="G577" s="0" t="inlineStr">
        <is>
          <t xml:space="preserve">2005-03-04</t>
        </is>
      </c>
      <c r="H577" s="4">
        <v>0.0</v>
      </c>
      <c r="I577" s="4">
        <v>0.0</v>
      </c>
    </row>
    <row r="578">
      <c r="B578" s="0" t="inlineStr">
        <is>
          <t xml:space="preserve">HII UNMANNED SYSTEMS</t>
        </is>
      </c>
      <c r="C578" s="0" t="inlineStr">
        <is>
          <t xml:space="preserve">N6133105P1507</t>
        </is>
      </c>
      <c r="D578" s="0" t="inlineStr">
        <is>
          <t xml:space="preserve">no</t>
        </is>
      </c>
      <c r="E578" s="0" t="inlineStr">
        <is>
          <t xml:space="preserve">PURCHASE ORDER</t>
        </is>
      </c>
      <c r="F578" s="0" t="inlineStr">
        <is>
          <t xml:space="preserve">2005-02-10</t>
        </is>
      </c>
      <c r="G578" s="0" t="inlineStr">
        <is>
          <t xml:space="preserve">2005-02-10</t>
        </is>
      </c>
      <c r="H578" s="4">
        <v>0.0</v>
      </c>
      <c r="I578" s="4">
        <v>0.0</v>
      </c>
    </row>
    <row r="579">
      <c r="B579" s="0" t="inlineStr">
        <is>
          <t xml:space="preserve">HII UNMANNED SYSTEMS</t>
        </is>
      </c>
      <c r="C579" s="0" t="inlineStr">
        <is>
          <t xml:space="preserve">N6133107P1518</t>
        </is>
      </c>
      <c r="D579" s="0" t="inlineStr">
        <is>
          <t xml:space="preserve">no</t>
        </is>
      </c>
      <c r="E579" s="0" t="inlineStr">
        <is>
          <t xml:space="preserve">PURCHASE ORDER</t>
        </is>
      </c>
      <c r="F579" s="0" t="inlineStr">
        <is>
          <t xml:space="preserve">2007-04-13</t>
        </is>
      </c>
      <c r="G579" s="0" t="inlineStr">
        <is>
          <t xml:space="preserve">2007-04-13</t>
        </is>
      </c>
      <c r="H579" s="4">
        <v>0.0</v>
      </c>
      <c r="I579" s="4">
        <v>0.0</v>
      </c>
    </row>
    <row r="580">
      <c r="B580" s="0" t="inlineStr">
        <is>
          <t xml:space="preserve">HII UNMANNED SYSTEMS</t>
        </is>
      </c>
      <c r="C580" s="0" t="inlineStr">
        <is>
          <t xml:space="preserve">N6133104P0637</t>
        </is>
      </c>
      <c r="D580" s="0" t="inlineStr">
        <is>
          <t xml:space="preserve">no</t>
        </is>
      </c>
      <c r="E580" s="0" t="inlineStr">
        <is>
          <t xml:space="preserve">PURCHASE ORDER</t>
        </is>
      </c>
      <c r="F580" s="0" t="inlineStr">
        <is>
          <t xml:space="preserve">2004-05-27</t>
        </is>
      </c>
      <c r="G580" s="0" t="inlineStr">
        <is>
          <t xml:space="preserve">2004-05-27</t>
        </is>
      </c>
      <c r="H580" s="4">
        <v>0.0</v>
      </c>
      <c r="I580" s="4">
        <v>0.0</v>
      </c>
    </row>
    <row r="581">
      <c r="B581" s="0" t="inlineStr">
        <is>
          <t xml:space="preserve">HII UNMANNED SYSTEMS</t>
        </is>
      </c>
      <c r="C581" s="0" t="inlineStr">
        <is>
          <t xml:space="preserve">N6133108P2768</t>
        </is>
      </c>
      <c r="D581" s="0" t="inlineStr">
        <is>
          <t xml:space="preserve">no</t>
        </is>
      </c>
      <c r="E581" s="0" t="inlineStr">
        <is>
          <t xml:space="preserve">PURCHASE ORDER</t>
        </is>
      </c>
      <c r="F581" s="0" t="inlineStr">
        <is>
          <t xml:space="preserve">2008-09-22</t>
        </is>
      </c>
      <c r="G581" s="0" t="inlineStr">
        <is>
          <t xml:space="preserve">2008-09-22</t>
        </is>
      </c>
      <c r="H581" s="4">
        <v>0.0</v>
      </c>
      <c r="I581" s="4">
        <v>0.0</v>
      </c>
    </row>
    <row r="582">
      <c r="B582" s="0" t="inlineStr">
        <is>
          <t xml:space="preserve">HII UNMANNED SYSTEMS</t>
        </is>
      </c>
      <c r="C582" s="0" t="inlineStr">
        <is>
          <t xml:space="preserve">N6133105P4025</t>
        </is>
      </c>
      <c r="D582" s="0" t="inlineStr">
        <is>
          <t xml:space="preserve">no</t>
        </is>
      </c>
      <c r="E582" s="0" t="inlineStr">
        <is>
          <t xml:space="preserve">PURCHASE ORDER</t>
        </is>
      </c>
      <c r="F582" s="0" t="inlineStr">
        <is>
          <t xml:space="preserve">2005-08-22</t>
        </is>
      </c>
      <c r="G582" s="0" t="inlineStr">
        <is>
          <t xml:space="preserve">2005-08-22</t>
        </is>
      </c>
      <c r="H582" s="4">
        <v>0.0</v>
      </c>
      <c r="I582" s="4">
        <v>0.0</v>
      </c>
    </row>
    <row r="583">
      <c r="B583" s="0" t="inlineStr">
        <is>
          <t xml:space="preserve">HII UNMANNED SYSTEMS</t>
        </is>
      </c>
      <c r="C583" s="0" t="inlineStr">
        <is>
          <t xml:space="preserve">N6133101M1625</t>
        </is>
      </c>
      <c r="D583" s="0" t="inlineStr">
        <is>
          <t xml:space="preserve">no</t>
        </is>
      </c>
      <c r="E583" s="0" t="inlineStr">
        <is>
          <t xml:space="preserve">PURCHASE ORDER</t>
        </is>
      </c>
      <c r="F583" s="0" t="inlineStr">
        <is>
          <t xml:space="preserve">2001-08-09</t>
        </is>
      </c>
      <c r="G583" s="0" t="inlineStr">
        <is>
          <t xml:space="preserve">2001-08-09</t>
        </is>
      </c>
      <c r="H583" s="4">
        <v>0.0</v>
      </c>
      <c r="I583" s="4">
        <v>0.0</v>
      </c>
    </row>
    <row r="584">
      <c r="B584" s="0" t="inlineStr">
        <is>
          <t xml:space="preserve">HII UNMANNED SYSTEMS</t>
        </is>
      </c>
      <c r="C584" s="0" t="inlineStr">
        <is>
          <t xml:space="preserve">N6133104P2037</t>
        </is>
      </c>
      <c r="D584" s="0" t="inlineStr">
        <is>
          <t xml:space="preserve">no</t>
        </is>
      </c>
      <c r="E584" s="0" t="inlineStr">
        <is>
          <t xml:space="preserve">PURCHASE ORDER</t>
        </is>
      </c>
      <c r="F584" s="0" t="inlineStr">
        <is>
          <t xml:space="preserve">2003-11-20</t>
        </is>
      </c>
      <c r="G584" s="0" t="inlineStr">
        <is>
          <t xml:space="preserve">2003-11-20</t>
        </is>
      </c>
      <c r="H584" s="4">
        <v>0.0</v>
      </c>
      <c r="I584" s="4">
        <v>0.0</v>
      </c>
    </row>
    <row r="585">
      <c r="B585" s="0" t="inlineStr">
        <is>
          <t xml:space="preserve">HII UNMANNED SYSTEMS</t>
        </is>
      </c>
      <c r="C585" s="0" t="inlineStr">
        <is>
          <t xml:space="preserve">N6133104P1715</t>
        </is>
      </c>
      <c r="D585" s="0" t="inlineStr">
        <is>
          <t xml:space="preserve">no</t>
        </is>
      </c>
      <c r="E585" s="0" t="inlineStr">
        <is>
          <t xml:space="preserve">PURCHASE ORDER</t>
        </is>
      </c>
      <c r="F585" s="0" t="inlineStr">
        <is>
          <t xml:space="preserve">2004-02-02</t>
        </is>
      </c>
      <c r="G585" s="0" t="inlineStr">
        <is>
          <t xml:space="preserve">2004-02-02</t>
        </is>
      </c>
      <c r="H585" s="4">
        <v>0.0</v>
      </c>
      <c r="I585" s="4">
        <v>0.0</v>
      </c>
    </row>
    <row r="586">
      <c r="B586" s="0" t="inlineStr">
        <is>
          <t xml:space="preserve">HII UNMANNED SYSTEMS</t>
        </is>
      </c>
      <c r="C586" s="0" t="inlineStr">
        <is>
          <t xml:space="preserve">N6133103M2385</t>
        </is>
      </c>
      <c r="D586" s="0" t="inlineStr">
        <is>
          <t xml:space="preserve">no</t>
        </is>
      </c>
      <c r="E586" s="0" t="inlineStr">
        <is>
          <t xml:space="preserve">PURCHASE ORDER</t>
        </is>
      </c>
      <c r="F586" s="0" t="inlineStr">
        <is>
          <t xml:space="preserve">2003-08-22</t>
        </is>
      </c>
      <c r="G586" s="0" t="inlineStr">
        <is>
          <t xml:space="preserve">2003-08-22</t>
        </is>
      </c>
      <c r="H586" s="4">
        <v>0.0</v>
      </c>
      <c r="I586" s="4">
        <v>0.0</v>
      </c>
    </row>
    <row r="587">
      <c r="B587" s="0" t="inlineStr">
        <is>
          <t xml:space="preserve">HII UNMANNED SYSTEMS</t>
        </is>
      </c>
      <c r="C587" s="0" t="inlineStr">
        <is>
          <t xml:space="preserve">N6133104P2029</t>
        </is>
      </c>
      <c r="D587" s="0" t="inlineStr">
        <is>
          <t xml:space="preserve">no</t>
        </is>
      </c>
      <c r="E587" s="0" t="inlineStr">
        <is>
          <t xml:space="preserve">PURCHASE ORDER</t>
        </is>
      </c>
      <c r="F587" s="0" t="inlineStr">
        <is>
          <t xml:space="preserve">2003-11-14</t>
        </is>
      </c>
      <c r="G587" s="0" t="inlineStr">
        <is>
          <t xml:space="preserve">2003-11-14</t>
        </is>
      </c>
      <c r="H587" s="4">
        <v>0.0</v>
      </c>
      <c r="I587" s="4">
        <v>0.0</v>
      </c>
    </row>
    <row r="588">
      <c r="B588" s="0" t="inlineStr">
        <is>
          <t xml:space="preserve">HII UNMANNED SYSTEMS</t>
        </is>
      </c>
      <c r="C588" s="0" t="inlineStr">
        <is>
          <t xml:space="preserve">N6133104P2027</t>
        </is>
      </c>
      <c r="D588" s="0" t="inlineStr">
        <is>
          <t xml:space="preserve">no</t>
        </is>
      </c>
      <c r="E588" s="0" t="inlineStr">
        <is>
          <t xml:space="preserve">PURCHASE ORDER</t>
        </is>
      </c>
      <c r="F588" s="0" t="inlineStr">
        <is>
          <t xml:space="preserve">2003-11-25</t>
        </is>
      </c>
      <c r="G588" s="0" t="inlineStr">
        <is>
          <t xml:space="preserve">2003-11-25</t>
        </is>
      </c>
      <c r="H588" s="4">
        <v>0.0</v>
      </c>
      <c r="I588" s="4">
        <v>0.0</v>
      </c>
    </row>
    <row r="589">
      <c r="B589" s="0" t="inlineStr">
        <is>
          <t xml:space="preserve">HII UNMANNED SYSTEMS</t>
        </is>
      </c>
      <c r="C589" s="0" t="inlineStr">
        <is>
          <t xml:space="preserve">N6133106P8006</t>
        </is>
      </c>
      <c r="D589" s="0" t="inlineStr">
        <is>
          <t xml:space="preserve">no</t>
        </is>
      </c>
      <c r="E589" s="0" t="inlineStr">
        <is>
          <t xml:space="preserve">PURCHASE ORDER</t>
        </is>
      </c>
      <c r="F589" s="0" t="inlineStr">
        <is>
          <t xml:space="preserve">2006-03-13</t>
        </is>
      </c>
      <c r="G589" s="0" t="inlineStr">
        <is>
          <t xml:space="preserve">2006-03-13</t>
        </is>
      </c>
      <c r="H589" s="4">
        <v>0.0</v>
      </c>
      <c r="I589" s="4">
        <v>0.0</v>
      </c>
    </row>
    <row r="590">
      <c r="B590" s="0" t="inlineStr">
        <is>
          <t xml:space="preserve">HII UNMANNED SYSTEMS</t>
        </is>
      </c>
      <c r="C590" s="0" t="inlineStr">
        <is>
          <t xml:space="preserve">N6133112P1020</t>
        </is>
      </c>
      <c r="D590" s="0" t="inlineStr">
        <is>
          <t xml:space="preserve">no</t>
        </is>
      </c>
      <c r="E590" s="0" t="inlineStr">
        <is>
          <t xml:space="preserve">PURCHASE ORDER</t>
        </is>
      </c>
      <c r="F590" s="0" t="inlineStr">
        <is>
          <t xml:space="preserve">2012-05-31</t>
        </is>
      </c>
      <c r="G590" s="0" t="inlineStr">
        <is>
          <t xml:space="preserve">2012-05-31</t>
        </is>
      </c>
      <c r="H590" s="4">
        <v>0.0</v>
      </c>
      <c r="I590" s="4">
        <v>0.0</v>
      </c>
    </row>
    <row r="591">
      <c r="B591" s="0" t="inlineStr">
        <is>
          <t xml:space="preserve">HII UNMANNED SYSTEMS</t>
        </is>
      </c>
      <c r="C591" s="0" t="inlineStr">
        <is>
          <t xml:space="preserve">N6133110P6012</t>
        </is>
      </c>
      <c r="D591" s="0" t="inlineStr">
        <is>
          <t xml:space="preserve">no</t>
        </is>
      </c>
      <c r="E591" s="0" t="inlineStr">
        <is>
          <t xml:space="preserve">PURCHASE ORDER</t>
        </is>
      </c>
      <c r="F591" s="0" t="inlineStr">
        <is>
          <t xml:space="preserve">2010-08-01</t>
        </is>
      </c>
      <c r="G591" s="0" t="inlineStr">
        <is>
          <t xml:space="preserve">2010-08-01</t>
        </is>
      </c>
      <c r="H591" s="4">
        <v>0.0</v>
      </c>
      <c r="I591" s="4">
        <v>0.0</v>
      </c>
    </row>
    <row r="592">
      <c r="B592" s="0" t="inlineStr">
        <is>
          <t xml:space="preserve">HII UNMANNED SYSTEMS</t>
        </is>
      </c>
      <c r="C592" s="0" t="inlineStr">
        <is>
          <t xml:space="preserve">N6133109P8574</t>
        </is>
      </c>
      <c r="D592" s="0" t="inlineStr">
        <is>
          <t xml:space="preserve">no</t>
        </is>
      </c>
      <c r="E592" s="0" t="inlineStr">
        <is>
          <t xml:space="preserve">PURCHASE ORDER</t>
        </is>
      </c>
      <c r="F592" s="0" t="inlineStr">
        <is>
          <t xml:space="preserve">2009-05-29</t>
        </is>
      </c>
      <c r="G592" s="0" t="inlineStr">
        <is>
          <t xml:space="preserve">2009-05-29</t>
        </is>
      </c>
      <c r="H592" s="4">
        <v>0.0</v>
      </c>
      <c r="I592" s="4">
        <v>0.0</v>
      </c>
    </row>
    <row r="593">
      <c r="B593" s="0" t="inlineStr">
        <is>
          <t xml:space="preserve">HII UNMANNED SYSTEMS</t>
        </is>
      </c>
      <c r="C593" s="0" t="inlineStr">
        <is>
          <t xml:space="preserve">N6133109P6538</t>
        </is>
      </c>
      <c r="D593" s="0" t="inlineStr">
        <is>
          <t xml:space="preserve">no</t>
        </is>
      </c>
      <c r="E593" s="0" t="inlineStr">
        <is>
          <t xml:space="preserve">PURCHASE ORDER</t>
        </is>
      </c>
      <c r="F593" s="0" t="inlineStr">
        <is>
          <t xml:space="preserve">2009-05-12</t>
        </is>
      </c>
      <c r="G593" s="0" t="inlineStr">
        <is>
          <t xml:space="preserve">2009-05-12</t>
        </is>
      </c>
      <c r="H593" s="4">
        <v>0.0</v>
      </c>
      <c r="I593" s="4">
        <v>0.0</v>
      </c>
    </row>
    <row r="594">
      <c r="B594" s="0" t="inlineStr">
        <is>
          <t xml:space="preserve">HII UNMANNED SYSTEMS</t>
        </is>
      </c>
      <c r="C594" s="0" t="inlineStr">
        <is>
          <t xml:space="preserve">N6133108P4531</t>
        </is>
      </c>
      <c r="D594" s="0" t="inlineStr">
        <is>
          <t xml:space="preserve">no</t>
        </is>
      </c>
      <c r="E594" s="0" t="inlineStr">
        <is>
          <t xml:space="preserve">PURCHASE ORDER</t>
        </is>
      </c>
      <c r="F594" s="0" t="inlineStr">
        <is>
          <t xml:space="preserve">2008-04-11</t>
        </is>
      </c>
      <c r="G594" s="0" t="inlineStr">
        <is>
          <t xml:space="preserve">2008-04-11</t>
        </is>
      </c>
      <c r="H594" s="4">
        <v>0.0</v>
      </c>
      <c r="I594" s="4">
        <v>0.0</v>
      </c>
    </row>
    <row r="595">
      <c r="B595" s="0" t="inlineStr">
        <is>
          <t xml:space="preserve">HII UNMANNED SYSTEMS</t>
        </is>
      </c>
      <c r="C595" s="0" t="inlineStr">
        <is>
          <t xml:space="preserve">N6133106P2762</t>
        </is>
      </c>
      <c r="D595" s="0" t="inlineStr">
        <is>
          <t xml:space="preserve">no</t>
        </is>
      </c>
      <c r="E595" s="0" t="inlineStr">
        <is>
          <t xml:space="preserve">PURCHASE ORDER</t>
        </is>
      </c>
      <c r="F595" s="0" t="inlineStr">
        <is>
          <t xml:space="preserve">2006-03-02</t>
        </is>
      </c>
      <c r="G595" s="0" t="inlineStr">
        <is>
          <t xml:space="preserve">2006-03-02</t>
        </is>
      </c>
      <c r="H595" s="4">
        <v>0.0</v>
      </c>
      <c r="I595" s="4">
        <v>0.0</v>
      </c>
    </row>
    <row r="596">
      <c r="B596" s="0" t="inlineStr">
        <is>
          <t xml:space="preserve">HII UNMANNED SYSTEMS</t>
        </is>
      </c>
      <c r="C596" s="0" t="inlineStr">
        <is>
          <t xml:space="preserve">N6133104P2162</t>
        </is>
      </c>
      <c r="D596" s="0" t="inlineStr">
        <is>
          <t xml:space="preserve">no</t>
        </is>
      </c>
      <c r="E596" s="0" t="inlineStr">
        <is>
          <t xml:space="preserve">PURCHASE ORDER</t>
        </is>
      </c>
      <c r="F596" s="0" t="inlineStr">
        <is>
          <t xml:space="preserve">2004-08-19</t>
        </is>
      </c>
      <c r="G596" s="0" t="inlineStr">
        <is>
          <t xml:space="preserve">2004-08-19</t>
        </is>
      </c>
      <c r="H596" s="4">
        <v>0.0</v>
      </c>
      <c r="I596" s="4">
        <v>0.0</v>
      </c>
    </row>
    <row r="597">
      <c r="B597" s="0" t="inlineStr">
        <is>
          <t xml:space="preserve">HII UNMANNED SYSTEMS</t>
        </is>
      </c>
      <c r="C597" s="0" t="inlineStr">
        <is>
          <t xml:space="preserve">SPM7M513M7315</t>
        </is>
      </c>
      <c r="D597" s="0" t="inlineStr">
        <is>
          <t xml:space="preserve">no</t>
        </is>
      </c>
      <c r="E597" s="0" t="inlineStr">
        <is>
          <t xml:space="preserve">PURCHASE ORDER</t>
        </is>
      </c>
      <c r="F597" s="0" t="inlineStr">
        <is>
          <t xml:space="preserve">2013-05-14</t>
        </is>
      </c>
      <c r="G597" s="0" t="inlineStr">
        <is>
          <t xml:space="preserve">2013-10-28</t>
        </is>
      </c>
      <c r="H597" s="4">
        <v>0.0</v>
      </c>
      <c r="I597" s="4">
        <v>0.0</v>
      </c>
    </row>
    <row r="598">
      <c r="B598" s="0" t="inlineStr">
        <is>
          <t xml:space="preserve">HII UNMANNED SYSTEMS</t>
        </is>
      </c>
      <c r="C598" s="0" t="inlineStr">
        <is>
          <t xml:space="preserve">N6133106P4553</t>
        </is>
      </c>
      <c r="D598" s="0" t="inlineStr">
        <is>
          <t xml:space="preserve">no</t>
        </is>
      </c>
      <c r="E598" s="0" t="inlineStr">
        <is>
          <t xml:space="preserve">PURCHASE ORDER</t>
        </is>
      </c>
      <c r="F598" s="0" t="inlineStr">
        <is>
          <t xml:space="preserve">2006-09-28</t>
        </is>
      </c>
      <c r="G598" s="0" t="inlineStr">
        <is>
          <t xml:space="preserve">2006-09-28</t>
        </is>
      </c>
      <c r="H598" s="4">
        <v>0.0</v>
      </c>
      <c r="I598" s="4">
        <v>0.0</v>
      </c>
    </row>
    <row r="599">
      <c r="B599" s="0" t="inlineStr">
        <is>
          <t xml:space="preserve">HII UNMANNED SYSTEMS</t>
        </is>
      </c>
      <c r="C599" s="0" t="inlineStr">
        <is>
          <t xml:space="preserve">N6133108P3563</t>
        </is>
      </c>
      <c r="D599" s="0" t="inlineStr">
        <is>
          <t xml:space="preserve">no</t>
        </is>
      </c>
      <c r="E599" s="0" t="inlineStr">
        <is>
          <t xml:space="preserve">PURCHASE ORDER</t>
        </is>
      </c>
      <c r="F599" s="0" t="inlineStr">
        <is>
          <t xml:space="preserve">2008-08-06</t>
        </is>
      </c>
      <c r="G599" s="0" t="inlineStr">
        <is>
          <t xml:space="preserve">2008-08-06</t>
        </is>
      </c>
      <c r="H599" s="4">
        <v>0.0</v>
      </c>
      <c r="I599" s="4">
        <v>0.0</v>
      </c>
    </row>
    <row r="600">
      <c r="B600" s="0" t="inlineStr">
        <is>
          <t xml:space="preserve">HII UNMANNED SYSTEMS</t>
        </is>
      </c>
      <c r="C600" s="0" t="inlineStr">
        <is>
          <t xml:space="preserve">N6133105P2008</t>
        </is>
      </c>
      <c r="D600" s="0" t="inlineStr">
        <is>
          <t xml:space="preserve">no</t>
        </is>
      </c>
      <c r="E600" s="0" t="inlineStr">
        <is>
          <t xml:space="preserve">PURCHASE ORDER</t>
        </is>
      </c>
      <c r="F600" s="0" t="inlineStr">
        <is>
          <t xml:space="preserve">2004-11-03</t>
        </is>
      </c>
      <c r="G600" s="0" t="inlineStr">
        <is>
          <t xml:space="preserve">2004-11-03</t>
        </is>
      </c>
      <c r="H600" s="4">
        <v>0.0</v>
      </c>
      <c r="I600" s="4">
        <v>0.0</v>
      </c>
    </row>
    <row r="601">
      <c r="B601" s="0" t="inlineStr">
        <is>
          <t xml:space="preserve">HII UNMANNED SYSTEMS</t>
        </is>
      </c>
      <c r="C601" s="0" t="inlineStr">
        <is>
          <t xml:space="preserve">N6133108P1516</t>
        </is>
      </c>
      <c r="D601" s="0" t="inlineStr">
        <is>
          <t xml:space="preserve">no</t>
        </is>
      </c>
      <c r="E601" s="0" t="inlineStr">
        <is>
          <t xml:space="preserve">PURCHASE ORDER</t>
        </is>
      </c>
      <c r="F601" s="0" t="inlineStr">
        <is>
          <t xml:space="preserve">2008-04-29</t>
        </is>
      </c>
      <c r="G601" s="0" t="inlineStr">
        <is>
          <t xml:space="preserve">2013-03-18</t>
        </is>
      </c>
      <c r="H601" s="4">
        <v>0.0</v>
      </c>
      <c r="I601" s="4">
        <v>0.0</v>
      </c>
    </row>
    <row r="602">
      <c r="B602" s="0" t="inlineStr">
        <is>
          <t xml:space="preserve">HII UNMANNED SYSTEMS</t>
        </is>
      </c>
      <c r="C602" s="0" t="inlineStr">
        <is>
          <t xml:space="preserve">H9224305P0390</t>
        </is>
      </c>
      <c r="D602" s="0" t="inlineStr">
        <is>
          <t xml:space="preserve">no</t>
        </is>
      </c>
      <c r="E602" s="0" t="inlineStr">
        <is>
          <t xml:space="preserve">PURCHASE ORDER</t>
        </is>
      </c>
      <c r="F602" s="0" t="inlineStr">
        <is>
          <t xml:space="preserve">2005-09-09</t>
        </is>
      </c>
      <c r="G602" s="0" t="inlineStr">
        <is>
          <t xml:space="preserve">2005-09-09</t>
        </is>
      </c>
      <c r="H602" s="4">
        <v>0.0</v>
      </c>
      <c r="I602" s="4">
        <v>0.0</v>
      </c>
    </row>
    <row r="603">
      <c r="B603" s="0" t="inlineStr">
        <is>
          <t xml:space="preserve">HII UNMANNED SYSTEMS</t>
        </is>
      </c>
      <c r="C603" s="0" t="inlineStr">
        <is>
          <t xml:space="preserve">N6133107P0024</t>
        </is>
      </c>
      <c r="D603" s="0" t="inlineStr">
        <is>
          <t xml:space="preserve">no</t>
        </is>
      </c>
      <c r="E603" s="0" t="inlineStr">
        <is>
          <t xml:space="preserve">PURCHASE ORDER</t>
        </is>
      </c>
      <c r="F603" s="0" t="inlineStr">
        <is>
          <t xml:space="preserve">2007-11-14</t>
        </is>
      </c>
      <c r="G603" s="0" t="inlineStr">
        <is>
          <t xml:space="preserve">2007-11-14</t>
        </is>
      </c>
      <c r="H603" s="4">
        <v>0.0</v>
      </c>
      <c r="I603" s="4">
        <v>0.0</v>
      </c>
    </row>
    <row r="604">
      <c r="B604" s="0" t="inlineStr">
        <is>
          <t xml:space="preserve">HII UNMANNED SYSTEMS</t>
        </is>
      </c>
      <c r="C604" s="0" t="inlineStr">
        <is>
          <t xml:space="preserve">N6133104P2050</t>
        </is>
      </c>
      <c r="D604" s="0" t="inlineStr">
        <is>
          <t xml:space="preserve">no</t>
        </is>
      </c>
      <c r="E604" s="0" t="inlineStr">
        <is>
          <t xml:space="preserve">PURCHASE ORDER</t>
        </is>
      </c>
      <c r="F604" s="0" t="inlineStr">
        <is>
          <t xml:space="preserve">2003-12-12</t>
        </is>
      </c>
      <c r="G604" s="0" t="inlineStr">
        <is>
          <t xml:space="preserve">2003-12-12</t>
        </is>
      </c>
      <c r="H604" s="4">
        <v>0.0</v>
      </c>
      <c r="I604" s="4">
        <v>0.0</v>
      </c>
    </row>
    <row r="605">
      <c r="B605" s="0" t="inlineStr">
        <is>
          <t xml:space="preserve">HII UNMANNED SYSTEMS</t>
        </is>
      </c>
      <c r="C605" s="0" t="inlineStr">
        <is>
          <t xml:space="preserve">N0010406VLB60</t>
        </is>
      </c>
      <c r="D605" s="0" t="inlineStr">
        <is>
          <t xml:space="preserve">no</t>
        </is>
      </c>
      <c r="E605" s="0" t="inlineStr">
        <is>
          <t xml:space="preserve">PURCHASE ORDER</t>
        </is>
      </c>
      <c r="F605" s="0" t="inlineStr">
        <is>
          <t xml:space="preserve">2006-03-15</t>
        </is>
      </c>
      <c r="G605" s="0" t="inlineStr">
        <is>
          <t xml:space="preserve">2006-03-15</t>
        </is>
      </c>
      <c r="H605" s="4">
        <v>0.0</v>
      </c>
      <c r="I605" s="4">
        <v>0.0</v>
      </c>
    </row>
    <row r="606">
      <c r="B606" s="0" t="inlineStr">
        <is>
          <t xml:space="preserve">HII UNMANNED SYSTEMS</t>
        </is>
      </c>
      <c r="C606" s="0" t="inlineStr">
        <is>
          <t xml:space="preserve">N0017811P4837</t>
        </is>
      </c>
      <c r="D606" s="0" t="inlineStr">
        <is>
          <t xml:space="preserve">no</t>
        </is>
      </c>
      <c r="E606" s="0" t="inlineStr">
        <is>
          <t xml:space="preserve">PURCHASE ORDER</t>
        </is>
      </c>
      <c r="F606" s="0" t="inlineStr">
        <is>
          <t xml:space="preserve">2011-09-13</t>
        </is>
      </c>
      <c r="G606" s="0" t="inlineStr">
        <is>
          <t xml:space="preserve">2011-09-13</t>
        </is>
      </c>
      <c r="H606" s="4">
        <v>0.0</v>
      </c>
      <c r="I606" s="4">
        <v>0.0</v>
      </c>
    </row>
    <row r="607">
      <c r="B607" s="0" t="inlineStr">
        <is>
          <t xml:space="preserve">HII UNMANNED SYSTEMS</t>
        </is>
      </c>
      <c r="C607" s="0" t="inlineStr">
        <is>
          <t xml:space="preserve">N6133107P1544</t>
        </is>
      </c>
      <c r="D607" s="0" t="inlineStr">
        <is>
          <t xml:space="preserve">no</t>
        </is>
      </c>
      <c r="E607" s="0" t="inlineStr">
        <is>
          <t xml:space="preserve">PURCHASE ORDER</t>
        </is>
      </c>
      <c r="F607" s="0" t="inlineStr">
        <is>
          <t xml:space="preserve">2007-09-13</t>
        </is>
      </c>
      <c r="G607" s="0" t="inlineStr">
        <is>
          <t xml:space="preserve">2007-09-13</t>
        </is>
      </c>
      <c r="H607" s="4">
        <v>0.0</v>
      </c>
      <c r="I607" s="4">
        <v>0.0</v>
      </c>
    </row>
    <row r="608">
      <c r="B608" s="0" t="inlineStr">
        <is>
          <t xml:space="preserve">HII UNMANNED SYSTEMS</t>
        </is>
      </c>
      <c r="C608" s="0" t="inlineStr">
        <is>
          <t xml:space="preserve">N0010406PLJ34</t>
        </is>
      </c>
      <c r="D608" s="0" t="inlineStr">
        <is>
          <t xml:space="preserve">no</t>
        </is>
      </c>
      <c r="E608" s="0" t="inlineStr">
        <is>
          <t xml:space="preserve">PURCHASE ORDER</t>
        </is>
      </c>
      <c r="F608" s="0" t="inlineStr">
        <is>
          <t xml:space="preserve">2006-09-25</t>
        </is>
      </c>
      <c r="G608" s="0" t="inlineStr">
        <is>
          <t xml:space="preserve">2006-09-25</t>
        </is>
      </c>
      <c r="H608" s="4">
        <v>0.0</v>
      </c>
      <c r="I608" s="4">
        <v>0.0</v>
      </c>
    </row>
    <row r="609">
      <c r="B609" s="0" t="inlineStr">
        <is>
          <t xml:space="preserve">HII UNMANNED SYSTEMS</t>
        </is>
      </c>
      <c r="C609" s="0" t="inlineStr">
        <is>
          <t xml:space="preserve">N6133111P7502</t>
        </is>
      </c>
      <c r="D609" s="0" t="inlineStr">
        <is>
          <t xml:space="preserve">no</t>
        </is>
      </c>
      <c r="E609" s="0" t="inlineStr">
        <is>
          <t xml:space="preserve">PURCHASE ORDER</t>
        </is>
      </c>
      <c r="F609" s="0" t="inlineStr">
        <is>
          <t xml:space="preserve">2010-11-09</t>
        </is>
      </c>
      <c r="G609" s="0" t="inlineStr">
        <is>
          <t xml:space="preserve">2010-11-09</t>
        </is>
      </c>
      <c r="H609" s="4">
        <v>0.0</v>
      </c>
      <c r="I609" s="4">
        <v>0.0</v>
      </c>
    </row>
    <row r="610">
      <c r="B610" s="0" t="inlineStr">
        <is>
          <t xml:space="preserve">HII UNMANNED SYSTEMS</t>
        </is>
      </c>
      <c r="C610" s="0" t="inlineStr">
        <is>
          <t xml:space="preserve">N6133108P3539</t>
        </is>
      </c>
      <c r="D610" s="0" t="inlineStr">
        <is>
          <t xml:space="preserve">no</t>
        </is>
      </c>
      <c r="E610" s="0" t="inlineStr">
        <is>
          <t xml:space="preserve">PURCHASE ORDER</t>
        </is>
      </c>
      <c r="F610" s="0" t="inlineStr">
        <is>
          <t xml:space="preserve">2008-03-28</t>
        </is>
      </c>
      <c r="G610" s="0" t="inlineStr">
        <is>
          <t xml:space="preserve">2008-03-28</t>
        </is>
      </c>
      <c r="H610" s="4">
        <v>0.0</v>
      </c>
      <c r="I610" s="4">
        <v>0.0</v>
      </c>
    </row>
    <row r="611">
      <c r="B611" s="0" t="inlineStr">
        <is>
          <t xml:space="preserve">HII UNMANNED SYSTEMS</t>
        </is>
      </c>
      <c r="C611" s="0" t="inlineStr">
        <is>
          <t xml:space="preserve">N6133106P2511</t>
        </is>
      </c>
      <c r="D611" s="0" t="inlineStr">
        <is>
          <t xml:space="preserve">no</t>
        </is>
      </c>
      <c r="E611" s="0" t="inlineStr">
        <is>
          <t xml:space="preserve">PURCHASE ORDER</t>
        </is>
      </c>
      <c r="F611" s="0" t="inlineStr">
        <is>
          <t xml:space="preserve">2006-07-12</t>
        </is>
      </c>
      <c r="G611" s="0" t="inlineStr">
        <is>
          <t xml:space="preserve">2006-07-12</t>
        </is>
      </c>
      <c r="H611" s="4">
        <v>0.0</v>
      </c>
      <c r="I611" s="4">
        <v>0.0</v>
      </c>
    </row>
    <row r="612">
      <c r="B612" s="0" t="inlineStr">
        <is>
          <t xml:space="preserve">HII UNMANNED SYSTEMS</t>
        </is>
      </c>
      <c r="C612" s="0" t="inlineStr">
        <is>
          <t xml:space="preserve">N6133106P4512</t>
        </is>
      </c>
      <c r="D612" s="0" t="inlineStr">
        <is>
          <t xml:space="preserve">no</t>
        </is>
      </c>
      <c r="E612" s="0" t="inlineStr">
        <is>
          <t xml:space="preserve">PURCHASE ORDER</t>
        </is>
      </c>
      <c r="F612" s="0" t="inlineStr">
        <is>
          <t xml:space="preserve">2006-01-12</t>
        </is>
      </c>
      <c r="G612" s="0" t="inlineStr">
        <is>
          <t xml:space="preserve">2006-01-12</t>
        </is>
      </c>
      <c r="H612" s="4">
        <v>0.0</v>
      </c>
      <c r="I612" s="4">
        <v>0.0</v>
      </c>
    </row>
    <row r="613">
      <c r="B613" s="0" t="inlineStr">
        <is>
          <t xml:space="preserve">HII UNMANNED SYSTEMS</t>
        </is>
      </c>
      <c r="C613" s="0" t="inlineStr">
        <is>
          <t xml:space="preserve">N6133105P2053</t>
        </is>
      </c>
      <c r="D613" s="0" t="inlineStr">
        <is>
          <t xml:space="preserve">no</t>
        </is>
      </c>
      <c r="E613" s="0" t="inlineStr">
        <is>
          <t xml:space="preserve">PURCHASE ORDER</t>
        </is>
      </c>
      <c r="F613" s="0" t="inlineStr">
        <is>
          <t xml:space="preserve">2005-01-28</t>
        </is>
      </c>
      <c r="G613" s="0" t="inlineStr">
        <is>
          <t xml:space="preserve">2005-01-28</t>
        </is>
      </c>
      <c r="H613" s="4">
        <v>0.0</v>
      </c>
      <c r="I613" s="4">
        <v>0.0</v>
      </c>
    </row>
    <row r="614">
      <c r="B614" s="0" t="inlineStr">
        <is>
          <t xml:space="preserve">HII UNMANNED SYSTEMS</t>
        </is>
      </c>
      <c r="C614" s="0" t="inlineStr">
        <is>
          <t xml:space="preserve">N6133105P1017</t>
        </is>
      </c>
      <c r="D614" s="0" t="inlineStr">
        <is>
          <t xml:space="preserve">no</t>
        </is>
      </c>
      <c r="E614" s="0" t="inlineStr">
        <is>
          <t xml:space="preserve">PURCHASE ORDER</t>
        </is>
      </c>
      <c r="F614" s="0" t="inlineStr">
        <is>
          <t xml:space="preserve">2005-01-12</t>
        </is>
      </c>
      <c r="G614" s="0" t="inlineStr">
        <is>
          <t xml:space="preserve">2005-01-12</t>
        </is>
      </c>
      <c r="H614" s="4">
        <v>0.0</v>
      </c>
      <c r="I614" s="4">
        <v>0.0</v>
      </c>
    </row>
    <row r="615">
      <c r="B615" s="0" t="inlineStr">
        <is>
          <t xml:space="preserve">HII UNMANNED SYSTEMS</t>
        </is>
      </c>
      <c r="C615" s="0" t="inlineStr">
        <is>
          <t xml:space="preserve">N6133105P8664</t>
        </is>
      </c>
      <c r="D615" s="0" t="inlineStr">
        <is>
          <t xml:space="preserve">no</t>
        </is>
      </c>
      <c r="E615" s="0" t="inlineStr">
        <is>
          <t xml:space="preserve">PURCHASE ORDER</t>
        </is>
      </c>
      <c r="F615" s="0" t="inlineStr">
        <is>
          <t xml:space="preserve">2005-09-13</t>
        </is>
      </c>
      <c r="G615" s="0" t="inlineStr">
        <is>
          <t xml:space="preserve">2005-09-13</t>
        </is>
      </c>
      <c r="H615" s="4">
        <v>0.0</v>
      </c>
      <c r="I615" s="4">
        <v>0.0</v>
      </c>
    </row>
    <row r="616">
      <c r="B616" s="0" t="inlineStr">
        <is>
          <t xml:space="preserve">HII UNMANNED SYSTEMS</t>
        </is>
      </c>
      <c r="C616" s="0" t="inlineStr">
        <is>
          <t xml:space="preserve">N0003922D1003</t>
        </is>
      </c>
      <c r="D616" s="0" t="inlineStr">
        <is>
          <t xml:space="preserve">no</t>
        </is>
      </c>
      <c r="E616" s="0" t="inlineStr">
        <is>
          <t xml:space="preserve">IDC</t>
        </is>
      </c>
      <c r="F616" s="0" t="inlineStr">
        <is>
          <t xml:space="preserve">2023-08-02</t>
        </is>
      </c>
      <c r="G616" s="0" t="inlineStr">
        <is>
          <t xml:space="preserve">2023-08-02</t>
        </is>
      </c>
      <c r="H616" s="4">
        <v>8.7</v>
      </c>
      <c r="I616" s="4">
        <v>0.0</v>
      </c>
    </row>
    <row r="617">
      <c r="B617" s="0" t="inlineStr">
        <is>
          <t xml:space="preserve">HII UNMANNED SYSTEMS</t>
        </is>
      </c>
      <c r="C617" s="0" t="inlineStr">
        <is>
          <t xml:space="preserve">N0017420F0336</t>
        </is>
      </c>
      <c r="D617" s="0" t="inlineStr">
        <is>
          <t xml:space="preserve">no</t>
        </is>
      </c>
      <c r="E617" s="0" t="inlineStr">
        <is>
          <t xml:space="preserve">DELIVERY ORDER</t>
        </is>
      </c>
      <c r="F617" s="0" t="inlineStr">
        <is>
          <t xml:space="preserve">2023-12-26</t>
        </is>
      </c>
      <c r="G617" s="0" t="inlineStr">
        <is>
          <t xml:space="preserve">2025-01-16</t>
        </is>
      </c>
      <c r="H617" s="4">
        <v>0.1</v>
      </c>
      <c r="I617" s="4">
        <v>0.0</v>
      </c>
    </row>
    <row r="618">
      <c r="B618" s="0" t="inlineStr">
        <is>
          <t xml:space="preserve">HII UNMANNED SYSTEMS</t>
        </is>
      </c>
      <c r="C618" s="0" t="inlineStr">
        <is>
          <t xml:space="preserve">N6660423FC003</t>
        </is>
      </c>
      <c r="D618" s="0" t="inlineStr">
        <is>
          <t xml:space="preserve">no</t>
        </is>
      </c>
      <c r="E618" s="0" t="inlineStr">
        <is>
          <t xml:space="preserve">DELIVERY ORDER</t>
        </is>
      </c>
      <c r="F618" s="0" t="inlineStr">
        <is>
          <t xml:space="preserve">2024-01-22</t>
        </is>
      </c>
      <c r="G618" s="0" t="inlineStr">
        <is>
          <t xml:space="preserve">2024-01-22</t>
        </is>
      </c>
      <c r="H618" s="4">
        <v>0.0</v>
      </c>
      <c r="I618" s="4">
        <v>0.0</v>
      </c>
    </row>
    <row r="619">
      <c r="B619" s="0" t="inlineStr">
        <is>
          <t xml:space="preserve">HII UNMANNED SYSTEMS</t>
        </is>
      </c>
      <c r="C619" s="0" t="inlineStr">
        <is>
          <t xml:space="preserve">1305M322PNRMA0253</t>
        </is>
      </c>
      <c r="D619" s="0" t="inlineStr">
        <is>
          <t xml:space="preserve">no</t>
        </is>
      </c>
      <c r="E619" s="0" t="inlineStr">
        <is>
          <t xml:space="preserve">PURCHASE ORDER</t>
        </is>
      </c>
      <c r="F619" s="0" t="inlineStr">
        <is>
          <t xml:space="preserve">2023-03-03</t>
        </is>
      </c>
      <c r="G619" s="0" t="inlineStr">
        <is>
          <t xml:space="preserve">2023-03-03</t>
        </is>
      </c>
      <c r="H619" s="4">
        <v>0.0</v>
      </c>
      <c r="I619" s="4">
        <v>0.0</v>
      </c>
    </row>
    <row r="620">
      <c r="B620" s="0" t="inlineStr">
        <is>
          <t xml:space="preserve">HII UNMANNED SYSTEMS</t>
        </is>
      </c>
      <c r="C620" s="0" t="inlineStr">
        <is>
          <t xml:space="preserve">N0002420D6335</t>
        </is>
      </c>
      <c r="D620" s="0" t="inlineStr">
        <is>
          <t xml:space="preserve">no</t>
        </is>
      </c>
      <c r="E620" s="0" t="inlineStr">
        <is>
          <t xml:space="preserve">IDC</t>
        </is>
      </c>
      <c r="F620" s="0" t="inlineStr">
        <is>
          <t xml:space="preserve">2020-02-05</t>
        </is>
      </c>
      <c r="G620" s="0" t="inlineStr">
        <is>
          <t xml:space="preserve">2021-06-03</t>
        </is>
      </c>
      <c r="H620" s="4">
        <v>982.1</v>
      </c>
      <c r="I620" s="4">
        <v>0.0</v>
      </c>
    </row>
    <row r="621">
      <c r="B621" s="0" t="inlineStr">
        <is>
          <t xml:space="preserve">HII UNMANNED SYSTEMS</t>
        </is>
      </c>
      <c r="C621" s="0" t="inlineStr">
        <is>
          <t xml:space="preserve">N0002420D6334</t>
        </is>
      </c>
      <c r="D621" s="0" t="inlineStr">
        <is>
          <t xml:space="preserve">no</t>
        </is>
      </c>
      <c r="E621" s="0" t="inlineStr">
        <is>
          <t xml:space="preserve">IDC</t>
        </is>
      </c>
      <c r="F621" s="0" t="inlineStr">
        <is>
          <t xml:space="preserve">2021-06-03</t>
        </is>
      </c>
      <c r="G621" s="0" t="inlineStr">
        <is>
          <t xml:space="preserve">2021-06-03</t>
        </is>
      </c>
      <c r="H621" s="4">
        <v>982.1</v>
      </c>
      <c r="I621" s="4">
        <v>0.0</v>
      </c>
    </row>
    <row r="622">
      <c r="B622" s="0" t="inlineStr">
        <is>
          <t xml:space="preserve">HII UNMANNED SYSTEMS</t>
        </is>
      </c>
      <c r="C622" s="0" t="inlineStr">
        <is>
          <t xml:space="preserve">N6660411D0165</t>
        </is>
      </c>
      <c r="D622" s="0" t="inlineStr">
        <is>
          <t xml:space="preserve">no</t>
        </is>
      </c>
      <c r="E622" s="0" t="inlineStr">
        <is>
          <t xml:space="preserve">IDC</t>
        </is>
      </c>
      <c r="F622" s="0" t="inlineStr">
        <is>
          <t xml:space="preserve">2020-07-24</t>
        </is>
      </c>
      <c r="G622" s="0" t="inlineStr">
        <is>
          <t xml:space="preserve">2021-04-07</t>
        </is>
      </c>
      <c r="H622" s="4">
        <v>7.5</v>
      </c>
      <c r="I622" s="4">
        <v>0.0</v>
      </c>
    </row>
    <row r="623">
      <c r="B623" s="0" t="inlineStr">
        <is>
          <t xml:space="preserve">HII UNMANNED SYSTEMS</t>
        </is>
      </c>
      <c r="C623" s="0" t="inlineStr">
        <is>
          <t xml:space="preserve">N0017419D0009</t>
        </is>
      </c>
      <c r="D623" s="0" t="inlineStr">
        <is>
          <t xml:space="preserve">no</t>
        </is>
      </c>
      <c r="E623" s="0" t="inlineStr">
        <is>
          <t xml:space="preserve">IDC</t>
        </is>
      </c>
      <c r="F623" s="0" t="inlineStr">
        <is>
          <t xml:space="preserve">2021-04-07</t>
        </is>
      </c>
      <c r="G623" s="0" t="inlineStr">
        <is>
          <t xml:space="preserve">2021-04-21</t>
        </is>
      </c>
      <c r="H623" s="4">
        <v>98.8</v>
      </c>
      <c r="I623" s="4">
        <v>0.0</v>
      </c>
    </row>
    <row r="624">
      <c r="B624" s="0" t="inlineStr">
        <is>
          <t xml:space="preserve">HII UNMANNED SYSTEMS</t>
        </is>
      </c>
      <c r="C624" s="0" t="inlineStr">
        <is>
          <t xml:space="preserve">0007</t>
        </is>
      </c>
      <c r="D624" s="0" t="inlineStr">
        <is>
          <t xml:space="preserve">no</t>
        </is>
      </c>
      <c r="E624" s="0" t="inlineStr">
        <is>
          <t xml:space="preserve">DELIVERY ORDER</t>
        </is>
      </c>
      <c r="F624" s="0" t="inlineStr">
        <is>
          <t xml:space="preserve">2021-05-18</t>
        </is>
      </c>
      <c r="G624" s="0" t="inlineStr">
        <is>
          <t xml:space="preserve">2021-05-18</t>
        </is>
      </c>
      <c r="H624" s="4">
        <v>0.0</v>
      </c>
      <c r="I624" s="4">
        <v>0.0</v>
      </c>
    </row>
    <row r="625">
      <c r="B625" s="0" t="inlineStr">
        <is>
          <t xml:space="preserve">HII UNMANNED SYSTEMS</t>
        </is>
      </c>
      <c r="C625" s="0" t="inlineStr">
        <is>
          <t xml:space="preserve">N6133115P4508</t>
        </is>
      </c>
      <c r="D625" s="0" t="inlineStr">
        <is>
          <t xml:space="preserve">no</t>
        </is>
      </c>
      <c r="E625" s="0" t="inlineStr">
        <is>
          <t xml:space="preserve">PURCHASE ORDER</t>
        </is>
      </c>
      <c r="F625" s="0" t="inlineStr">
        <is>
          <t xml:space="preserve">2014-12-18</t>
        </is>
      </c>
      <c r="G625" s="0" t="inlineStr">
        <is>
          <t xml:space="preserve">2014-12-18</t>
        </is>
      </c>
      <c r="H625" s="4">
        <v>0.0</v>
      </c>
      <c r="I625" s="4">
        <v>0.0</v>
      </c>
    </row>
    <row r="626">
      <c r="B626" s="0" t="inlineStr">
        <is>
          <t xml:space="preserve">HII UNMANNED SYSTEMS</t>
        </is>
      </c>
      <c r="C626" s="0" t="inlineStr">
        <is>
          <t xml:space="preserve">N6133108P1535</t>
        </is>
      </c>
      <c r="D626" s="0" t="inlineStr">
        <is>
          <t xml:space="preserve">no</t>
        </is>
      </c>
      <c r="E626" s="0" t="inlineStr">
        <is>
          <t xml:space="preserve">PURCHASE ORDER</t>
        </is>
      </c>
      <c r="F626" s="0" t="inlineStr">
        <is>
          <t xml:space="preserve">2008-08-13</t>
        </is>
      </c>
      <c r="G626" s="0" t="inlineStr">
        <is>
          <t xml:space="preserve">2008-08-13</t>
        </is>
      </c>
      <c r="H626" s="4">
        <v>0.0</v>
      </c>
      <c r="I626" s="4">
        <v>0.0</v>
      </c>
    </row>
    <row r="627">
      <c r="B627" s="0" t="inlineStr">
        <is>
          <t xml:space="preserve">HII UNMANNED SYSTEMS</t>
        </is>
      </c>
      <c r="C627" s="0" t="inlineStr">
        <is>
          <t xml:space="preserve">N6133118D0015</t>
        </is>
      </c>
      <c r="D627" s="0" t="inlineStr">
        <is>
          <t xml:space="preserve">no</t>
        </is>
      </c>
      <c r="E627" s="0" t="inlineStr">
        <is>
          <t xml:space="preserve">IDC</t>
        </is>
      </c>
      <c r="F627" s="0" t="inlineStr">
        <is>
          <t xml:space="preserve">2018-09-27</t>
        </is>
      </c>
      <c r="G627" s="0" t="inlineStr">
        <is>
          <t xml:space="preserve">2019-03-06</t>
        </is>
      </c>
      <c r="H627" s="4">
        <v>33.6</v>
      </c>
      <c r="I627" s="4">
        <v>0.0</v>
      </c>
    </row>
    <row r="628">
      <c r="B628" s="0" t="inlineStr">
        <is>
          <t xml:space="preserve">HII UNMANNED SYSTEMS</t>
        </is>
      </c>
      <c r="C628" s="0" t="inlineStr">
        <is>
          <t xml:space="preserve">SPE7L717P3619</t>
        </is>
      </c>
      <c r="D628" s="0" t="inlineStr">
        <is>
          <t xml:space="preserve">no</t>
        </is>
      </c>
      <c r="E628" s="0" t="inlineStr">
        <is>
          <t xml:space="preserve">PURCHASE ORDER</t>
        </is>
      </c>
      <c r="F628" s="0" t="inlineStr">
        <is>
          <t xml:space="preserve">2017-06-09</t>
        </is>
      </c>
      <c r="G628" s="0" t="inlineStr">
        <is>
          <t xml:space="preserve">2017-06-09</t>
        </is>
      </c>
      <c r="H628" s="4">
        <v>0.0</v>
      </c>
      <c r="I628" s="4">
        <v>0.0</v>
      </c>
    </row>
    <row r="629">
      <c r="B629" s="0" t="inlineStr">
        <is>
          <t xml:space="preserve">HII UNMANNED SYSTEMS</t>
        </is>
      </c>
      <c r="C629" s="0" t="inlineStr">
        <is>
          <t xml:space="preserve">0022</t>
        </is>
      </c>
      <c r="D629" s="0" t="inlineStr">
        <is>
          <t xml:space="preserve">no</t>
        </is>
      </c>
      <c r="E629" s="0" t="inlineStr">
        <is>
          <t xml:space="preserve">DELIVERY ORDER</t>
        </is>
      </c>
      <c r="F629" s="0" t="inlineStr">
        <is>
          <t xml:space="preserve">2017-01-31</t>
        </is>
      </c>
      <c r="G629" s="0" t="inlineStr">
        <is>
          <t xml:space="preserve">2017-01-31</t>
        </is>
      </c>
      <c r="H629" s="4">
        <v>0.0</v>
      </c>
      <c r="I629" s="4">
        <v>0.0</v>
      </c>
    </row>
    <row r="630">
      <c r="B630" s="0" t="inlineStr">
        <is>
          <t xml:space="preserve">HII UNMANNED SYSTEMS</t>
        </is>
      </c>
      <c r="C630" s="0" t="inlineStr">
        <is>
          <t xml:space="preserve">SPE4A417V2460</t>
        </is>
      </c>
      <c r="D630" s="0" t="inlineStr">
        <is>
          <t xml:space="preserve">no</t>
        </is>
      </c>
      <c r="E630" s="0" t="inlineStr">
        <is>
          <t xml:space="preserve">PURCHASE ORDER</t>
        </is>
      </c>
      <c r="F630" s="0" t="inlineStr">
        <is>
          <t xml:space="preserve">2017-01-20</t>
        </is>
      </c>
      <c r="G630" s="0" t="inlineStr">
        <is>
          <t xml:space="preserve">2017-01-20</t>
        </is>
      </c>
      <c r="H630" s="4">
        <v>0.0</v>
      </c>
      <c r="I630" s="4">
        <v>0.0</v>
      </c>
    </row>
    <row r="631">
      <c r="B631" s="0" t="inlineStr">
        <is>
          <t xml:space="preserve">HII UNMANNED SYSTEMS</t>
        </is>
      </c>
      <c r="C631" s="0" t="inlineStr">
        <is>
          <t xml:space="preserve">N0017414D0001</t>
        </is>
      </c>
      <c r="D631" s="0" t="inlineStr">
        <is>
          <t xml:space="preserve">no</t>
        </is>
      </c>
      <c r="E631" s="0" t="inlineStr">
        <is>
          <t xml:space="preserve">IDC</t>
        </is>
      </c>
      <c r="F631" s="0" t="inlineStr">
        <is>
          <t xml:space="preserve">2014-09-29</t>
        </is>
      </c>
      <c r="G631" s="0" t="inlineStr">
        <is>
          <t xml:space="preserve">2016-11-04</t>
        </is>
      </c>
      <c r="H631" s="4">
        <v>61.9</v>
      </c>
      <c r="I631" s="4">
        <v>0.0</v>
      </c>
    </row>
    <row r="632">
      <c r="B632" s="0" t="inlineStr">
        <is>
          <t xml:space="preserve">HII UNMANNED SYSTEMS</t>
        </is>
      </c>
      <c r="C632" s="0" t="inlineStr">
        <is>
          <t xml:space="preserve">N3904017P0009</t>
        </is>
      </c>
      <c r="D632" s="0" t="inlineStr">
        <is>
          <t xml:space="preserve">no</t>
        </is>
      </c>
      <c r="E632" s="0" t="inlineStr">
        <is>
          <t xml:space="preserve">PURCHASE ORDER</t>
        </is>
      </c>
      <c r="F632" s="0" t="inlineStr">
        <is>
          <t xml:space="preserve">2016-11-01</t>
        </is>
      </c>
      <c r="G632" s="0" t="inlineStr">
        <is>
          <t xml:space="preserve">2016-11-01</t>
        </is>
      </c>
      <c r="H632" s="4">
        <v>0.0</v>
      </c>
      <c r="I632" s="4">
        <v>0.0</v>
      </c>
    </row>
    <row r="633">
      <c r="B633" s="0" t="inlineStr">
        <is>
          <t xml:space="preserve">HII UNMANNED SYSTEMS</t>
        </is>
      </c>
      <c r="C633" s="0" t="inlineStr">
        <is>
          <t xml:space="preserve">N0017413D0005</t>
        </is>
      </c>
      <c r="D633" s="0" t="inlineStr">
        <is>
          <t xml:space="preserve">no</t>
        </is>
      </c>
      <c r="E633" s="0" t="inlineStr">
        <is>
          <t xml:space="preserve">IDC</t>
        </is>
      </c>
      <c r="F633" s="0" t="inlineStr">
        <is>
          <t xml:space="preserve">2014-10-09</t>
        </is>
      </c>
      <c r="G633" s="0" t="inlineStr">
        <is>
          <t xml:space="preserve">2015-09-15</t>
        </is>
      </c>
      <c r="H633" s="4">
        <v>39.8</v>
      </c>
      <c r="I633" s="4">
        <v>0.0</v>
      </c>
    </row>
    <row r="634">
      <c r="B634" s="0" t="inlineStr">
        <is>
          <t xml:space="preserve">HII UNMANNED SYSTEMS</t>
        </is>
      </c>
      <c r="C634" s="0" t="inlineStr">
        <is>
          <t xml:space="preserve">N6227114M1276</t>
        </is>
      </c>
      <c r="D634" s="0" t="inlineStr">
        <is>
          <t xml:space="preserve">no</t>
        </is>
      </c>
      <c r="E634" s="0" t="inlineStr">
        <is>
          <t xml:space="preserve">PURCHASE ORDER</t>
        </is>
      </c>
      <c r="F634" s="0" t="inlineStr">
        <is>
          <t xml:space="preserve">2014-09-10</t>
        </is>
      </c>
      <c r="G634" s="0" t="inlineStr">
        <is>
          <t xml:space="preserve">2014-09-10</t>
        </is>
      </c>
      <c r="H634" s="4">
        <v>0.0</v>
      </c>
      <c r="I634" s="4">
        <v>0.0</v>
      </c>
    </row>
    <row r="635">
      <c r="B635" s="0" t="inlineStr">
        <is>
          <t xml:space="preserve">HII UNMANNED SYSTEMS</t>
        </is>
      </c>
      <c r="C635" s="0" t="inlineStr">
        <is>
          <t xml:space="preserve">DOCEA133C14SU0792</t>
        </is>
      </c>
      <c r="D635" s="0" t="inlineStr">
        <is>
          <t xml:space="preserve">no</t>
        </is>
      </c>
      <c r="E635" s="0" t="inlineStr">
        <is>
          <t xml:space="preserve">PURCHASE ORDER</t>
        </is>
      </c>
      <c r="F635" s="0" t="inlineStr">
        <is>
          <t xml:space="preserve">2014-07-25</t>
        </is>
      </c>
      <c r="G635" s="0" t="inlineStr">
        <is>
          <t xml:space="preserve">2014-07-25</t>
        </is>
      </c>
      <c r="H635" s="4">
        <v>0.0</v>
      </c>
      <c r="I635" s="4">
        <v>0.0</v>
      </c>
    </row>
    <row r="636">
      <c r="B636" s="0" t="inlineStr">
        <is>
          <t xml:space="preserve">L3HARRIS TECHNOLOGIES</t>
        </is>
      </c>
      <c r="C636" s="0" t="inlineStr">
        <is>
          <t xml:space="preserve">GS00K8AGS0721</t>
        </is>
      </c>
      <c r="D636" s="0" t="inlineStr">
        <is>
          <t xml:space="preserve">no</t>
        </is>
      </c>
      <c r="E636" s="0" t="inlineStr">
        <is>
          <t xml:space="preserve">FSS</t>
        </is>
      </c>
      <c r="F636" s="0" t="inlineStr">
        <is>
          <t xml:space="preserve">1988-03-15</t>
        </is>
      </c>
      <c r="G636" s="0" t="inlineStr">
        <is>
          <t xml:space="preserve">1988-03-15</t>
        </is>
      </c>
      <c r="H636" s="4">
        <v>0.0</v>
      </c>
      <c r="I636" s="4">
        <v>0.0</v>
      </c>
    </row>
    <row r="637">
      <c r="B637" s="0" t="inlineStr">
        <is>
          <t xml:space="preserve">L3HARRIS TECHNOLOGIES</t>
        </is>
      </c>
      <c r="C637" s="0" t="inlineStr">
        <is>
          <t xml:space="preserve">ZD110199309C0709DCA20093D0004</t>
        </is>
      </c>
      <c r="D637" s="0" t="inlineStr">
        <is>
          <t xml:space="preserve">no</t>
        </is>
      </c>
      <c r="E637" s="0" t="inlineStr">
        <is>
          <t xml:space="preserve">DELIVERY ORDER</t>
        </is>
      </c>
      <c r="F637" s="0" t="inlineStr">
        <is>
          <t xml:space="preserve">1993-09-15</t>
        </is>
      </c>
      <c r="G637" s="0" t="inlineStr">
        <is>
          <t xml:space="preserve">1993-09-15</t>
        </is>
      </c>
      <c r="H637" s="4">
        <v>0.0</v>
      </c>
      <c r="I637" s="4">
        <v>0.0</v>
      </c>
    </row>
    <row r="638">
      <c r="B638" s="0" t="inlineStr">
        <is>
          <t xml:space="preserve">L3HARRIS TECHNOLOGIES</t>
        </is>
      </c>
      <c r="C638" s="0" t="inlineStr">
        <is>
          <t xml:space="preserve">0ZD11198308C07970797DCA200XX00000</t>
        </is>
      </c>
      <c r="D638" s="0" t="inlineStr">
        <is>
          <t xml:space="preserve">no</t>
        </is>
      </c>
      <c r="E638" s="0" t="inlineStr">
        <is>
          <t xml:space="preserve">DELIVERY ORDER</t>
        </is>
      </c>
      <c r="F638" s="0" t="inlineStr">
        <is>
          <t xml:space="preserve">1983-08-15</t>
        </is>
      </c>
      <c r="G638" s="0" t="inlineStr">
        <is>
          <t xml:space="preserve">1983-08-15</t>
        </is>
      </c>
      <c r="H638" s="4">
        <v>0.0</v>
      </c>
      <c r="I638" s="4">
        <v>0.0</v>
      </c>
    </row>
    <row r="639">
      <c r="B639" s="0" t="inlineStr">
        <is>
          <t xml:space="preserve">L3HARRIS TECHNOLOGIES</t>
        </is>
      </c>
      <c r="C639" s="0" t="inlineStr">
        <is>
          <t xml:space="preserve">0ZD04198303C1238MDA90481C0238</t>
        </is>
      </c>
      <c r="D639" s="0" t="inlineStr">
        <is>
          <t xml:space="preserve">no</t>
        </is>
      </c>
      <c r="E639" s="0" t="inlineStr">
        <is>
          <t xml:space="preserve">DELIVERY ORDER</t>
        </is>
      </c>
      <c r="F639" s="0" t="inlineStr">
        <is>
          <t xml:space="preserve">1983-03-15</t>
        </is>
      </c>
      <c r="G639" s="0" t="inlineStr">
        <is>
          <t xml:space="preserve">1983-03-15</t>
        </is>
      </c>
      <c r="H639" s="4">
        <v>0.0</v>
      </c>
      <c r="I639" s="4">
        <v>0.0</v>
      </c>
    </row>
    <row r="640">
      <c r="B640" s="0" t="inlineStr">
        <is>
          <t xml:space="preserve">L3HARRIS TECHNOLOGIES</t>
        </is>
      </c>
      <c r="C640" s="0" t="inlineStr">
        <is>
          <t xml:space="preserve">GS030199205BF2960191C0008</t>
        </is>
      </c>
      <c r="D640" s="0" t="inlineStr">
        <is>
          <t xml:space="preserve">no</t>
        </is>
      </c>
      <c r="E640" s="0" t="inlineStr">
        <is>
          <t xml:space="preserve">PURCHASE ORDER</t>
        </is>
      </c>
      <c r="F640" s="0" t="inlineStr">
        <is>
          <t xml:space="preserve">1992-05-15</t>
        </is>
      </c>
      <c r="G640" s="0" t="inlineStr">
        <is>
          <t xml:space="preserve">1992-05-15</t>
        </is>
      </c>
      <c r="H640" s="4">
        <v>0.0</v>
      </c>
      <c r="I640" s="4">
        <v>0.0</v>
      </c>
    </row>
    <row r="641">
      <c r="B641" s="0" t="inlineStr">
        <is>
          <t xml:space="preserve">L3HARRIS TECHNOLOGIES</t>
        </is>
      </c>
      <c r="C641" s="0" t="inlineStr">
        <is>
          <t xml:space="preserve">GQ040199301BF3060292C0088</t>
        </is>
      </c>
      <c r="D641" s="0" t="inlineStr">
        <is>
          <t xml:space="preserve">no</t>
        </is>
      </c>
      <c r="E641" s="0" t="inlineStr">
        <is>
          <t xml:space="preserve">PURCHASE ORDER</t>
        </is>
      </c>
      <c r="F641" s="0" t="inlineStr">
        <is>
          <t xml:space="preserve">1993-01-15</t>
        </is>
      </c>
      <c r="G641" s="0" t="inlineStr">
        <is>
          <t xml:space="preserve">1993-01-15</t>
        </is>
      </c>
      <c r="H641" s="4">
        <v>0.0</v>
      </c>
      <c r="I641" s="4">
        <v>0.0</v>
      </c>
    </row>
    <row r="642">
      <c r="B642" s="0" t="inlineStr">
        <is>
          <t xml:space="preserve">L3HARRIS TECHNOLOGIES</t>
        </is>
      </c>
      <c r="C642" s="0" t="inlineStr">
        <is>
          <t xml:space="preserve">FH020198409C18101810F3060281C0153</t>
        </is>
      </c>
      <c r="D642" s="0" t="inlineStr">
        <is>
          <t xml:space="preserve">no</t>
        </is>
      </c>
      <c r="E642" s="0" t="inlineStr">
        <is>
          <t xml:space="preserve">DELIVERY ORDER</t>
        </is>
      </c>
      <c r="F642" s="0" t="inlineStr">
        <is>
          <t xml:space="preserve">1984-09-15</t>
        </is>
      </c>
      <c r="G642" s="0" t="inlineStr">
        <is>
          <t xml:space="preserve">1984-09-15</t>
        </is>
      </c>
      <c r="H642" s="4">
        <v>0.0</v>
      </c>
      <c r="I642" s="4">
        <v>0.0</v>
      </c>
    </row>
    <row r="643">
      <c r="B643" s="0" t="inlineStr">
        <is>
          <t xml:space="preserve">L3HARRIS TECHNOLOGIES</t>
        </is>
      </c>
      <c r="C643" s="0" t="inlineStr">
        <is>
          <t xml:space="preserve">JA020198406D0319F4168984C0562</t>
        </is>
      </c>
      <c r="D643" s="0" t="inlineStr">
        <is>
          <t xml:space="preserve">no</t>
        </is>
      </c>
      <c r="E643" s="0" t="inlineStr">
        <is>
          <t xml:space="preserve">DEFINITIVE CONTRACT</t>
        </is>
      </c>
      <c r="F643" s="0" t="inlineStr">
        <is>
          <t xml:space="preserve">1984-06-15</t>
        </is>
      </c>
      <c r="G643" s="0" t="inlineStr">
        <is>
          <t xml:space="preserve">1984-06-15</t>
        </is>
      </c>
      <c r="H643" s="4">
        <v>0.0</v>
      </c>
      <c r="I643" s="4">
        <v>0.0</v>
      </c>
    </row>
    <row r="644">
      <c r="B644" s="0" t="inlineStr">
        <is>
          <t xml:space="preserve">L3HARRIS TECHNOLOGIES</t>
        </is>
      </c>
      <c r="C644" s="0" t="inlineStr">
        <is>
          <t xml:space="preserve">FH020198401C07970797DAAB0779G6229</t>
        </is>
      </c>
      <c r="D644" s="0" t="inlineStr">
        <is>
          <t xml:space="preserve">no</t>
        </is>
      </c>
      <c r="E644" s="0" t="inlineStr">
        <is>
          <t xml:space="preserve">DELIVERY ORDER</t>
        </is>
      </c>
      <c r="F644" s="0" t="inlineStr">
        <is>
          <t xml:space="preserve">1984-01-15</t>
        </is>
      </c>
      <c r="G644" s="0" t="inlineStr">
        <is>
          <t xml:space="preserve">1984-01-15</t>
        </is>
      </c>
      <c r="H644" s="4">
        <v>0.0</v>
      </c>
      <c r="I644" s="4">
        <v>0.0</v>
      </c>
    </row>
    <row r="645">
      <c r="B645" s="0" t="inlineStr">
        <is>
          <t xml:space="preserve">L3HARRIS TECHNOLOGIES</t>
        </is>
      </c>
      <c r="C645" s="0" t="inlineStr">
        <is>
          <t xml:space="preserve">00575199604C575C66010V575P1099</t>
        </is>
      </c>
      <c r="D645" s="0" t="inlineStr">
        <is>
          <t xml:space="preserve">no</t>
        </is>
      </c>
      <c r="E645" s="0" t="inlineStr">
        <is>
          <t xml:space="preserve">DELIVERY ORDER</t>
        </is>
      </c>
      <c r="F645" s="0" t="inlineStr">
        <is>
          <t xml:space="preserve">1996-04-15</t>
        </is>
      </c>
      <c r="G645" s="0" t="inlineStr">
        <is>
          <t xml:space="preserve">1996-04-15</t>
        </is>
      </c>
      <c r="H645" s="4">
        <v>0.0</v>
      </c>
      <c r="I645" s="4">
        <v>0.0</v>
      </c>
    </row>
    <row r="646">
      <c r="B646" s="0" t="inlineStr">
        <is>
          <t xml:space="preserve">L3HARRIS TECHNOLOGIES</t>
        </is>
      </c>
      <c r="C646" s="0" t="inlineStr">
        <is>
          <t xml:space="preserve">00575199410C575C55026V575P1099</t>
        </is>
      </c>
      <c r="D646" s="0" t="inlineStr">
        <is>
          <t xml:space="preserve">no</t>
        </is>
      </c>
      <c r="E646" s="0" t="inlineStr">
        <is>
          <t xml:space="preserve">DELIVERY ORDER</t>
        </is>
      </c>
      <c r="F646" s="0" t="inlineStr">
        <is>
          <t xml:space="preserve">1994-10-15</t>
        </is>
      </c>
      <c r="G646" s="0" t="inlineStr">
        <is>
          <t xml:space="preserve">1994-10-15</t>
        </is>
      </c>
      <c r="H646" s="4">
        <v>0.0</v>
      </c>
      <c r="I646" s="4">
        <v>0.0</v>
      </c>
    </row>
    <row r="647">
      <c r="B647" s="0" t="inlineStr">
        <is>
          <t xml:space="preserve">L3HARRIS TECHNOLOGIES</t>
        </is>
      </c>
      <c r="C647" s="0" t="inlineStr">
        <is>
          <t xml:space="preserve">LERC0199710DNAS397196</t>
        </is>
      </c>
      <c r="D647" s="0" t="inlineStr">
        <is>
          <t xml:space="preserve">no</t>
        </is>
      </c>
      <c r="E647" s="0" t="inlineStr">
        <is>
          <t xml:space="preserve">DEFINITIVE CONTRACT</t>
        </is>
      </c>
      <c r="F647" s="0" t="inlineStr">
        <is>
          <t xml:space="preserve">1998-09-15</t>
        </is>
      </c>
      <c r="G647" s="0" t="inlineStr">
        <is>
          <t xml:space="preserve">1998-09-15</t>
        </is>
      </c>
      <c r="H647" s="4">
        <v>0.0</v>
      </c>
      <c r="I647" s="4">
        <v>0.0</v>
      </c>
    </row>
    <row r="648">
      <c r="B648" s="0" t="inlineStr">
        <is>
          <t xml:space="preserve">L3HARRIS TECHNOLOGIES</t>
        </is>
      </c>
      <c r="C648" s="0" t="inlineStr">
        <is>
          <t xml:space="preserve">00575199907C575C92019V575P1099</t>
        </is>
      </c>
      <c r="D648" s="0" t="inlineStr">
        <is>
          <t xml:space="preserve">no</t>
        </is>
      </c>
      <c r="E648" s="0" t="inlineStr">
        <is>
          <t xml:space="preserve">DELIVERY ORDER</t>
        </is>
      </c>
      <c r="F648" s="0" t="inlineStr">
        <is>
          <t xml:space="preserve">1999-07-15</t>
        </is>
      </c>
      <c r="G648" s="0" t="inlineStr">
        <is>
          <t xml:space="preserve">1999-07-15</t>
        </is>
      </c>
      <c r="H648" s="4">
        <v>0.0</v>
      </c>
      <c r="I648" s="4">
        <v>0.0</v>
      </c>
    </row>
    <row r="649">
      <c r="B649" s="0" t="inlineStr">
        <is>
          <t xml:space="preserve">L3HARRIS TECHNOLOGIES</t>
        </is>
      </c>
      <c r="C649" s="0" t="inlineStr">
        <is>
          <t xml:space="preserve">F3361583C1012</t>
        </is>
      </c>
      <c r="D649" s="0" t="inlineStr">
        <is>
          <t xml:space="preserve">no</t>
        </is>
      </c>
      <c r="E649" s="0" t="inlineStr">
        <is>
          <t xml:space="preserve">IDC</t>
        </is>
      </c>
      <c r="F649" s="0" t="inlineStr">
        <is>
          <t xml:space="preserve">1983-11-15</t>
        </is>
      </c>
      <c r="G649" s="0" t="inlineStr">
        <is>
          <t xml:space="preserve">1983-11-15</t>
        </is>
      </c>
      <c r="H649" s="4">
        <v>0.0</v>
      </c>
      <c r="I649" s="4">
        <v>0.0</v>
      </c>
    </row>
    <row r="650">
      <c r="B650" s="0" t="inlineStr">
        <is>
          <t xml:space="preserve">L3HARRIS TECHNOLOGIES</t>
        </is>
      </c>
      <c r="C650" s="0" t="inlineStr">
        <is>
          <t xml:space="preserve">DAAJ0981C1694</t>
        </is>
      </c>
      <c r="D650" s="0" t="inlineStr">
        <is>
          <t xml:space="preserve">no</t>
        </is>
      </c>
      <c r="E650" s="0" t="inlineStr">
        <is>
          <t xml:space="preserve">IDC</t>
        </is>
      </c>
      <c r="F650" s="0" t="inlineStr">
        <is>
          <t xml:space="preserve">1981-09-15</t>
        </is>
      </c>
      <c r="G650" s="0" t="inlineStr">
        <is>
          <t xml:space="preserve">1981-09-15</t>
        </is>
      </c>
      <c r="H650" s="4">
        <v>0.0</v>
      </c>
      <c r="I650" s="4">
        <v>0.0</v>
      </c>
    </row>
    <row r="651">
      <c r="B651" s="0" t="inlineStr">
        <is>
          <t xml:space="preserve">L3HARRIS TECHNOLOGIES</t>
        </is>
      </c>
      <c r="C651" s="0" t="inlineStr">
        <is>
          <t xml:space="preserve">AB070198112C02880288DAAB0779G6229</t>
        </is>
      </c>
      <c r="D651" s="0" t="inlineStr">
        <is>
          <t xml:space="preserve">no</t>
        </is>
      </c>
      <c r="E651" s="0" t="inlineStr">
        <is>
          <t xml:space="preserve">DELIVERY ORDER</t>
        </is>
      </c>
      <c r="F651" s="0" t="inlineStr">
        <is>
          <t xml:space="preserve">1981-12-15</t>
        </is>
      </c>
      <c r="G651" s="0" t="inlineStr">
        <is>
          <t xml:space="preserve">1981-12-15</t>
        </is>
      </c>
      <c r="H651" s="4">
        <v>0.0</v>
      </c>
      <c r="I651" s="4">
        <v>0.0</v>
      </c>
    </row>
    <row r="652">
      <c r="B652" s="0" t="inlineStr">
        <is>
          <t xml:space="preserve">L3HARRIS TECHNOLOGIES</t>
        </is>
      </c>
      <c r="C652" s="0" t="inlineStr">
        <is>
          <t xml:space="preserve">DAAB0782CJ011</t>
        </is>
      </c>
      <c r="D652" s="0" t="inlineStr">
        <is>
          <t xml:space="preserve">no</t>
        </is>
      </c>
      <c r="E652" s="0" t="inlineStr">
        <is>
          <t xml:space="preserve">IDC</t>
        </is>
      </c>
      <c r="F652" s="0" t="inlineStr">
        <is>
          <t xml:space="preserve">1981-11-15</t>
        </is>
      </c>
      <c r="G652" s="0" t="inlineStr">
        <is>
          <t xml:space="preserve">1981-11-15</t>
        </is>
      </c>
      <c r="H652" s="4">
        <v>0.0</v>
      </c>
      <c r="I652" s="4">
        <v>0.0</v>
      </c>
    </row>
    <row r="653">
      <c r="B653" s="0" t="inlineStr">
        <is>
          <t xml:space="preserve">L3HARRIS TECHNOLOGIES</t>
        </is>
      </c>
      <c r="C653" s="0" t="inlineStr">
        <is>
          <t xml:space="preserve">3294198501C4332845C274GS00K8401S5790</t>
        </is>
      </c>
      <c r="D653" s="0" t="inlineStr">
        <is>
          <t xml:space="preserve">no</t>
        </is>
      </c>
      <c r="E653" s="0" t="inlineStr">
        <is>
          <t xml:space="preserve">DELIVERY ORDER</t>
        </is>
      </c>
      <c r="F653" s="0" t="inlineStr">
        <is>
          <t xml:space="preserve">1985-01-15</t>
        </is>
      </c>
      <c r="G653" s="0" t="inlineStr">
        <is>
          <t xml:space="preserve">1985-01-15</t>
        </is>
      </c>
      <c r="H653" s="4">
        <v>0.0</v>
      </c>
      <c r="I653" s="4">
        <v>0.0</v>
      </c>
    </row>
    <row r="654">
      <c r="B654" s="0" t="inlineStr">
        <is>
          <t xml:space="preserve">L3HARRIS TECHNOLOGIES</t>
        </is>
      </c>
      <c r="C654" s="0" t="inlineStr">
        <is>
          <t xml:space="preserve">543294574</t>
        </is>
      </c>
      <c r="D654" s="0" t="inlineStr">
        <is>
          <t xml:space="preserve">no</t>
        </is>
      </c>
      <c r="E654" s="0" t="inlineStr">
        <is>
          <t xml:space="preserve">BOA</t>
        </is>
      </c>
      <c r="F654" s="0" t="inlineStr">
        <is>
          <t xml:space="preserve">1985-07-15</t>
        </is>
      </c>
      <c r="G654" s="0" t="inlineStr">
        <is>
          <t xml:space="preserve">1985-07-15</t>
        </is>
      </c>
      <c r="H654" s="4">
        <v>0.0</v>
      </c>
      <c r="I654" s="4">
        <v>0.0</v>
      </c>
    </row>
    <row r="655">
      <c r="B655" s="0" t="inlineStr">
        <is>
          <t xml:space="preserve">L3HARRIS TECHNOLOGIES</t>
        </is>
      </c>
      <c r="C655" s="0" t="inlineStr">
        <is>
          <t xml:space="preserve">F3060280C0278</t>
        </is>
      </c>
      <c r="D655" s="0" t="inlineStr">
        <is>
          <t xml:space="preserve">no</t>
        </is>
      </c>
      <c r="E655" s="0" t="inlineStr">
        <is>
          <t xml:space="preserve">IDC</t>
        </is>
      </c>
      <c r="F655" s="0" t="inlineStr">
        <is>
          <t xml:space="preserve">1980-10-15</t>
        </is>
      </c>
      <c r="G655" s="0" t="inlineStr">
        <is>
          <t xml:space="preserve">1980-10-15</t>
        </is>
      </c>
      <c r="H655" s="4">
        <v>0.0</v>
      </c>
      <c r="I655" s="4">
        <v>0.0</v>
      </c>
    </row>
    <row r="656">
      <c r="B656" s="0" t="inlineStr">
        <is>
          <t xml:space="preserve">L3HARRIS TECHNOLOGIES</t>
        </is>
      </c>
      <c r="C656" s="0" t="inlineStr">
        <is>
          <t xml:space="preserve">3294198301C4332943123543A75051</t>
        </is>
      </c>
      <c r="D656" s="0" t="inlineStr">
        <is>
          <t xml:space="preserve">no</t>
        </is>
      </c>
      <c r="E656" s="0" t="inlineStr">
        <is>
          <t xml:space="preserve">DELIVERY ORDER</t>
        </is>
      </c>
      <c r="F656" s="0" t="inlineStr">
        <is>
          <t xml:space="preserve">1983-01-15</t>
        </is>
      </c>
      <c r="G656" s="0" t="inlineStr">
        <is>
          <t xml:space="preserve">1983-01-15</t>
        </is>
      </c>
      <c r="H656" s="4">
        <v>0.0</v>
      </c>
      <c r="I656" s="4">
        <v>0.0</v>
      </c>
    </row>
    <row r="657">
      <c r="B657" s="0" t="inlineStr">
        <is>
          <t xml:space="preserve">L3HARRIS TECHNOLOGIES</t>
        </is>
      </c>
      <c r="C657" s="0" t="inlineStr">
        <is>
          <t xml:space="preserve">F0960381C3486</t>
        </is>
      </c>
      <c r="D657" s="0" t="inlineStr">
        <is>
          <t xml:space="preserve">no</t>
        </is>
      </c>
      <c r="E657" s="0" t="inlineStr">
        <is>
          <t xml:space="preserve">IDC</t>
        </is>
      </c>
      <c r="F657" s="0" t="inlineStr">
        <is>
          <t xml:space="preserve">1981-01-15</t>
        </is>
      </c>
      <c r="G657" s="0" t="inlineStr">
        <is>
          <t xml:space="preserve">1981-01-15</t>
        </is>
      </c>
      <c r="H657" s="4">
        <v>0.0</v>
      </c>
      <c r="I657" s="4">
        <v>0.0</v>
      </c>
    </row>
    <row r="658">
      <c r="B658" s="0" t="inlineStr">
        <is>
          <t xml:space="preserve">L3HARRIS TECHNOLOGIES</t>
        </is>
      </c>
      <c r="C658" s="0" t="inlineStr">
        <is>
          <t xml:space="preserve">AB070198208C90689068DAAK8081D0138</t>
        </is>
      </c>
      <c r="D658" s="0" t="inlineStr">
        <is>
          <t xml:space="preserve">no</t>
        </is>
      </c>
      <c r="E658" s="0" t="inlineStr">
        <is>
          <t xml:space="preserve">DELIVERY ORDER</t>
        </is>
      </c>
      <c r="F658" s="0" t="inlineStr">
        <is>
          <t xml:space="preserve">1982-08-15</t>
        </is>
      </c>
      <c r="G658" s="0" t="inlineStr">
        <is>
          <t xml:space="preserve">1982-08-15</t>
        </is>
      </c>
      <c r="H658" s="4">
        <v>0.0</v>
      </c>
      <c r="I658" s="4">
        <v>0.0</v>
      </c>
    </row>
    <row r="659">
      <c r="B659" s="0" t="inlineStr">
        <is>
          <t xml:space="preserve">L3HARRIS TECHNOLOGIES</t>
        </is>
      </c>
      <c r="C659" s="0" t="inlineStr">
        <is>
          <t xml:space="preserve">FH020198305C17771777DAAB0779G6229</t>
        </is>
      </c>
      <c r="D659" s="0" t="inlineStr">
        <is>
          <t xml:space="preserve">no</t>
        </is>
      </c>
      <c r="E659" s="0" t="inlineStr">
        <is>
          <t xml:space="preserve">DELIVERY ORDER</t>
        </is>
      </c>
      <c r="F659" s="0" t="inlineStr">
        <is>
          <t xml:space="preserve">1983-05-15</t>
        </is>
      </c>
      <c r="G659" s="0" t="inlineStr">
        <is>
          <t xml:space="preserve">1983-05-15</t>
        </is>
      </c>
      <c r="H659" s="4">
        <v>0.0</v>
      </c>
      <c r="I659" s="4">
        <v>0.0</v>
      </c>
    </row>
    <row r="660">
      <c r="B660" s="0" t="inlineStr">
        <is>
          <t xml:space="preserve">L3HARRIS TECHNOLOGIES</t>
        </is>
      </c>
      <c r="C660" s="0" t="inlineStr">
        <is>
          <t xml:space="preserve">DAAG0882MS004</t>
        </is>
      </c>
      <c r="D660" s="0" t="inlineStr">
        <is>
          <t xml:space="preserve">no</t>
        </is>
      </c>
      <c r="E660" s="0" t="inlineStr">
        <is>
          <t xml:space="preserve">BPA</t>
        </is>
      </c>
      <c r="F660" s="0" t="inlineStr">
        <is>
          <t xml:space="preserve">1982-03-15</t>
        </is>
      </c>
      <c r="G660" s="0" t="inlineStr">
        <is>
          <t xml:space="preserve">1982-03-15</t>
        </is>
      </c>
      <c r="H660" s="4">
        <v>0.0</v>
      </c>
      <c r="I660" s="4">
        <v>0.0</v>
      </c>
    </row>
    <row r="661">
      <c r="B661" s="0" t="inlineStr">
        <is>
          <t xml:space="preserve">L3HARRIS TECHNOLOGIES</t>
        </is>
      </c>
      <c r="C661" s="0" t="inlineStr">
        <is>
          <t xml:space="preserve">N0001485C2086</t>
        </is>
      </c>
      <c r="D661" s="0" t="inlineStr">
        <is>
          <t xml:space="preserve">no</t>
        </is>
      </c>
      <c r="E661" s="0" t="inlineStr">
        <is>
          <t xml:space="preserve">IDC</t>
        </is>
      </c>
      <c r="F661" s="0" t="inlineStr">
        <is>
          <t xml:space="preserve">1984-12-15</t>
        </is>
      </c>
      <c r="G661" s="0" t="inlineStr">
        <is>
          <t xml:space="preserve">1984-12-15</t>
        </is>
      </c>
      <c r="H661" s="4">
        <v>0.0</v>
      </c>
      <c r="I661" s="4">
        <v>0.0</v>
      </c>
    </row>
    <row r="662">
      <c r="B662" s="0" t="inlineStr">
        <is>
          <t xml:space="preserve">L3HARRIS TECHNOLOGIES</t>
        </is>
      </c>
      <c r="C662" s="0" t="inlineStr">
        <is>
          <t xml:space="preserve">JSC00198608BNAS917472</t>
        </is>
      </c>
      <c r="D662" s="0" t="inlineStr">
        <is>
          <t xml:space="preserve">no</t>
        </is>
      </c>
      <c r="E662" s="0" t="inlineStr">
        <is>
          <t xml:space="preserve">PURCHASE ORDER</t>
        </is>
      </c>
      <c r="F662" s="0" t="inlineStr">
        <is>
          <t xml:space="preserve">1986-08-15</t>
        </is>
      </c>
      <c r="G662" s="0" t="inlineStr">
        <is>
          <t xml:space="preserve">1986-08-15</t>
        </is>
      </c>
      <c r="H662" s="4">
        <v>0.0</v>
      </c>
      <c r="I662" s="4">
        <v>0.0</v>
      </c>
    </row>
    <row r="663">
      <c r="B663" s="0" t="inlineStr">
        <is>
          <t xml:space="preserve">L3HARRIS TECHNOLOGIES</t>
        </is>
      </c>
      <c r="C663" s="0" t="inlineStr">
        <is>
          <t xml:space="preserve">ACBBD198509BJ9M30048</t>
        </is>
      </c>
      <c r="D663" s="0" t="inlineStr">
        <is>
          <t xml:space="preserve">no</t>
        </is>
      </c>
      <c r="E663" s="0" t="inlineStr">
        <is>
          <t xml:space="preserve">PURCHASE ORDER</t>
        </is>
      </c>
      <c r="F663" s="0" t="inlineStr">
        <is>
          <t xml:space="preserve">1985-09-15</t>
        </is>
      </c>
      <c r="G663" s="0" t="inlineStr">
        <is>
          <t xml:space="preserve">1985-09-15</t>
        </is>
      </c>
      <c r="H663" s="4">
        <v>0.0</v>
      </c>
      <c r="I663" s="4">
        <v>0.0</v>
      </c>
    </row>
    <row r="664">
      <c r="B664" s="0" t="inlineStr">
        <is>
          <t xml:space="preserve">L3HARRIS TECHNOLOGIES</t>
        </is>
      </c>
      <c r="C664" s="0" t="inlineStr">
        <is>
          <t xml:space="preserve">N0001485C0383</t>
        </is>
      </c>
      <c r="D664" s="0" t="inlineStr">
        <is>
          <t xml:space="preserve">no</t>
        </is>
      </c>
      <c r="E664" s="0" t="inlineStr">
        <is>
          <t xml:space="preserve">IDC</t>
        </is>
      </c>
      <c r="F664" s="0" t="inlineStr">
        <is>
          <t xml:space="preserve">1986-04-15</t>
        </is>
      </c>
      <c r="G664" s="0" t="inlineStr">
        <is>
          <t xml:space="preserve">1986-04-15</t>
        </is>
      </c>
      <c r="H664" s="4">
        <v>0.0</v>
      </c>
      <c r="I664" s="4">
        <v>0.0</v>
      </c>
    </row>
    <row r="665">
      <c r="B665" s="0" t="inlineStr">
        <is>
          <t xml:space="preserve">L3HARRIS TECHNOLOGIES</t>
        </is>
      </c>
      <c r="C665" s="0" t="inlineStr">
        <is>
          <t xml:space="preserve">15600198206CQ142N0010477A0079</t>
        </is>
      </c>
      <c r="D665" s="0" t="inlineStr">
        <is>
          <t xml:space="preserve">no</t>
        </is>
      </c>
      <c r="E665" s="0" t="inlineStr">
        <is>
          <t xml:space="preserve">DELIVERY ORDER</t>
        </is>
      </c>
      <c r="F665" s="0" t="inlineStr">
        <is>
          <t xml:space="preserve">1982-06-15</t>
        </is>
      </c>
      <c r="G665" s="0" t="inlineStr">
        <is>
          <t xml:space="preserve">1982-06-15</t>
        </is>
      </c>
      <c r="H665" s="4">
        <v>0.0</v>
      </c>
      <c r="I665" s="4">
        <v>0.0</v>
      </c>
    </row>
    <row r="666">
      <c r="B666" s="0" t="inlineStr">
        <is>
          <t xml:space="preserve">L3HARRIS TECHNOLOGIES</t>
        </is>
      </c>
      <c r="C666" s="0" t="inlineStr">
        <is>
          <t xml:space="preserve">F3361581C1501</t>
        </is>
      </c>
      <c r="D666" s="0" t="inlineStr">
        <is>
          <t xml:space="preserve">no</t>
        </is>
      </c>
      <c r="E666" s="0" t="inlineStr">
        <is>
          <t xml:space="preserve">IDC</t>
        </is>
      </c>
      <c r="F666" s="0" t="inlineStr">
        <is>
          <t xml:space="preserve">1981-10-15</t>
        </is>
      </c>
      <c r="G666" s="0" t="inlineStr">
        <is>
          <t xml:space="preserve">1981-10-15</t>
        </is>
      </c>
      <c r="H666" s="4">
        <v>0.0</v>
      </c>
      <c r="I666" s="4">
        <v>0.0</v>
      </c>
    </row>
    <row r="667">
      <c r="B667" s="0" t="inlineStr">
        <is>
          <t xml:space="preserve">L3HARRIS TECHNOLOGIES</t>
        </is>
      </c>
      <c r="C667" s="0" t="inlineStr">
        <is>
          <t xml:space="preserve">DAAB0782GC031</t>
        </is>
      </c>
      <c r="D667" s="0" t="inlineStr">
        <is>
          <t xml:space="preserve">no</t>
        </is>
      </c>
      <c r="E667" s="0" t="inlineStr">
        <is>
          <t xml:space="preserve">BOA</t>
        </is>
      </c>
      <c r="F667" s="0" t="inlineStr">
        <is>
          <t xml:space="preserve">1984-02-15</t>
        </is>
      </c>
      <c r="G667" s="0" t="inlineStr">
        <is>
          <t xml:space="preserve">1984-02-15</t>
        </is>
      </c>
      <c r="H667" s="4">
        <v>0.0</v>
      </c>
      <c r="I667" s="4">
        <v>0.0</v>
      </c>
    </row>
    <row r="668">
      <c r="B668" s="0" t="inlineStr">
        <is>
          <t xml:space="preserve">L3HARRIS TECHNOLOGIES</t>
        </is>
      </c>
      <c r="C668" s="0" t="inlineStr">
        <is>
          <t xml:space="preserve">KA197810CBC79KAE40024GS00C01358</t>
        </is>
      </c>
      <c r="D668" s="0" t="inlineStr">
        <is>
          <t xml:space="preserve">no</t>
        </is>
      </c>
      <c r="E668" s="0" t="inlineStr">
        <is>
          <t xml:space="preserve">DELIVERY ORDER</t>
        </is>
      </c>
      <c r="F668" s="0" t="inlineStr">
        <is>
          <t xml:space="preserve">1978-10-15</t>
        </is>
      </c>
      <c r="G668" s="0" t="inlineStr">
        <is>
          <t xml:space="preserve">1978-10-15</t>
        </is>
      </c>
      <c r="H668" s="4">
        <v>0.0</v>
      </c>
      <c r="I668" s="4">
        <v>0.0</v>
      </c>
    </row>
    <row r="669">
      <c r="B669" s="0" t="inlineStr">
        <is>
          <t xml:space="preserve">L3HARRIS TECHNOLOGIES</t>
        </is>
      </c>
      <c r="C669" s="0" t="inlineStr">
        <is>
          <t xml:space="preserve">AB070198206C8802DAAB0778C0028</t>
        </is>
      </c>
      <c r="D669" s="0" t="inlineStr">
        <is>
          <t xml:space="preserve">no</t>
        </is>
      </c>
      <c r="E669" s="0" t="inlineStr">
        <is>
          <t xml:space="preserve">DELIVERY ORDER</t>
        </is>
      </c>
      <c r="F669" s="0" t="inlineStr">
        <is>
          <t xml:space="preserve">1982-06-15</t>
        </is>
      </c>
      <c r="G669" s="0" t="inlineStr">
        <is>
          <t xml:space="preserve">1982-06-15</t>
        </is>
      </c>
      <c r="H669" s="4">
        <v>0.0</v>
      </c>
      <c r="I669" s="4">
        <v>0.0</v>
      </c>
    </row>
    <row r="670">
      <c r="B670" s="0" t="inlineStr">
        <is>
          <t xml:space="preserve">L3HARRIS TECHNOLOGIES</t>
        </is>
      </c>
      <c r="C670" s="0" t="inlineStr">
        <is>
          <t xml:space="preserve">01390198109C1303N0003980C0011</t>
        </is>
      </c>
      <c r="D670" s="0" t="inlineStr">
        <is>
          <t xml:space="preserve">no</t>
        </is>
      </c>
      <c r="E670" s="0" t="inlineStr">
        <is>
          <t xml:space="preserve">DELIVERY ORDER</t>
        </is>
      </c>
      <c r="F670" s="0" t="inlineStr">
        <is>
          <t xml:space="preserve">1981-09-15</t>
        </is>
      </c>
      <c r="G670" s="0" t="inlineStr">
        <is>
          <t xml:space="preserve">1981-09-15</t>
        </is>
      </c>
      <c r="H670" s="4">
        <v>0.0</v>
      </c>
      <c r="I670" s="4">
        <v>0.0</v>
      </c>
    </row>
    <row r="671">
      <c r="B671" s="0" t="inlineStr">
        <is>
          <t xml:space="preserve">L3HARRIS TECHNOLOGIES</t>
        </is>
      </c>
      <c r="C671" s="0" t="inlineStr">
        <is>
          <t xml:space="preserve">3294198501C4332945C341GS00K8401S5790</t>
        </is>
      </c>
      <c r="D671" s="0" t="inlineStr">
        <is>
          <t xml:space="preserve">no</t>
        </is>
      </c>
      <c r="E671" s="0" t="inlineStr">
        <is>
          <t xml:space="preserve">DELIVERY ORDER</t>
        </is>
      </c>
      <c r="F671" s="0" t="inlineStr">
        <is>
          <t xml:space="preserve">1985-01-15</t>
        </is>
      </c>
      <c r="G671" s="0" t="inlineStr">
        <is>
          <t xml:space="preserve">1985-01-15</t>
        </is>
      </c>
      <c r="H671" s="4">
        <v>0.0</v>
      </c>
      <c r="I671" s="4">
        <v>0.0</v>
      </c>
    </row>
    <row r="672">
      <c r="B672" s="0" t="inlineStr">
        <is>
          <t xml:space="preserve">L3HARRIS TECHNOLOGIES</t>
        </is>
      </c>
      <c r="C672" s="0" t="inlineStr">
        <is>
          <t xml:space="preserve">3294198207C40329421944543A75051</t>
        </is>
      </c>
      <c r="D672" s="0" t="inlineStr">
        <is>
          <t xml:space="preserve">no</t>
        </is>
      </c>
      <c r="E672" s="0" t="inlineStr">
        <is>
          <t xml:space="preserve">DELIVERY ORDER</t>
        </is>
      </c>
      <c r="F672" s="0" t="inlineStr">
        <is>
          <t xml:space="preserve">1982-07-15</t>
        </is>
      </c>
      <c r="G672" s="0" t="inlineStr">
        <is>
          <t xml:space="preserve">1982-07-15</t>
        </is>
      </c>
      <c r="H672" s="4">
        <v>0.0</v>
      </c>
      <c r="I672" s="4">
        <v>0.0</v>
      </c>
    </row>
    <row r="673">
      <c r="B673" s="0" t="inlineStr">
        <is>
          <t xml:space="preserve">L3HARRIS TECHNOLOGIES</t>
        </is>
      </c>
      <c r="C673" s="0" t="inlineStr">
        <is>
          <t xml:space="preserve">47QRCA25DU209</t>
        </is>
      </c>
      <c r="D673" s="0" t="inlineStr">
        <is>
          <t xml:space="preserve">no</t>
        </is>
      </c>
      <c r="E673" s="0" t="inlineStr">
        <is>
          <t xml:space="preserve">IDC</t>
        </is>
      </c>
      <c r="F673" s="0" t="inlineStr">
        <is>
          <t xml:space="preserve">2026-01-08</t>
        </is>
      </c>
      <c r="G673" s="0" t="inlineStr">
        <is>
          <t xml:space="preserve">2026-01-08</t>
        </is>
      </c>
      <c r="H673" s="4">
        <v>1000000.0</v>
      </c>
      <c r="I673" s="4">
        <v>0.0</v>
      </c>
    </row>
    <row r="674">
      <c r="B674" s="0" t="inlineStr">
        <is>
          <t xml:space="preserve">L3HARRIS TECHNOLOGIES</t>
        </is>
      </c>
      <c r="C674" s="0" t="inlineStr">
        <is>
          <t xml:space="preserve">FA881921D0420</t>
        </is>
      </c>
      <c r="D674" s="0" t="inlineStr">
        <is>
          <t xml:space="preserve">no</t>
        </is>
      </c>
      <c r="E674" s="0" t="inlineStr">
        <is>
          <t xml:space="preserve">IDC</t>
        </is>
      </c>
      <c r="F674" s="0" t="inlineStr">
        <is>
          <t xml:space="preserve">2022-08-30</t>
        </is>
      </c>
      <c r="G674" s="0" t="inlineStr">
        <is>
          <t xml:space="preserve">2022-08-30</t>
        </is>
      </c>
      <c r="H674" s="4">
        <v>200.0</v>
      </c>
      <c r="I674" s="4">
        <v>0.0</v>
      </c>
    </row>
    <row r="675">
      <c r="B675" s="0" t="inlineStr">
        <is>
          <t xml:space="preserve">L3HARRIS TECHNOLOGIES</t>
        </is>
      </c>
      <c r="C675" s="0" t="inlineStr">
        <is>
          <t xml:space="preserve">N6600108D0054</t>
        </is>
      </c>
      <c r="D675" s="0" t="inlineStr">
        <is>
          <t xml:space="preserve">no</t>
        </is>
      </c>
      <c r="E675" s="0" t="inlineStr">
        <is>
          <t xml:space="preserve">IDC</t>
        </is>
      </c>
      <c r="F675" s="0" t="inlineStr">
        <is>
          <t xml:space="preserve">2017-03-30</t>
        </is>
      </c>
      <c r="G675" s="0" t="inlineStr">
        <is>
          <t xml:space="preserve">2017-03-30</t>
        </is>
      </c>
      <c r="H675" s="4">
        <v>1.0</v>
      </c>
      <c r="I675" s="4">
        <v>0.0</v>
      </c>
    </row>
    <row r="676">
      <c r="B676" s="0" t="inlineStr">
        <is>
          <t xml:space="preserve">L3HARRIS TECHNOLOGIES</t>
        </is>
      </c>
      <c r="C676" s="0" t="inlineStr">
        <is>
          <t xml:space="preserve">N6600103D7000</t>
        </is>
      </c>
      <c r="D676" s="0" t="inlineStr">
        <is>
          <t xml:space="preserve">no</t>
        </is>
      </c>
      <c r="E676" s="0" t="inlineStr">
        <is>
          <t xml:space="preserve">IDC</t>
        </is>
      </c>
      <c r="F676" s="0" t="inlineStr">
        <is>
          <t xml:space="preserve">2017-03-30</t>
        </is>
      </c>
      <c r="G676" s="0" t="inlineStr">
        <is>
          <t xml:space="preserve">2017-03-30</t>
        </is>
      </c>
      <c r="H676" s="4">
        <v>20.2</v>
      </c>
      <c r="I676" s="4">
        <v>0.0</v>
      </c>
    </row>
    <row r="677">
      <c r="B677" s="0" t="inlineStr">
        <is>
          <t xml:space="preserve">TEXTRON SYSTEMS</t>
        </is>
      </c>
      <c r="C677" s="0" t="inlineStr">
        <is>
          <t xml:space="preserve">W911S818P0129</t>
        </is>
      </c>
      <c r="D677" s="0" t="inlineStr">
        <is>
          <t xml:space="preserve">no</t>
        </is>
      </c>
      <c r="E677" s="0" t="inlineStr">
        <is>
          <t xml:space="preserve">PURCHASE ORDER</t>
        </is>
      </c>
      <c r="F677" s="0" t="inlineStr">
        <is>
          <t xml:space="preserve">2018-09-14</t>
        </is>
      </c>
      <c r="G677" s="0" t="inlineStr">
        <is>
          <t xml:space="preserve">2019-04-17</t>
        </is>
      </c>
      <c r="H677" s="4">
        <v>0.0</v>
      </c>
      <c r="I677" s="4">
        <v>0.0</v>
      </c>
    </row>
    <row r="678">
      <c r="B678" s="0" t="inlineStr">
        <is>
          <t xml:space="preserve">TEXTRON SYSTEMS</t>
        </is>
      </c>
      <c r="C678" s="0" t="inlineStr">
        <is>
          <t xml:space="preserve">W911S819P0045</t>
        </is>
      </c>
      <c r="D678" s="0" t="inlineStr">
        <is>
          <t xml:space="preserve">no</t>
        </is>
      </c>
      <c r="E678" s="0" t="inlineStr">
        <is>
          <t xml:space="preserve">PURCHASE ORDER</t>
        </is>
      </c>
      <c r="F678" s="0" t="inlineStr">
        <is>
          <t xml:space="preserve">2019-05-10</t>
        </is>
      </c>
      <c r="G678" s="0" t="inlineStr">
        <is>
          <t xml:space="preserve">2019-12-10</t>
        </is>
      </c>
      <c r="H678" s="4">
        <v>0.0</v>
      </c>
      <c r="I678" s="4">
        <v>0.0</v>
      </c>
    </row>
    <row r="679">
      <c r="B679" s="0" t="inlineStr">
        <is>
          <t xml:space="preserve">TEXTRON SYSTEMS</t>
        </is>
      </c>
      <c r="C679" s="0" t="inlineStr">
        <is>
          <t xml:space="preserve">W911QY17D0019</t>
        </is>
      </c>
      <c r="D679" s="0" t="inlineStr">
        <is>
          <t xml:space="preserve">no</t>
        </is>
      </c>
      <c r="E679" s="0" t="inlineStr">
        <is>
          <t xml:space="preserve">IDC</t>
        </is>
      </c>
      <c r="F679" s="0" t="inlineStr">
        <is>
          <t xml:space="preserve">2017-06-22</t>
        </is>
      </c>
      <c r="G679" s="0" t="inlineStr">
        <is>
          <t xml:space="preserve">2017-06-22</t>
        </is>
      </c>
      <c r="H679" s="4">
        <v>900.0</v>
      </c>
      <c r="I679" s="4">
        <v>0.0</v>
      </c>
    </row>
    <row r="680">
      <c r="B680" s="0" t="inlineStr">
        <is>
          <t xml:space="preserve">TEXTRON SYSTEMS</t>
        </is>
      </c>
      <c r="C680" s="0" t="inlineStr">
        <is>
          <t xml:space="preserve">N6893623P0186</t>
        </is>
      </c>
      <c r="D680" s="0" t="inlineStr">
        <is>
          <t xml:space="preserve">no</t>
        </is>
      </c>
      <c r="E680" s="0" t="inlineStr">
        <is>
          <t xml:space="preserve">PURCHASE ORDER</t>
        </is>
      </c>
      <c r="F680" s="0" t="inlineStr">
        <is>
          <t xml:space="preserve">2023-03-15</t>
        </is>
      </c>
      <c r="G680" s="0" t="inlineStr">
        <is>
          <t xml:space="preserve">2023-03-15</t>
        </is>
      </c>
      <c r="H680" s="4">
        <v>0.0</v>
      </c>
      <c r="I680" s="4">
        <v>0.0</v>
      </c>
    </row>
    <row r="681">
      <c r="B681" s="0" t="inlineStr">
        <is>
          <t xml:space="preserve">TEXTRON SYSTEMS</t>
        </is>
      </c>
      <c r="C681" s="0" t="inlineStr">
        <is>
          <t xml:space="preserve">N0038324PP055</t>
        </is>
      </c>
      <c r="D681" s="0" t="inlineStr">
        <is>
          <t xml:space="preserve">no</t>
        </is>
      </c>
      <c r="E681" s="0" t="inlineStr">
        <is>
          <t xml:space="preserve">PURCHASE ORDER</t>
        </is>
      </c>
      <c r="F681" s="0" t="inlineStr">
        <is>
          <t xml:space="preserve">2025-07-24</t>
        </is>
      </c>
      <c r="G681" s="0" t="inlineStr">
        <is>
          <t xml:space="preserve">2025-07-24</t>
        </is>
      </c>
      <c r="H681" s="4">
        <v>0.0</v>
      </c>
      <c r="I681" s="4">
        <v>0.0</v>
      </c>
    </row>
    <row r="682">
      <c r="B682" s="0" t="inlineStr">
        <is>
          <t xml:space="preserve">TEXTRON SYSTEMS</t>
        </is>
      </c>
      <c r="C682" s="0" t="inlineStr">
        <is>
          <t xml:space="preserve">N0038323PC291</t>
        </is>
      </c>
      <c r="D682" s="0" t="inlineStr">
        <is>
          <t xml:space="preserve">no</t>
        </is>
      </c>
      <c r="E682" s="0" t="inlineStr">
        <is>
          <t xml:space="preserve">PURCHASE ORDER</t>
        </is>
      </c>
      <c r="F682" s="0" t="inlineStr">
        <is>
          <t xml:space="preserve">2023-02-23</t>
        </is>
      </c>
      <c r="G682" s="0" t="inlineStr">
        <is>
          <t xml:space="preserve">2023-02-23</t>
        </is>
      </c>
      <c r="H682" s="4">
        <v>0.0</v>
      </c>
      <c r="I682" s="4">
        <v>0.0</v>
      </c>
    </row>
    <row r="683">
      <c r="B683" s="0" t="inlineStr">
        <is>
          <t xml:space="preserve">TEXTRON SYSTEMS</t>
        </is>
      </c>
      <c r="C683" s="0" t="inlineStr">
        <is>
          <t xml:space="preserve">FA851723D0006</t>
        </is>
      </c>
      <c r="D683" s="0" t="inlineStr">
        <is>
          <t xml:space="preserve">no</t>
        </is>
      </c>
      <c r="E683" s="0" t="inlineStr">
        <is>
          <t xml:space="preserve">IDC</t>
        </is>
      </c>
      <c r="F683" s="0" t="inlineStr">
        <is>
          <t xml:space="preserve">2024-07-19</t>
        </is>
      </c>
      <c r="G683" s="0" t="inlineStr">
        <is>
          <t xml:space="preserve">2025-05-09</t>
        </is>
      </c>
      <c r="H683" s="4">
        <v>72.1</v>
      </c>
      <c r="I683" s="4">
        <v>0.0</v>
      </c>
    </row>
    <row r="684">
      <c r="B684" s="0" t="inlineStr">
        <is>
          <t xml:space="preserve">TEXTRON SYSTEMS</t>
        </is>
      </c>
      <c r="C684" s="0" t="inlineStr">
        <is>
          <t xml:space="preserve">N0038323PP091</t>
        </is>
      </c>
      <c r="D684" s="0" t="inlineStr">
        <is>
          <t xml:space="preserve">no</t>
        </is>
      </c>
      <c r="E684" s="0" t="inlineStr">
        <is>
          <t xml:space="preserve">PURCHASE ORDER</t>
        </is>
      </c>
      <c r="F684" s="0" t="inlineStr">
        <is>
          <t xml:space="preserve">2025-02-27</t>
        </is>
      </c>
      <c r="G684" s="0" t="inlineStr">
        <is>
          <t xml:space="preserve">2025-02-27</t>
        </is>
      </c>
      <c r="H684" s="4">
        <v>0.0</v>
      </c>
      <c r="I684" s="4">
        <v>0.0</v>
      </c>
    </row>
    <row r="685">
      <c r="B685" s="0" t="inlineStr">
        <is>
          <t xml:space="preserve">TEXTRON SYSTEMS</t>
        </is>
      </c>
      <c r="C685" s="0" t="inlineStr">
        <is>
          <t xml:space="preserve">FA462120P0027</t>
        </is>
      </c>
      <c r="D685" s="0" t="inlineStr">
        <is>
          <t xml:space="preserve">no</t>
        </is>
      </c>
      <c r="E685" s="0" t="inlineStr">
        <is>
          <t xml:space="preserve">PURCHASE ORDER</t>
        </is>
      </c>
      <c r="F685" s="0" t="inlineStr">
        <is>
          <t xml:space="preserve">2020-09-30</t>
        </is>
      </c>
      <c r="G685" s="0" t="inlineStr">
        <is>
          <t xml:space="preserve">2020-09-30</t>
        </is>
      </c>
      <c r="H685" s="4">
        <v>0.0</v>
      </c>
      <c r="I685" s="4">
        <v>0.0</v>
      </c>
    </row>
    <row r="686">
      <c r="B686" s="0" t="inlineStr">
        <is>
          <t xml:space="preserve">TEXTRON SYSTEMS</t>
        </is>
      </c>
      <c r="C686" s="0" t="inlineStr">
        <is>
          <t xml:space="preserve">N0038324FZD09</t>
        </is>
      </c>
      <c r="D686" s="0" t="inlineStr">
        <is>
          <t xml:space="preserve">no</t>
        </is>
      </c>
      <c r="E686" s="0" t="inlineStr">
        <is>
          <t xml:space="preserve">DELIVERY ORDER</t>
        </is>
      </c>
      <c r="F686" s="0" t="inlineStr">
        <is>
          <t xml:space="preserve">2025-01-08</t>
        </is>
      </c>
      <c r="G686" s="0" t="inlineStr">
        <is>
          <t xml:space="preserve">2025-01-08</t>
        </is>
      </c>
      <c r="H686" s="4">
        <v>0.0</v>
      </c>
      <c r="I686" s="4">
        <v>0.0</v>
      </c>
    </row>
    <row r="687">
      <c r="B687" s="0" t="inlineStr">
        <is>
          <t xml:space="preserve">TEXTRON SYSTEMS</t>
        </is>
      </c>
      <c r="C687" s="0" t="inlineStr">
        <is>
          <t xml:space="preserve">W56KGY16D0017</t>
        </is>
      </c>
      <c r="D687" s="0" t="inlineStr">
        <is>
          <t xml:space="preserve">no</t>
        </is>
      </c>
      <c r="E687" s="0" t="inlineStr">
        <is>
          <t xml:space="preserve">IDC</t>
        </is>
      </c>
      <c r="F687" s="0" t="inlineStr">
        <is>
          <t xml:space="preserve">2016-08-17</t>
        </is>
      </c>
      <c r="G687" s="0" t="inlineStr">
        <is>
          <t xml:space="preserve">2016-08-17</t>
        </is>
      </c>
      <c r="H687" s="4">
        <v>9.6</v>
      </c>
      <c r="I687" s="4">
        <v>0.0</v>
      </c>
    </row>
    <row r="688">
      <c r="B688" s="0" t="inlineStr">
        <is>
          <t xml:space="preserve">TEXTRON SYSTEMS</t>
        </is>
      </c>
      <c r="C688" s="0" t="inlineStr">
        <is>
          <t xml:space="preserve">N0038323PP098</t>
        </is>
      </c>
      <c r="D688" s="0" t="inlineStr">
        <is>
          <t xml:space="preserve">no</t>
        </is>
      </c>
      <c r="E688" s="0" t="inlineStr">
        <is>
          <t xml:space="preserve">PURCHASE ORDER</t>
        </is>
      </c>
      <c r="F688" s="0" t="inlineStr">
        <is>
          <t xml:space="preserve">2023-02-27</t>
        </is>
      </c>
      <c r="G688" s="0" t="inlineStr">
        <is>
          <t xml:space="preserve">2023-02-27</t>
        </is>
      </c>
      <c r="H688" s="4">
        <v>0.0</v>
      </c>
      <c r="I688" s="4">
        <v>0.0</v>
      </c>
    </row>
    <row r="689">
      <c r="B689" s="0" t="inlineStr">
        <is>
          <t xml:space="preserve">TEXTRON SYSTEMS</t>
        </is>
      </c>
      <c r="C689" s="0" t="inlineStr">
        <is>
          <t xml:space="preserve">W31P4Q23D0010</t>
        </is>
      </c>
      <c r="D689" s="0" t="inlineStr">
        <is>
          <t xml:space="preserve">no</t>
        </is>
      </c>
      <c r="E689" s="0" t="inlineStr">
        <is>
          <t xml:space="preserve">IDC</t>
        </is>
      </c>
      <c r="F689" s="0" t="inlineStr">
        <is>
          <t xml:space="preserve">2024-10-31</t>
        </is>
      </c>
      <c r="G689" s="0" t="inlineStr">
        <is>
          <t xml:space="preserve">2024-10-31</t>
        </is>
      </c>
      <c r="H689" s="4">
        <v>144.1</v>
      </c>
      <c r="I689" s="4">
        <v>0.0</v>
      </c>
    </row>
    <row r="690">
      <c r="B690" s="0" t="inlineStr">
        <is>
          <t xml:space="preserve">TEXTRON SYSTEMS</t>
        </is>
      </c>
      <c r="C690" s="0" t="inlineStr">
        <is>
          <t xml:space="preserve">N0038324FZD04</t>
        </is>
      </c>
      <c r="D690" s="0" t="inlineStr">
        <is>
          <t xml:space="preserve">no</t>
        </is>
      </c>
      <c r="E690" s="0" t="inlineStr">
        <is>
          <t xml:space="preserve">DELIVERY ORDER</t>
        </is>
      </c>
      <c r="F690" s="0" t="inlineStr">
        <is>
          <t xml:space="preserve">2024-07-30</t>
        </is>
      </c>
      <c r="G690" s="0" t="inlineStr">
        <is>
          <t xml:space="preserve">2024-07-30</t>
        </is>
      </c>
      <c r="H690" s="4">
        <v>0.0</v>
      </c>
      <c r="I690" s="4">
        <v>0.0</v>
      </c>
    </row>
    <row r="691">
      <c r="B691" s="0" t="inlineStr">
        <is>
          <t xml:space="preserve">TEXTRON SYSTEMS</t>
        </is>
      </c>
      <c r="C691" s="0" t="inlineStr">
        <is>
          <t xml:space="preserve">N0038323FZD01</t>
        </is>
      </c>
      <c r="D691" s="0" t="inlineStr">
        <is>
          <t xml:space="preserve">no</t>
        </is>
      </c>
      <c r="E691" s="0" t="inlineStr">
        <is>
          <t xml:space="preserve">DELIVERY ORDER</t>
        </is>
      </c>
      <c r="F691" s="0" t="inlineStr">
        <is>
          <t xml:space="preserve">2023-03-13</t>
        </is>
      </c>
      <c r="G691" s="0" t="inlineStr">
        <is>
          <t xml:space="preserve">2023-03-13</t>
        </is>
      </c>
      <c r="H691" s="4">
        <v>0.0</v>
      </c>
      <c r="I691" s="4">
        <v>0.0</v>
      </c>
    </row>
    <row r="692">
      <c r="B692" s="0" t="inlineStr">
        <is>
          <t xml:space="preserve">TEXTRON SYSTEMS</t>
        </is>
      </c>
      <c r="C692" s="0" t="inlineStr">
        <is>
          <t xml:space="preserve">N0038324PC308</t>
        </is>
      </c>
      <c r="D692" s="0" t="inlineStr">
        <is>
          <t xml:space="preserve">no</t>
        </is>
      </c>
      <c r="E692" s="0" t="inlineStr">
        <is>
          <t xml:space="preserve">PURCHASE ORDER</t>
        </is>
      </c>
      <c r="F692" s="0" t="inlineStr">
        <is>
          <t xml:space="preserve">2024-04-22</t>
        </is>
      </c>
      <c r="G692" s="0" t="inlineStr">
        <is>
          <t xml:space="preserve">2024-04-22</t>
        </is>
      </c>
      <c r="H692" s="4">
        <v>0.0</v>
      </c>
      <c r="I692" s="4">
        <v>0.0</v>
      </c>
    </row>
    <row r="693">
      <c r="B693" s="0" t="inlineStr">
        <is>
          <t xml:space="preserve">TEXTRON SYSTEMS</t>
        </is>
      </c>
      <c r="C693" s="0" t="inlineStr">
        <is>
          <t xml:space="preserve">W911QY19D0033</t>
        </is>
      </c>
      <c r="D693" s="0" t="inlineStr">
        <is>
          <t xml:space="preserve">no</t>
        </is>
      </c>
      <c r="E693" s="0" t="inlineStr">
        <is>
          <t xml:space="preserve">IDC</t>
        </is>
      </c>
      <c r="F693" s="0" t="inlineStr">
        <is>
          <t xml:space="preserve">2020-12-03</t>
        </is>
      </c>
      <c r="G693" s="0" t="inlineStr">
        <is>
          <t xml:space="preserve">2020-12-03</t>
        </is>
      </c>
      <c r="H693" s="4">
        <v>99.5</v>
      </c>
      <c r="I693" s="4">
        <v>0.0</v>
      </c>
    </row>
    <row r="694">
      <c r="B694" s="0" t="inlineStr">
        <is>
          <t xml:space="preserve">TEXTRON SYSTEMS</t>
        </is>
      </c>
      <c r="C694" s="0" t="inlineStr">
        <is>
          <t xml:space="preserve">H9240820D0006</t>
        </is>
      </c>
      <c r="D694" s="0" t="inlineStr">
        <is>
          <t xml:space="preserve">no</t>
        </is>
      </c>
      <c r="E694" s="0" t="inlineStr">
        <is>
          <t xml:space="preserve">IDC</t>
        </is>
      </c>
      <c r="F694" s="0" t="inlineStr">
        <is>
          <t xml:space="preserve">2020-11-17</t>
        </is>
      </c>
      <c r="G694" s="0" t="inlineStr">
        <is>
          <t xml:space="preserve">2020-11-17</t>
        </is>
      </c>
      <c r="H694" s="4">
        <v>975.0</v>
      </c>
      <c r="I694" s="4">
        <v>0.0</v>
      </c>
    </row>
    <row r="695">
      <c r="B695" s="0" t="inlineStr">
        <is>
          <t xml:space="preserve">TEXTRON SYSTEMS</t>
        </is>
      </c>
      <c r="C695" s="0" t="inlineStr">
        <is>
          <t xml:space="preserve">N6893616D0001</t>
        </is>
      </c>
      <c r="D695" s="0" t="inlineStr">
        <is>
          <t xml:space="preserve">no</t>
        </is>
      </c>
      <c r="E695" s="0" t="inlineStr">
        <is>
          <t xml:space="preserve">IDC</t>
        </is>
      </c>
      <c r="F695" s="0" t="inlineStr">
        <is>
          <t xml:space="preserve">2020-09-29</t>
        </is>
      </c>
      <c r="G695" s="0" t="inlineStr">
        <is>
          <t xml:space="preserve">2020-09-29</t>
        </is>
      </c>
      <c r="H695" s="4">
        <v>49.8</v>
      </c>
      <c r="I695" s="4">
        <v>0.0</v>
      </c>
    </row>
    <row r="696">
      <c r="B696" s="0" t="inlineStr">
        <is>
          <t xml:space="preserve">TEXTRON SYSTEMS</t>
        </is>
      </c>
      <c r="C696" s="0" t="inlineStr">
        <is>
          <t xml:space="preserve">N0038319PP278</t>
        </is>
      </c>
      <c r="D696" s="0" t="inlineStr">
        <is>
          <t xml:space="preserve">no</t>
        </is>
      </c>
      <c r="E696" s="0" t="inlineStr">
        <is>
          <t xml:space="preserve">PURCHASE ORDER</t>
        </is>
      </c>
      <c r="F696" s="0" t="inlineStr">
        <is>
          <t xml:space="preserve">2020-07-23</t>
        </is>
      </c>
      <c r="G696" s="0" t="inlineStr">
        <is>
          <t xml:space="preserve">2020-07-23</t>
        </is>
      </c>
      <c r="H696" s="4">
        <v>0.0</v>
      </c>
      <c r="I696" s="4">
        <v>0.0</v>
      </c>
    </row>
    <row r="697">
      <c r="B697" s="0" t="inlineStr">
        <is>
          <t xml:space="preserve">TEXTRON SYSTEMS</t>
        </is>
      </c>
      <c r="C697" s="0" t="inlineStr">
        <is>
          <t xml:space="preserve">N0038320P005P</t>
        </is>
      </c>
      <c r="D697" s="0" t="inlineStr">
        <is>
          <t xml:space="preserve">no</t>
        </is>
      </c>
      <c r="E697" s="0" t="inlineStr">
        <is>
          <t xml:space="preserve">PURCHASE ORDER</t>
        </is>
      </c>
      <c r="F697" s="0" t="inlineStr">
        <is>
          <t xml:space="preserve">2019-10-22</t>
        </is>
      </c>
      <c r="G697" s="0" t="inlineStr">
        <is>
          <t xml:space="preserve">2019-10-22</t>
        </is>
      </c>
      <c r="H697" s="4">
        <v>0.0</v>
      </c>
      <c r="I697" s="4">
        <v>0.0</v>
      </c>
    </row>
    <row r="698">
      <c r="B698" s="0" t="inlineStr">
        <is>
          <t xml:space="preserve">TEXTRON SYSTEMS</t>
        </is>
      </c>
      <c r="C698" s="0" t="inlineStr">
        <is>
          <t xml:space="preserve">W911QX04P0728</t>
        </is>
      </c>
      <c r="D698" s="0" t="inlineStr">
        <is>
          <t xml:space="preserve">no</t>
        </is>
      </c>
      <c r="E698" s="0" t="inlineStr">
        <is>
          <t xml:space="preserve">PURCHASE ORDER</t>
        </is>
      </c>
      <c r="F698" s="0" t="inlineStr">
        <is>
          <t xml:space="preserve">2004-07-23</t>
        </is>
      </c>
      <c r="G698" s="0" t="inlineStr">
        <is>
          <t xml:space="preserve">2004-07-23</t>
        </is>
      </c>
      <c r="H698" s="4">
        <v>0.0</v>
      </c>
      <c r="I698" s="4">
        <v>0.0</v>
      </c>
    </row>
    <row r="699">
      <c r="B699" s="0" t="inlineStr">
        <is>
          <t xml:space="preserve">TEXTRON SYSTEMS</t>
        </is>
      </c>
      <c r="C699" s="0" t="inlineStr">
        <is>
          <t xml:space="preserve">N0038319P009P</t>
        </is>
      </c>
      <c r="D699" s="0" t="inlineStr">
        <is>
          <t xml:space="preserve">no</t>
        </is>
      </c>
      <c r="E699" s="0" t="inlineStr">
        <is>
          <t xml:space="preserve">PURCHASE ORDER</t>
        </is>
      </c>
      <c r="F699" s="0" t="inlineStr">
        <is>
          <t xml:space="preserve">2020-05-04</t>
        </is>
      </c>
      <c r="G699" s="0" t="inlineStr">
        <is>
          <t xml:space="preserve">2020-05-04</t>
        </is>
      </c>
      <c r="H699" s="4">
        <v>0.0</v>
      </c>
      <c r="I699" s="4">
        <v>0.0</v>
      </c>
    </row>
    <row r="700">
      <c r="B700" s="0" t="inlineStr">
        <is>
          <t xml:space="preserve">TEXTRON SYSTEMS</t>
        </is>
      </c>
      <c r="C700" s="0" t="inlineStr">
        <is>
          <t xml:space="preserve">H9224110P0032</t>
        </is>
      </c>
      <c r="D700" s="0" t="inlineStr">
        <is>
          <t xml:space="preserve">no</t>
        </is>
      </c>
      <c r="E700" s="0" t="inlineStr">
        <is>
          <t xml:space="preserve">PURCHASE ORDER</t>
        </is>
      </c>
      <c r="F700" s="0" t="inlineStr">
        <is>
          <t xml:space="preserve">2010-04-06</t>
        </is>
      </c>
      <c r="G700" s="0" t="inlineStr">
        <is>
          <t xml:space="preserve">2010-04-06</t>
        </is>
      </c>
      <c r="H700" s="4">
        <v>0.0</v>
      </c>
      <c r="I700" s="4">
        <v>0.0</v>
      </c>
    </row>
    <row r="701">
      <c r="B701" s="0" t="inlineStr">
        <is>
          <t xml:space="preserve">TEXTRON SYSTEMS</t>
        </is>
      </c>
      <c r="C701" s="0" t="inlineStr">
        <is>
          <t xml:space="preserve">N6833508P0090</t>
        </is>
      </c>
      <c r="D701" s="0" t="inlineStr">
        <is>
          <t xml:space="preserve">no</t>
        </is>
      </c>
      <c r="E701" s="0" t="inlineStr">
        <is>
          <t xml:space="preserve">PURCHASE ORDER</t>
        </is>
      </c>
      <c r="F701" s="0" t="inlineStr">
        <is>
          <t xml:space="preserve">2008-06-04</t>
        </is>
      </c>
      <c r="G701" s="0" t="inlineStr">
        <is>
          <t xml:space="preserve">2008-06-04</t>
        </is>
      </c>
      <c r="H701" s="4">
        <v>0.0</v>
      </c>
      <c r="I701" s="4">
        <v>0.0</v>
      </c>
    </row>
    <row r="702">
      <c r="B702" s="0" t="inlineStr">
        <is>
          <t xml:space="preserve">TEXTRON SYSTEMS</t>
        </is>
      </c>
      <c r="C702" s="0" t="inlineStr">
        <is>
          <t xml:space="preserve">FA851907M0008</t>
        </is>
      </c>
      <c r="D702" s="0" t="inlineStr">
        <is>
          <t xml:space="preserve">no</t>
        </is>
      </c>
      <c r="E702" s="0" t="inlineStr">
        <is>
          <t xml:space="preserve">PURCHASE ORDER</t>
        </is>
      </c>
      <c r="F702" s="0" t="inlineStr">
        <is>
          <t xml:space="preserve">2007-05-11</t>
        </is>
      </c>
      <c r="G702" s="0" t="inlineStr">
        <is>
          <t xml:space="preserve">2007-05-11</t>
        </is>
      </c>
      <c r="H702" s="4">
        <v>0.0</v>
      </c>
      <c r="I702" s="4">
        <v>0.0</v>
      </c>
    </row>
    <row r="703">
      <c r="B703" s="0" t="inlineStr">
        <is>
          <t xml:space="preserve">TEXTRON SYSTEMS</t>
        </is>
      </c>
      <c r="C703" s="0" t="inlineStr">
        <is>
          <t xml:space="preserve">FA825011M0161</t>
        </is>
      </c>
      <c r="D703" s="0" t="inlineStr">
        <is>
          <t xml:space="preserve">no</t>
        </is>
      </c>
      <c r="E703" s="0" t="inlineStr">
        <is>
          <t xml:space="preserve">PURCHASE ORDER</t>
        </is>
      </c>
      <c r="F703" s="0" t="inlineStr">
        <is>
          <t xml:space="preserve">2011-05-25</t>
        </is>
      </c>
      <c r="G703" s="0" t="inlineStr">
        <is>
          <t xml:space="preserve">2011-05-25</t>
        </is>
      </c>
      <c r="H703" s="4">
        <v>0.0</v>
      </c>
      <c r="I703" s="4">
        <v>0.0</v>
      </c>
    </row>
    <row r="704">
      <c r="B704" s="0" t="inlineStr">
        <is>
          <t xml:space="preserve">TEXTRON SYSTEMS</t>
        </is>
      </c>
      <c r="C704" s="0" t="inlineStr">
        <is>
          <t xml:space="preserve">SPRMM113PYB71</t>
        </is>
      </c>
      <c r="D704" s="0" t="inlineStr">
        <is>
          <t xml:space="preserve">no</t>
        </is>
      </c>
      <c r="E704" s="0" t="inlineStr">
        <is>
          <t xml:space="preserve">PURCHASE ORDER</t>
        </is>
      </c>
      <c r="F704" s="0" t="inlineStr">
        <is>
          <t xml:space="preserve">2012-11-06</t>
        </is>
      </c>
      <c r="G704" s="0" t="inlineStr">
        <is>
          <t xml:space="preserve">2012-11-06</t>
        </is>
      </c>
      <c r="H704" s="4">
        <v>0.0</v>
      </c>
      <c r="I704" s="4">
        <v>0.0</v>
      </c>
    </row>
    <row r="705">
      <c r="B705" s="0" t="inlineStr">
        <is>
          <t xml:space="preserve">TEXTRON SYSTEMS</t>
        </is>
      </c>
      <c r="C705" s="0" t="inlineStr">
        <is>
          <t xml:space="preserve">SPM4A612MMD21</t>
        </is>
      </c>
      <c r="D705" s="0" t="inlineStr">
        <is>
          <t xml:space="preserve">no</t>
        </is>
      </c>
      <c r="E705" s="0" t="inlineStr">
        <is>
          <t xml:space="preserve">PURCHASE ORDER</t>
        </is>
      </c>
      <c r="F705" s="0" t="inlineStr">
        <is>
          <t xml:space="preserve">2012-07-18</t>
        </is>
      </c>
      <c r="G705" s="0" t="inlineStr">
        <is>
          <t xml:space="preserve">2012-07-18</t>
        </is>
      </c>
      <c r="H705" s="4">
        <v>0.0</v>
      </c>
      <c r="I705" s="4">
        <v>0.0</v>
      </c>
    </row>
    <row r="706">
      <c r="B706" s="0" t="inlineStr">
        <is>
          <t xml:space="preserve">TEXTRON SYSTEMS</t>
        </is>
      </c>
      <c r="C706" s="0" t="inlineStr">
        <is>
          <t xml:space="preserve">SPE5E816V0363</t>
        </is>
      </c>
      <c r="D706" s="0" t="inlineStr">
        <is>
          <t xml:space="preserve">no</t>
        </is>
      </c>
      <c r="E706" s="0" t="inlineStr">
        <is>
          <t xml:space="preserve">PURCHASE ORDER</t>
        </is>
      </c>
      <c r="F706" s="0" t="inlineStr">
        <is>
          <t xml:space="preserve">2015-10-14</t>
        </is>
      </c>
      <c r="G706" s="0" t="inlineStr">
        <is>
          <t xml:space="preserve">2015-10-14</t>
        </is>
      </c>
      <c r="H706" s="4">
        <v>0.0</v>
      </c>
      <c r="I706" s="4">
        <v>0.0</v>
      </c>
    </row>
    <row r="707">
      <c r="B707" s="0" t="inlineStr">
        <is>
          <t xml:space="preserve">TEXTRON SYSTEMS</t>
        </is>
      </c>
      <c r="C707" s="0" t="inlineStr">
        <is>
          <t xml:space="preserve">SPE4A616MB691</t>
        </is>
      </c>
      <c r="D707" s="0" t="inlineStr">
        <is>
          <t xml:space="preserve">no</t>
        </is>
      </c>
      <c r="E707" s="0" t="inlineStr">
        <is>
          <t xml:space="preserve">PURCHASE ORDER</t>
        </is>
      </c>
      <c r="F707" s="0" t="inlineStr">
        <is>
          <t xml:space="preserve">2016-04-13</t>
        </is>
      </c>
      <c r="G707" s="0" t="inlineStr">
        <is>
          <t xml:space="preserve">2016-04-13</t>
        </is>
      </c>
      <c r="H707" s="4">
        <v>0.0</v>
      </c>
      <c r="I707" s="4">
        <v>0.0</v>
      </c>
    </row>
    <row r="708">
      <c r="B708" s="0" t="inlineStr">
        <is>
          <t xml:space="preserve">TEXTRON SYSTEMS</t>
        </is>
      </c>
      <c r="C708" s="0" t="inlineStr">
        <is>
          <t xml:space="preserve">SPE4A615MB077</t>
        </is>
      </c>
      <c r="D708" s="0" t="inlineStr">
        <is>
          <t xml:space="preserve">no</t>
        </is>
      </c>
      <c r="E708" s="0" t="inlineStr">
        <is>
          <t xml:space="preserve">PURCHASE ORDER</t>
        </is>
      </c>
      <c r="F708" s="0" t="inlineStr">
        <is>
          <t xml:space="preserve">2015-06-23</t>
        </is>
      </c>
      <c r="G708" s="0" t="inlineStr">
        <is>
          <t xml:space="preserve">2015-06-23</t>
        </is>
      </c>
      <c r="H708" s="4">
        <v>0.0</v>
      </c>
      <c r="I708" s="4">
        <v>0.0</v>
      </c>
    </row>
    <row r="709">
      <c r="B709" s="0" t="inlineStr">
        <is>
          <t xml:space="preserve">TEXTRON SYSTEMS</t>
        </is>
      </c>
      <c r="C709" s="0" t="inlineStr">
        <is>
          <t xml:space="preserve">SPE4A615M4632</t>
        </is>
      </c>
      <c r="D709" s="0" t="inlineStr">
        <is>
          <t xml:space="preserve">no</t>
        </is>
      </c>
      <c r="E709" s="0" t="inlineStr">
        <is>
          <t xml:space="preserve">PURCHASE ORDER</t>
        </is>
      </c>
      <c r="F709" s="0" t="inlineStr">
        <is>
          <t xml:space="preserve">2015-01-14</t>
        </is>
      </c>
      <c r="G709" s="0" t="inlineStr">
        <is>
          <t xml:space="preserve">2015-01-14</t>
        </is>
      </c>
      <c r="H709" s="4">
        <v>0.0</v>
      </c>
      <c r="I709" s="4">
        <v>0.0</v>
      </c>
    </row>
    <row r="710">
      <c r="B710" s="0" t="inlineStr">
        <is>
          <t xml:space="preserve">TEXTRON SYSTEMS</t>
        </is>
      </c>
      <c r="C710" s="0" t="inlineStr">
        <is>
          <t xml:space="preserve">N6833510P0458</t>
        </is>
      </c>
      <c r="D710" s="0" t="inlineStr">
        <is>
          <t xml:space="preserve">no</t>
        </is>
      </c>
      <c r="E710" s="0" t="inlineStr">
        <is>
          <t xml:space="preserve">PURCHASE ORDER</t>
        </is>
      </c>
      <c r="F710" s="0" t="inlineStr">
        <is>
          <t xml:space="preserve">2010-09-16</t>
        </is>
      </c>
      <c r="G710" s="0" t="inlineStr">
        <is>
          <t xml:space="preserve">2010-09-16</t>
        </is>
      </c>
      <c r="H710" s="4">
        <v>0.0</v>
      </c>
      <c r="I710" s="4">
        <v>0.0</v>
      </c>
    </row>
    <row r="711">
      <c r="B711" s="0" t="inlineStr">
        <is>
          <t xml:space="preserve">TEXTRON SYSTEMS</t>
        </is>
      </c>
      <c r="C711" s="0" t="inlineStr">
        <is>
          <t xml:space="preserve">H9224114P0020</t>
        </is>
      </c>
      <c r="D711" s="0" t="inlineStr">
        <is>
          <t xml:space="preserve">no</t>
        </is>
      </c>
      <c r="E711" s="0" t="inlineStr">
        <is>
          <t xml:space="preserve">PURCHASE ORDER</t>
        </is>
      </c>
      <c r="F711" s="0" t="inlineStr">
        <is>
          <t xml:space="preserve">2014-05-07</t>
        </is>
      </c>
      <c r="G711" s="0" t="inlineStr">
        <is>
          <t xml:space="preserve">2014-05-07</t>
        </is>
      </c>
      <c r="H711" s="4">
        <v>0.0</v>
      </c>
      <c r="I711" s="4">
        <v>0.0</v>
      </c>
    </row>
    <row r="712">
      <c r="B712" s="0" t="inlineStr">
        <is>
          <t xml:space="preserve">TEXTRON SYSTEMS</t>
        </is>
      </c>
      <c r="C712" s="0" t="inlineStr">
        <is>
          <t xml:space="preserve">FA466411P0023</t>
        </is>
      </c>
      <c r="D712" s="0" t="inlineStr">
        <is>
          <t xml:space="preserve">no</t>
        </is>
      </c>
      <c r="E712" s="0" t="inlineStr">
        <is>
          <t xml:space="preserve">PURCHASE ORDER</t>
        </is>
      </c>
      <c r="F712" s="0" t="inlineStr">
        <is>
          <t xml:space="preserve">2011-06-30</t>
        </is>
      </c>
      <c r="G712" s="0" t="inlineStr">
        <is>
          <t xml:space="preserve">2011-06-30</t>
        </is>
      </c>
      <c r="H712" s="4">
        <v>0.0</v>
      </c>
      <c r="I712" s="4">
        <v>0.0</v>
      </c>
    </row>
    <row r="713">
      <c r="B713" s="0" t="inlineStr">
        <is>
          <t xml:space="preserve">TEXTRON SYSTEMS</t>
        </is>
      </c>
      <c r="C713" s="0" t="inlineStr">
        <is>
          <t xml:space="preserve">SPE4A617P0612</t>
        </is>
      </c>
      <c r="D713" s="0" t="inlineStr">
        <is>
          <t xml:space="preserve">no</t>
        </is>
      </c>
      <c r="E713" s="0" t="inlineStr">
        <is>
          <t xml:space="preserve">PURCHASE ORDER</t>
        </is>
      </c>
      <c r="F713" s="0" t="inlineStr">
        <is>
          <t xml:space="preserve">2016-10-11</t>
        </is>
      </c>
      <c r="G713" s="0" t="inlineStr">
        <is>
          <t xml:space="preserve">2016-10-11</t>
        </is>
      </c>
      <c r="H713" s="4">
        <v>0.0</v>
      </c>
      <c r="I713" s="4">
        <v>0.0</v>
      </c>
    </row>
    <row r="714">
      <c r="B714" s="0" t="inlineStr">
        <is>
          <t xml:space="preserve">TEXTRON SYSTEMS</t>
        </is>
      </c>
      <c r="C714" s="0" t="inlineStr">
        <is>
          <t xml:space="preserve">SPE4A616MB641</t>
        </is>
      </c>
      <c r="D714" s="0" t="inlineStr">
        <is>
          <t xml:space="preserve">no</t>
        </is>
      </c>
      <c r="E714" s="0" t="inlineStr">
        <is>
          <t xml:space="preserve">PURCHASE ORDER</t>
        </is>
      </c>
      <c r="F714" s="0" t="inlineStr">
        <is>
          <t xml:space="preserve">2016-04-12</t>
        </is>
      </c>
      <c r="G714" s="0" t="inlineStr">
        <is>
          <t xml:space="preserve">2016-04-12</t>
        </is>
      </c>
      <c r="H714" s="4">
        <v>0.0</v>
      </c>
      <c r="I714" s="4">
        <v>0.0</v>
      </c>
    </row>
    <row r="715">
      <c r="B715" s="0" t="inlineStr">
        <is>
          <t xml:space="preserve">TEXTRON SYSTEMS</t>
        </is>
      </c>
      <c r="C715" s="0" t="inlineStr">
        <is>
          <t xml:space="preserve">SPE4A613VC133</t>
        </is>
      </c>
      <c r="D715" s="0" t="inlineStr">
        <is>
          <t xml:space="preserve">no</t>
        </is>
      </c>
      <c r="E715" s="0" t="inlineStr">
        <is>
          <t xml:space="preserve">PURCHASE ORDER</t>
        </is>
      </c>
      <c r="F715" s="0" t="inlineStr">
        <is>
          <t xml:space="preserve">2013-05-02</t>
        </is>
      </c>
      <c r="G715" s="0" t="inlineStr">
        <is>
          <t xml:space="preserve">2013-05-02</t>
        </is>
      </c>
      <c r="H715" s="4">
        <v>0.0</v>
      </c>
      <c r="I715" s="4">
        <v>0.0</v>
      </c>
    </row>
    <row r="716">
      <c r="B716" s="0" t="inlineStr">
        <is>
          <t xml:space="preserve">TEXTRON SYSTEMS</t>
        </is>
      </c>
      <c r="C716" s="0" t="inlineStr">
        <is>
          <t xml:space="preserve">N6893604G0005</t>
        </is>
      </c>
      <c r="D716" s="0" t="inlineStr">
        <is>
          <t xml:space="preserve">no</t>
        </is>
      </c>
      <c r="E716" s="0" t="inlineStr">
        <is>
          <t xml:space="preserve">IDC</t>
        </is>
      </c>
      <c r="F716" s="0" t="inlineStr">
        <is>
          <t xml:space="preserve">2003-10-01</t>
        </is>
      </c>
      <c r="G716" s="0" t="inlineStr">
        <is>
          <t xml:space="preserve">2003-10-01</t>
        </is>
      </c>
      <c r="H716" s="4">
        <v>0.0</v>
      </c>
      <c r="I716" s="4">
        <v>0.0</v>
      </c>
    </row>
    <row r="717">
      <c r="B717" s="0" t="inlineStr">
        <is>
          <t xml:space="preserve">TEXTRON SYSTEMS</t>
        </is>
      </c>
      <c r="C717" s="0" t="inlineStr">
        <is>
          <t xml:space="preserve">0032</t>
        </is>
      </c>
      <c r="D717" s="0" t="inlineStr">
        <is>
          <t xml:space="preserve">no</t>
        </is>
      </c>
      <c r="E717" s="0" t="inlineStr">
        <is>
          <t xml:space="preserve">DELIVERY ORDER</t>
        </is>
      </c>
      <c r="F717" s="0" t="inlineStr">
        <is>
          <t xml:space="preserve">2011-08-18</t>
        </is>
      </c>
      <c r="G717" s="0" t="inlineStr">
        <is>
          <t xml:space="preserve">2011-08-18</t>
        </is>
      </c>
      <c r="H717" s="4">
        <v>0.0</v>
      </c>
      <c r="I717" s="4">
        <v>0.0</v>
      </c>
    </row>
    <row r="718">
      <c r="B718" s="0" t="inlineStr">
        <is>
          <t xml:space="preserve">TEXTRON SYSTEMS</t>
        </is>
      </c>
      <c r="C718" s="0" t="inlineStr">
        <is>
          <t xml:space="preserve">UR28</t>
        </is>
      </c>
      <c r="D718" s="0" t="inlineStr">
        <is>
          <t xml:space="preserve">no</t>
        </is>
      </c>
      <c r="E718" s="0" t="inlineStr">
        <is>
          <t xml:space="preserve">DELIVERY ORDER</t>
        </is>
      </c>
      <c r="F718" s="0" t="inlineStr">
        <is>
          <t xml:space="preserve">2011-06-20</t>
        </is>
      </c>
      <c r="G718" s="0" t="inlineStr">
        <is>
          <t xml:space="preserve">2011-06-20</t>
        </is>
      </c>
      <c r="H718" s="4">
        <v>0.0</v>
      </c>
      <c r="I718" s="4">
        <v>0.0</v>
      </c>
    </row>
    <row r="719">
      <c r="B719" s="0" t="inlineStr">
        <is>
          <t xml:space="preserve">TEXTRON SYSTEMS</t>
        </is>
      </c>
      <c r="C719" s="0" t="inlineStr">
        <is>
          <t xml:space="preserve">SPE4A617PD887</t>
        </is>
      </c>
      <c r="D719" s="0" t="inlineStr">
        <is>
          <t xml:space="preserve">no</t>
        </is>
      </c>
      <c r="E719" s="0" t="inlineStr">
        <is>
          <t xml:space="preserve">PURCHASE ORDER</t>
        </is>
      </c>
      <c r="F719" s="0" t="inlineStr">
        <is>
          <t xml:space="preserve">2020-02-07</t>
        </is>
      </c>
      <c r="G719" s="0" t="inlineStr">
        <is>
          <t xml:space="preserve">2020-02-07</t>
        </is>
      </c>
      <c r="H719" s="4">
        <v>0.0</v>
      </c>
      <c r="I719" s="4">
        <v>0.0</v>
      </c>
    </row>
    <row r="720">
      <c r="B720" s="0" t="inlineStr">
        <is>
          <t xml:space="preserve">TEXTRON SYSTEMS</t>
        </is>
      </c>
      <c r="C720" s="0" t="inlineStr">
        <is>
          <t xml:space="preserve">N0038310PP310</t>
        </is>
      </c>
      <c r="D720" s="0" t="inlineStr">
        <is>
          <t xml:space="preserve">no</t>
        </is>
      </c>
      <c r="E720" s="0" t="inlineStr">
        <is>
          <t xml:space="preserve">PURCHASE ORDER</t>
        </is>
      </c>
      <c r="F720" s="0" t="inlineStr">
        <is>
          <t xml:space="preserve">2010-02-20</t>
        </is>
      </c>
      <c r="G720" s="0" t="inlineStr">
        <is>
          <t xml:space="preserve">2010-02-20</t>
        </is>
      </c>
      <c r="H720" s="4">
        <v>0.0</v>
      </c>
      <c r="I720" s="4">
        <v>0.0</v>
      </c>
    </row>
    <row r="721">
      <c r="B721" s="0" t="inlineStr">
        <is>
          <t xml:space="preserve">TEXTRON SYSTEMS</t>
        </is>
      </c>
      <c r="C721" s="0" t="inlineStr">
        <is>
          <t xml:space="preserve">N0038308PP723</t>
        </is>
      </c>
      <c r="D721" s="0" t="inlineStr">
        <is>
          <t xml:space="preserve">no</t>
        </is>
      </c>
      <c r="E721" s="0" t="inlineStr">
        <is>
          <t xml:space="preserve">PURCHASE ORDER</t>
        </is>
      </c>
      <c r="F721" s="0" t="inlineStr">
        <is>
          <t xml:space="preserve">2008-05-12</t>
        </is>
      </c>
      <c r="G721" s="0" t="inlineStr">
        <is>
          <t xml:space="preserve">2008-05-12</t>
        </is>
      </c>
      <c r="H721" s="4">
        <v>0.0</v>
      </c>
      <c r="I721" s="4">
        <v>0.0</v>
      </c>
    </row>
    <row r="722">
      <c r="B722" s="0" t="inlineStr">
        <is>
          <t xml:space="preserve">TEXTRON SYSTEMS</t>
        </is>
      </c>
      <c r="C722" s="0" t="inlineStr">
        <is>
          <t xml:space="preserve">N0038306PP677</t>
        </is>
      </c>
      <c r="D722" s="0" t="inlineStr">
        <is>
          <t xml:space="preserve">no</t>
        </is>
      </c>
      <c r="E722" s="0" t="inlineStr">
        <is>
          <t xml:space="preserve">PURCHASE ORDER</t>
        </is>
      </c>
      <c r="F722" s="0" t="inlineStr">
        <is>
          <t xml:space="preserve">2006-04-05</t>
        </is>
      </c>
      <c r="G722" s="0" t="inlineStr">
        <is>
          <t xml:space="preserve">2006-04-05</t>
        </is>
      </c>
      <c r="H722" s="4">
        <v>0.0</v>
      </c>
      <c r="I722" s="4">
        <v>0.0</v>
      </c>
    </row>
    <row r="723">
      <c r="B723" s="0" t="inlineStr">
        <is>
          <t xml:space="preserve">TEXTRON SYSTEMS</t>
        </is>
      </c>
      <c r="C723" s="0" t="inlineStr">
        <is>
          <t xml:space="preserve">N0038305PP241</t>
        </is>
      </c>
      <c r="D723" s="0" t="inlineStr">
        <is>
          <t xml:space="preserve">no</t>
        </is>
      </c>
      <c r="E723" s="0" t="inlineStr">
        <is>
          <t xml:space="preserve">PURCHASE ORDER</t>
        </is>
      </c>
      <c r="F723" s="0" t="inlineStr">
        <is>
          <t xml:space="preserve">2005-01-24</t>
        </is>
      </c>
      <c r="G723" s="0" t="inlineStr">
        <is>
          <t xml:space="preserve">2005-01-24</t>
        </is>
      </c>
      <c r="H723" s="4">
        <v>0.0</v>
      </c>
      <c r="I723" s="4">
        <v>0.0</v>
      </c>
    </row>
    <row r="724">
      <c r="B724" s="0" t="inlineStr">
        <is>
          <t xml:space="preserve">TEXTRON SYSTEMS</t>
        </is>
      </c>
      <c r="C724" s="0" t="inlineStr">
        <is>
          <t xml:space="preserve">N0038305PLA79</t>
        </is>
      </c>
      <c r="D724" s="0" t="inlineStr">
        <is>
          <t xml:space="preserve">no</t>
        </is>
      </c>
      <c r="E724" s="0" t="inlineStr">
        <is>
          <t xml:space="preserve">PURCHASE ORDER</t>
        </is>
      </c>
      <c r="F724" s="0" t="inlineStr">
        <is>
          <t xml:space="preserve">2004-11-16</t>
        </is>
      </c>
      <c r="G724" s="0" t="inlineStr">
        <is>
          <t xml:space="preserve">2004-11-16</t>
        </is>
      </c>
      <c r="H724" s="4">
        <v>0.0</v>
      </c>
      <c r="I724" s="4">
        <v>0.0</v>
      </c>
    </row>
    <row r="725">
      <c r="B725" s="0" t="inlineStr">
        <is>
          <t xml:space="preserve">TEXTRON SYSTEMS</t>
        </is>
      </c>
      <c r="C725" s="0" t="inlineStr">
        <is>
          <t xml:space="preserve">H9224109P0012</t>
        </is>
      </c>
      <c r="D725" s="0" t="inlineStr">
        <is>
          <t xml:space="preserve">no</t>
        </is>
      </c>
      <c r="E725" s="0" t="inlineStr">
        <is>
          <t xml:space="preserve">PURCHASE ORDER</t>
        </is>
      </c>
      <c r="F725" s="0" t="inlineStr">
        <is>
          <t xml:space="preserve">2008-12-12</t>
        </is>
      </c>
      <c r="G725" s="0" t="inlineStr">
        <is>
          <t xml:space="preserve">2008-12-12</t>
        </is>
      </c>
      <c r="H725" s="4">
        <v>0.0</v>
      </c>
      <c r="I725" s="4">
        <v>0.0</v>
      </c>
    </row>
    <row r="726">
      <c r="B726" s="0" t="inlineStr">
        <is>
          <t xml:space="preserve">TEXTRON SYSTEMS</t>
        </is>
      </c>
      <c r="C726" s="0" t="inlineStr">
        <is>
          <t xml:space="preserve">FA851807M0095</t>
        </is>
      </c>
      <c r="D726" s="0" t="inlineStr">
        <is>
          <t xml:space="preserve">no</t>
        </is>
      </c>
      <c r="E726" s="0" t="inlineStr">
        <is>
          <t xml:space="preserve">PURCHASE ORDER</t>
        </is>
      </c>
      <c r="F726" s="0" t="inlineStr">
        <is>
          <t xml:space="preserve">2007-04-13</t>
        </is>
      </c>
      <c r="G726" s="0" t="inlineStr">
        <is>
          <t xml:space="preserve">2007-04-13</t>
        </is>
      </c>
      <c r="H726" s="4">
        <v>0.0</v>
      </c>
      <c r="I726" s="4">
        <v>0.0</v>
      </c>
    </row>
    <row r="727">
      <c r="B727" s="0" t="inlineStr">
        <is>
          <t xml:space="preserve">TEXTRON SYSTEMS</t>
        </is>
      </c>
      <c r="C727" s="0" t="inlineStr">
        <is>
          <t xml:space="preserve">FA820409M0081</t>
        </is>
      </c>
      <c r="D727" s="0" t="inlineStr">
        <is>
          <t xml:space="preserve">no</t>
        </is>
      </c>
      <c r="E727" s="0" t="inlineStr">
        <is>
          <t xml:space="preserve">PURCHASE ORDER</t>
        </is>
      </c>
      <c r="F727" s="0" t="inlineStr">
        <is>
          <t xml:space="preserve">2009-09-29</t>
        </is>
      </c>
      <c r="G727" s="0" t="inlineStr">
        <is>
          <t xml:space="preserve">2009-09-29</t>
        </is>
      </c>
      <c r="H727" s="4">
        <v>0.0</v>
      </c>
      <c r="I727" s="4">
        <v>0.0</v>
      </c>
    </row>
    <row r="728">
      <c r="B728" s="0" t="inlineStr">
        <is>
          <t xml:space="preserve">TEXTRON SYSTEMS</t>
        </is>
      </c>
      <c r="C728" s="0" t="inlineStr">
        <is>
          <t xml:space="preserve">FA820409M0085</t>
        </is>
      </c>
      <c r="D728" s="0" t="inlineStr">
        <is>
          <t xml:space="preserve">no</t>
        </is>
      </c>
      <c r="E728" s="0" t="inlineStr">
        <is>
          <t xml:space="preserve">PURCHASE ORDER</t>
        </is>
      </c>
      <c r="F728" s="0" t="inlineStr">
        <is>
          <t xml:space="preserve">2009-09-29</t>
        </is>
      </c>
      <c r="G728" s="0" t="inlineStr">
        <is>
          <t xml:space="preserve">2009-09-29</t>
        </is>
      </c>
      <c r="H728" s="4">
        <v>0.0</v>
      </c>
      <c r="I728" s="4">
        <v>0.0</v>
      </c>
    </row>
    <row r="729">
      <c r="B729" s="0" t="inlineStr">
        <is>
          <t xml:space="preserve">TEXTRON SYSTEMS</t>
        </is>
      </c>
      <c r="C729" s="0" t="inlineStr">
        <is>
          <t xml:space="preserve">W912NW11V0124</t>
        </is>
      </c>
      <c r="D729" s="0" t="inlineStr">
        <is>
          <t xml:space="preserve">no</t>
        </is>
      </c>
      <c r="E729" s="0" t="inlineStr">
        <is>
          <t xml:space="preserve">PURCHASE ORDER</t>
        </is>
      </c>
      <c r="F729" s="0" t="inlineStr">
        <is>
          <t xml:space="preserve">2011-01-19</t>
        </is>
      </c>
      <c r="G729" s="0" t="inlineStr">
        <is>
          <t xml:space="preserve">2011-01-19</t>
        </is>
      </c>
      <c r="H729" s="4">
        <v>0.0</v>
      </c>
      <c r="I729" s="4">
        <v>0.0</v>
      </c>
    </row>
    <row r="730">
      <c r="B730" s="0" t="inlineStr">
        <is>
          <t xml:space="preserve">TEXTRON SYSTEMS</t>
        </is>
      </c>
      <c r="C730" s="0" t="inlineStr">
        <is>
          <t xml:space="preserve">W15QKN05P0273</t>
        </is>
      </c>
      <c r="D730" s="0" t="inlineStr">
        <is>
          <t xml:space="preserve">no</t>
        </is>
      </c>
      <c r="E730" s="0" t="inlineStr">
        <is>
          <t xml:space="preserve">PURCHASE ORDER</t>
        </is>
      </c>
      <c r="F730" s="0" t="inlineStr">
        <is>
          <t xml:space="preserve">2005-05-16</t>
        </is>
      </c>
      <c r="G730" s="0" t="inlineStr">
        <is>
          <t xml:space="preserve">2005-05-16</t>
        </is>
      </c>
      <c r="H730" s="4">
        <v>0.0</v>
      </c>
      <c r="I730" s="4">
        <v>0.0</v>
      </c>
    </row>
    <row r="731">
      <c r="B731" s="0" t="inlineStr">
        <is>
          <t xml:space="preserve">TEXTRON SYSTEMS</t>
        </is>
      </c>
      <c r="C731" s="0" t="inlineStr">
        <is>
          <t xml:space="preserve">SPE4A617PA651</t>
        </is>
      </c>
      <c r="D731" s="0" t="inlineStr">
        <is>
          <t xml:space="preserve">no</t>
        </is>
      </c>
      <c r="E731" s="0" t="inlineStr">
        <is>
          <t xml:space="preserve">PURCHASE ORDER</t>
        </is>
      </c>
      <c r="F731" s="0" t="inlineStr">
        <is>
          <t xml:space="preserve">2017-03-31</t>
        </is>
      </c>
      <c r="G731" s="0" t="inlineStr">
        <is>
          <t xml:space="preserve">2017-03-31</t>
        </is>
      </c>
      <c r="H731" s="4">
        <v>0.0</v>
      </c>
      <c r="I731" s="4">
        <v>0.0</v>
      </c>
    </row>
    <row r="732">
      <c r="B732" s="0" t="inlineStr">
        <is>
          <t xml:space="preserve">TEXTRON SYSTEMS</t>
        </is>
      </c>
      <c r="C732" s="0" t="inlineStr">
        <is>
          <t xml:space="preserve">SPE4A617P7242</t>
        </is>
      </c>
      <c r="D732" s="0" t="inlineStr">
        <is>
          <t xml:space="preserve">no</t>
        </is>
      </c>
      <c r="E732" s="0" t="inlineStr">
        <is>
          <t xml:space="preserve">PURCHASE ORDER</t>
        </is>
      </c>
      <c r="F732" s="0" t="inlineStr">
        <is>
          <t xml:space="preserve">2017-02-07</t>
        </is>
      </c>
      <c r="G732" s="0" t="inlineStr">
        <is>
          <t xml:space="preserve">2017-02-07</t>
        </is>
      </c>
      <c r="H732" s="4">
        <v>0.0</v>
      </c>
      <c r="I732" s="4">
        <v>0.0</v>
      </c>
    </row>
    <row r="733">
      <c r="B733" s="0" t="inlineStr">
        <is>
          <t xml:space="preserve">TEXTRON SYSTEMS</t>
        </is>
      </c>
      <c r="C733" s="0" t="inlineStr">
        <is>
          <t xml:space="preserve">SPE4A617P2091</t>
        </is>
      </c>
      <c r="D733" s="0" t="inlineStr">
        <is>
          <t xml:space="preserve">no</t>
        </is>
      </c>
      <c r="E733" s="0" t="inlineStr">
        <is>
          <t xml:space="preserve">PURCHASE ORDER</t>
        </is>
      </c>
      <c r="F733" s="0" t="inlineStr">
        <is>
          <t xml:space="preserve">2016-10-31</t>
        </is>
      </c>
      <c r="G733" s="0" t="inlineStr">
        <is>
          <t xml:space="preserve">2016-10-31</t>
        </is>
      </c>
      <c r="H733" s="4">
        <v>0.0</v>
      </c>
      <c r="I733" s="4">
        <v>0.0</v>
      </c>
    </row>
    <row r="734">
      <c r="B734" s="0" t="inlineStr">
        <is>
          <t xml:space="preserve">TEXTRON SYSTEMS</t>
        </is>
      </c>
      <c r="C734" s="0" t="inlineStr">
        <is>
          <t xml:space="preserve">SPE4A617P0964</t>
        </is>
      </c>
      <c r="D734" s="0" t="inlineStr">
        <is>
          <t xml:space="preserve">no</t>
        </is>
      </c>
      <c r="E734" s="0" t="inlineStr">
        <is>
          <t xml:space="preserve">PURCHASE ORDER</t>
        </is>
      </c>
      <c r="F734" s="0" t="inlineStr">
        <is>
          <t xml:space="preserve">2016-10-14</t>
        </is>
      </c>
      <c r="G734" s="0" t="inlineStr">
        <is>
          <t xml:space="preserve">2016-10-14</t>
        </is>
      </c>
      <c r="H734" s="4">
        <v>0.0</v>
      </c>
      <c r="I734" s="4">
        <v>0.0</v>
      </c>
    </row>
    <row r="735">
      <c r="B735" s="0" t="inlineStr">
        <is>
          <t xml:space="preserve">TEXTRON SYSTEMS</t>
        </is>
      </c>
      <c r="C735" s="0" t="inlineStr">
        <is>
          <t xml:space="preserve">SPE4A616ML507</t>
        </is>
      </c>
      <c r="D735" s="0" t="inlineStr">
        <is>
          <t xml:space="preserve">no</t>
        </is>
      </c>
      <c r="E735" s="0" t="inlineStr">
        <is>
          <t xml:space="preserve">PURCHASE ORDER</t>
        </is>
      </c>
      <c r="F735" s="0" t="inlineStr">
        <is>
          <t xml:space="preserve">2016-09-22</t>
        </is>
      </c>
      <c r="G735" s="0" t="inlineStr">
        <is>
          <t xml:space="preserve">2016-09-22</t>
        </is>
      </c>
      <c r="H735" s="4">
        <v>0.0</v>
      </c>
      <c r="I735" s="4">
        <v>0.0</v>
      </c>
    </row>
    <row r="736">
      <c r="B736" s="0" t="inlineStr">
        <is>
          <t xml:space="preserve">TEXTRON SYSTEMS</t>
        </is>
      </c>
      <c r="C736" s="0" t="inlineStr">
        <is>
          <t xml:space="preserve">SPE4A616ML372</t>
        </is>
      </c>
      <c r="D736" s="0" t="inlineStr">
        <is>
          <t xml:space="preserve">no</t>
        </is>
      </c>
      <c r="E736" s="0" t="inlineStr">
        <is>
          <t xml:space="preserve">PURCHASE ORDER</t>
        </is>
      </c>
      <c r="F736" s="0" t="inlineStr">
        <is>
          <t xml:space="preserve">2016-09-23</t>
        </is>
      </c>
      <c r="G736" s="0" t="inlineStr">
        <is>
          <t xml:space="preserve">2016-09-23</t>
        </is>
      </c>
      <c r="H736" s="4">
        <v>0.0</v>
      </c>
      <c r="I736" s="4">
        <v>0.0</v>
      </c>
    </row>
    <row r="737">
      <c r="B737" s="0" t="inlineStr">
        <is>
          <t xml:space="preserve">TEXTRON SYSTEMS</t>
        </is>
      </c>
      <c r="C737" s="0" t="inlineStr">
        <is>
          <t xml:space="preserve">SPE4A616MD116</t>
        </is>
      </c>
      <c r="D737" s="0" t="inlineStr">
        <is>
          <t xml:space="preserve">no</t>
        </is>
      </c>
      <c r="E737" s="0" t="inlineStr">
        <is>
          <t xml:space="preserve">PURCHASE ORDER</t>
        </is>
      </c>
      <c r="F737" s="0" t="inlineStr">
        <is>
          <t xml:space="preserve">2016-05-11</t>
        </is>
      </c>
      <c r="G737" s="0" t="inlineStr">
        <is>
          <t xml:space="preserve">2016-05-11</t>
        </is>
      </c>
      <c r="H737" s="4">
        <v>0.0</v>
      </c>
      <c r="I737" s="4">
        <v>0.0</v>
      </c>
    </row>
    <row r="738">
      <c r="B738" s="0" t="inlineStr">
        <is>
          <t xml:space="preserve">TEXTRON SYSTEMS</t>
        </is>
      </c>
      <c r="C738" s="0" t="inlineStr">
        <is>
          <t xml:space="preserve">SPE4A616M9043</t>
        </is>
      </c>
      <c r="D738" s="0" t="inlineStr">
        <is>
          <t xml:space="preserve">no</t>
        </is>
      </c>
      <c r="E738" s="0" t="inlineStr">
        <is>
          <t xml:space="preserve">PURCHASE ORDER</t>
        </is>
      </c>
      <c r="F738" s="0" t="inlineStr">
        <is>
          <t xml:space="preserve">2016-02-26</t>
        </is>
      </c>
      <c r="G738" s="0" t="inlineStr">
        <is>
          <t xml:space="preserve">2016-02-26</t>
        </is>
      </c>
      <c r="H738" s="4">
        <v>0.0</v>
      </c>
      <c r="I738" s="4">
        <v>0.0</v>
      </c>
    </row>
    <row r="739">
      <c r="B739" s="0" t="inlineStr">
        <is>
          <t xml:space="preserve">TEXTRON SYSTEMS</t>
        </is>
      </c>
      <c r="C739" s="0" t="inlineStr">
        <is>
          <t xml:space="preserve">FA821319G0002</t>
        </is>
      </c>
      <c r="D739" s="0" t="inlineStr">
        <is>
          <t xml:space="preserve">no</t>
        </is>
      </c>
      <c r="E739" s="0" t="inlineStr">
        <is>
          <t xml:space="preserve">BOA</t>
        </is>
      </c>
      <c r="F739" s="0" t="inlineStr">
        <is>
          <t xml:space="preserve">2019-09-24</t>
        </is>
      </c>
      <c r="G739" s="0" t="inlineStr">
        <is>
          <t xml:space="preserve">2019-09-24</t>
        </is>
      </c>
      <c r="H739" s="4">
        <v>2.1</v>
      </c>
      <c r="I739" s="4">
        <v>0.0</v>
      </c>
    </row>
    <row r="740">
      <c r="B740" s="0" t="inlineStr">
        <is>
          <t xml:space="preserve">TEXTRON SYSTEMS</t>
        </is>
      </c>
      <c r="C740" s="0" t="inlineStr">
        <is>
          <t xml:space="preserve">N0038318P012M</t>
        </is>
      </c>
      <c r="D740" s="0" t="inlineStr">
        <is>
          <t xml:space="preserve">no</t>
        </is>
      </c>
      <c r="E740" s="0" t="inlineStr">
        <is>
          <t xml:space="preserve">PURCHASE ORDER</t>
        </is>
      </c>
      <c r="F740" s="0" t="inlineStr">
        <is>
          <t xml:space="preserve">2017-10-30</t>
        </is>
      </c>
      <c r="G740" s="0" t="inlineStr">
        <is>
          <t xml:space="preserve">2017-10-30</t>
        </is>
      </c>
      <c r="H740" s="4">
        <v>0.0</v>
      </c>
      <c r="I740" s="4">
        <v>0.0</v>
      </c>
    </row>
    <row r="741">
      <c r="B741" s="0" t="inlineStr">
        <is>
          <t xml:space="preserve">TEXTRON SYSTEMS</t>
        </is>
      </c>
      <c r="C741" s="0" t="inlineStr">
        <is>
          <t xml:space="preserve">SPM7A608M1039</t>
        </is>
      </c>
      <c r="D741" s="0" t="inlineStr">
        <is>
          <t xml:space="preserve">no</t>
        </is>
      </c>
      <c r="E741" s="0" t="inlineStr">
        <is>
          <t xml:space="preserve">PURCHASE ORDER</t>
        </is>
      </c>
      <c r="F741" s="0" t="inlineStr">
        <is>
          <t xml:space="preserve">2008-03-25</t>
        </is>
      </c>
      <c r="G741" s="0" t="inlineStr">
        <is>
          <t xml:space="preserve">2008-03-25</t>
        </is>
      </c>
      <c r="H741" s="4">
        <v>0.0</v>
      </c>
      <c r="I741" s="4">
        <v>0.0</v>
      </c>
    </row>
    <row r="742">
      <c r="B742" s="0" t="inlineStr">
        <is>
          <t xml:space="preserve">TEXTRON SYSTEMS</t>
        </is>
      </c>
      <c r="C742" s="0" t="inlineStr">
        <is>
          <t xml:space="preserve">N0038309PP190</t>
        </is>
      </c>
      <c r="D742" s="0" t="inlineStr">
        <is>
          <t xml:space="preserve">no</t>
        </is>
      </c>
      <c r="E742" s="0" t="inlineStr">
        <is>
          <t xml:space="preserve">PURCHASE ORDER</t>
        </is>
      </c>
      <c r="F742" s="0" t="inlineStr">
        <is>
          <t xml:space="preserve">2008-12-19</t>
        </is>
      </c>
      <c r="G742" s="0" t="inlineStr">
        <is>
          <t xml:space="preserve">2008-12-19</t>
        </is>
      </c>
      <c r="H742" s="4">
        <v>0.0</v>
      </c>
      <c r="I742" s="4">
        <v>0.0</v>
      </c>
    </row>
    <row r="743">
      <c r="B743" s="0" t="inlineStr">
        <is>
          <t xml:space="preserve">TEXTRON SYSTEMS</t>
        </is>
      </c>
      <c r="C743" s="0" t="inlineStr">
        <is>
          <t xml:space="preserve">N0038306PP202</t>
        </is>
      </c>
      <c r="D743" s="0" t="inlineStr">
        <is>
          <t xml:space="preserve">no</t>
        </is>
      </c>
      <c r="E743" s="0" t="inlineStr">
        <is>
          <t xml:space="preserve">PURCHASE ORDER</t>
        </is>
      </c>
      <c r="F743" s="0" t="inlineStr">
        <is>
          <t xml:space="preserve">2005-11-29</t>
        </is>
      </c>
      <c r="G743" s="0" t="inlineStr">
        <is>
          <t xml:space="preserve">2005-11-29</t>
        </is>
      </c>
      <c r="H743" s="4">
        <v>0.0</v>
      </c>
      <c r="I743" s="4">
        <v>0.0</v>
      </c>
    </row>
    <row r="744">
      <c r="B744" s="0" t="inlineStr">
        <is>
          <t xml:space="preserve">TEXTRON SYSTEMS</t>
        </is>
      </c>
      <c r="C744" s="0" t="inlineStr">
        <is>
          <t xml:space="preserve">SPM4A509M7565</t>
        </is>
      </c>
      <c r="D744" s="0" t="inlineStr">
        <is>
          <t xml:space="preserve">no</t>
        </is>
      </c>
      <c r="E744" s="0" t="inlineStr">
        <is>
          <t xml:space="preserve">PURCHASE ORDER</t>
        </is>
      </c>
      <c r="F744" s="0" t="inlineStr">
        <is>
          <t xml:space="preserve">2009-05-11</t>
        </is>
      </c>
      <c r="G744" s="0" t="inlineStr">
        <is>
          <t xml:space="preserve">2009-05-11</t>
        </is>
      </c>
      <c r="H744" s="4">
        <v>0.0</v>
      </c>
      <c r="I744" s="4">
        <v>0.0</v>
      </c>
    </row>
    <row r="745">
      <c r="B745" s="0" t="inlineStr">
        <is>
          <t xml:space="preserve">TEXTRON SYSTEMS</t>
        </is>
      </c>
      <c r="C745" s="0" t="inlineStr">
        <is>
          <t xml:space="preserve">SPM4A509M5879</t>
        </is>
      </c>
      <c r="D745" s="0" t="inlineStr">
        <is>
          <t xml:space="preserve">no</t>
        </is>
      </c>
      <c r="E745" s="0" t="inlineStr">
        <is>
          <t xml:space="preserve">PURCHASE ORDER</t>
        </is>
      </c>
      <c r="F745" s="0" t="inlineStr">
        <is>
          <t xml:space="preserve">2009-03-30</t>
        </is>
      </c>
      <c r="G745" s="0" t="inlineStr">
        <is>
          <t xml:space="preserve">2009-03-30</t>
        </is>
      </c>
      <c r="H745" s="4">
        <v>0.0</v>
      </c>
      <c r="I745" s="4">
        <v>0.0</v>
      </c>
    </row>
    <row r="746">
      <c r="B746" s="0" t="inlineStr">
        <is>
          <t xml:space="preserve">TEXTRON SYSTEMS</t>
        </is>
      </c>
      <c r="C746" s="0" t="inlineStr">
        <is>
          <t xml:space="preserve">N0038307PPC34</t>
        </is>
      </c>
      <c r="D746" s="0" t="inlineStr">
        <is>
          <t xml:space="preserve">no</t>
        </is>
      </c>
      <c r="E746" s="0" t="inlineStr">
        <is>
          <t xml:space="preserve">PURCHASE ORDER</t>
        </is>
      </c>
      <c r="F746" s="0" t="inlineStr">
        <is>
          <t xml:space="preserve">2007-07-24</t>
        </is>
      </c>
      <c r="G746" s="0" t="inlineStr">
        <is>
          <t xml:space="preserve">2007-07-24</t>
        </is>
      </c>
      <c r="H746" s="4">
        <v>0.0</v>
      </c>
      <c r="I746" s="4">
        <v>0.0</v>
      </c>
    </row>
    <row r="747">
      <c r="B747" s="0" t="inlineStr">
        <is>
          <t xml:space="preserve">TEXTRON SYSTEMS</t>
        </is>
      </c>
      <c r="C747" s="0" t="inlineStr">
        <is>
          <t xml:space="preserve">NNA16BD45B</t>
        </is>
      </c>
      <c r="D747" s="0" t="inlineStr">
        <is>
          <t xml:space="preserve">no</t>
        </is>
      </c>
      <c r="E747" s="0" t="inlineStr">
        <is>
          <t xml:space="preserve">IDC</t>
        </is>
      </c>
      <c r="F747" s="0" t="inlineStr">
        <is>
          <t xml:space="preserve">2017-01-03</t>
        </is>
      </c>
      <c r="G747" s="0" t="inlineStr">
        <is>
          <t xml:space="preserve">2017-01-03</t>
        </is>
      </c>
      <c r="H747" s="4">
        <v>2.5</v>
      </c>
      <c r="I747" s="4">
        <v>0.0</v>
      </c>
    </row>
    <row r="748">
      <c r="B748" s="0" t="inlineStr">
        <is>
          <t xml:space="preserve">TEXTRON SYSTEMS</t>
        </is>
      </c>
      <c r="C748" s="0" t="inlineStr">
        <is>
          <t xml:space="preserve">FA865615D0272</t>
        </is>
      </c>
      <c r="D748" s="0" t="inlineStr">
        <is>
          <t xml:space="preserve">no</t>
        </is>
      </c>
      <c r="E748" s="0" t="inlineStr">
        <is>
          <t xml:space="preserve">IDC</t>
        </is>
      </c>
      <c r="F748" s="0" t="inlineStr">
        <is>
          <t xml:space="preserve">2015-10-05</t>
        </is>
      </c>
      <c r="G748" s="0" t="inlineStr">
        <is>
          <t xml:space="preserve">2015-10-05</t>
        </is>
      </c>
      <c r="H748" s="4">
        <v>490.0</v>
      </c>
      <c r="I748" s="4">
        <v>0.0</v>
      </c>
    </row>
    <row r="749">
      <c r="B749" s="0" t="inlineStr">
        <is>
          <t xml:space="preserve">TEXTRON SYSTEMS</t>
        </is>
      </c>
      <c r="C749" s="0" t="inlineStr">
        <is>
          <t xml:space="preserve">HSHQDC09A00052</t>
        </is>
      </c>
      <c r="D749" s="0" t="inlineStr">
        <is>
          <t xml:space="preserve">no</t>
        </is>
      </c>
      <c r="E749" s="0" t="inlineStr">
        <is>
          <t xml:space="preserve">BPA</t>
        </is>
      </c>
      <c r="F749" s="0" t="inlineStr">
        <is>
          <t xml:space="preserve">2010-03-25</t>
        </is>
      </c>
      <c r="G749" s="0" t="inlineStr">
        <is>
          <t xml:space="preserve">2010-03-25</t>
        </is>
      </c>
      <c r="H749" s="4">
        <v>0.0</v>
      </c>
      <c r="I749" s="4">
        <v>0.0</v>
      </c>
    </row>
    <row r="750">
      <c r="B750" s="0" t="inlineStr">
        <is>
          <t xml:space="preserve">TEXTRON SYSTEMS</t>
        </is>
      </c>
      <c r="C750" s="0" t="inlineStr">
        <is>
          <t xml:space="preserve">NNA11AA23B</t>
        </is>
      </c>
      <c r="D750" s="0" t="inlineStr">
        <is>
          <t xml:space="preserve">no</t>
        </is>
      </c>
      <c r="E750" s="0" t="inlineStr">
        <is>
          <t xml:space="preserve">IDC</t>
        </is>
      </c>
      <c r="F750" s="0" t="inlineStr">
        <is>
          <t xml:space="preserve">2011-02-15</t>
        </is>
      </c>
      <c r="G750" s="0" t="inlineStr">
        <is>
          <t xml:space="preserve">2014-08-13</t>
        </is>
      </c>
      <c r="H750" s="4">
        <v>5.0</v>
      </c>
      <c r="I750" s="4">
        <v>0.0</v>
      </c>
    </row>
    <row r="751">
      <c r="B751" s="0" t="inlineStr">
        <is>
          <t xml:space="preserve">TEXTRON SYSTEMS</t>
        </is>
      </c>
      <c r="C751" s="0" t="inlineStr">
        <is>
          <t xml:space="preserve">HSHQDC09J00321</t>
        </is>
      </c>
      <c r="D751" s="0" t="inlineStr">
        <is>
          <t xml:space="preserve">no</t>
        </is>
      </c>
      <c r="E751" s="0" t="inlineStr">
        <is>
          <t xml:space="preserve">BPA CALL</t>
        </is>
      </c>
      <c r="F751" s="0" t="inlineStr">
        <is>
          <t xml:space="preserve">2014-04-17</t>
        </is>
      </c>
      <c r="G751" s="0" t="inlineStr">
        <is>
          <t xml:space="preserve">2014-04-17</t>
        </is>
      </c>
      <c r="H751" s="4">
        <v>0.0</v>
      </c>
      <c r="I751" s="4">
        <v>0.0</v>
      </c>
    </row>
    <row r="752">
      <c r="B752" s="0" t="inlineStr">
        <is>
          <t xml:space="preserve">TEXTRON SYSTEMS</t>
        </is>
      </c>
      <c r="C752" s="0" t="inlineStr">
        <is>
          <t xml:space="preserve">FA868209C0125</t>
        </is>
      </c>
      <c r="D752" s="0" t="inlineStr">
        <is>
          <t xml:space="preserve">no</t>
        </is>
      </c>
      <c r="E752" s="0" t="inlineStr">
        <is>
          <t xml:space="preserve">DEFINITIVE CONTRACT</t>
        </is>
      </c>
      <c r="F752" s="0" t="inlineStr">
        <is>
          <t xml:space="preserve">2009-08-03</t>
        </is>
      </c>
      <c r="G752" s="0" t="inlineStr">
        <is>
          <t xml:space="preserve">2009-08-03</t>
        </is>
      </c>
      <c r="H752" s="4">
        <v>0.7</v>
      </c>
      <c r="I752" s="4">
        <v>0.0</v>
      </c>
    </row>
    <row r="753">
      <c r="B753" s="0" t="inlineStr">
        <is>
          <t xml:space="preserve">TEXTRON SYSTEMS</t>
        </is>
      </c>
      <c r="C753" s="0" t="inlineStr">
        <is>
          <t xml:space="preserve">FA820414D0001</t>
        </is>
      </c>
      <c r="D753" s="0" t="inlineStr">
        <is>
          <t xml:space="preserve">no</t>
        </is>
      </c>
      <c r="E753" s="0" t="inlineStr">
        <is>
          <t xml:space="preserve">IDC</t>
        </is>
      </c>
      <c r="F753" s="0" t="inlineStr">
        <is>
          <t xml:space="preserve">2020-11-10</t>
        </is>
      </c>
      <c r="G753" s="0" t="inlineStr">
        <is>
          <t xml:space="preserve">2020-11-10</t>
        </is>
      </c>
      <c r="H753" s="4">
        <v>33.1</v>
      </c>
      <c r="I753" s="4">
        <v>0.0</v>
      </c>
    </row>
    <row r="754">
      <c r="B754" s="0" t="inlineStr">
        <is>
          <t xml:space="preserve">TEXTRON SYSTEMS</t>
        </is>
      </c>
      <c r="C754" s="0" t="inlineStr">
        <is>
          <t xml:space="preserve">SPRBL112D0020</t>
        </is>
      </c>
      <c r="D754" s="0" t="inlineStr">
        <is>
          <t xml:space="preserve">no</t>
        </is>
      </c>
      <c r="E754" s="0" t="inlineStr">
        <is>
          <t xml:space="preserve">IDC</t>
        </is>
      </c>
      <c r="F754" s="0" t="inlineStr">
        <is>
          <t xml:space="preserve">2012-09-07</t>
        </is>
      </c>
      <c r="G754" s="0" t="inlineStr">
        <is>
          <t xml:space="preserve">2012-09-07</t>
        </is>
      </c>
      <c r="H754" s="4">
        <v>9.6</v>
      </c>
      <c r="I754" s="4">
        <v>0.0</v>
      </c>
    </row>
    <row r="755">
      <c r="B755" s="0" t="inlineStr">
        <is>
          <t xml:space="preserve">TEXTRON SYSTEMS</t>
        </is>
      </c>
      <c r="C755" s="0" t="inlineStr">
        <is>
          <t xml:space="preserve">N0038308PP197</t>
        </is>
      </c>
      <c r="D755" s="0" t="inlineStr">
        <is>
          <t xml:space="preserve">no</t>
        </is>
      </c>
      <c r="E755" s="0" t="inlineStr">
        <is>
          <t xml:space="preserve">PURCHASE ORDER</t>
        </is>
      </c>
      <c r="F755" s="0" t="inlineStr">
        <is>
          <t xml:space="preserve">2007-11-16</t>
        </is>
      </c>
      <c r="G755" s="0" t="inlineStr">
        <is>
          <t xml:space="preserve">2007-11-16</t>
        </is>
      </c>
      <c r="H755" s="4">
        <v>0.0</v>
      </c>
      <c r="I755" s="4">
        <v>0.0</v>
      </c>
    </row>
    <row r="756">
      <c r="B756" s="0" t="inlineStr">
        <is>
          <t xml:space="preserve">TEXTRON SYSTEMS</t>
        </is>
      </c>
      <c r="C756" s="0" t="inlineStr">
        <is>
          <t xml:space="preserve">SPM4A706M4695</t>
        </is>
      </c>
      <c r="D756" s="0" t="inlineStr">
        <is>
          <t xml:space="preserve">no</t>
        </is>
      </c>
      <c r="E756" s="0" t="inlineStr">
        <is>
          <t xml:space="preserve">PURCHASE ORDER</t>
        </is>
      </c>
      <c r="F756" s="0" t="inlineStr">
        <is>
          <t xml:space="preserve">2006-05-19</t>
        </is>
      </c>
      <c r="G756" s="0" t="inlineStr">
        <is>
          <t xml:space="preserve">2006-05-19</t>
        </is>
      </c>
      <c r="H756" s="4">
        <v>0.0</v>
      </c>
      <c r="I756" s="4">
        <v>0.0</v>
      </c>
    </row>
    <row r="757">
      <c r="B757" s="0" t="inlineStr">
        <is>
          <t xml:space="preserve">TEXTRON SYSTEMS</t>
        </is>
      </c>
      <c r="C757" s="0" t="inlineStr">
        <is>
          <t xml:space="preserve">N0010422PJA95</t>
        </is>
      </c>
      <c r="D757" s="0" t="inlineStr">
        <is>
          <t xml:space="preserve">no</t>
        </is>
      </c>
      <c r="E757" s="0" t="inlineStr">
        <is>
          <t xml:space="preserve">PURCHASE ORDER</t>
        </is>
      </c>
      <c r="F757" s="0" t="inlineStr">
        <is>
          <t xml:space="preserve">2022-03-29</t>
        </is>
      </c>
      <c r="G757" s="0" t="inlineStr">
        <is>
          <t xml:space="preserve">2022-03-29</t>
        </is>
      </c>
      <c r="H757" s="4">
        <v>0.0</v>
      </c>
      <c r="I757" s="4">
        <v>0.0</v>
      </c>
    </row>
    <row r="758">
      <c r="B758" s="0" t="inlineStr">
        <is>
          <t xml:space="preserve">TEXTRON SYSTEMS</t>
        </is>
      </c>
      <c r="C758" s="0" t="inlineStr">
        <is>
          <t xml:space="preserve">70Z04018P50196B00</t>
        </is>
      </c>
      <c r="D758" s="0" t="inlineStr">
        <is>
          <t xml:space="preserve">no</t>
        </is>
      </c>
      <c r="E758" s="0" t="inlineStr">
        <is>
          <t xml:space="preserve">PURCHASE ORDER</t>
        </is>
      </c>
      <c r="F758" s="0" t="inlineStr">
        <is>
          <t xml:space="preserve">2018-02-14</t>
        </is>
      </c>
      <c r="G758" s="0" t="inlineStr">
        <is>
          <t xml:space="preserve">2018-02-14</t>
        </is>
      </c>
      <c r="H758" s="4">
        <v>0.0</v>
      </c>
      <c r="I758" s="4">
        <v>0.0</v>
      </c>
    </row>
    <row r="759">
      <c r="B759" s="0" t="inlineStr">
        <is>
          <t xml:space="preserve">TEXTRON SYSTEMS</t>
        </is>
      </c>
      <c r="C759" s="0" t="inlineStr">
        <is>
          <t xml:space="preserve">HSCG4011P50159</t>
        </is>
      </c>
      <c r="D759" s="0" t="inlineStr">
        <is>
          <t xml:space="preserve">no</t>
        </is>
      </c>
      <c r="E759" s="0" t="inlineStr">
        <is>
          <t xml:space="preserve">PURCHASE ORDER</t>
        </is>
      </c>
      <c r="F759" s="0" t="inlineStr">
        <is>
          <t xml:space="preserve">2011-09-01</t>
        </is>
      </c>
      <c r="G759" s="0" t="inlineStr">
        <is>
          <t xml:space="preserve">2011-09-01</t>
        </is>
      </c>
      <c r="H759" s="4">
        <v>0.0</v>
      </c>
      <c r="I759" s="4">
        <v>0.0</v>
      </c>
    </row>
    <row r="760">
      <c r="B760" s="0" t="inlineStr">
        <is>
          <t xml:space="preserve">TEXTRON SYSTEMS</t>
        </is>
      </c>
      <c r="C760" s="0" t="inlineStr">
        <is>
          <t xml:space="preserve">SPE4A615D0086</t>
        </is>
      </c>
      <c r="D760" s="0" t="inlineStr">
        <is>
          <t xml:space="preserve">no</t>
        </is>
      </c>
      <c r="E760" s="0" t="inlineStr">
        <is>
          <t xml:space="preserve">IDC</t>
        </is>
      </c>
      <c r="F760" s="0" t="inlineStr">
        <is>
          <t xml:space="preserve">2018-01-26</t>
        </is>
      </c>
      <c r="G760" s="0" t="inlineStr">
        <is>
          <t xml:space="preserve">2018-01-26</t>
        </is>
      </c>
      <c r="H760" s="4">
        <v>0.5</v>
      </c>
      <c r="I760" s="4">
        <v>0.0</v>
      </c>
    </row>
    <row r="761">
      <c r="B761" s="0" t="inlineStr">
        <is>
          <t xml:space="preserve">TEXTRON SYSTEMS</t>
        </is>
      </c>
      <c r="C761" s="0" t="inlineStr">
        <is>
          <t xml:space="preserve">GS07F0400T</t>
        </is>
      </c>
      <c r="D761" s="0" t="inlineStr">
        <is>
          <t xml:space="preserve">no</t>
        </is>
      </c>
      <c r="E761" s="0" t="inlineStr">
        <is>
          <t xml:space="preserve">FSS</t>
        </is>
      </c>
      <c r="F761" s="0" t="inlineStr">
        <is>
          <t xml:space="preserve">2011-01-03</t>
        </is>
      </c>
      <c r="G761" s="0" t="inlineStr">
        <is>
          <t xml:space="preserve">2011-01-24</t>
        </is>
      </c>
      <c r="H761" s="4">
        <v>8.0</v>
      </c>
      <c r="I761" s="4">
        <v>0.0</v>
      </c>
    </row>
    <row r="762">
      <c r="B762" s="0" t="inlineStr">
        <is>
          <t xml:space="preserve">TEXTRON SYSTEMS</t>
        </is>
      </c>
      <c r="C762" s="0" t="inlineStr">
        <is>
          <t xml:space="preserve">N0010408PCM78</t>
        </is>
      </c>
      <c r="D762" s="0" t="inlineStr">
        <is>
          <t xml:space="preserve">no</t>
        </is>
      </c>
      <c r="E762" s="0" t="inlineStr">
        <is>
          <t xml:space="preserve">PURCHASE ORDER</t>
        </is>
      </c>
      <c r="F762" s="0" t="inlineStr">
        <is>
          <t xml:space="preserve">2008-02-20</t>
        </is>
      </c>
      <c r="G762" s="0" t="inlineStr">
        <is>
          <t xml:space="preserve">2008-02-20</t>
        </is>
      </c>
      <c r="H762" s="4">
        <v>0.0</v>
      </c>
      <c r="I762" s="4">
        <v>0.0</v>
      </c>
    </row>
    <row r="763">
      <c r="B763" s="0" t="inlineStr">
        <is>
          <t xml:space="preserve">TEXTRON SYSTEMS</t>
        </is>
      </c>
      <c r="C763" s="0" t="inlineStr">
        <is>
          <t xml:space="preserve">N0010409VCQ92</t>
        </is>
      </c>
      <c r="D763" s="0" t="inlineStr">
        <is>
          <t xml:space="preserve">no</t>
        </is>
      </c>
      <c r="E763" s="0" t="inlineStr">
        <is>
          <t xml:space="preserve">PURCHASE ORDER</t>
        </is>
      </c>
      <c r="F763" s="0" t="inlineStr">
        <is>
          <t xml:space="preserve">2010-01-25</t>
        </is>
      </c>
      <c r="G763" s="0" t="inlineStr">
        <is>
          <t xml:space="preserve">2010-01-25</t>
        </is>
      </c>
      <c r="H763" s="4">
        <v>0.0</v>
      </c>
      <c r="I763" s="4">
        <v>0.0</v>
      </c>
    </row>
    <row r="764">
      <c r="B764" s="0" t="inlineStr">
        <is>
          <t xml:space="preserve">TEXTRON SYSTEMS</t>
        </is>
      </c>
      <c r="C764" s="0" t="inlineStr">
        <is>
          <t xml:space="preserve">W56HZV14PA651</t>
        </is>
      </c>
      <c r="D764" s="0" t="inlineStr">
        <is>
          <t xml:space="preserve">no</t>
        </is>
      </c>
      <c r="E764" s="0" t="inlineStr">
        <is>
          <t xml:space="preserve">PURCHASE ORDER</t>
        </is>
      </c>
      <c r="F764" s="0" t="inlineStr">
        <is>
          <t xml:space="preserve">2014-06-23</t>
        </is>
      </c>
      <c r="G764" s="0" t="inlineStr">
        <is>
          <t xml:space="preserve">2014-06-23</t>
        </is>
      </c>
      <c r="H764" s="4">
        <v>0.0</v>
      </c>
      <c r="I764" s="4">
        <v>0.0</v>
      </c>
    </row>
    <row r="765">
      <c r="B765" s="0" t="inlineStr">
        <is>
          <t xml:space="preserve">TEXTRON SYSTEMS</t>
        </is>
      </c>
      <c r="C765" s="0" t="inlineStr">
        <is>
          <t xml:space="preserve">SPE7MC16M2456</t>
        </is>
      </c>
      <c r="D765" s="0" t="inlineStr">
        <is>
          <t xml:space="preserve">no</t>
        </is>
      </c>
      <c r="E765" s="0" t="inlineStr">
        <is>
          <t xml:space="preserve">PURCHASE ORDER</t>
        </is>
      </c>
      <c r="F765" s="0" t="inlineStr">
        <is>
          <t xml:space="preserve">2015-12-23</t>
        </is>
      </c>
      <c r="G765" s="0" t="inlineStr">
        <is>
          <t xml:space="preserve">2015-12-23</t>
        </is>
      </c>
      <c r="H765" s="4">
        <v>0.0</v>
      </c>
      <c r="I765" s="4">
        <v>0.0</v>
      </c>
    </row>
    <row r="766">
      <c r="B766" s="0" t="inlineStr">
        <is>
          <t xml:space="preserve">TEXTRON SYSTEMS</t>
        </is>
      </c>
      <c r="C766" s="0" t="inlineStr">
        <is>
          <t xml:space="preserve">SPE7M416M2366</t>
        </is>
      </c>
      <c r="D766" s="0" t="inlineStr">
        <is>
          <t xml:space="preserve">no</t>
        </is>
      </c>
      <c r="E766" s="0" t="inlineStr">
        <is>
          <t xml:space="preserve">PURCHASE ORDER</t>
        </is>
      </c>
      <c r="F766" s="0" t="inlineStr">
        <is>
          <t xml:space="preserve">2016-04-01</t>
        </is>
      </c>
      <c r="G766" s="0" t="inlineStr">
        <is>
          <t xml:space="preserve">2016-04-01</t>
        </is>
      </c>
      <c r="H766" s="4">
        <v>0.0</v>
      </c>
      <c r="I766" s="4">
        <v>0.0</v>
      </c>
    </row>
    <row r="767">
      <c r="B767" s="0" t="inlineStr">
        <is>
          <t xml:space="preserve">TEXTRON SYSTEMS</t>
        </is>
      </c>
      <c r="C767" s="0" t="inlineStr">
        <is>
          <t xml:space="preserve">SPE7M415M1022</t>
        </is>
      </c>
      <c r="D767" s="0" t="inlineStr">
        <is>
          <t xml:space="preserve">no</t>
        </is>
      </c>
      <c r="E767" s="0" t="inlineStr">
        <is>
          <t xml:space="preserve">PURCHASE ORDER</t>
        </is>
      </c>
      <c r="F767" s="0" t="inlineStr">
        <is>
          <t xml:space="preserve">2015-01-20</t>
        </is>
      </c>
      <c r="G767" s="0" t="inlineStr">
        <is>
          <t xml:space="preserve">2015-01-20</t>
        </is>
      </c>
      <c r="H767" s="4">
        <v>0.0</v>
      </c>
      <c r="I767" s="4">
        <v>0.0</v>
      </c>
    </row>
    <row r="768">
      <c r="B768" s="0" t="inlineStr">
        <is>
          <t xml:space="preserve">TEXTRON SYSTEMS</t>
        </is>
      </c>
      <c r="C768" s="0" t="inlineStr">
        <is>
          <t xml:space="preserve">SPE5EK15M1361</t>
        </is>
      </c>
      <c r="D768" s="0" t="inlineStr">
        <is>
          <t xml:space="preserve">no</t>
        </is>
      </c>
      <c r="E768" s="0" t="inlineStr">
        <is>
          <t xml:space="preserve">PURCHASE ORDER</t>
        </is>
      </c>
      <c r="F768" s="0" t="inlineStr">
        <is>
          <t xml:space="preserve">2015-04-28</t>
        </is>
      </c>
      <c r="G768" s="0" t="inlineStr">
        <is>
          <t xml:space="preserve">2015-04-28</t>
        </is>
      </c>
      <c r="H768" s="4">
        <v>0.0</v>
      </c>
      <c r="I768" s="4">
        <v>0.0</v>
      </c>
    </row>
    <row r="769">
      <c r="B769" s="0" t="inlineStr">
        <is>
          <t xml:space="preserve">TEXTRON SYSTEMS</t>
        </is>
      </c>
      <c r="C769" s="0" t="inlineStr">
        <is>
          <t xml:space="preserve">SPE5E415M2521</t>
        </is>
      </c>
      <c r="D769" s="0" t="inlineStr">
        <is>
          <t xml:space="preserve">no</t>
        </is>
      </c>
      <c r="E769" s="0" t="inlineStr">
        <is>
          <t xml:space="preserve">PURCHASE ORDER</t>
        </is>
      </c>
      <c r="F769" s="0" t="inlineStr">
        <is>
          <t xml:space="preserve">2015-08-13</t>
        </is>
      </c>
      <c r="G769" s="0" t="inlineStr">
        <is>
          <t xml:space="preserve">2015-08-13</t>
        </is>
      </c>
      <c r="H769" s="4">
        <v>0.0</v>
      </c>
      <c r="I769" s="4">
        <v>0.0</v>
      </c>
    </row>
    <row r="770">
      <c r="B770" s="0" t="inlineStr">
        <is>
          <t xml:space="preserve">TEXTRON SYSTEMS</t>
        </is>
      </c>
      <c r="C770" s="0" t="inlineStr">
        <is>
          <t xml:space="preserve">SP048001M9565</t>
        </is>
      </c>
      <c r="D770" s="0" t="inlineStr">
        <is>
          <t xml:space="preserve">no</t>
        </is>
      </c>
      <c r="E770" s="0" t="inlineStr">
        <is>
          <t xml:space="preserve">PURCHASE ORDER</t>
        </is>
      </c>
      <c r="F770" s="0" t="inlineStr">
        <is>
          <t xml:space="preserve">2001-02-05</t>
        </is>
      </c>
      <c r="G770" s="0" t="inlineStr">
        <is>
          <t xml:space="preserve">2001-02-05</t>
        </is>
      </c>
      <c r="H770" s="4">
        <v>0.0</v>
      </c>
      <c r="I770" s="4">
        <v>0.0</v>
      </c>
    </row>
    <row r="771">
      <c r="B771" s="0" t="inlineStr">
        <is>
          <t xml:space="preserve">TEXTRON SYSTEMS</t>
        </is>
      </c>
      <c r="C771" s="0" t="inlineStr">
        <is>
          <t xml:space="preserve">SPE8E913M0117</t>
        </is>
      </c>
      <c r="D771" s="0" t="inlineStr">
        <is>
          <t xml:space="preserve">no</t>
        </is>
      </c>
      <c r="E771" s="0" t="inlineStr">
        <is>
          <t xml:space="preserve">PURCHASE ORDER</t>
        </is>
      </c>
      <c r="F771" s="0" t="inlineStr">
        <is>
          <t xml:space="preserve">2013-08-23</t>
        </is>
      </c>
      <c r="G771" s="0" t="inlineStr">
        <is>
          <t xml:space="preserve">2013-08-23</t>
        </is>
      </c>
      <c r="H771" s="4">
        <v>0.0</v>
      </c>
      <c r="I771" s="4">
        <v>0.0</v>
      </c>
    </row>
    <row r="772">
      <c r="B772" s="0" t="inlineStr">
        <is>
          <t xml:space="preserve">TEXTRON SYSTEMS</t>
        </is>
      </c>
      <c r="C772" s="0" t="inlineStr">
        <is>
          <t xml:space="preserve">SPM7M011M8139</t>
        </is>
      </c>
      <c r="D772" s="0" t="inlineStr">
        <is>
          <t xml:space="preserve">no</t>
        </is>
      </c>
      <c r="E772" s="0" t="inlineStr">
        <is>
          <t xml:space="preserve">PURCHASE ORDER</t>
        </is>
      </c>
      <c r="F772" s="0" t="inlineStr">
        <is>
          <t xml:space="preserve">2011-09-06</t>
        </is>
      </c>
      <c r="G772" s="0" t="inlineStr">
        <is>
          <t xml:space="preserve">2011-09-06</t>
        </is>
      </c>
      <c r="H772" s="4">
        <v>0.0</v>
      </c>
      <c r="I772" s="4">
        <v>0.0</v>
      </c>
    </row>
    <row r="773">
      <c r="B773" s="0" t="inlineStr">
        <is>
          <t xml:space="preserve">TEXTRON SYSTEMS</t>
        </is>
      </c>
      <c r="C773" s="0" t="inlineStr">
        <is>
          <t xml:space="preserve">SPM5EK13M0066</t>
        </is>
      </c>
      <c r="D773" s="0" t="inlineStr">
        <is>
          <t xml:space="preserve">no</t>
        </is>
      </c>
      <c r="E773" s="0" t="inlineStr">
        <is>
          <t xml:space="preserve">PURCHASE ORDER</t>
        </is>
      </c>
      <c r="F773" s="0" t="inlineStr">
        <is>
          <t xml:space="preserve">2012-10-31</t>
        </is>
      </c>
      <c r="G773" s="0" t="inlineStr">
        <is>
          <t xml:space="preserve">2012-10-31</t>
        </is>
      </c>
      <c r="H773" s="4">
        <v>0.0</v>
      </c>
      <c r="I773" s="4">
        <v>0.0</v>
      </c>
    </row>
    <row r="774">
      <c r="B774" s="0" t="inlineStr">
        <is>
          <t xml:space="preserve">TEXTRON SYSTEMS</t>
        </is>
      </c>
      <c r="C774" s="0" t="inlineStr">
        <is>
          <t xml:space="preserve">SPE8EE15M0703</t>
        </is>
      </c>
      <c r="D774" s="0" t="inlineStr">
        <is>
          <t xml:space="preserve">no</t>
        </is>
      </c>
      <c r="E774" s="0" t="inlineStr">
        <is>
          <t xml:space="preserve">PURCHASE ORDER</t>
        </is>
      </c>
      <c r="F774" s="0" t="inlineStr">
        <is>
          <t xml:space="preserve">2015-03-31</t>
        </is>
      </c>
      <c r="G774" s="0" t="inlineStr">
        <is>
          <t xml:space="preserve">2015-03-31</t>
        </is>
      </c>
      <c r="H774" s="4">
        <v>0.0</v>
      </c>
      <c r="I774" s="4">
        <v>0.0</v>
      </c>
    </row>
    <row r="775">
      <c r="B775" s="0" t="inlineStr">
        <is>
          <t xml:space="preserve">TEXTRON SYSTEMS</t>
        </is>
      </c>
      <c r="C775" s="0" t="inlineStr">
        <is>
          <t xml:space="preserve">SPE7L015M1615</t>
        </is>
      </c>
      <c r="D775" s="0" t="inlineStr">
        <is>
          <t xml:space="preserve">no</t>
        </is>
      </c>
      <c r="E775" s="0" t="inlineStr">
        <is>
          <t xml:space="preserve">PURCHASE ORDER</t>
        </is>
      </c>
      <c r="F775" s="0" t="inlineStr">
        <is>
          <t xml:space="preserve">2015-02-17</t>
        </is>
      </c>
      <c r="G775" s="0" t="inlineStr">
        <is>
          <t xml:space="preserve">2015-02-17</t>
        </is>
      </c>
      <c r="H775" s="4">
        <v>0.0</v>
      </c>
      <c r="I775" s="4">
        <v>0.0</v>
      </c>
    </row>
    <row r="776">
      <c r="B776" s="0" t="inlineStr">
        <is>
          <t xml:space="preserve">TEXTRON SYSTEMS</t>
        </is>
      </c>
      <c r="C776" s="0" t="inlineStr">
        <is>
          <t xml:space="preserve">SPE4A615M9883</t>
        </is>
      </c>
      <c r="D776" s="0" t="inlineStr">
        <is>
          <t xml:space="preserve">no</t>
        </is>
      </c>
      <c r="E776" s="0" t="inlineStr">
        <is>
          <t xml:space="preserve">PURCHASE ORDER</t>
        </is>
      </c>
      <c r="F776" s="0" t="inlineStr">
        <is>
          <t xml:space="preserve">2015-05-12</t>
        </is>
      </c>
      <c r="G776" s="0" t="inlineStr">
        <is>
          <t xml:space="preserve">2015-05-12</t>
        </is>
      </c>
      <c r="H776" s="4">
        <v>0.0</v>
      </c>
      <c r="I776" s="4">
        <v>0.0</v>
      </c>
    </row>
    <row r="777">
      <c r="B777" s="0" t="inlineStr">
        <is>
          <t xml:space="preserve">TEXTRON SYSTEMS</t>
        </is>
      </c>
      <c r="C777" s="0" t="inlineStr">
        <is>
          <t xml:space="preserve">SPM7A508M0252</t>
        </is>
      </c>
      <c r="D777" s="0" t="inlineStr">
        <is>
          <t xml:space="preserve">no</t>
        </is>
      </c>
      <c r="E777" s="0" t="inlineStr">
        <is>
          <t xml:space="preserve">PURCHASE ORDER</t>
        </is>
      </c>
      <c r="F777" s="0" t="inlineStr">
        <is>
          <t xml:space="preserve">2007-10-31</t>
        </is>
      </c>
      <c r="G777" s="0" t="inlineStr">
        <is>
          <t xml:space="preserve">2007-10-31</t>
        </is>
      </c>
      <c r="H777" s="4">
        <v>0.0</v>
      </c>
      <c r="I777" s="4">
        <v>0.0</v>
      </c>
    </row>
    <row r="778">
      <c r="B778" s="0" t="inlineStr">
        <is>
          <t xml:space="preserve">TEXTRON SYSTEMS</t>
        </is>
      </c>
      <c r="C778" s="0" t="inlineStr">
        <is>
          <t xml:space="preserve">SPM4M108M1674</t>
        </is>
      </c>
      <c r="D778" s="0" t="inlineStr">
        <is>
          <t xml:space="preserve">no</t>
        </is>
      </c>
      <c r="E778" s="0" t="inlineStr">
        <is>
          <t xml:space="preserve">PURCHASE ORDER</t>
        </is>
      </c>
      <c r="F778" s="0" t="inlineStr">
        <is>
          <t xml:space="preserve">2007-11-15</t>
        </is>
      </c>
      <c r="G778" s="0" t="inlineStr">
        <is>
          <t xml:space="preserve">2007-11-15</t>
        </is>
      </c>
      <c r="H778" s="4">
        <v>0.0</v>
      </c>
      <c r="I778" s="4">
        <v>0.0</v>
      </c>
    </row>
    <row r="779">
      <c r="B779" s="0" t="inlineStr">
        <is>
          <t xml:space="preserve">TEXTRON SYSTEMS</t>
        </is>
      </c>
      <c r="C779" s="0" t="inlineStr">
        <is>
          <t xml:space="preserve">SP074005M3810</t>
        </is>
      </c>
      <c r="D779" s="0" t="inlineStr">
        <is>
          <t xml:space="preserve">no</t>
        </is>
      </c>
      <c r="E779" s="0" t="inlineStr">
        <is>
          <t xml:space="preserve">PURCHASE ORDER</t>
        </is>
      </c>
      <c r="F779" s="0" t="inlineStr">
        <is>
          <t xml:space="preserve">2005-03-30</t>
        </is>
      </c>
      <c r="G779" s="0" t="inlineStr">
        <is>
          <t xml:space="preserve">2005-03-30</t>
        </is>
      </c>
      <c r="H779" s="4">
        <v>0.0</v>
      </c>
      <c r="I779" s="4">
        <v>0.0</v>
      </c>
    </row>
    <row r="780">
      <c r="B780" s="0" t="inlineStr">
        <is>
          <t xml:space="preserve">TEXTRON SYSTEMS</t>
        </is>
      </c>
      <c r="C780" s="0" t="inlineStr">
        <is>
          <t xml:space="preserve">0004</t>
        </is>
      </c>
      <c r="D780" s="0" t="inlineStr">
        <is>
          <t xml:space="preserve">no</t>
        </is>
      </c>
      <c r="E780" s="0" t="inlineStr">
        <is>
          <t xml:space="preserve">DELIVERY ORDER</t>
        </is>
      </c>
      <c r="F780" s="0" t="inlineStr">
        <is>
          <t xml:space="preserve">2005-07-22</t>
        </is>
      </c>
      <c r="G780" s="0" t="inlineStr">
        <is>
          <t xml:space="preserve">2005-07-22</t>
        </is>
      </c>
      <c r="H780" s="4">
        <v>0.0</v>
      </c>
      <c r="I780" s="4">
        <v>0.0</v>
      </c>
    </row>
    <row r="781">
      <c r="B781" s="0" t="inlineStr">
        <is>
          <t xml:space="preserve">TEXTRON SYSTEMS</t>
        </is>
      </c>
      <c r="C781" s="0" t="inlineStr">
        <is>
          <t xml:space="preserve">SP048003MB655</t>
        </is>
      </c>
      <c r="D781" s="0" t="inlineStr">
        <is>
          <t xml:space="preserve">no</t>
        </is>
      </c>
      <c r="E781" s="0" t="inlineStr">
        <is>
          <t xml:space="preserve">PURCHASE ORDER</t>
        </is>
      </c>
      <c r="F781" s="0" t="inlineStr">
        <is>
          <t xml:space="preserve">2003-07-03</t>
        </is>
      </c>
      <c r="G781" s="0" t="inlineStr">
        <is>
          <t xml:space="preserve">2003-07-03</t>
        </is>
      </c>
      <c r="H781" s="4">
        <v>0.0</v>
      </c>
      <c r="I781" s="4">
        <v>0.0</v>
      </c>
    </row>
    <row r="782">
      <c r="B782" s="0" t="inlineStr">
        <is>
          <t xml:space="preserve">TEXTRON SYSTEMS</t>
        </is>
      </c>
      <c r="C782" s="0" t="inlineStr">
        <is>
          <t xml:space="preserve">SPE4A413V4467</t>
        </is>
      </c>
      <c r="D782" s="0" t="inlineStr">
        <is>
          <t xml:space="preserve">no</t>
        </is>
      </c>
      <c r="E782" s="0" t="inlineStr">
        <is>
          <t xml:space="preserve">PURCHASE ORDER</t>
        </is>
      </c>
      <c r="F782" s="0" t="inlineStr">
        <is>
          <t xml:space="preserve">2013-02-13</t>
        </is>
      </c>
      <c r="G782" s="0" t="inlineStr">
        <is>
          <t xml:space="preserve">2013-02-13</t>
        </is>
      </c>
      <c r="H782" s="4">
        <v>0.0</v>
      </c>
      <c r="I782" s="4">
        <v>0.0</v>
      </c>
    </row>
    <row r="783">
      <c r="B783" s="0" t="inlineStr">
        <is>
          <t xml:space="preserve">TEXTRON SYSTEMS</t>
        </is>
      </c>
      <c r="C783" s="0" t="inlineStr">
        <is>
          <t xml:space="preserve">SPM7MC10M5184</t>
        </is>
      </c>
      <c r="D783" s="0" t="inlineStr">
        <is>
          <t xml:space="preserve">no</t>
        </is>
      </c>
      <c r="E783" s="0" t="inlineStr">
        <is>
          <t xml:space="preserve">PURCHASE ORDER</t>
        </is>
      </c>
      <c r="F783" s="0" t="inlineStr">
        <is>
          <t xml:space="preserve">2010-06-25</t>
        </is>
      </c>
      <c r="G783" s="0" t="inlineStr">
        <is>
          <t xml:space="preserve">2010-06-25</t>
        </is>
      </c>
      <c r="H783" s="4">
        <v>0.0</v>
      </c>
      <c r="I783" s="4">
        <v>0.0</v>
      </c>
    </row>
    <row r="784">
      <c r="B784" s="0" t="inlineStr">
        <is>
          <t xml:space="preserve">TEXTRON SYSTEMS</t>
        </is>
      </c>
      <c r="C784" s="0" t="inlineStr">
        <is>
          <t xml:space="preserve">SPE7M019P3623</t>
        </is>
      </c>
      <c r="D784" s="0" t="inlineStr">
        <is>
          <t xml:space="preserve">no</t>
        </is>
      </c>
      <c r="E784" s="0" t="inlineStr">
        <is>
          <t xml:space="preserve">PURCHASE ORDER</t>
        </is>
      </c>
      <c r="F784" s="0" t="inlineStr">
        <is>
          <t xml:space="preserve">2019-08-06</t>
        </is>
      </c>
      <c r="G784" s="0" t="inlineStr">
        <is>
          <t xml:space="preserve">2019-08-06</t>
        </is>
      </c>
      <c r="H784" s="4">
        <v>0.0</v>
      </c>
      <c r="I784" s="4">
        <v>0.0</v>
      </c>
    </row>
    <row r="785">
      <c r="B785" s="0" t="inlineStr">
        <is>
          <t xml:space="preserve">TEXTRON SYSTEMS</t>
        </is>
      </c>
      <c r="C785" s="0" t="inlineStr">
        <is>
          <t xml:space="preserve">SPE4A619P6234</t>
        </is>
      </c>
      <c r="D785" s="0" t="inlineStr">
        <is>
          <t xml:space="preserve">no</t>
        </is>
      </c>
      <c r="E785" s="0" t="inlineStr">
        <is>
          <t xml:space="preserve">PURCHASE ORDER</t>
        </is>
      </c>
      <c r="F785" s="0" t="inlineStr">
        <is>
          <t xml:space="preserve">2019-01-09</t>
        </is>
      </c>
      <c r="G785" s="0" t="inlineStr">
        <is>
          <t xml:space="preserve">2019-01-09</t>
        </is>
      </c>
      <c r="H785" s="4">
        <v>0.0</v>
      </c>
      <c r="I785" s="4">
        <v>0.0</v>
      </c>
    </row>
    <row r="786">
      <c r="B786" s="0" t="inlineStr">
        <is>
          <t xml:space="preserve">TEXTRON SYSTEMS</t>
        </is>
      </c>
      <c r="C786" s="0" t="inlineStr">
        <is>
          <t xml:space="preserve">SPM5A610M1094</t>
        </is>
      </c>
      <c r="D786" s="0" t="inlineStr">
        <is>
          <t xml:space="preserve">no</t>
        </is>
      </c>
      <c r="E786" s="0" t="inlineStr">
        <is>
          <t xml:space="preserve">PURCHASE ORDER</t>
        </is>
      </c>
      <c r="F786" s="0" t="inlineStr">
        <is>
          <t xml:space="preserve">2010-09-10</t>
        </is>
      </c>
      <c r="G786" s="0" t="inlineStr">
        <is>
          <t xml:space="preserve">2010-09-10</t>
        </is>
      </c>
      <c r="H786" s="4">
        <v>0.0</v>
      </c>
      <c r="I786" s="4">
        <v>0.0</v>
      </c>
    </row>
    <row r="787">
      <c r="B787" s="0" t="inlineStr">
        <is>
          <t xml:space="preserve">TEXTRON SYSTEMS</t>
        </is>
      </c>
      <c r="C787" s="0" t="inlineStr">
        <is>
          <t xml:space="preserve">SPM7M109M4574</t>
        </is>
      </c>
      <c r="D787" s="0" t="inlineStr">
        <is>
          <t xml:space="preserve">no</t>
        </is>
      </c>
      <c r="E787" s="0" t="inlineStr">
        <is>
          <t xml:space="preserve">PURCHASE ORDER</t>
        </is>
      </c>
      <c r="F787" s="0" t="inlineStr">
        <is>
          <t xml:space="preserve">2009-04-17</t>
        </is>
      </c>
      <c r="G787" s="0" t="inlineStr">
        <is>
          <t xml:space="preserve">2009-04-17</t>
        </is>
      </c>
      <c r="H787" s="4">
        <v>0.0</v>
      </c>
      <c r="I787" s="4">
        <v>0.0</v>
      </c>
    </row>
    <row r="788">
      <c r="B788" s="0" t="inlineStr">
        <is>
          <t xml:space="preserve">TEXTRON SYSTEMS</t>
        </is>
      </c>
      <c r="C788" s="0" t="inlineStr">
        <is>
          <t xml:space="preserve">SPM4A608M5082</t>
        </is>
      </c>
      <c r="D788" s="0" t="inlineStr">
        <is>
          <t xml:space="preserve">no</t>
        </is>
      </c>
      <c r="E788" s="0" t="inlineStr">
        <is>
          <t xml:space="preserve">PURCHASE ORDER</t>
        </is>
      </c>
      <c r="F788" s="0" t="inlineStr">
        <is>
          <t xml:space="preserve">2008-01-10</t>
        </is>
      </c>
      <c r="G788" s="0" t="inlineStr">
        <is>
          <t xml:space="preserve">2008-01-10</t>
        </is>
      </c>
      <c r="H788" s="4">
        <v>0.0</v>
      </c>
      <c r="I788" s="4">
        <v>0.0</v>
      </c>
    </row>
    <row r="789">
      <c r="B789" s="0" t="inlineStr">
        <is>
          <t xml:space="preserve">TEXTRON SYSTEMS</t>
        </is>
      </c>
      <c r="C789" s="0" t="inlineStr">
        <is>
          <t xml:space="preserve">W911S804M0115</t>
        </is>
      </c>
      <c r="D789" s="0" t="inlineStr">
        <is>
          <t xml:space="preserve">no</t>
        </is>
      </c>
      <c r="E789" s="0" t="inlineStr">
        <is>
          <t xml:space="preserve">PURCHASE ORDER</t>
        </is>
      </c>
      <c r="F789" s="0" t="inlineStr">
        <is>
          <t xml:space="preserve">2004-01-23</t>
        </is>
      </c>
      <c r="G789" s="0" t="inlineStr">
        <is>
          <t xml:space="preserve">2004-01-23</t>
        </is>
      </c>
      <c r="H789" s="4">
        <v>0.0</v>
      </c>
      <c r="I789" s="4">
        <v>0.0</v>
      </c>
    </row>
    <row r="790">
      <c r="B790" s="0" t="inlineStr">
        <is>
          <t xml:space="preserve">TEXTRON SYSTEMS</t>
        </is>
      </c>
      <c r="C790" s="0" t="inlineStr">
        <is>
          <t xml:space="preserve">SPE4A619F7440</t>
        </is>
      </c>
      <c r="D790" s="0" t="inlineStr">
        <is>
          <t xml:space="preserve">no</t>
        </is>
      </c>
      <c r="E790" s="0" t="inlineStr">
        <is>
          <t xml:space="preserve">DELIVERY ORDER</t>
        </is>
      </c>
      <c r="F790" s="0" t="inlineStr">
        <is>
          <t xml:space="preserve">2018-12-21</t>
        </is>
      </c>
      <c r="G790" s="0" t="inlineStr">
        <is>
          <t xml:space="preserve">2018-12-21</t>
        </is>
      </c>
      <c r="H790" s="4">
        <v>0.0</v>
      </c>
      <c r="I790" s="4">
        <v>0.0</v>
      </c>
    </row>
    <row r="791">
      <c r="B791" s="0" t="inlineStr">
        <is>
          <t xml:space="preserve">TEXTRON SYSTEMS</t>
        </is>
      </c>
      <c r="C791" s="0" t="inlineStr">
        <is>
          <t xml:space="preserve">SPE7L218P0630</t>
        </is>
      </c>
      <c r="D791" s="0" t="inlineStr">
        <is>
          <t xml:space="preserve">no</t>
        </is>
      </c>
      <c r="E791" s="0" t="inlineStr">
        <is>
          <t xml:space="preserve">PURCHASE ORDER</t>
        </is>
      </c>
      <c r="F791" s="0" t="inlineStr">
        <is>
          <t xml:space="preserve">2018-04-06</t>
        </is>
      </c>
      <c r="G791" s="0" t="inlineStr">
        <is>
          <t xml:space="preserve">2018-04-06</t>
        </is>
      </c>
      <c r="H791" s="4">
        <v>0.0</v>
      </c>
      <c r="I791" s="4">
        <v>0.0</v>
      </c>
    </row>
    <row r="792">
      <c r="B792" s="0" t="inlineStr">
        <is>
          <t xml:space="preserve">TEXTRON SYSTEMS</t>
        </is>
      </c>
      <c r="C792" s="0" t="inlineStr">
        <is>
          <t xml:space="preserve">SPE4A619P1281</t>
        </is>
      </c>
      <c r="D792" s="0" t="inlineStr">
        <is>
          <t xml:space="preserve">no</t>
        </is>
      </c>
      <c r="E792" s="0" t="inlineStr">
        <is>
          <t xml:space="preserve">PURCHASE ORDER</t>
        </is>
      </c>
      <c r="F792" s="0" t="inlineStr">
        <is>
          <t xml:space="preserve">2018-10-17</t>
        </is>
      </c>
      <c r="G792" s="0" t="inlineStr">
        <is>
          <t xml:space="preserve">2018-10-17</t>
        </is>
      </c>
      <c r="H792" s="4">
        <v>0.0</v>
      </c>
      <c r="I792" s="4">
        <v>0.0</v>
      </c>
    </row>
    <row r="793">
      <c r="B793" s="0" t="inlineStr">
        <is>
          <t xml:space="preserve">TEXTRON SYSTEMS</t>
        </is>
      </c>
      <c r="C793" s="0" t="inlineStr">
        <is>
          <t xml:space="preserve">SPE7M318P4301</t>
        </is>
      </c>
      <c r="D793" s="0" t="inlineStr">
        <is>
          <t xml:space="preserve">no</t>
        </is>
      </c>
      <c r="E793" s="0" t="inlineStr">
        <is>
          <t xml:space="preserve">PURCHASE ORDER</t>
        </is>
      </c>
      <c r="F793" s="0" t="inlineStr">
        <is>
          <t xml:space="preserve">2018-05-24</t>
        </is>
      </c>
      <c r="G793" s="0" t="inlineStr">
        <is>
          <t xml:space="preserve">2018-05-24</t>
        </is>
      </c>
      <c r="H793" s="4">
        <v>0.0</v>
      </c>
      <c r="I793" s="4">
        <v>0.0</v>
      </c>
    </row>
    <row r="794">
      <c r="B794" s="0" t="inlineStr">
        <is>
          <t xml:space="preserve">TEXTRON SYSTEMS</t>
        </is>
      </c>
      <c r="C794" s="0" t="inlineStr">
        <is>
          <t xml:space="preserve">SPE7L318P6813</t>
        </is>
      </c>
      <c r="D794" s="0" t="inlineStr">
        <is>
          <t xml:space="preserve">no</t>
        </is>
      </c>
      <c r="E794" s="0" t="inlineStr">
        <is>
          <t xml:space="preserve">PURCHASE ORDER</t>
        </is>
      </c>
      <c r="F794" s="0" t="inlineStr">
        <is>
          <t xml:space="preserve">2018-05-21</t>
        </is>
      </c>
      <c r="G794" s="0" t="inlineStr">
        <is>
          <t xml:space="preserve">2018-05-21</t>
        </is>
      </c>
      <c r="H794" s="4">
        <v>0.0</v>
      </c>
      <c r="I794" s="4">
        <v>0.0</v>
      </c>
    </row>
    <row r="795">
      <c r="B795" s="0" t="inlineStr">
        <is>
          <t xml:space="preserve">TEXTRON SYSTEMS</t>
        </is>
      </c>
      <c r="C795" s="0" t="inlineStr">
        <is>
          <t xml:space="preserve">SPE7MC18P0125</t>
        </is>
      </c>
      <c r="D795" s="0" t="inlineStr">
        <is>
          <t xml:space="preserve">no</t>
        </is>
      </c>
      <c r="E795" s="0" t="inlineStr">
        <is>
          <t xml:space="preserve">PURCHASE ORDER</t>
        </is>
      </c>
      <c r="F795" s="0" t="inlineStr">
        <is>
          <t xml:space="preserve">2017-10-05</t>
        </is>
      </c>
      <c r="G795" s="0" t="inlineStr">
        <is>
          <t xml:space="preserve">2017-10-05</t>
        </is>
      </c>
      <c r="H795" s="4">
        <v>0.0</v>
      </c>
      <c r="I795" s="4">
        <v>0.0</v>
      </c>
    </row>
    <row r="796">
      <c r="B796" s="0" t="inlineStr">
        <is>
          <t xml:space="preserve">TEXTRON SYSTEMS</t>
        </is>
      </c>
      <c r="C796" s="0" t="inlineStr">
        <is>
          <t xml:space="preserve">N0010418PCC71</t>
        </is>
      </c>
      <c r="D796" s="0" t="inlineStr">
        <is>
          <t xml:space="preserve">no</t>
        </is>
      </c>
      <c r="E796" s="0" t="inlineStr">
        <is>
          <t xml:space="preserve">PURCHASE ORDER</t>
        </is>
      </c>
      <c r="F796" s="0" t="inlineStr">
        <is>
          <t xml:space="preserve">2018-03-30</t>
        </is>
      </c>
      <c r="G796" s="0" t="inlineStr">
        <is>
          <t xml:space="preserve">2018-03-30</t>
        </is>
      </c>
      <c r="H796" s="4">
        <v>0.0</v>
      </c>
      <c r="I796" s="4">
        <v>0.0</v>
      </c>
    </row>
    <row r="797">
      <c r="B797" s="0" t="inlineStr">
        <is>
          <t xml:space="preserve">TEXTRON SYSTEMS</t>
        </is>
      </c>
      <c r="C797" s="0" t="inlineStr">
        <is>
          <t xml:space="preserve">SPE7M018P2636</t>
        </is>
      </c>
      <c r="D797" s="0" t="inlineStr">
        <is>
          <t xml:space="preserve">no</t>
        </is>
      </c>
      <c r="E797" s="0" t="inlineStr">
        <is>
          <t xml:space="preserve">PURCHASE ORDER</t>
        </is>
      </c>
      <c r="F797" s="0" t="inlineStr">
        <is>
          <t xml:space="preserve">2018-04-16</t>
        </is>
      </c>
      <c r="G797" s="0" t="inlineStr">
        <is>
          <t xml:space="preserve">2018-04-16</t>
        </is>
      </c>
      <c r="H797" s="4">
        <v>0.0</v>
      </c>
      <c r="I797" s="4">
        <v>0.0</v>
      </c>
    </row>
    <row r="798">
      <c r="B798" s="0" t="inlineStr">
        <is>
          <t xml:space="preserve">TEXTRON SYSTEMS</t>
        </is>
      </c>
      <c r="C798" s="0" t="inlineStr">
        <is>
          <t xml:space="preserve">SPE4A617PN188</t>
        </is>
      </c>
      <c r="D798" s="0" t="inlineStr">
        <is>
          <t xml:space="preserve">no</t>
        </is>
      </c>
      <c r="E798" s="0" t="inlineStr">
        <is>
          <t xml:space="preserve">PURCHASE ORDER</t>
        </is>
      </c>
      <c r="F798" s="0" t="inlineStr">
        <is>
          <t xml:space="preserve">2017-09-25</t>
        </is>
      </c>
      <c r="G798" s="0" t="inlineStr">
        <is>
          <t xml:space="preserve">2017-09-25</t>
        </is>
      </c>
      <c r="H798" s="4">
        <v>0.0</v>
      </c>
      <c r="I798" s="4">
        <v>0.0</v>
      </c>
    </row>
    <row r="799">
      <c r="B799" s="0" t="inlineStr">
        <is>
          <t xml:space="preserve">TEXTRON SYSTEMS</t>
        </is>
      </c>
      <c r="C799" s="0" t="inlineStr">
        <is>
          <t xml:space="preserve">N0010417PXA50</t>
        </is>
      </c>
      <c r="D799" s="0" t="inlineStr">
        <is>
          <t xml:space="preserve">no</t>
        </is>
      </c>
      <c r="E799" s="0" t="inlineStr">
        <is>
          <t xml:space="preserve">PURCHASE ORDER</t>
        </is>
      </c>
      <c r="F799" s="0" t="inlineStr">
        <is>
          <t xml:space="preserve">2017-01-18</t>
        </is>
      </c>
      <c r="G799" s="0" t="inlineStr">
        <is>
          <t xml:space="preserve">2017-01-18</t>
        </is>
      </c>
      <c r="H799" s="4">
        <v>0.0</v>
      </c>
      <c r="I799" s="4">
        <v>0.0</v>
      </c>
    </row>
    <row r="800">
      <c r="B800" s="0" t="inlineStr">
        <is>
          <t xml:space="preserve">TEXTRON SYSTEMS</t>
        </is>
      </c>
      <c r="C800" s="0" t="inlineStr">
        <is>
          <t xml:space="preserve">N0010416PCD27</t>
        </is>
      </c>
      <c r="D800" s="0" t="inlineStr">
        <is>
          <t xml:space="preserve">no</t>
        </is>
      </c>
      <c r="E800" s="0" t="inlineStr">
        <is>
          <t xml:space="preserve">PURCHASE ORDER</t>
        </is>
      </c>
      <c r="F800" s="0" t="inlineStr">
        <is>
          <t xml:space="preserve">2016-06-23</t>
        </is>
      </c>
      <c r="G800" s="0" t="inlineStr">
        <is>
          <t xml:space="preserve">2016-06-23</t>
        </is>
      </c>
      <c r="H800" s="4">
        <v>0.0</v>
      </c>
      <c r="I800" s="4">
        <v>0.0</v>
      </c>
    </row>
    <row r="801">
      <c r="B801" s="0" t="inlineStr">
        <is>
          <t xml:space="preserve">TEXTRON SYSTEMS</t>
        </is>
      </c>
      <c r="C801" s="0" t="inlineStr">
        <is>
          <t xml:space="preserve">SPE7L315M8557</t>
        </is>
      </c>
      <c r="D801" s="0" t="inlineStr">
        <is>
          <t xml:space="preserve">no</t>
        </is>
      </c>
      <c r="E801" s="0" t="inlineStr">
        <is>
          <t xml:space="preserve">PURCHASE ORDER</t>
        </is>
      </c>
      <c r="F801" s="0" t="inlineStr">
        <is>
          <t xml:space="preserve">2015-12-08</t>
        </is>
      </c>
      <c r="G801" s="0" t="inlineStr">
        <is>
          <t xml:space="preserve">2015-12-08</t>
        </is>
      </c>
      <c r="H801" s="4">
        <v>0.0</v>
      </c>
      <c r="I801" s="4">
        <v>0.0</v>
      </c>
    </row>
    <row r="802">
      <c r="B802" s="0" t="inlineStr">
        <is>
          <t xml:space="preserve">LEIDOS</t>
        </is>
      </c>
      <c r="C802" s="0" t="inlineStr">
        <is>
          <t xml:space="preserve">47QTCA25D00CN</t>
        </is>
      </c>
      <c r="D802" s="0" t="inlineStr">
        <is>
          <t xml:space="preserve">no</t>
        </is>
      </c>
      <c r="E802" s="0" t="inlineStr">
        <is>
          <t xml:space="preserve">FSS</t>
        </is>
      </c>
      <c r="F802" s="0" t="inlineStr">
        <is>
          <t xml:space="preserve">2025-07-15</t>
        </is>
      </c>
      <c r="G802" s="0" t="inlineStr">
        <is>
          <t xml:space="preserve">2026-06-16</t>
        </is>
      </c>
      <c r="H802" s="4">
        <v>0.5</v>
      </c>
      <c r="I802" s="4">
        <v>0.0</v>
      </c>
    </row>
    <row r="803">
      <c r="B803" s="0" t="inlineStr">
        <is>
          <t xml:space="preserve">BOLLINGER</t>
        </is>
      </c>
      <c r="C803" s="0" t="inlineStr">
        <is>
          <t xml:space="preserve">VA512A10188</t>
        </is>
      </c>
      <c r="D803" s="0" t="inlineStr">
        <is>
          <t xml:space="preserve">no</t>
        </is>
      </c>
      <c r="E803" s="0" t="inlineStr">
        <is>
          <t xml:space="preserve">PURCHASE ORDER</t>
        </is>
      </c>
      <c r="F803" s="0" t="inlineStr">
        <is>
          <t xml:space="preserve">2011-03-30</t>
        </is>
      </c>
      <c r="G803" s="0" t="inlineStr">
        <is>
          <t xml:space="preserve">2011-03-30</t>
        </is>
      </c>
      <c r="H803" s="4">
        <v>0.0</v>
      </c>
      <c r="I803" s="4">
        <v>0.0</v>
      </c>
    </row>
    <row r="804">
      <c r="B804" s="0" t="inlineStr">
        <is>
          <t xml:space="preserve">BOLLINGER</t>
        </is>
      </c>
      <c r="C804" s="0" t="inlineStr">
        <is>
          <t xml:space="preserve">47QSHA19D000G</t>
        </is>
      </c>
      <c r="D804" s="0" t="inlineStr">
        <is>
          <t xml:space="preserve">no</t>
        </is>
      </c>
      <c r="E804" s="0" t="inlineStr">
        <is>
          <t xml:space="preserve">FSS</t>
        </is>
      </c>
      <c r="F804" s="0" t="inlineStr">
        <is>
          <t xml:space="preserve">2018-10-19</t>
        </is>
      </c>
      <c r="G804" s="0" t="inlineStr">
        <is>
          <t xml:space="preserve">2021-06-11</t>
        </is>
      </c>
      <c r="H804" s="4">
        <v>0.7</v>
      </c>
      <c r="I804" s="4">
        <v>0.0</v>
      </c>
    </row>
    <row r="805">
      <c r="B805" s="0" t="inlineStr">
        <is>
          <t xml:space="preserve">BOLLINGER</t>
        </is>
      </c>
      <c r="C805" s="0" t="inlineStr">
        <is>
          <t xml:space="preserve">VA512A10514</t>
        </is>
      </c>
      <c r="D805" s="0" t="inlineStr">
        <is>
          <t xml:space="preserve">no</t>
        </is>
      </c>
      <c r="E805" s="0" t="inlineStr">
        <is>
          <t xml:space="preserve">PURCHASE ORDER</t>
        </is>
      </c>
      <c r="F805" s="0" t="inlineStr">
        <is>
          <t xml:space="preserve">2011-09-08</t>
        </is>
      </c>
      <c r="G805" s="0" t="inlineStr">
        <is>
          <t xml:space="preserve">2011-09-08</t>
        </is>
      </c>
      <c r="H805" s="4">
        <v>0.0</v>
      </c>
      <c r="I805" s="4">
        <v>0.0</v>
      </c>
    </row>
    <row r="806">
      <c r="B806" s="0" t="inlineStr">
        <is>
          <t xml:space="preserve">BOLLINGER</t>
        </is>
      </c>
      <c r="C806" s="0" t="inlineStr">
        <is>
          <t xml:space="preserve">V512A60713</t>
        </is>
      </c>
      <c r="D806" s="0" t="inlineStr">
        <is>
          <t xml:space="preserve">no</t>
        </is>
      </c>
      <c r="E806" s="0" t="inlineStr">
        <is>
          <t xml:space="preserve">PURCHASE ORDER</t>
        </is>
      </c>
      <c r="F806" s="0" t="inlineStr">
        <is>
          <t xml:space="preserve">2006-07-07</t>
        </is>
      </c>
      <c r="G806" s="0" t="inlineStr">
        <is>
          <t xml:space="preserve">2006-07-07</t>
        </is>
      </c>
      <c r="H806" s="4">
        <v>0.0</v>
      </c>
      <c r="I806" s="4">
        <v>0.0</v>
      </c>
    </row>
    <row r="807">
      <c r="B807" s="0" t="inlineStr">
        <is>
          <t xml:space="preserve">BOLLINGER</t>
        </is>
      </c>
      <c r="C807" s="0" t="inlineStr">
        <is>
          <t xml:space="preserve">V512A90229</t>
        </is>
      </c>
      <c r="D807" s="0" t="inlineStr">
        <is>
          <t xml:space="preserve">no</t>
        </is>
      </c>
      <c r="E807" s="0" t="inlineStr">
        <is>
          <t xml:space="preserve">PURCHASE ORDER</t>
        </is>
      </c>
      <c r="F807" s="0" t="inlineStr">
        <is>
          <t xml:space="preserve">2009-05-13</t>
        </is>
      </c>
      <c r="G807" s="0" t="inlineStr">
        <is>
          <t xml:space="preserve">2009-05-13</t>
        </is>
      </c>
      <c r="H807" s="4">
        <v>0.0</v>
      </c>
      <c r="I807" s="4">
        <v>0.0</v>
      </c>
    </row>
    <row r="808">
      <c r="B808" s="0" t="inlineStr">
        <is>
          <t xml:space="preserve">BOLLINGER</t>
        </is>
      </c>
      <c r="C808" s="0" t="inlineStr">
        <is>
          <t xml:space="preserve">VA512A10282</t>
        </is>
      </c>
      <c r="D808" s="0" t="inlineStr">
        <is>
          <t xml:space="preserve">no</t>
        </is>
      </c>
      <c r="E808" s="0" t="inlineStr">
        <is>
          <t xml:space="preserve">PURCHASE ORDER</t>
        </is>
      </c>
      <c r="F808" s="0" t="inlineStr">
        <is>
          <t xml:space="preserve">2011-06-13</t>
        </is>
      </c>
      <c r="G808" s="0" t="inlineStr">
        <is>
          <t xml:space="preserve">2011-07-27</t>
        </is>
      </c>
      <c r="H808" s="4">
        <v>0.0</v>
      </c>
      <c r="I808" s="4">
        <v>0.0</v>
      </c>
    </row>
    <row r="809">
      <c r="B809" s="0" t="inlineStr">
        <is>
          <t xml:space="preserve">BOLLINGER</t>
        </is>
      </c>
      <c r="C809" s="0" t="inlineStr">
        <is>
          <t xml:space="preserve">V512A00305</t>
        </is>
      </c>
      <c r="D809" s="0" t="inlineStr">
        <is>
          <t xml:space="preserve">no</t>
        </is>
      </c>
      <c r="E809" s="0" t="inlineStr">
        <is>
          <t xml:space="preserve">PURCHASE ORDER</t>
        </is>
      </c>
      <c r="F809" s="0" t="inlineStr">
        <is>
          <t xml:space="preserve">2010-06-22</t>
        </is>
      </c>
      <c r="G809" s="0" t="inlineStr">
        <is>
          <t xml:space="preserve">2010-06-22</t>
        </is>
      </c>
      <c r="H809" s="4">
        <v>0.0</v>
      </c>
      <c r="I809" s="4">
        <v>0.0</v>
      </c>
    </row>
    <row r="810">
      <c r="B810" s="0" t="inlineStr">
        <is>
          <t xml:space="preserve">BOLLINGER</t>
        </is>
      </c>
      <c r="C810" s="0" t="inlineStr">
        <is>
          <t xml:space="preserve">V512A60521</t>
        </is>
      </c>
      <c r="D810" s="0" t="inlineStr">
        <is>
          <t xml:space="preserve">no</t>
        </is>
      </c>
      <c r="E810" s="0" t="inlineStr">
        <is>
          <t xml:space="preserve">PURCHASE ORDER</t>
        </is>
      </c>
      <c r="F810" s="0" t="inlineStr">
        <is>
          <t xml:space="preserve">2006-04-25</t>
        </is>
      </c>
      <c r="G810" s="0" t="inlineStr">
        <is>
          <t xml:space="preserve">2006-04-25</t>
        </is>
      </c>
      <c r="H810" s="4">
        <v>0.0</v>
      </c>
      <c r="I810" s="4">
        <v>0.0</v>
      </c>
    </row>
    <row r="811">
      <c r="B811" s="0" t="inlineStr">
        <is>
          <t xml:space="preserve">BOLLINGER</t>
        </is>
      </c>
      <c r="C811" s="0" t="inlineStr">
        <is>
          <t xml:space="preserve">VA512A10406</t>
        </is>
      </c>
      <c r="D811" s="0" t="inlineStr">
        <is>
          <t xml:space="preserve">no</t>
        </is>
      </c>
      <c r="E811" s="0" t="inlineStr">
        <is>
          <t xml:space="preserve">PURCHASE ORDER</t>
        </is>
      </c>
      <c r="F811" s="0" t="inlineStr">
        <is>
          <t xml:space="preserve">2011-08-25</t>
        </is>
      </c>
      <c r="G811" s="0" t="inlineStr">
        <is>
          <t xml:space="preserve">2011-08-25</t>
        </is>
      </c>
      <c r="H811" s="4">
        <v>0.0</v>
      </c>
      <c r="I811" s="4">
        <v>0.0</v>
      </c>
    </row>
    <row r="812">
      <c r="B812" s="0" t="inlineStr">
        <is>
          <t xml:space="preserve">BOLLINGER</t>
        </is>
      </c>
      <c r="C812" s="0" t="inlineStr">
        <is>
          <t xml:space="preserve">V512A00213</t>
        </is>
      </c>
      <c r="D812" s="0" t="inlineStr">
        <is>
          <t xml:space="preserve">no</t>
        </is>
      </c>
      <c r="E812" s="0" t="inlineStr">
        <is>
          <t xml:space="preserve">PURCHASE ORDER</t>
        </is>
      </c>
      <c r="F812" s="0" t="inlineStr">
        <is>
          <t xml:space="preserve">2010-03-11</t>
        </is>
      </c>
      <c r="G812" s="0" t="inlineStr">
        <is>
          <t xml:space="preserve">2010-03-11</t>
        </is>
      </c>
      <c r="H812" s="4">
        <v>0.0</v>
      </c>
      <c r="I812" s="4">
        <v>0.0</v>
      </c>
    </row>
    <row r="813">
      <c r="B813" s="0" t="inlineStr">
        <is>
          <t xml:space="preserve">BOLLINGER</t>
        </is>
      </c>
      <c r="C813" s="0" t="inlineStr">
        <is>
          <t xml:space="preserve">VA24512P0653</t>
        </is>
      </c>
      <c r="D813" s="0" t="inlineStr">
        <is>
          <t xml:space="preserve">no</t>
        </is>
      </c>
      <c r="E813" s="0" t="inlineStr">
        <is>
          <t xml:space="preserve">PURCHASE ORDER</t>
        </is>
      </c>
      <c r="F813" s="0" t="inlineStr">
        <is>
          <t xml:space="preserve">2012-02-23</t>
        </is>
      </c>
      <c r="G813" s="0" t="inlineStr">
        <is>
          <t xml:space="preserve">2013-03-06</t>
        </is>
      </c>
      <c r="H813" s="4">
        <v>0.0</v>
      </c>
      <c r="I813" s="4">
        <v>0.0</v>
      </c>
    </row>
    <row r="814">
      <c r="B814" s="0" t="inlineStr">
        <is>
          <t xml:space="preserve">BOLLINGER</t>
        </is>
      </c>
      <c r="C814" s="0" t="inlineStr">
        <is>
          <t xml:space="preserve">V512A60571</t>
        </is>
      </c>
      <c r="D814" s="0" t="inlineStr">
        <is>
          <t xml:space="preserve">no</t>
        </is>
      </c>
      <c r="E814" s="0" t="inlineStr">
        <is>
          <t xml:space="preserve">PURCHASE ORDER</t>
        </is>
      </c>
      <c r="F814" s="0" t="inlineStr">
        <is>
          <t xml:space="preserve">2006-05-16</t>
        </is>
      </c>
      <c r="G814" s="0" t="inlineStr">
        <is>
          <t xml:space="preserve">2006-05-16</t>
        </is>
      </c>
      <c r="H814" s="4">
        <v>0.0</v>
      </c>
      <c r="I814" s="4">
        <v>0.0</v>
      </c>
    </row>
    <row r="815">
      <c r="B815" s="0" t="inlineStr">
        <is>
          <t xml:space="preserve">BOLLINGER</t>
        </is>
      </c>
      <c r="C815" s="0" t="inlineStr">
        <is>
          <t xml:space="preserve">V512A60450</t>
        </is>
      </c>
      <c r="D815" s="0" t="inlineStr">
        <is>
          <t xml:space="preserve">no</t>
        </is>
      </c>
      <c r="E815" s="0" t="inlineStr">
        <is>
          <t xml:space="preserve">PURCHASE ORDER</t>
        </is>
      </c>
      <c r="F815" s="0" t="inlineStr">
        <is>
          <t xml:space="preserve">2006-04-05</t>
        </is>
      </c>
      <c r="G815" s="0" t="inlineStr">
        <is>
          <t xml:space="preserve">2006-04-05</t>
        </is>
      </c>
      <c r="H815" s="4">
        <v>0.0</v>
      </c>
      <c r="I815" s="4">
        <v>0.0</v>
      </c>
    </row>
    <row r="816">
      <c r="B816" s="0" t="inlineStr">
        <is>
          <t xml:space="preserve">BOLLINGER</t>
        </is>
      </c>
      <c r="C816" s="0" t="inlineStr">
        <is>
          <t xml:space="preserve">36C25720P1391</t>
        </is>
      </c>
      <c r="D816" s="0" t="inlineStr">
        <is>
          <t xml:space="preserve">no</t>
        </is>
      </c>
      <c r="E816" s="0" t="inlineStr">
        <is>
          <t xml:space="preserve">PURCHASE ORDER</t>
        </is>
      </c>
      <c r="F816" s="0" t="inlineStr">
        <is>
          <t xml:space="preserve">2020-09-30</t>
        </is>
      </c>
      <c r="G816" s="0" t="inlineStr">
        <is>
          <t xml:space="preserve">2020-09-30</t>
        </is>
      </c>
      <c r="H816" s="4">
        <v>0.0</v>
      </c>
      <c r="I816" s="4">
        <v>0.0</v>
      </c>
    </row>
    <row r="817">
      <c r="B817" s="0" t="inlineStr">
        <is>
          <t xml:space="preserve">AUSTAL USA</t>
        </is>
      </c>
      <c r="C817" s="0" t="inlineStr">
        <is>
          <t xml:space="preserve">N5005415P0015</t>
        </is>
      </c>
      <c r="D817" s="0" t="inlineStr">
        <is>
          <t xml:space="preserve">no</t>
        </is>
      </c>
      <c r="E817" s="0" t="inlineStr">
        <is>
          <t xml:space="preserve">PURCHASE ORDER</t>
        </is>
      </c>
      <c r="F817" s="0" t="inlineStr">
        <is>
          <t xml:space="preserve">2015-04-14</t>
        </is>
      </c>
      <c r="G817" s="0" t="inlineStr">
        <is>
          <t xml:space="preserve">2015-04-14</t>
        </is>
      </c>
      <c r="H817" s="4">
        <v>0.0</v>
      </c>
      <c r="I817" s="4">
        <v>0.0</v>
      </c>
    </row>
    <row r="818">
      <c r="B818" s="0" t="inlineStr">
        <is>
          <t xml:space="preserve">AUSTAL USA</t>
        </is>
      </c>
      <c r="C818" s="0" t="inlineStr">
        <is>
          <t xml:space="preserve">N5523622P0032</t>
        </is>
      </c>
      <c r="D818" s="0" t="inlineStr">
        <is>
          <t xml:space="preserve">no</t>
        </is>
      </c>
      <c r="E818" s="0" t="inlineStr">
        <is>
          <t xml:space="preserve">PURCHASE ORDER</t>
        </is>
      </c>
      <c r="F818" s="0" t="inlineStr">
        <is>
          <t xml:space="preserve">2022-01-18</t>
        </is>
      </c>
      <c r="G818" s="0" t="inlineStr">
        <is>
          <t xml:space="preserve">2022-02-03</t>
        </is>
      </c>
      <c r="H818" s="4">
        <v>0.0</v>
      </c>
      <c r="I818" s="4">
        <v>0.0</v>
      </c>
    </row>
    <row r="819">
      <c r="B819" s="0" t="inlineStr">
        <is>
          <t xml:space="preserve">AUSTAL USA</t>
        </is>
      </c>
      <c r="C819" s="0" t="inlineStr">
        <is>
          <t xml:space="preserve">N0016722P0028</t>
        </is>
      </c>
      <c r="D819" s="0" t="inlineStr">
        <is>
          <t xml:space="preserve">no</t>
        </is>
      </c>
      <c r="E819" s="0" t="inlineStr">
        <is>
          <t xml:space="preserve">PURCHASE ORDER</t>
        </is>
      </c>
      <c r="F819" s="0" t="inlineStr">
        <is>
          <t xml:space="preserve">2022-01-13</t>
        </is>
      </c>
      <c r="G819" s="0" t="inlineStr">
        <is>
          <t xml:space="preserve">2022-01-13</t>
        </is>
      </c>
      <c r="H819" s="4">
        <v>0.0</v>
      </c>
      <c r="I819" s="4">
        <v>0.0</v>
      </c>
    </row>
    <row r="820">
      <c r="B820" s="0" t="inlineStr">
        <is>
          <t xml:space="preserve">AUSTAL USA</t>
        </is>
      </c>
      <c r="C820" s="0" t="inlineStr">
        <is>
          <t xml:space="preserve">N5523620F0116</t>
        </is>
      </c>
      <c r="D820" s="0" t="inlineStr">
        <is>
          <t xml:space="preserve">no</t>
        </is>
      </c>
      <c r="E820" s="0" t="inlineStr">
        <is>
          <t xml:space="preserve">DELIVERY ORDER</t>
        </is>
      </c>
      <c r="F820" s="0" t="inlineStr">
        <is>
          <t xml:space="preserve">2019-12-13</t>
        </is>
      </c>
      <c r="G820" s="0" t="inlineStr">
        <is>
          <t xml:space="preserve">2019-12-13</t>
        </is>
      </c>
      <c r="H820" s="4">
        <v>0.0</v>
      </c>
      <c r="I820" s="4">
        <v>0.0</v>
      </c>
    </row>
    <row r="821">
      <c r="B821" s="0" t="inlineStr">
        <is>
          <t xml:space="preserve">AUSTAL USA</t>
        </is>
      </c>
      <c r="C821" s="0" t="inlineStr">
        <is>
          <t xml:space="preserve">N5523621P0175</t>
        </is>
      </c>
      <c r="D821" s="0" t="inlineStr">
        <is>
          <t xml:space="preserve">no</t>
        </is>
      </c>
      <c r="E821" s="0" t="inlineStr">
        <is>
          <t xml:space="preserve">PURCHASE ORDER</t>
        </is>
      </c>
      <c r="F821" s="0" t="inlineStr">
        <is>
          <t xml:space="preserve">2021-09-23</t>
        </is>
      </c>
      <c r="G821" s="0" t="inlineStr">
        <is>
          <t xml:space="preserve">2021-09-23</t>
        </is>
      </c>
      <c r="H821" s="4">
        <v>0.0</v>
      </c>
      <c r="I821" s="4">
        <v>0.0</v>
      </c>
    </row>
    <row r="822">
      <c r="B822" s="0" t="inlineStr">
        <is>
          <t xml:space="preserve">AUSTAL USA</t>
        </is>
      </c>
      <c r="C822" s="0" t="inlineStr">
        <is>
          <t xml:space="preserve">N6817122P0142</t>
        </is>
      </c>
      <c r="D822" s="0" t="inlineStr">
        <is>
          <t xml:space="preserve">no</t>
        </is>
      </c>
      <c r="E822" s="0" t="inlineStr">
        <is>
          <t xml:space="preserve">PURCHASE ORDER</t>
        </is>
      </c>
      <c r="F822" s="0" t="inlineStr">
        <is>
          <t xml:space="preserve">2022-05-10</t>
        </is>
      </c>
      <c r="G822" s="0" t="inlineStr">
        <is>
          <t xml:space="preserve">2022-05-10</t>
        </is>
      </c>
      <c r="H822" s="4">
        <v>0.0</v>
      </c>
      <c r="I822" s="4">
        <v>0.0</v>
      </c>
    </row>
    <row r="823">
      <c r="B823" s="0" t="inlineStr">
        <is>
          <t xml:space="preserve">AUSTAL USA</t>
        </is>
      </c>
      <c r="C823" s="0" t="inlineStr">
        <is>
          <t xml:space="preserve">N5523619P0039</t>
        </is>
      </c>
      <c r="D823" s="0" t="inlineStr">
        <is>
          <t xml:space="preserve">no</t>
        </is>
      </c>
      <c r="E823" s="0" t="inlineStr">
        <is>
          <t xml:space="preserve">PURCHASE ORDER</t>
        </is>
      </c>
      <c r="F823" s="0" t="inlineStr">
        <is>
          <t xml:space="preserve">2019-02-08</t>
        </is>
      </c>
      <c r="G823" s="0" t="inlineStr">
        <is>
          <t xml:space="preserve">2019-02-08</t>
        </is>
      </c>
      <c r="H823" s="4">
        <v>0.0</v>
      </c>
      <c r="I823" s="4">
        <v>0.0</v>
      </c>
    </row>
    <row r="824">
      <c r="B824" s="0" t="inlineStr">
        <is>
          <t xml:space="preserve">AUSTAL USA</t>
        </is>
      </c>
      <c r="C824" s="0" t="inlineStr">
        <is>
          <t xml:space="preserve">SPE7L123P2532</t>
        </is>
      </c>
      <c r="D824" s="0" t="inlineStr">
        <is>
          <t xml:space="preserve">no</t>
        </is>
      </c>
      <c r="E824" s="0" t="inlineStr">
        <is>
          <t xml:space="preserve">PURCHASE ORDER</t>
        </is>
      </c>
      <c r="F824" s="0" t="inlineStr">
        <is>
          <t xml:space="preserve">2022-12-22</t>
        </is>
      </c>
      <c r="G824" s="0" t="inlineStr">
        <is>
          <t xml:space="preserve">2024-03-12</t>
        </is>
      </c>
      <c r="H824" s="4">
        <v>0.0</v>
      </c>
      <c r="I824" s="4">
        <v>0.0</v>
      </c>
    </row>
    <row r="825">
      <c r="B825" s="0" t="inlineStr">
        <is>
          <t xml:space="preserve">AUSTAL USA</t>
        </is>
      </c>
      <c r="C825" s="0" t="inlineStr">
        <is>
          <t xml:space="preserve">N5523624P0011</t>
        </is>
      </c>
      <c r="D825" s="0" t="inlineStr">
        <is>
          <t xml:space="preserve">no</t>
        </is>
      </c>
      <c r="E825" s="0" t="inlineStr">
        <is>
          <t xml:space="preserve">PURCHASE ORDER</t>
        </is>
      </c>
      <c r="F825" s="0" t="inlineStr">
        <is>
          <t xml:space="preserve">2024-01-03</t>
        </is>
      </c>
      <c r="G825" s="0" t="inlineStr">
        <is>
          <t xml:space="preserve">2024-01-11</t>
        </is>
      </c>
      <c r="H825" s="4">
        <v>0.0</v>
      </c>
      <c r="I825" s="4">
        <v>0.0</v>
      </c>
    </row>
    <row r="826">
      <c r="B826" s="0" t="inlineStr">
        <is>
          <t xml:space="preserve">AUSTAL USA</t>
        </is>
      </c>
      <c r="C826" s="0" t="inlineStr">
        <is>
          <t xml:space="preserve">SPE7L323P7737</t>
        </is>
      </c>
      <c r="D826" s="0" t="inlineStr">
        <is>
          <t xml:space="preserve">no</t>
        </is>
      </c>
      <c r="E826" s="0" t="inlineStr">
        <is>
          <t xml:space="preserve">PURCHASE ORDER</t>
        </is>
      </c>
      <c r="F826" s="0" t="inlineStr">
        <is>
          <t xml:space="preserve">2023-09-14</t>
        </is>
      </c>
      <c r="G826" s="0" t="inlineStr">
        <is>
          <t xml:space="preserve">2024-03-12</t>
        </is>
      </c>
      <c r="H826" s="4">
        <v>0.0</v>
      </c>
      <c r="I826" s="4">
        <v>0.0</v>
      </c>
    </row>
    <row r="827">
      <c r="B827" s="0" t="inlineStr">
        <is>
          <t xml:space="preserve">AUSTAL USA</t>
        </is>
      </c>
      <c r="C827" s="0" t="inlineStr">
        <is>
          <t xml:space="preserve">N5523619D0012</t>
        </is>
      </c>
      <c r="D827" s="0" t="inlineStr">
        <is>
          <t xml:space="preserve">no</t>
        </is>
      </c>
      <c r="E827" s="0" t="inlineStr">
        <is>
          <t xml:space="preserve">IDC</t>
        </is>
      </c>
      <c r="F827" s="0" t="inlineStr">
        <is>
          <t xml:space="preserve">2019-09-30</t>
        </is>
      </c>
      <c r="G827" s="0" t="inlineStr">
        <is>
          <t xml:space="preserve">2019-09-30</t>
        </is>
      </c>
      <c r="H827" s="4">
        <v>0.2</v>
      </c>
      <c r="I827" s="4">
        <v>0.0</v>
      </c>
    </row>
    <row r="828">
      <c r="B828" s="0" t="inlineStr">
        <is>
          <t xml:space="preserve">AUSTAL USA</t>
        </is>
      </c>
      <c r="C828" s="0" t="inlineStr">
        <is>
          <t xml:space="preserve">N5005425P0391</t>
        </is>
      </c>
      <c r="D828" s="0" t="inlineStr">
        <is>
          <t xml:space="preserve">no</t>
        </is>
      </c>
      <c r="E828" s="0" t="inlineStr">
        <is>
          <t xml:space="preserve">PURCHASE ORDER</t>
        </is>
      </c>
      <c r="F828" s="0" t="inlineStr">
        <is>
          <t xml:space="preserve">2025-09-04</t>
        </is>
      </c>
      <c r="G828" s="0" t="inlineStr">
        <is>
          <t xml:space="preserve">2025-09-04</t>
        </is>
      </c>
      <c r="H828" s="4">
        <v>0.0</v>
      </c>
      <c r="I828" s="4">
        <v>0.0</v>
      </c>
    </row>
    <row r="829">
      <c r="B829" s="0" t="inlineStr">
        <is>
          <t xml:space="preserve">AUSTAL USA</t>
        </is>
      </c>
      <c r="C829" s="0" t="inlineStr">
        <is>
          <t xml:space="preserve">N5523619P0043</t>
        </is>
      </c>
      <c r="D829" s="0" t="inlineStr">
        <is>
          <t xml:space="preserve">no</t>
        </is>
      </c>
      <c r="E829" s="0" t="inlineStr">
        <is>
          <t xml:space="preserve">PURCHASE ORDER</t>
        </is>
      </c>
      <c r="F829" s="0" t="inlineStr">
        <is>
          <t xml:space="preserve">2019-02-22</t>
        </is>
      </c>
      <c r="G829" s="0" t="inlineStr">
        <is>
          <t xml:space="preserve">2019-02-22</t>
        </is>
      </c>
      <c r="H829" s="4">
        <v>0.0</v>
      </c>
      <c r="I829" s="4">
        <v>0.0</v>
      </c>
    </row>
    <row r="830">
      <c r="B830" s="0" t="inlineStr">
        <is>
          <t xml:space="preserve">AUSTAL USA</t>
        </is>
      </c>
      <c r="C830" s="0" t="inlineStr">
        <is>
          <t xml:space="preserve">N5523625P0031</t>
        </is>
      </c>
      <c r="D830" s="0" t="inlineStr">
        <is>
          <t xml:space="preserve">no</t>
        </is>
      </c>
      <c r="E830" s="0" t="inlineStr">
        <is>
          <t xml:space="preserve">PURCHASE ORDER</t>
        </is>
      </c>
      <c r="F830" s="0" t="inlineStr">
        <is>
          <t xml:space="preserve">2025-01-31</t>
        </is>
      </c>
      <c r="G830" s="0" t="inlineStr">
        <is>
          <t xml:space="preserve">2025-01-31</t>
        </is>
      </c>
      <c r="H830" s="4">
        <v>0.0</v>
      </c>
      <c r="I830" s="4">
        <v>0.0</v>
      </c>
    </row>
    <row r="831">
      <c r="B831" s="0" t="inlineStr">
        <is>
          <t xml:space="preserve">AUSTAL USA</t>
        </is>
      </c>
      <c r="C831" s="0" t="inlineStr">
        <is>
          <t xml:space="preserve">N5005422P0130</t>
        </is>
      </c>
      <c r="D831" s="0" t="inlineStr">
        <is>
          <t xml:space="preserve">no</t>
        </is>
      </c>
      <c r="E831" s="0" t="inlineStr">
        <is>
          <t xml:space="preserve">PURCHASE ORDER</t>
        </is>
      </c>
      <c r="F831" s="0" t="inlineStr">
        <is>
          <t xml:space="preserve">2022-05-18</t>
        </is>
      </c>
      <c r="G831" s="0" t="inlineStr">
        <is>
          <t xml:space="preserve">2022-05-18</t>
        </is>
      </c>
      <c r="H831" s="4">
        <v>0.0</v>
      </c>
      <c r="I831" s="4">
        <v>0.0</v>
      </c>
    </row>
    <row r="832">
      <c r="B832" s="0" t="inlineStr">
        <is>
          <t xml:space="preserve">AUSTAL USA</t>
        </is>
      </c>
      <c r="C832" s="0" t="inlineStr">
        <is>
          <t xml:space="preserve">N5523620F0133</t>
        </is>
      </c>
      <c r="D832" s="0" t="inlineStr">
        <is>
          <t xml:space="preserve">no</t>
        </is>
      </c>
      <c r="E832" s="0" t="inlineStr">
        <is>
          <t xml:space="preserve">DELIVERY ORDER</t>
        </is>
      </c>
      <c r="F832" s="0" t="inlineStr">
        <is>
          <t xml:space="preserve">2019-12-19</t>
        </is>
      </c>
      <c r="G832" s="0" t="inlineStr">
        <is>
          <t xml:space="preserve">2019-12-19</t>
        </is>
      </c>
      <c r="H832" s="4">
        <v>0.0</v>
      </c>
      <c r="I832" s="4">
        <v>0.0</v>
      </c>
    </row>
    <row r="833">
      <c r="B833" s="0" t="inlineStr">
        <is>
          <t xml:space="preserve">AUSTAL USA</t>
        </is>
      </c>
      <c r="C833" s="0" t="inlineStr">
        <is>
          <t xml:space="preserve">N5523619F0572</t>
        </is>
      </c>
      <c r="D833" s="0" t="inlineStr">
        <is>
          <t xml:space="preserve">no</t>
        </is>
      </c>
      <c r="E833" s="0" t="inlineStr">
        <is>
          <t xml:space="preserve">DELIVERY ORDER</t>
        </is>
      </c>
      <c r="F833" s="0" t="inlineStr">
        <is>
          <t xml:space="preserve">2019-09-30</t>
        </is>
      </c>
      <c r="G833" s="0" t="inlineStr">
        <is>
          <t xml:space="preserve">2019-09-30</t>
        </is>
      </c>
      <c r="H833" s="4">
        <v>0.0</v>
      </c>
      <c r="I833" s="4">
        <v>0.0</v>
      </c>
    </row>
    <row r="834">
      <c r="B834" s="0" t="inlineStr">
        <is>
          <t xml:space="preserve">AUSTAL USA</t>
        </is>
      </c>
      <c r="C834" s="0" t="inlineStr">
        <is>
          <t xml:space="preserve">N5523621P0068</t>
        </is>
      </c>
      <c r="D834" s="0" t="inlineStr">
        <is>
          <t xml:space="preserve">no</t>
        </is>
      </c>
      <c r="E834" s="0" t="inlineStr">
        <is>
          <t xml:space="preserve">PURCHASE ORDER</t>
        </is>
      </c>
      <c r="F834" s="0" t="inlineStr">
        <is>
          <t xml:space="preserve">2021-02-26</t>
        </is>
      </c>
      <c r="G834" s="0" t="inlineStr">
        <is>
          <t xml:space="preserve">2021-02-26</t>
        </is>
      </c>
      <c r="H834" s="4">
        <v>0.0</v>
      </c>
      <c r="I834" s="4">
        <v>0.0</v>
      </c>
    </row>
    <row r="835">
      <c r="B835" s="0" t="inlineStr">
        <is>
          <t xml:space="preserve">AUSTAL USA</t>
        </is>
      </c>
      <c r="C835" s="0" t="inlineStr">
        <is>
          <t xml:space="preserve">SPE4A726P1882</t>
        </is>
      </c>
      <c r="D835" s="0" t="inlineStr">
        <is>
          <t xml:space="preserve">no</t>
        </is>
      </c>
      <c r="E835" s="0" t="inlineStr">
        <is>
          <t xml:space="preserve">PURCHASE ORDER</t>
        </is>
      </c>
      <c r="F835" s="0" t="inlineStr">
        <is>
          <t xml:space="preserve">2025-11-03</t>
        </is>
      </c>
      <c r="G835" s="0" t="inlineStr">
        <is>
          <t xml:space="preserve">2025-11-03</t>
        </is>
      </c>
      <c r="H835" s="4">
        <v>0.0</v>
      </c>
      <c r="I835" s="4">
        <v>0.0</v>
      </c>
    </row>
    <row r="836">
      <c r="B836" s="0" t="inlineStr">
        <is>
          <t xml:space="preserve">AUSTAL USA</t>
        </is>
      </c>
      <c r="C836" s="0" t="inlineStr">
        <is>
          <t xml:space="preserve">SPE7M026V2697</t>
        </is>
      </c>
      <c r="D836" s="0" t="inlineStr">
        <is>
          <t xml:space="preserve">no</t>
        </is>
      </c>
      <c r="E836" s="0" t="inlineStr">
        <is>
          <t xml:space="preserve">PURCHASE ORDER</t>
        </is>
      </c>
      <c r="F836" s="0" t="inlineStr">
        <is>
          <t xml:space="preserve">2026-03-18</t>
        </is>
      </c>
      <c r="G836" s="0" t="inlineStr">
        <is>
          <t xml:space="preserve">2026-03-18</t>
        </is>
      </c>
      <c r="H836" s="4">
        <v>0.0</v>
      </c>
      <c r="I836" s="4">
        <v>0.0</v>
      </c>
    </row>
    <row r="837">
      <c r="B837" s="0" t="inlineStr">
        <is>
          <t xml:space="preserve">AUSTAL USA</t>
        </is>
      </c>
      <c r="C837" s="0" t="inlineStr">
        <is>
          <t xml:space="preserve">SPE4A625V508R</t>
        </is>
      </c>
      <c r="D837" s="0" t="inlineStr">
        <is>
          <t xml:space="preserve">no</t>
        </is>
      </c>
      <c r="E837" s="0" t="inlineStr">
        <is>
          <t xml:space="preserve">PURCHASE ORDER</t>
        </is>
      </c>
      <c r="F837" s="0" t="inlineStr">
        <is>
          <t xml:space="preserve">2025-08-07</t>
        </is>
      </c>
      <c r="G837" s="0" t="inlineStr">
        <is>
          <t xml:space="preserve">2025-08-07</t>
        </is>
      </c>
      <c r="H837" s="4">
        <v>0.0</v>
      </c>
      <c r="I837" s="4">
        <v>0.0</v>
      </c>
    </row>
    <row r="838">
      <c r="B838" s="0" t="inlineStr">
        <is>
          <t xml:space="preserve">AUSTAL USA</t>
        </is>
      </c>
      <c r="C838" s="0" t="inlineStr">
        <is>
          <t xml:space="preserve">SPE4A125P1463</t>
        </is>
      </c>
      <c r="D838" s="0" t="inlineStr">
        <is>
          <t xml:space="preserve">no</t>
        </is>
      </c>
      <c r="E838" s="0" t="inlineStr">
        <is>
          <t xml:space="preserve">PURCHASE ORDER</t>
        </is>
      </c>
      <c r="F838" s="0" t="inlineStr">
        <is>
          <t xml:space="preserve">2025-06-11</t>
        </is>
      </c>
      <c r="G838" s="0" t="inlineStr">
        <is>
          <t xml:space="preserve">2025-06-11</t>
        </is>
      </c>
      <c r="H838" s="4">
        <v>0.0</v>
      </c>
      <c r="I838" s="4">
        <v>0.0</v>
      </c>
    </row>
    <row r="839">
      <c r="B839" s="0" t="inlineStr">
        <is>
          <t xml:space="preserve">AUSTAL USA</t>
        </is>
      </c>
      <c r="C839" s="0" t="inlineStr">
        <is>
          <t xml:space="preserve">SPE4A625PZ056</t>
        </is>
      </c>
      <c r="D839" s="0" t="inlineStr">
        <is>
          <t xml:space="preserve">no</t>
        </is>
      </c>
      <c r="E839" s="0" t="inlineStr">
        <is>
          <t xml:space="preserve">PURCHASE ORDER</t>
        </is>
      </c>
      <c r="F839" s="0" t="inlineStr">
        <is>
          <t xml:space="preserve">2024-10-22</t>
        </is>
      </c>
      <c r="G839" s="0" t="inlineStr">
        <is>
          <t xml:space="preserve">2024-10-22</t>
        </is>
      </c>
      <c r="H839" s="4">
        <v>0.0</v>
      </c>
      <c r="I839" s="4">
        <v>0.0</v>
      </c>
    </row>
    <row r="840">
      <c r="B840" s="0" t="inlineStr">
        <is>
          <t xml:space="preserve">AUSTAL USA</t>
        </is>
      </c>
      <c r="C840" s="0" t="inlineStr">
        <is>
          <t xml:space="preserve">N4034524F0509</t>
        </is>
      </c>
      <c r="D840" s="0" t="inlineStr">
        <is>
          <t xml:space="preserve">no</t>
        </is>
      </c>
      <c r="E840" s="0" t="inlineStr">
        <is>
          <t xml:space="preserve">DELIVERY ORDER</t>
        </is>
      </c>
      <c r="F840" s="0" t="inlineStr">
        <is>
          <t xml:space="preserve">2024-07-15</t>
        </is>
      </c>
      <c r="G840" s="0" t="inlineStr">
        <is>
          <t xml:space="preserve">2024-07-15</t>
        </is>
      </c>
      <c r="H840" s="4">
        <v>0.0</v>
      </c>
      <c r="I840" s="4">
        <v>0.0</v>
      </c>
    </row>
    <row r="841">
      <c r="B841" s="0" t="inlineStr">
        <is>
          <t xml:space="preserve">AUSTAL USA</t>
        </is>
      </c>
      <c r="C841" s="0" t="inlineStr">
        <is>
          <t xml:space="preserve">N3220521F0001</t>
        </is>
      </c>
      <c r="D841" s="0" t="inlineStr">
        <is>
          <t xml:space="preserve">no</t>
        </is>
      </c>
      <c r="E841" s="0" t="inlineStr">
        <is>
          <t xml:space="preserve">DELIVERY ORDER</t>
        </is>
      </c>
      <c r="F841" s="0" t="inlineStr">
        <is>
          <t xml:space="preserve">2020-10-01</t>
        </is>
      </c>
      <c r="G841" s="0" t="inlineStr">
        <is>
          <t xml:space="preserve">2020-10-01</t>
        </is>
      </c>
      <c r="H841" s="4">
        <v>0.0</v>
      </c>
      <c r="I841" s="4">
        <v>0.0</v>
      </c>
    </row>
    <row r="842">
      <c r="B842" s="0" t="inlineStr">
        <is>
          <t xml:space="preserve">AUSTAL USA</t>
        </is>
      </c>
      <c r="C842" s="0" t="inlineStr">
        <is>
          <t xml:space="preserve">SPRMM122PYA45</t>
        </is>
      </c>
      <c r="D842" s="0" t="inlineStr">
        <is>
          <t xml:space="preserve">no</t>
        </is>
      </c>
      <c r="E842" s="0" t="inlineStr">
        <is>
          <t xml:space="preserve">PURCHASE ORDER</t>
        </is>
      </c>
      <c r="F842" s="0" t="inlineStr">
        <is>
          <t xml:space="preserve">2024-08-22</t>
        </is>
      </c>
      <c r="G842" s="0" t="inlineStr">
        <is>
          <t xml:space="preserve">2024-08-22</t>
        </is>
      </c>
      <c r="H842" s="4">
        <v>0.0</v>
      </c>
      <c r="I842" s="4">
        <v>0.0</v>
      </c>
    </row>
    <row r="843">
      <c r="B843" s="0" t="inlineStr">
        <is>
          <t xml:space="preserve">AUSTAL USA</t>
        </is>
      </c>
      <c r="C843" s="0" t="inlineStr">
        <is>
          <t xml:space="preserve">SPRMM120VYA45</t>
        </is>
      </c>
      <c r="D843" s="0" t="inlineStr">
        <is>
          <t xml:space="preserve">no</t>
        </is>
      </c>
      <c r="E843" s="0" t="inlineStr">
        <is>
          <t xml:space="preserve">PURCHASE ORDER</t>
        </is>
      </c>
      <c r="F843" s="0" t="inlineStr">
        <is>
          <t xml:space="preserve">2024-06-05</t>
        </is>
      </c>
      <c r="G843" s="0" t="inlineStr">
        <is>
          <t xml:space="preserve">2024-06-05</t>
        </is>
      </c>
      <c r="H843" s="4">
        <v>0.0</v>
      </c>
      <c r="I843" s="4">
        <v>0.0</v>
      </c>
    </row>
  </sheetData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16" customWidth="1"/>
    <col min="3" max="3" width="12" customWidth="1"/>
    <col min="4" max="4" width="11" customWidth="1"/>
    <col min="5" max="5" width="30" customWidth="1"/>
    <col min="6" max="6" width="8" customWidth="1"/>
    <col min="7" max="7" width="7" customWidth="1"/>
    <col min="8" max="8" width="13" customWidth="1"/>
    <col min="9" max="9" width="8" customWidth="1"/>
    <col min="10" max="10" width="14" customWidth="1"/>
    <col min="11" max="11" width="13" customWidth="1"/>
    <col min="12" max="12" width="34" customWidth="1"/>
    <col min="13" max="13" width="22" customWidth="1"/>
    <col min="14" max="14" width="12" customWidth="1"/>
    <col min="15" max="15" width="13" customWidth="1"/>
    <col min="16" max="16" width="20" customWidth="1"/>
    <col min="17" max="17" width="15" customWidth="1"/>
  </cols>
  <sheetData>
    <row r="1"/>
    <row r="2">
      <c r="B2" s="8" t="inlineStr">
        <is>
          <t xml:space="preserve">Recompete Radar</t>
        </is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>
      <c r="B3" s="60" t="inlineStr">
        <is>
          <t xml:space="preserve">Clock is the FPDS ordering-period end (lastDateToOrder for an IDV, ultimateCompletionDate for a standalone); an indicator, not a guaranteed date. Clock Basis and Prev Clock show the re-base off the Stage-2 order-PoP. Portal Notice is the matching SAM Opportunities notice.</t>
        </is>
      </c>
    </row>
    <row r="5">
      <c r="B5" s="9" t="inlineStr">
        <is>
          <t xml:space="preserve">§1 - Vehicles surfaced by the recompete clock (FPDS ordering-period end)</t>
        </is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7">
      <c r="B7" s="2" t="inlineStr">
        <is>
          <t xml:space="preserve">Vehicle PIID</t>
        </is>
      </c>
      <c r="C7" s="2" t="inlineStr">
        <is>
          <t xml:space="preserve">Tier</t>
        </is>
      </c>
      <c r="D7" s="2" t="inlineStr">
        <is>
          <t xml:space="preserve">Type</t>
        </is>
      </c>
      <c r="E7" s="2" t="inlineStr">
        <is>
          <t xml:space="preserve">Incumbent</t>
        </is>
      </c>
      <c r="F7" s="2" t="inlineStr">
        <is>
          <t xml:space="preserve">NAICS</t>
        </is>
      </c>
      <c r="G7" s="2" t="inlineStr">
        <is>
          <t xml:space="preserve">PSC</t>
        </is>
      </c>
      <c r="H7" s="22" t="inlineStr">
        <is>
          <t xml:space="preserve">Obligated $M</t>
        </is>
      </c>
      <c r="I7" s="22" t="inlineStr">
        <is>
          <t xml:space="preserve">Orders</t>
        </is>
      </c>
      <c r="J7" s="2" t="inlineStr">
        <is>
          <t xml:space="preserve">Recompete Clock</t>
        </is>
      </c>
      <c r="K7" s="22" t="inlineStr">
        <is>
          <t xml:space="preserve">Months to Clock</t>
        </is>
      </c>
      <c r="L7" s="2" t="inlineStr">
        <is>
          <t xml:space="preserve">State</t>
        </is>
      </c>
      <c r="M7" s="2" t="inlineStr">
        <is>
          <t xml:space="preserve">Access Gate</t>
        </is>
      </c>
      <c r="N7" s="2" t="inlineStr">
        <is>
          <t xml:space="preserve">Portal Notice</t>
        </is>
      </c>
      <c r="O7" s="2" t="inlineStr">
        <is>
          <t xml:space="preserve">Last Activity</t>
        </is>
      </c>
      <c r="P7" s="2" t="inlineStr">
        <is>
          <t xml:space="preserve">Clock Basis</t>
        </is>
      </c>
      <c r="Q7" s="2" t="inlineStr">
        <is>
          <t xml:space="preserve">Prev Clock (S2)</t>
        </is>
      </c>
    </row>
    <row r="8">
      <c r="B8" s="0" t="inlineStr">
        <is>
          <t xml:space="preserve">N0002409G2300</t>
        </is>
      </c>
      <c r="C8" s="0" t="inlineStr">
        <is>
          <t xml:space="preserve">other_small</t>
        </is>
      </c>
      <c r="D8" s="0" t="inlineStr">
        <is>
          <t xml:space="preserve">IDV</t>
        </is>
      </c>
      <c r="E8" s="0" t="inlineStr">
        <is>
          <t xml:space="preserve">LOCKHEED MARTIN CORPORATION</t>
        </is>
      </c>
      <c r="F8" s="0" t="inlineStr">
        <is>
          <t xml:space="preserve">336611</t>
        </is>
      </c>
      <c r="G8" s="0" t="inlineStr">
        <is>
          <t xml:space="preserve">1990</t>
        </is>
      </c>
      <c r="H8" s="4">
        <v>31.8</v>
      </c>
      <c r="I8" s="44">
        <v>8</v>
      </c>
      <c r="J8" s="0" t="inlineStr">
        <is>
          <t xml:space="preserve">2013-10-30</t>
        </is>
      </c>
      <c r="K8" s="4">
        <v>-151.9</v>
      </c>
      <c r="L8" s="0" t="inlineStr">
        <is>
          <t xml:space="preserve">OVERDUE (ordering period closed, no successor seen)</t>
        </is>
      </c>
      <c r="M8" s="0" t="inlineStr">
        <is>
          <t xml:space="preserve">holders-only (FAR 16.5)</t>
        </is>
      </c>
      <c r="N8" s="0" t="inlineStr">
        <is>
          <t xml:space="preserve">NONE</t>
        </is>
      </c>
      <c r="O8" s="0" t="inlineStr">
        <is>
          <t xml:space="preserve">2026-03-05</t>
        </is>
      </c>
      <c r="P8" s="0" t="inlineStr">
        <is>
          <t xml:space="preserve">lastDateToOrder</t>
        </is>
      </c>
      <c r="Q8" s="0" t="inlineStr">
        <is>
          <t xml:space="preserve">2026-04-30</t>
        </is>
      </c>
    </row>
    <row r="9">
      <c r="B9" s="0" t="inlineStr">
        <is>
          <t xml:space="preserve">H9222211D0080</t>
        </is>
      </c>
      <c r="C9" s="0" t="inlineStr">
        <is>
          <t xml:space="preserve">small_craft</t>
        </is>
      </c>
      <c r="D9" s="0" t="inlineStr">
        <is>
          <t xml:space="preserve">IDV</t>
        </is>
      </c>
      <c r="E9" s="0" t="inlineStr">
        <is>
          <t xml:space="preserve">VIGOR WORKS LLC</t>
        </is>
      </c>
      <c r="F9" s="0" t="inlineStr">
        <is>
          <t xml:space="preserve">336612</t>
        </is>
      </c>
      <c r="G9" s="0" t="inlineStr">
        <is>
          <t xml:space="preserve">1940</t>
        </is>
      </c>
      <c r="H9" s="4">
        <v>66.9</v>
      </c>
      <c r="I9" s="44">
        <v>1</v>
      </c>
      <c r="J9" s="0" t="inlineStr">
        <is>
          <t xml:space="preserve">2021-11-30</t>
        </is>
      </c>
      <c r="K9" s="4">
        <v>-54.8</v>
      </c>
      <c r="L9" s="0" t="inlineStr">
        <is>
          <t xml:space="preserve">OVERDUE (ordering period closed, no successor seen)</t>
        </is>
      </c>
      <c r="M9" s="0" t="inlineStr">
        <is>
          <t xml:space="preserve">holders-only (FAR 16.5)</t>
        </is>
      </c>
      <c r="N9" s="0" t="inlineStr">
        <is>
          <t xml:space="preserve">NONE</t>
        </is>
      </c>
      <c r="O9" s="0" t="inlineStr">
        <is>
          <t xml:space="preserve">2025-12-18</t>
        </is>
      </c>
      <c r="P9" s="0" t="inlineStr">
        <is>
          <t xml:space="preserve">lastDateToOrder</t>
        </is>
      </c>
      <c r="Q9" s="0" t="inlineStr">
        <is>
          <t xml:space="preserve">2026-10-30</t>
        </is>
      </c>
    </row>
    <row r="10">
      <c r="B10" s="0" t="inlineStr">
        <is>
          <t xml:space="preserve">N0002417D2201</t>
        </is>
      </c>
      <c r="C10" s="0" t="inlineStr">
        <is>
          <t xml:space="preserve">small_craft</t>
        </is>
      </c>
      <c r="D10" s="0" t="inlineStr">
        <is>
          <t xml:space="preserve">IDV</t>
        </is>
      </c>
      <c r="E10" s="0" t="inlineStr">
        <is>
          <t xml:space="preserve">GRAVOIS ALUMINUM BOATS LLC</t>
        </is>
      </c>
      <c r="F10" s="0" t="inlineStr">
        <is>
          <t xml:space="preserve">336612</t>
        </is>
      </c>
      <c r="G10" s="0" t="inlineStr">
        <is>
          <t xml:space="preserve">1940</t>
        </is>
      </c>
      <c r="H10" s="4">
        <v>80.5</v>
      </c>
      <c r="I10" s="44">
        <v>14</v>
      </c>
      <c r="J10" s="0" t="inlineStr">
        <is>
          <t xml:space="preserve">2022-05-31</t>
        </is>
      </c>
      <c r="K10" s="4">
        <v>-48.8</v>
      </c>
      <c r="L10" s="0" t="inlineStr">
        <is>
          <t xml:space="preserve">OVERDUE (ordering period closed, no successor seen)</t>
        </is>
      </c>
      <c r="M10" s="0" t="inlineStr">
        <is>
          <t xml:space="preserve">holders-only (FAR 16.5)</t>
        </is>
      </c>
      <c r="N10" s="0" t="inlineStr">
        <is>
          <t xml:space="preserve">NONE</t>
        </is>
      </c>
      <c r="O10" s="0" t="inlineStr">
        <is>
          <t xml:space="preserve">2025-11-06</t>
        </is>
      </c>
      <c r="P10" s="0" t="inlineStr">
        <is>
          <t xml:space="preserve">lastDateToOrder</t>
        </is>
      </c>
      <c r="Q10" s="0" t="inlineStr">
        <is>
          <t xml:space="preserve">2027-06-30</t>
        </is>
      </c>
    </row>
    <row r="11">
      <c r="B11" s="0" t="inlineStr">
        <is>
          <t xml:space="preserve">N0002415D2214</t>
        </is>
      </c>
      <c r="C11" s="0" t="inlineStr">
        <is>
          <t xml:space="preserve">small_craft</t>
        </is>
      </c>
      <c r="D11" s="0" t="inlineStr">
        <is>
          <t xml:space="preserve">IDV</t>
        </is>
      </c>
      <c r="E11" s="0" t="inlineStr">
        <is>
          <t xml:space="preserve">METALCRAFT MARINE US, INC.</t>
        </is>
      </c>
      <c r="F11" s="0" t="inlineStr">
        <is>
          <t xml:space="preserve">336612</t>
        </is>
      </c>
      <c r="G11" s="0" t="inlineStr">
        <is>
          <t xml:space="preserve">1940</t>
        </is>
      </c>
      <c r="H11" s="4">
        <v>12.6</v>
      </c>
      <c r="I11" s="44">
        <v>12</v>
      </c>
      <c r="J11" s="0" t="inlineStr">
        <is>
          <t xml:space="preserve">2022-09-30</t>
        </is>
      </c>
      <c r="K11" s="4">
        <v>-44.8</v>
      </c>
      <c r="L11" s="0" t="inlineStr">
        <is>
          <t xml:space="preserve">OVERDUE (ordering period closed, no successor seen)</t>
        </is>
      </c>
      <c r="M11" s="0" t="inlineStr">
        <is>
          <t xml:space="preserve">holders-only (FAR 16.5)</t>
        </is>
      </c>
      <c r="N11" s="0" t="inlineStr">
        <is>
          <t xml:space="preserve">NONE</t>
        </is>
      </c>
      <c r="O11" s="0" t="inlineStr">
        <is>
          <t xml:space="preserve">2025-01-28</t>
        </is>
      </c>
      <c r="P11" s="0" t="inlineStr">
        <is>
          <t xml:space="preserve">lastDateToOrder</t>
        </is>
      </c>
      <c r="Q11" s="0" t="inlineStr">
        <is>
          <t xml:space="preserve">2026-03-02</t>
        </is>
      </c>
    </row>
    <row r="12">
      <c r="B12" s="0" t="inlineStr">
        <is>
          <t xml:space="preserve">N0002417D2209</t>
        </is>
      </c>
      <c r="C12" s="0" t="inlineStr">
        <is>
          <t xml:space="preserve">small_craft</t>
        </is>
      </c>
      <c r="D12" s="0" t="inlineStr">
        <is>
          <t xml:space="preserve">IDV</t>
        </is>
      </c>
      <c r="E12" s="0" t="inlineStr">
        <is>
          <t xml:space="preserve">GRAVOIS ALUMINUM BOATS LLC</t>
        </is>
      </c>
      <c r="F12" s="0" t="inlineStr">
        <is>
          <t xml:space="preserve">336612</t>
        </is>
      </c>
      <c r="G12" s="0" t="inlineStr">
        <is>
          <t xml:space="preserve">1940</t>
        </is>
      </c>
      <c r="H12" s="4">
        <v>117.8</v>
      </c>
      <c r="I12" s="44">
        <v>8</v>
      </c>
      <c r="J12" s="0" t="inlineStr">
        <is>
          <t xml:space="preserve">2023-09-30</t>
        </is>
      </c>
      <c r="K12" s="4">
        <v>-32.8</v>
      </c>
      <c r="L12" s="0" t="inlineStr">
        <is>
          <t xml:space="preserve">OVERDUE (ordering period closed, no successor seen)</t>
        </is>
      </c>
      <c r="M12" s="0" t="inlineStr">
        <is>
          <t xml:space="preserve">holders-only (FAR 16.5)</t>
        </is>
      </c>
      <c r="N12" s="0" t="inlineStr">
        <is>
          <t xml:space="preserve">NONE</t>
        </is>
      </c>
      <c r="O12" s="0" t="inlineStr">
        <is>
          <t xml:space="preserve">2025-06-17</t>
        </is>
      </c>
      <c r="P12" s="0" t="inlineStr">
        <is>
          <t xml:space="preserve">lastDateToOrder</t>
        </is>
      </c>
      <c r="Q12" s="0" t="inlineStr">
        <is>
          <t xml:space="preserve">2025-12-30</t>
        </is>
      </c>
    </row>
    <row r="13">
      <c r="B13" s="0" t="inlineStr">
        <is>
          <t xml:space="preserve">N0002417D2217</t>
        </is>
      </c>
      <c r="C13" s="0" t="inlineStr">
        <is>
          <t xml:space="preserve">small_craft</t>
        </is>
      </c>
      <c r="D13" s="0" t="inlineStr">
        <is>
          <t xml:space="preserve">IDV</t>
        </is>
      </c>
      <c r="E13" s="0" t="inlineStr">
        <is>
          <t xml:space="preserve">SNOW &amp; COMPANY, INC.</t>
        </is>
      </c>
      <c r="F13" s="0" t="inlineStr">
        <is>
          <t xml:space="preserve">336612</t>
        </is>
      </c>
      <c r="G13" s="0" t="inlineStr">
        <is>
          <t xml:space="preserve">1940</t>
        </is>
      </c>
      <c r="H13" s="4">
        <v>35.3</v>
      </c>
      <c r="I13" s="44">
        <v>9</v>
      </c>
      <c r="J13" s="0" t="inlineStr">
        <is>
          <t xml:space="preserve">2023-09-29</t>
        </is>
      </c>
      <c r="K13" s="4">
        <v>-32.8</v>
      </c>
      <c r="L13" s="0" t="inlineStr">
        <is>
          <t xml:space="preserve">OVERDUE (ordering period closed, no successor seen)</t>
        </is>
      </c>
      <c r="M13" s="0" t="inlineStr">
        <is>
          <t xml:space="preserve">holders-only (FAR 16.5)</t>
        </is>
      </c>
      <c r="N13" s="0" t="inlineStr">
        <is>
          <t xml:space="preserve">NONE</t>
        </is>
      </c>
      <c r="O13" s="0" t="inlineStr">
        <is>
          <t xml:space="preserve">2025-02-24</t>
        </is>
      </c>
      <c r="P13" s="0" t="inlineStr">
        <is>
          <t xml:space="preserve">lastDateToOrder</t>
        </is>
      </c>
      <c r="Q13" s="0" t="inlineStr">
        <is>
          <t xml:space="preserve">2026-02-27</t>
        </is>
      </c>
    </row>
    <row r="14">
      <c r="B14" s="0" t="inlineStr">
        <is>
          <t xml:space="preserve">N0002416D2215</t>
        </is>
      </c>
      <c r="C14" s="0" t="inlineStr">
        <is>
          <t xml:space="preserve">small_craft</t>
        </is>
      </c>
      <c r="D14" s="0" t="inlineStr">
        <is>
          <t xml:space="preserve">IDV</t>
        </is>
      </c>
      <c r="E14" s="0" t="inlineStr">
        <is>
          <t xml:space="preserve">UNITED STATES MARINE INC</t>
        </is>
      </c>
      <c r="F14" s="0" t="inlineStr">
        <is>
          <t xml:space="preserve">336612</t>
        </is>
      </c>
      <c r="G14" s="0" t="inlineStr">
        <is>
          <t xml:space="preserve">1940</t>
        </is>
      </c>
      <c r="H14" s="4">
        <v>44.0</v>
      </c>
      <c r="I14" s="44">
        <v>13</v>
      </c>
      <c r="J14" s="0" t="inlineStr">
        <is>
          <t xml:space="preserve">2023-09-30</t>
        </is>
      </c>
      <c r="K14" s="4">
        <v>-32.8</v>
      </c>
      <c r="L14" s="0" t="inlineStr">
        <is>
          <t xml:space="preserve">OVERDUE (ordering period closed, no successor seen)</t>
        </is>
      </c>
      <c r="M14" s="0" t="inlineStr">
        <is>
          <t xml:space="preserve">holders-only (FAR 16.5)</t>
        </is>
      </c>
      <c r="N14" s="0" t="inlineStr">
        <is>
          <t xml:space="preserve">NONE</t>
        </is>
      </c>
      <c r="O14" s="0" t="inlineStr">
        <is>
          <t xml:space="preserve">2024-09-27</t>
        </is>
      </c>
      <c r="P14" s="0" t="inlineStr">
        <is>
          <t xml:space="preserve">lastDateToOrder</t>
        </is>
      </c>
      <c r="Q14" s="0" t="inlineStr">
        <is>
          <t xml:space="preserve">2027-02-10</t>
        </is>
      </c>
    </row>
    <row r="15">
      <c r="B15" s="0" t="inlineStr">
        <is>
          <t xml:space="preserve">N0002419D2220</t>
        </is>
      </c>
      <c r="C15" s="0" t="inlineStr">
        <is>
          <t xml:space="preserve">small_craft</t>
        </is>
      </c>
      <c r="D15" s="0" t="inlineStr">
        <is>
          <t xml:space="preserve">IDV</t>
        </is>
      </c>
      <c r="E15" s="0" t="inlineStr">
        <is>
          <t xml:space="preserve">RIBCRAFT USA, LLC</t>
        </is>
      </c>
      <c r="F15" s="0" t="inlineStr">
        <is>
          <t xml:space="preserve">336612</t>
        </is>
      </c>
      <c r="G15" s="0" t="inlineStr">
        <is>
          <t xml:space="preserve">1940</t>
        </is>
      </c>
      <c r="H15" s="4">
        <v>27.5</v>
      </c>
      <c r="I15" s="44">
        <v>7</v>
      </c>
      <c r="J15" s="0" t="inlineStr">
        <is>
          <t xml:space="preserve">2024-04-03</t>
        </is>
      </c>
      <c r="K15" s="4">
        <v>-26.7</v>
      </c>
      <c r="L15" s="0" t="inlineStr">
        <is>
          <t xml:space="preserve">OVERDUE (ordering period closed, no successor seen)</t>
        </is>
      </c>
      <c r="M15" s="0" t="inlineStr">
        <is>
          <t xml:space="preserve">holders-only (FAR 16.5)</t>
        </is>
      </c>
      <c r="N15" s="0" t="inlineStr">
        <is>
          <t xml:space="preserve">NONE</t>
        </is>
      </c>
      <c r="O15" s="0" t="inlineStr">
        <is>
          <t xml:space="preserve">2025-12-02</t>
        </is>
      </c>
      <c r="P15" s="0" t="inlineStr">
        <is>
          <t xml:space="preserve">lastDateToOrder</t>
        </is>
      </c>
      <c r="Q15" s="0" t="inlineStr">
        <is>
          <t xml:space="preserve">2026-09-30</t>
        </is>
      </c>
    </row>
    <row r="16">
      <c r="B16" s="0" t="inlineStr">
        <is>
          <t xml:space="preserve">N0002420D2210</t>
        </is>
      </c>
      <c r="C16" s="0" t="inlineStr">
        <is>
          <t xml:space="preserve">small_craft</t>
        </is>
      </c>
      <c r="D16" s="0" t="inlineStr">
        <is>
          <t xml:space="preserve">IDV</t>
        </is>
      </c>
      <c r="E16" s="0" t="inlineStr">
        <is>
          <t xml:space="preserve">RIBCRAFT USA, LLC</t>
        </is>
      </c>
      <c r="F16" s="0" t="inlineStr">
        <is>
          <t xml:space="preserve">336612</t>
        </is>
      </c>
      <c r="G16" s="0" t="inlineStr">
        <is>
          <t xml:space="preserve">1940</t>
        </is>
      </c>
      <c r="H16" s="4">
        <v>41.6</v>
      </c>
      <c r="I16" s="44">
        <v>8</v>
      </c>
      <c r="J16" s="0" t="inlineStr">
        <is>
          <t xml:space="preserve">2025-08-11</t>
        </is>
      </c>
      <c r="K16" s="4">
        <v>-10.4</v>
      </c>
      <c r="L16" s="0" t="inlineStr">
        <is>
          <t xml:space="preserve">OVERDUE (ordering period closed, no successor seen)</t>
        </is>
      </c>
      <c r="M16" s="0" t="inlineStr">
        <is>
          <t xml:space="preserve">holders-only (FAR 16.5)</t>
        </is>
      </c>
      <c r="N16" s="0" t="inlineStr">
        <is>
          <t xml:space="preserve">NONE</t>
        </is>
      </c>
      <c r="O16" s="0" t="inlineStr">
        <is>
          <t xml:space="preserve">2025-08-04</t>
        </is>
      </c>
      <c r="P16" s="0" t="inlineStr">
        <is>
          <t xml:space="preserve">lastDateToOrder</t>
        </is>
      </c>
      <c r="Q16" s="0" t="inlineStr">
        <is>
          <t xml:space="preserve">2028-06-27</t>
        </is>
      </c>
    </row>
    <row r="17">
      <c r="B17" s="0" t="inlineStr">
        <is>
          <t xml:space="preserve">N0002421D2220</t>
        </is>
      </c>
      <c r="C17" s="0" t="inlineStr">
        <is>
          <t xml:space="preserve">small_craft</t>
        </is>
      </c>
      <c r="D17" s="0" t="inlineStr">
        <is>
          <t xml:space="preserve">IDV</t>
        </is>
      </c>
      <c r="E17" s="0" t="inlineStr">
        <is>
          <t xml:space="preserve">UNITED STATES MARINE INC</t>
        </is>
      </c>
      <c r="F17" s="0" t="inlineStr">
        <is>
          <t xml:space="preserve">336612</t>
        </is>
      </c>
      <c r="G17" s="0" t="inlineStr">
        <is>
          <t xml:space="preserve">1940</t>
        </is>
      </c>
      <c r="H17" s="4">
        <v>40.6</v>
      </c>
      <c r="I17" s="44">
        <v>8</v>
      </c>
      <c r="J17" s="0" t="inlineStr">
        <is>
          <t xml:space="preserve">2025-09-29</t>
        </is>
      </c>
      <c r="K17" s="4">
        <v>-8.8</v>
      </c>
      <c r="L17" s="0" t="inlineStr">
        <is>
          <t xml:space="preserve">OVERDUE (ordering period closed, no successor seen)</t>
        </is>
      </c>
      <c r="M17" s="0" t="inlineStr">
        <is>
          <t xml:space="preserve">holders-only (FAR 16.5)</t>
        </is>
      </c>
      <c r="N17" s="0" t="inlineStr">
        <is>
          <t xml:space="preserve">NONE</t>
        </is>
      </c>
      <c r="O17" s="0" t="inlineStr">
        <is>
          <t xml:space="preserve">2025-09-26</t>
        </is>
      </c>
      <c r="P17" s="0" t="inlineStr">
        <is>
          <t xml:space="preserve">lastDateToOrder</t>
        </is>
      </c>
      <c r="Q17" s="0" t="inlineStr">
        <is>
          <t xml:space="preserve">2028-03-31</t>
        </is>
      </c>
    </row>
    <row r="18">
      <c r="B18" s="0" t="inlineStr">
        <is>
          <t xml:space="preserve">N0010421CFA50</t>
        </is>
      </c>
      <c r="C18" s="0" t="inlineStr">
        <is>
          <t xml:space="preserve">small_craft</t>
        </is>
      </c>
      <c r="D18" s="0" t="inlineStr">
        <is>
          <t xml:space="preserve">standalone</t>
        </is>
      </c>
      <c r="E18" s="0" t="inlineStr">
        <is>
          <t xml:space="preserve">ERIE FORGE &amp; STEEL INC</t>
        </is>
      </c>
      <c r="F18" s="0" t="inlineStr">
        <is>
          <t xml:space="preserve">336612</t>
        </is>
      </c>
      <c r="G18" s="0" t="inlineStr">
        <is>
          <t xml:space="preserve">2010</t>
        </is>
      </c>
      <c r="H18" s="4">
        <v>8.0</v>
      </c>
      <c r="I18" s="44">
        <v>1</v>
      </c>
      <c r="J18" s="0" t="inlineStr">
        <is>
          <t xml:space="preserve">2026-03-11</t>
        </is>
      </c>
      <c r="K18" s="4">
        <v>-3.4</v>
      </c>
      <c r="L18" s="0" t="inlineStr">
        <is>
          <t xml:space="preserve">OVERDUE (ordering period closed, no successor seen)</t>
        </is>
      </c>
      <c r="M18" s="0" t="inlineStr">
        <is>
          <t xml:space="preserve">open / standalone</t>
        </is>
      </c>
      <c r="N18" s="0" t="inlineStr">
        <is>
          <t xml:space="preserve">NONE</t>
        </is>
      </c>
      <c r="O18" s="0" t="inlineStr">
        <is>
          <t xml:space="preserve">2025-12-15</t>
        </is>
      </c>
      <c r="P18" s="0" t="inlineStr">
        <is>
          <t xml:space="preserve">ultimateCompletionDate</t>
        </is>
      </c>
      <c r="Q18" s="0" t="inlineStr">
        <is>
          <t xml:space="preserve">2026-03-11</t>
        </is>
      </c>
    </row>
    <row r="19">
      <c r="B19" s="0" t="inlineStr">
        <is>
          <t xml:space="preserve">N0002422C2223</t>
        </is>
      </c>
      <c r="C19" s="0" t="inlineStr">
        <is>
          <t xml:space="preserve">small_craft</t>
        </is>
      </c>
      <c r="D19" s="0" t="inlineStr">
        <is>
          <t xml:space="preserve">standalone</t>
        </is>
      </c>
      <c r="E19" s="0" t="inlineStr">
        <is>
          <t xml:space="preserve">SILVER SHIPS, INC</t>
        </is>
      </c>
      <c r="F19" s="0" t="inlineStr">
        <is>
          <t xml:space="preserve">336612</t>
        </is>
      </c>
      <c r="G19" s="0" t="inlineStr">
        <is>
          <t xml:space="preserve">1940</t>
        </is>
      </c>
      <c r="H19" s="4">
        <v>16.2</v>
      </c>
      <c r="I19" s="44">
        <v>1</v>
      </c>
      <c r="J19" s="0" t="inlineStr">
        <is>
          <t xml:space="preserve">2026-03-15</t>
        </is>
      </c>
      <c r="K19" s="4">
        <v>-3.3</v>
      </c>
      <c r="L19" s="0" t="inlineStr">
        <is>
          <t xml:space="preserve">OVERDUE (ordering period closed, no successor seen)</t>
        </is>
      </c>
      <c r="M19" s="0" t="inlineStr">
        <is>
          <t xml:space="preserve">open / standalone</t>
        </is>
      </c>
      <c r="N19" s="0" t="inlineStr">
        <is>
          <t xml:space="preserve">NONE</t>
        </is>
      </c>
      <c r="O19" s="0" t="inlineStr">
        <is>
          <t xml:space="preserve">2025-07-07</t>
        </is>
      </c>
      <c r="P19" s="0" t="inlineStr">
        <is>
          <t xml:space="preserve">ultimateCompletionDate</t>
        </is>
      </c>
      <c r="Q19" s="0" t="inlineStr">
        <is>
          <t xml:space="preserve">2026-03-15</t>
        </is>
      </c>
    </row>
    <row r="20">
      <c r="B20" s="0" t="inlineStr">
        <is>
          <t xml:space="preserve">N0010423CZA25</t>
        </is>
      </c>
      <c r="C20" s="0" t="inlineStr">
        <is>
          <t xml:space="preserve">small_craft</t>
        </is>
      </c>
      <c r="D20" s="0" t="inlineStr">
        <is>
          <t xml:space="preserve">standalone</t>
        </is>
      </c>
      <c r="E20" s="0" t="inlineStr">
        <is>
          <t xml:space="preserve">ERIE FORGE &amp; STEEL INC</t>
        </is>
      </c>
      <c r="F20" s="0" t="inlineStr">
        <is>
          <t xml:space="preserve">336612</t>
        </is>
      </c>
      <c r="G20" s="0" t="inlineStr">
        <is>
          <t xml:space="preserve">2010</t>
        </is>
      </c>
      <c r="H20" s="4">
        <v>14.7</v>
      </c>
      <c r="I20" s="44">
        <v>1</v>
      </c>
      <c r="J20" s="0" t="inlineStr">
        <is>
          <t xml:space="preserve">2026-06-22</t>
        </is>
      </c>
      <c r="K20" s="4">
        <v>-0.0</v>
      </c>
      <c r="L20" s="0" t="inlineStr">
        <is>
          <t xml:space="preserve">imminent (&lt;12mo)</t>
        </is>
      </c>
      <c r="M20" s="0" t="inlineStr">
        <is>
          <t xml:space="preserve">open / standalone</t>
        </is>
      </c>
      <c r="N20" s="0" t="inlineStr">
        <is>
          <t xml:space="preserve">NONE</t>
        </is>
      </c>
      <c r="O20" s="0" t="inlineStr">
        <is>
          <t xml:space="preserve">2026-01-05</t>
        </is>
      </c>
      <c r="P20" s="0" t="inlineStr">
        <is>
          <t xml:space="preserve">ultimateCompletionDate</t>
        </is>
      </c>
      <c r="Q20" s="0" t="inlineStr">
        <is>
          <t xml:space="preserve">2026-06-08</t>
        </is>
      </c>
    </row>
    <row r="21">
      <c r="B21" s="0" t="inlineStr">
        <is>
          <t xml:space="preserve">N0002423C2205</t>
        </is>
      </c>
      <c r="C21" s="0" t="inlineStr">
        <is>
          <t xml:space="preserve">small_craft</t>
        </is>
      </c>
      <c r="D21" s="0" t="inlineStr">
        <is>
          <t xml:space="preserve">standalone</t>
        </is>
      </c>
      <c r="E21" s="0" t="inlineStr">
        <is>
          <t xml:space="preserve">RECONCRAFT, LLC</t>
        </is>
      </c>
      <c r="F21" s="0" t="inlineStr">
        <is>
          <t xml:space="preserve">336612</t>
        </is>
      </c>
      <c r="G21" s="0" t="inlineStr">
        <is>
          <t xml:space="preserve">1940</t>
        </is>
      </c>
      <c r="H21" s="4">
        <v>33.5</v>
      </c>
      <c r="I21" s="44">
        <v>1</v>
      </c>
      <c r="J21" s="0" t="inlineStr">
        <is>
          <t xml:space="preserve">2026-07-30</t>
        </is>
      </c>
      <c r="K21" s="4">
        <v>1.2</v>
      </c>
      <c r="L21" s="0" t="inlineStr">
        <is>
          <t xml:space="preserve">imminent (&lt;12mo)</t>
        </is>
      </c>
      <c r="M21" s="0" t="inlineStr">
        <is>
          <t xml:space="preserve">open / standalone</t>
        </is>
      </c>
      <c r="N21" s="0" t="inlineStr">
        <is>
          <t xml:space="preserve">NONE</t>
        </is>
      </c>
      <c r="O21" s="0" t="inlineStr">
        <is>
          <t xml:space="preserve">2025-06-23</t>
        </is>
      </c>
      <c r="P21" s="0" t="inlineStr">
        <is>
          <t xml:space="preserve">ultimateCompletionDate</t>
        </is>
      </c>
      <c r="Q21" s="0" t="inlineStr">
        <is>
          <t xml:space="preserve">2026-07-30</t>
        </is>
      </c>
    </row>
    <row r="22">
      <c r="B22" s="0" t="inlineStr">
        <is>
          <t xml:space="preserve">N0010422CZA28</t>
        </is>
      </c>
      <c r="C22" s="0" t="inlineStr">
        <is>
          <t xml:space="preserve">small_craft</t>
        </is>
      </c>
      <c r="D22" s="0" t="inlineStr">
        <is>
          <t xml:space="preserve">standalone</t>
        </is>
      </c>
      <c r="E22" s="0" t="inlineStr">
        <is>
          <t xml:space="preserve">ERIE FORGE &amp; STEEL INC</t>
        </is>
      </c>
      <c r="F22" s="0" t="inlineStr">
        <is>
          <t xml:space="preserve">336612</t>
        </is>
      </c>
      <c r="G22" s="0" t="inlineStr">
        <is>
          <t xml:space="preserve">2010</t>
        </is>
      </c>
      <c r="H22" s="4">
        <v>8.7</v>
      </c>
      <c r="I22" s="44">
        <v>1</v>
      </c>
      <c r="J22" s="0" t="inlineStr">
        <is>
          <t xml:space="preserve">2026-08-01</t>
        </is>
      </c>
      <c r="K22" s="4">
        <v>1.3</v>
      </c>
      <c r="L22" s="0" t="inlineStr">
        <is>
          <t xml:space="preserve">imminent (&lt;12mo)</t>
        </is>
      </c>
      <c r="M22" s="0" t="inlineStr">
        <is>
          <t xml:space="preserve">open / standalone</t>
        </is>
      </c>
      <c r="N22" s="0" t="inlineStr">
        <is>
          <t xml:space="preserve">NONE</t>
        </is>
      </c>
      <c r="O22" s="0" t="inlineStr">
        <is>
          <t xml:space="preserve">2025-12-15</t>
        </is>
      </c>
      <c r="P22" s="0" t="inlineStr">
        <is>
          <t xml:space="preserve">ultimateCompletionDate</t>
        </is>
      </c>
      <c r="Q22" s="0" t="inlineStr">
        <is>
          <t xml:space="preserve">2026-08-01</t>
        </is>
      </c>
    </row>
    <row r="23">
      <c r="B23" s="0" t="inlineStr">
        <is>
          <t xml:space="preserve">N0001423C1052</t>
        </is>
      </c>
      <c r="C23" s="0" t="inlineStr">
        <is>
          <t xml:space="preserve">usv_core</t>
        </is>
      </c>
      <c r="D23" s="0" t="inlineStr">
        <is>
          <t xml:space="preserve">standalone</t>
        </is>
      </c>
      <c r="E23" s="0" t="inlineStr">
        <is>
          <t xml:space="preserve">UNIVERSITY OF SOUTH CAROLINA</t>
        </is>
      </c>
      <c r="F23" s="0" t="inlineStr">
        <is>
          <t xml:space="preserve">541715</t>
        </is>
      </c>
      <c r="G23" s="0" t="inlineStr">
        <is>
          <t xml:space="preserve">AC12</t>
        </is>
      </c>
      <c r="H23" s="4">
        <v>7.1</v>
      </c>
      <c r="I23" s="44">
        <v>1</v>
      </c>
      <c r="J23" s="0" t="inlineStr">
        <is>
          <t xml:space="preserve">2026-08-10</t>
        </is>
      </c>
      <c r="K23" s="4">
        <v>1.6</v>
      </c>
      <c r="L23" s="0" t="inlineStr">
        <is>
          <t xml:space="preserve">imminent (&lt;12mo)</t>
        </is>
      </c>
      <c r="M23" s="0" t="inlineStr">
        <is>
          <t xml:space="preserve">open / standalone</t>
        </is>
      </c>
      <c r="N23" s="0" t="inlineStr">
        <is>
          <t xml:space="preserve">NONE</t>
        </is>
      </c>
      <c r="O23" s="0" t="inlineStr">
        <is>
          <t xml:space="preserve">2023-08-09</t>
        </is>
      </c>
      <c r="P23" s="0" t="inlineStr">
        <is>
          <t xml:space="preserve">ultimateCompletionDate</t>
        </is>
      </c>
      <c r="Q23" s="0" t="inlineStr">
        <is>
          <t xml:space="preserve">2026-08-10</t>
        </is>
      </c>
    </row>
    <row r="24">
      <c r="B24" s="0" t="inlineStr">
        <is>
          <t xml:space="preserve">M6785421D1801</t>
        </is>
      </c>
      <c r="C24" s="0" t="inlineStr">
        <is>
          <t xml:space="preserve">small_craft</t>
        </is>
      </c>
      <c r="D24" s="0" t="inlineStr">
        <is>
          <t xml:space="preserve">IDV</t>
        </is>
      </c>
      <c r="E24" s="0" t="inlineStr">
        <is>
          <t xml:space="preserve">WING INFLATABLES INC</t>
        </is>
      </c>
      <c r="F24" s="0" t="inlineStr">
        <is>
          <t xml:space="preserve">336612</t>
        </is>
      </c>
      <c r="G24" s="0" t="inlineStr">
        <is>
          <t xml:space="preserve">1940</t>
        </is>
      </c>
      <c r="H24" s="4">
        <v>21.3</v>
      </c>
      <c r="I24" s="44">
        <v>7</v>
      </c>
      <c r="J24" s="0" t="inlineStr">
        <is>
          <t xml:space="preserve">2026-08-30</t>
        </is>
      </c>
      <c r="K24" s="4">
        <v>2.2</v>
      </c>
      <c r="L24" s="0" t="inlineStr">
        <is>
          <t xml:space="preserve">imminent (&lt;12mo)</t>
        </is>
      </c>
      <c r="M24" s="0" t="inlineStr">
        <is>
          <t xml:space="preserve">holders-only (FAR 16.5)</t>
        </is>
      </c>
      <c r="N24" s="0" t="inlineStr">
        <is>
          <t xml:space="preserve">NONE</t>
        </is>
      </c>
      <c r="O24" s="0" t="inlineStr">
        <is>
          <t xml:space="preserve">2025-06-16</t>
        </is>
      </c>
      <c r="P24" s="0" t="inlineStr">
        <is>
          <t xml:space="preserve">lastDateToOrder</t>
        </is>
      </c>
      <c r="Q24" s="0" t="inlineStr">
        <is>
          <t xml:space="preserve">2027-03-12</t>
        </is>
      </c>
    </row>
    <row r="25">
      <c r="B25" s="0" t="inlineStr">
        <is>
          <t xml:space="preserve">N0002422C2210</t>
        </is>
      </c>
      <c r="C25" s="0" t="inlineStr">
        <is>
          <t xml:space="preserve">small_craft</t>
        </is>
      </c>
      <c r="D25" s="0" t="inlineStr">
        <is>
          <t xml:space="preserve">standalone</t>
        </is>
      </c>
      <c r="E25" s="0" t="inlineStr">
        <is>
          <t xml:space="preserve">WILLARD MARINE, INC.</t>
        </is>
      </c>
      <c r="F25" s="0" t="inlineStr">
        <is>
          <t xml:space="preserve">336612</t>
        </is>
      </c>
      <c r="G25" s="0" t="inlineStr">
        <is>
          <t xml:space="preserve">1940</t>
        </is>
      </c>
      <c r="H25" s="4">
        <v>8.2</v>
      </c>
      <c r="I25" s="44">
        <v>1</v>
      </c>
      <c r="J25" s="0" t="inlineStr">
        <is>
          <t xml:space="preserve">2026-09-21</t>
        </is>
      </c>
      <c r="K25" s="4">
        <v>3.0</v>
      </c>
      <c r="L25" s="0" t="inlineStr">
        <is>
          <t xml:space="preserve">imminent (&lt;12mo)</t>
        </is>
      </c>
      <c r="M25" s="0" t="inlineStr">
        <is>
          <t xml:space="preserve">open / standalone</t>
        </is>
      </c>
      <c r="N25" s="0" t="inlineStr">
        <is>
          <t xml:space="preserve">NONE</t>
        </is>
      </c>
      <c r="O25" s="0" t="inlineStr">
        <is>
          <t xml:space="preserve">2025-09-26</t>
        </is>
      </c>
      <c r="P25" s="0" t="inlineStr">
        <is>
          <t xml:space="preserve">ultimateCompletionDate</t>
        </is>
      </c>
      <c r="Q25" s="0" t="inlineStr">
        <is>
          <t xml:space="preserve">2026-09-21</t>
        </is>
      </c>
    </row>
    <row r="26">
      <c r="B26" s="0" t="inlineStr">
        <is>
          <t xml:space="preserve">N0002421D2205</t>
        </is>
      </c>
      <c r="C26" s="0" t="inlineStr">
        <is>
          <t xml:space="preserve">small_craft</t>
        </is>
      </c>
      <c r="D26" s="0" t="inlineStr">
        <is>
          <t xml:space="preserve">IDV</t>
        </is>
      </c>
      <c r="E26" s="0" t="inlineStr">
        <is>
          <t xml:space="preserve">SILVER SHIPS, INC</t>
        </is>
      </c>
      <c r="F26" s="0" t="inlineStr">
        <is>
          <t xml:space="preserve">336612</t>
        </is>
      </c>
      <c r="G26" s="0" t="inlineStr">
        <is>
          <t xml:space="preserve">1940</t>
        </is>
      </c>
      <c r="H26" s="4">
        <v>55.7</v>
      </c>
      <c r="I26" s="44">
        <v>8</v>
      </c>
      <c r="J26" s="0" t="inlineStr">
        <is>
          <t xml:space="preserve">2026-10-01</t>
        </is>
      </c>
      <c r="K26" s="4">
        <v>3.3</v>
      </c>
      <c r="L26" s="0" t="inlineStr">
        <is>
          <t xml:space="preserve">imminent (&lt;12mo)</t>
        </is>
      </c>
      <c r="M26" s="0" t="inlineStr">
        <is>
          <t xml:space="preserve">holders-only (FAR 16.5)</t>
        </is>
      </c>
      <c r="N26" s="0" t="inlineStr">
        <is>
          <t xml:space="preserve">NONE</t>
        </is>
      </c>
      <c r="O26" s="0" t="inlineStr">
        <is>
          <t xml:space="preserve">2026-01-23</t>
        </is>
      </c>
      <c r="P26" s="0" t="inlineStr">
        <is>
          <t xml:space="preserve">lastDateToOrder</t>
        </is>
      </c>
      <c r="Q26" s="0" t="inlineStr">
        <is>
          <t xml:space="preserve">2028-10-31</t>
        </is>
      </c>
    </row>
    <row r="27">
      <c r="B27" s="0" t="inlineStr">
        <is>
          <t xml:space="preserve">N0002422C2201</t>
        </is>
      </c>
      <c r="C27" s="0" t="inlineStr">
        <is>
          <t xml:space="preserve">small_craft</t>
        </is>
      </c>
      <c r="D27" s="0" t="inlineStr">
        <is>
          <t xml:space="preserve">standalone</t>
        </is>
      </c>
      <c r="E27" s="0" t="inlineStr">
        <is>
          <t xml:space="preserve">SWIFTSHIPS, LLC</t>
        </is>
      </c>
      <c r="F27" s="0" t="inlineStr">
        <is>
          <t xml:space="preserve">336612</t>
        </is>
      </c>
      <c r="G27" s="0" t="inlineStr">
        <is>
          <t xml:space="preserve">1940</t>
        </is>
      </c>
      <c r="H27" s="4">
        <v>26.4</v>
      </c>
      <c r="I27" s="44">
        <v>1</v>
      </c>
      <c r="J27" s="0" t="inlineStr">
        <is>
          <t xml:space="preserve">2026-12-31</t>
        </is>
      </c>
      <c r="K27" s="4">
        <v>6.3</v>
      </c>
      <c r="L27" s="0" t="inlineStr">
        <is>
          <t xml:space="preserve">imminent (&lt;12mo)</t>
        </is>
      </c>
      <c r="M27" s="0" t="inlineStr">
        <is>
          <t xml:space="preserve">open / standalone</t>
        </is>
      </c>
      <c r="N27" s="0" t="inlineStr">
        <is>
          <t xml:space="preserve">NONE</t>
        </is>
      </c>
      <c r="O27" s="0" t="inlineStr">
        <is>
          <t xml:space="preserve">2024-12-17</t>
        </is>
      </c>
      <c r="P27" s="0" t="inlineStr">
        <is>
          <t xml:space="preserve">ultimateCompletionDate</t>
        </is>
      </c>
      <c r="Q27" s="0" t="inlineStr">
        <is>
          <t xml:space="preserve">2026-12-31</t>
        </is>
      </c>
    </row>
    <row r="28">
      <c r="B28" s="0" t="inlineStr">
        <is>
          <t xml:space="preserve">N0010422GY701</t>
        </is>
      </c>
      <c r="C28" s="0" t="inlineStr">
        <is>
          <t xml:space="preserve">small_craft</t>
        </is>
      </c>
      <c r="D28" s="0" t="inlineStr">
        <is>
          <t xml:space="preserve">IDV</t>
        </is>
      </c>
      <c r="E28" s="0" t="inlineStr">
        <is>
          <t xml:space="preserve">L3 TECHNOLOGIES, INC.</t>
        </is>
      </c>
      <c r="F28" s="0" t="inlineStr">
        <is>
          <t xml:space="preserve">336612</t>
        </is>
      </c>
      <c r="G28" s="0" t="inlineStr">
        <is>
          <t xml:space="preserve">6625</t>
        </is>
      </c>
      <c r="H28" s="4">
        <v>7.5</v>
      </c>
      <c r="I28" s="44">
        <v>20</v>
      </c>
      <c r="J28" s="0" t="inlineStr">
        <is>
          <t xml:space="preserve">2027-01-04</t>
        </is>
      </c>
      <c r="K28" s="4">
        <v>6.4</v>
      </c>
      <c r="L28" s="0" t="inlineStr">
        <is>
          <t xml:space="preserve">imminent (&lt;12mo)</t>
        </is>
      </c>
      <c r="M28" s="0" t="inlineStr">
        <is>
          <t xml:space="preserve">holders-only (FAR 16.5)</t>
        </is>
      </c>
      <c r="N28" s="0" t="inlineStr">
        <is>
          <t xml:space="preserve">NONE</t>
        </is>
      </c>
      <c r="O28" s="0" t="inlineStr">
        <is>
          <t xml:space="preserve">2026-03-18</t>
        </is>
      </c>
      <c r="P28" s="0" t="inlineStr">
        <is>
          <t xml:space="preserve">lastDateToOrder</t>
        </is>
      </c>
      <c r="Q28" s="0" t="inlineStr">
        <is>
          <t xml:space="preserve">2027-06-21</t>
        </is>
      </c>
    </row>
    <row r="29">
      <c r="B29" s="0" t="inlineStr">
        <is>
          <t xml:space="preserve">N0002422C2505</t>
        </is>
      </c>
      <c r="C29" s="0" t="inlineStr">
        <is>
          <t xml:space="preserve">other_small</t>
        </is>
      </c>
      <c r="D29" s="0" t="inlineStr">
        <is>
          <t xml:space="preserve">standalone</t>
        </is>
      </c>
      <c r="E29" s="0" t="inlineStr">
        <is>
          <t xml:space="preserve">NATIONAL STEEL AND SHIPBUILDING COMPANY</t>
        </is>
      </c>
      <c r="F29" s="0" t="inlineStr">
        <is>
          <t xml:space="preserve">336611</t>
        </is>
      </c>
      <c r="G29" s="0" t="inlineStr">
        <is>
          <t xml:space="preserve">1925</t>
        </is>
      </c>
      <c r="H29" s="4">
        <v>98.7</v>
      </c>
      <c r="I29" s="44">
        <v>1</v>
      </c>
      <c r="J29" s="0" t="inlineStr">
        <is>
          <t xml:space="preserve">2027-01-31</t>
        </is>
      </c>
      <c r="K29" s="4">
        <v>7.3</v>
      </c>
      <c r="L29" s="0" t="inlineStr">
        <is>
          <t xml:space="preserve">imminent (&lt;12mo)</t>
        </is>
      </c>
      <c r="M29" s="0" t="inlineStr">
        <is>
          <t xml:space="preserve">open / standalone</t>
        </is>
      </c>
      <c r="N29" s="0" t="inlineStr">
        <is>
          <t xml:space="preserve">NONE</t>
        </is>
      </c>
      <c r="O29" s="0" t="inlineStr">
        <is>
          <t xml:space="preserve">2026-02-19</t>
        </is>
      </c>
      <c r="P29" s="0" t="inlineStr">
        <is>
          <t xml:space="preserve">ultimateCompletionDate</t>
        </is>
      </c>
      <c r="Q29" s="0" t="inlineStr">
        <is>
          <t xml:space="preserve">2027-01-31</t>
        </is>
      </c>
    </row>
    <row r="30">
      <c r="B30" s="0" t="inlineStr">
        <is>
          <t xml:space="preserve">N0010420CCA04</t>
        </is>
      </c>
      <c r="C30" s="0" t="inlineStr">
        <is>
          <t xml:space="preserve">small_craft</t>
        </is>
      </c>
      <c r="D30" s="0" t="inlineStr">
        <is>
          <t xml:space="preserve">standalone</t>
        </is>
      </c>
      <c r="E30" s="0" t="inlineStr">
        <is>
          <t xml:space="preserve">GE AVIATION SYSTEMS LLC</t>
        </is>
      </c>
      <c r="F30" s="0" t="inlineStr">
        <is>
          <t xml:space="preserve">336612</t>
        </is>
      </c>
      <c r="G30" s="0" t="inlineStr">
        <is>
          <t xml:space="preserve">2010</t>
        </is>
      </c>
      <c r="H30" s="4">
        <v>12.3</v>
      </c>
      <c r="I30" s="44">
        <v>1</v>
      </c>
      <c r="J30" s="0" t="inlineStr">
        <is>
          <t xml:space="preserve">2027-02-19</t>
        </is>
      </c>
      <c r="K30" s="4">
        <v>7.9</v>
      </c>
      <c r="L30" s="0" t="inlineStr">
        <is>
          <t xml:space="preserve">imminent (&lt;12mo)</t>
        </is>
      </c>
      <c r="M30" s="0" t="inlineStr">
        <is>
          <t xml:space="preserve">open / standalone</t>
        </is>
      </c>
      <c r="N30" s="0" t="inlineStr">
        <is>
          <t xml:space="preserve">NONE</t>
        </is>
      </c>
      <c r="O30" s="0" t="inlineStr">
        <is>
          <t xml:space="preserve">2026-01-22</t>
        </is>
      </c>
      <c r="P30" s="0" t="inlineStr">
        <is>
          <t xml:space="preserve">ultimateCompletionDate</t>
        </is>
      </c>
      <c r="Q30" s="0" t="inlineStr">
        <is>
          <t xml:space="preserve">2027-02-19</t>
        </is>
      </c>
    </row>
    <row r="31">
      <c r="B31" s="0" t="inlineStr">
        <is>
          <t xml:space="preserve">N0002422D2270</t>
        </is>
      </c>
      <c r="C31" s="0" t="inlineStr">
        <is>
          <t xml:space="preserve">small_craft</t>
        </is>
      </c>
      <c r="D31" s="0" t="inlineStr">
        <is>
          <t xml:space="preserve">IDV</t>
        </is>
      </c>
      <c r="E31" s="0" t="inlineStr">
        <is>
          <t xml:space="preserve">METALCRAFT MARINE US, INC.</t>
        </is>
      </c>
      <c r="F31" s="0" t="inlineStr">
        <is>
          <t xml:space="preserve">336612</t>
        </is>
      </c>
      <c r="G31" s="0" t="inlineStr">
        <is>
          <t xml:space="preserve">1940</t>
        </is>
      </c>
      <c r="H31" s="4">
        <v>32.3</v>
      </c>
      <c r="I31" s="44">
        <v>8</v>
      </c>
      <c r="J31" s="0" t="inlineStr">
        <is>
          <t xml:space="preserve">2027-03-09</t>
        </is>
      </c>
      <c r="K31" s="4">
        <v>8.5</v>
      </c>
      <c r="L31" s="0" t="inlineStr">
        <is>
          <t xml:space="preserve">imminent (&lt;12mo)</t>
        </is>
      </c>
      <c r="M31" s="0" t="inlineStr">
        <is>
          <t xml:space="preserve">holders-only (FAR 16.5)</t>
        </is>
      </c>
      <c r="N31" s="0" t="inlineStr">
        <is>
          <t xml:space="preserve">NONE</t>
        </is>
      </c>
      <c r="O31" s="0" t="inlineStr">
        <is>
          <t xml:space="preserve">2025-07-22</t>
        </is>
      </c>
      <c r="P31" s="0" t="inlineStr">
        <is>
          <t xml:space="preserve">lastDateToOrder</t>
        </is>
      </c>
      <c r="Q31" s="0" t="inlineStr">
        <is>
          <t xml:space="preserve">2028-10-18</t>
        </is>
      </c>
    </row>
    <row r="32">
      <c r="B32" s="0" t="inlineStr">
        <is>
          <t xml:space="preserve">GS07F0362T</t>
        </is>
      </c>
      <c r="C32" s="0" t="inlineStr">
        <is>
          <t xml:space="preserve">small_craft</t>
        </is>
      </c>
      <c r="D32" s="0" t="inlineStr">
        <is>
          <t xml:space="preserve">IDV</t>
        </is>
      </c>
      <c r="E32" s="0" t="inlineStr">
        <is>
          <t xml:space="preserve">GRAVOIS ALUMINUM BOATS LLC</t>
        </is>
      </c>
      <c r="F32" s="0" t="inlineStr">
        <is>
          <t xml:space="preserve">336611</t>
        </is>
      </c>
      <c r="G32" s="0" t="inlineStr">
        <is>
          <t xml:space="preserve">1940</t>
        </is>
      </c>
      <c r="H32" s="4">
        <v>19.2</v>
      </c>
      <c r="I32" s="44">
        <v>5</v>
      </c>
      <c r="J32" s="0" t="inlineStr">
        <is>
          <t xml:space="preserve">2027-05-03</t>
        </is>
      </c>
      <c r="K32" s="4">
        <v>10.3</v>
      </c>
      <c r="L32" s="0" t="inlineStr">
        <is>
          <t xml:space="preserve">imminent (&lt;12mo)</t>
        </is>
      </c>
      <c r="M32" s="0" t="inlineStr">
        <is>
          <t xml:space="preserve">multiple-award vehicle</t>
        </is>
      </c>
      <c r="N32" s="0" t="inlineStr">
        <is>
          <t xml:space="preserve">NONE</t>
        </is>
      </c>
      <c r="O32" s="0" t="inlineStr">
        <is>
          <t xml:space="preserve">2026-03-03</t>
        </is>
      </c>
      <c r="P32" s="0" t="inlineStr">
        <is>
          <t xml:space="preserve">lastDateToOrder</t>
        </is>
      </c>
      <c r="Q32" s="0" t="inlineStr">
        <is>
          <t xml:space="preserve">2026-06-30</t>
        </is>
      </c>
    </row>
    <row r="33">
      <c r="B33" s="0" t="inlineStr">
        <is>
          <t xml:space="preserve">N0002425C2237</t>
        </is>
      </c>
      <c r="C33" s="0" t="inlineStr">
        <is>
          <t xml:space="preserve">small_craft</t>
        </is>
      </c>
      <c r="D33" s="0" t="inlineStr">
        <is>
          <t xml:space="preserve">standalone</t>
        </is>
      </c>
      <c r="E33" s="0" t="inlineStr">
        <is>
          <t xml:space="preserve">GRAVOIS ALUMINUM BOATS LLC</t>
        </is>
      </c>
      <c r="F33" s="0" t="inlineStr">
        <is>
          <t xml:space="preserve">336612</t>
        </is>
      </c>
      <c r="G33" s="0" t="inlineStr">
        <is>
          <t xml:space="preserve">1940</t>
        </is>
      </c>
      <c r="H33" s="4">
        <v>12.5</v>
      </c>
      <c r="I33" s="44">
        <v>1</v>
      </c>
      <c r="J33" s="0" t="inlineStr">
        <is>
          <t xml:space="preserve">2027-07-09</t>
        </is>
      </c>
      <c r="K33" s="4">
        <v>12.5</v>
      </c>
      <c r="L33" s="0" t="inlineStr">
        <is>
          <t xml:space="preserve">upcoming (12-24mo)</t>
        </is>
      </c>
      <c r="M33" s="0" t="inlineStr">
        <is>
          <t xml:space="preserve">open / standalone</t>
        </is>
      </c>
      <c r="N33" s="0" t="inlineStr">
        <is>
          <t xml:space="preserve">NONE</t>
        </is>
      </c>
      <c r="O33" s="0" t="inlineStr">
        <is>
          <t xml:space="preserve">2026-03-03</t>
        </is>
      </c>
      <c r="P33" s="0" t="inlineStr">
        <is>
          <t xml:space="preserve">ultimateCompletionDate</t>
        </is>
      </c>
      <c r="Q33" s="0" t="inlineStr">
        <is>
          <t xml:space="preserve">2027-07-09</t>
        </is>
      </c>
    </row>
    <row r="34">
      <c r="B34" s="0" t="inlineStr">
        <is>
          <t xml:space="preserve">N6660418DC817</t>
        </is>
      </c>
      <c r="C34" s="0" t="inlineStr">
        <is>
          <t xml:space="preserve">small_craft</t>
        </is>
      </c>
      <c r="D34" s="0" t="inlineStr">
        <is>
          <t xml:space="preserve">IDV</t>
        </is>
      </c>
      <c r="E34" s="0" t="inlineStr">
        <is>
          <t xml:space="preserve">NORTHROP GRUMMAN SYSTEMS CORPORATION</t>
        </is>
      </c>
      <c r="F34" s="0" t="inlineStr">
        <is>
          <t xml:space="preserve">336999</t>
        </is>
      </c>
      <c r="G34" s="0" t="inlineStr">
        <is>
          <t xml:space="preserve">1940</t>
        </is>
      </c>
      <c r="H34" s="4">
        <v>15.8</v>
      </c>
      <c r="I34" s="44">
        <v>2</v>
      </c>
      <c r="J34" s="0" t="inlineStr">
        <is>
          <t xml:space="preserve">2027-08-01</t>
        </is>
      </c>
      <c r="K34" s="4">
        <v>13.3</v>
      </c>
      <c r="L34" s="0" t="inlineStr">
        <is>
          <t xml:space="preserve">upcoming (12-24mo)</t>
        </is>
      </c>
      <c r="M34" s="0" t="inlineStr">
        <is>
          <t xml:space="preserve">multiple-award vehicle</t>
        </is>
      </c>
      <c r="N34" s="0" t="inlineStr">
        <is>
          <t xml:space="preserve">NONE</t>
        </is>
      </c>
      <c r="O34" s="0" t="inlineStr">
        <is>
          <t xml:space="preserve">2026-01-23</t>
        </is>
      </c>
      <c r="P34" s="0" t="inlineStr">
        <is>
          <t xml:space="preserve">lastDateToOrder</t>
        </is>
      </c>
      <c r="Q34" s="0" t="inlineStr">
        <is>
          <t xml:space="preserve">2027-12-26</t>
        </is>
      </c>
    </row>
    <row r="35">
      <c r="B35" s="0" t="inlineStr">
        <is>
          <t xml:space="preserve">N0002423C2201</t>
        </is>
      </c>
      <c r="C35" s="0" t="inlineStr">
        <is>
          <t xml:space="preserve">small_craft</t>
        </is>
      </c>
      <c r="D35" s="0" t="inlineStr">
        <is>
          <t xml:space="preserve">standalone</t>
        </is>
      </c>
      <c r="E35" s="0" t="inlineStr">
        <is>
          <t xml:space="preserve">RECONCRAFT, LLC</t>
        </is>
      </c>
      <c r="F35" s="0" t="inlineStr">
        <is>
          <t xml:space="preserve">336612</t>
        </is>
      </c>
      <c r="G35" s="0" t="inlineStr">
        <is>
          <t xml:space="preserve">1940</t>
        </is>
      </c>
      <c r="H35" s="4">
        <v>55.0</v>
      </c>
      <c r="I35" s="44">
        <v>1</v>
      </c>
      <c r="J35" s="0" t="inlineStr">
        <is>
          <t xml:space="preserve">2027-09-01</t>
        </is>
      </c>
      <c r="K35" s="4">
        <v>14.3</v>
      </c>
      <c r="L35" s="0" t="inlineStr">
        <is>
          <t xml:space="preserve">upcoming (12-24mo)</t>
        </is>
      </c>
      <c r="M35" s="0" t="inlineStr">
        <is>
          <t xml:space="preserve">open / standalone</t>
        </is>
      </c>
      <c r="N35" s="0" t="inlineStr">
        <is>
          <t xml:space="preserve">NONE</t>
        </is>
      </c>
      <c r="O35" s="0" t="inlineStr">
        <is>
          <t xml:space="preserve">2026-02-20</t>
        </is>
      </c>
      <c r="P35" s="0" t="inlineStr">
        <is>
          <t xml:space="preserve">ultimateCompletionDate</t>
        </is>
      </c>
      <c r="Q35" s="0" t="inlineStr">
        <is>
          <t xml:space="preserve">2027-09-01</t>
        </is>
      </c>
    </row>
    <row r="36">
      <c r="B36" s="0" t="inlineStr">
        <is>
          <t xml:space="preserve">N6893624P0258</t>
        </is>
      </c>
      <c r="C36" s="0" t="inlineStr">
        <is>
          <t xml:space="preserve">small_craft</t>
        </is>
      </c>
      <c r="D36" s="0" t="inlineStr">
        <is>
          <t xml:space="preserve">standalone</t>
        </is>
      </c>
      <c r="E36" s="0" t="inlineStr">
        <is>
          <t xml:space="preserve">GRAVOIS ALUMINUM BOATS LLC</t>
        </is>
      </c>
      <c r="F36" s="0" t="inlineStr">
        <is>
          <t xml:space="preserve">336612</t>
        </is>
      </c>
      <c r="G36" s="0" t="inlineStr">
        <is>
          <t xml:space="preserve">1940</t>
        </is>
      </c>
      <c r="H36" s="4">
        <v>7.5</v>
      </c>
      <c r="I36" s="44">
        <v>1</v>
      </c>
      <c r="J36" s="0" t="inlineStr">
        <is>
          <t xml:space="preserve">2027-09-30</t>
        </is>
      </c>
      <c r="K36" s="4">
        <v>15.3</v>
      </c>
      <c r="L36" s="0" t="inlineStr">
        <is>
          <t xml:space="preserve">upcoming (12-24mo)</t>
        </is>
      </c>
      <c r="M36" s="0" t="inlineStr">
        <is>
          <t xml:space="preserve">open / standalone</t>
        </is>
      </c>
      <c r="N36" s="0" t="inlineStr">
        <is>
          <t xml:space="preserve">NONE</t>
        </is>
      </c>
      <c r="O36" s="0" t="inlineStr">
        <is>
          <t xml:space="preserve">2026-02-26</t>
        </is>
      </c>
      <c r="P36" s="0" t="inlineStr">
        <is>
          <t xml:space="preserve">ultimateCompletionDate</t>
        </is>
      </c>
      <c r="Q36" s="0" t="inlineStr">
        <is>
          <t xml:space="preserve">2027-09-05</t>
        </is>
      </c>
    </row>
    <row r="37">
      <c r="B37" s="0" t="inlineStr">
        <is>
          <t xml:space="preserve">N0002418C2223</t>
        </is>
      </c>
      <c r="C37" s="0" t="inlineStr">
        <is>
          <t xml:space="preserve">small_craft</t>
        </is>
      </c>
      <c r="D37" s="0" t="inlineStr">
        <is>
          <t xml:space="preserve">standalone</t>
        </is>
      </c>
      <c r="E37" s="0" t="inlineStr">
        <is>
          <t xml:space="preserve">MARINE GROUP BOAT WORKS, LLC</t>
        </is>
      </c>
      <c r="F37" s="0" t="inlineStr">
        <is>
          <t xml:space="preserve">336612</t>
        </is>
      </c>
      <c r="G37" s="0" t="inlineStr">
        <is>
          <t xml:space="preserve">1940</t>
        </is>
      </c>
      <c r="H37" s="4">
        <v>53.5</v>
      </c>
      <c r="I37" s="44">
        <v>1</v>
      </c>
      <c r="J37" s="0" t="inlineStr">
        <is>
          <t xml:space="preserve">2027-09-30</t>
        </is>
      </c>
      <c r="K37" s="4">
        <v>15.3</v>
      </c>
      <c r="L37" s="0" t="inlineStr">
        <is>
          <t xml:space="preserve">upcoming (12-24mo)</t>
        </is>
      </c>
      <c r="M37" s="0" t="inlineStr">
        <is>
          <t xml:space="preserve">open / standalone</t>
        </is>
      </c>
      <c r="N37" s="0" t="inlineStr">
        <is>
          <t xml:space="preserve">NONE</t>
        </is>
      </c>
      <c r="O37" s="0" t="inlineStr">
        <is>
          <t xml:space="preserve">2025-05-13</t>
        </is>
      </c>
      <c r="P37" s="0" t="inlineStr">
        <is>
          <t xml:space="preserve">ultimateCompletionDate</t>
        </is>
      </c>
      <c r="Q37" s="0" t="inlineStr">
        <is>
          <t xml:space="preserve">2027-09-30</t>
        </is>
      </c>
    </row>
    <row r="38">
      <c r="B38" s="0" t="inlineStr">
        <is>
          <t xml:space="preserve">N6133120C0018</t>
        </is>
      </c>
      <c r="C38" s="0" t="inlineStr">
        <is>
          <t xml:space="preserve">other_small</t>
        </is>
      </c>
      <c r="D38" s="0" t="inlineStr">
        <is>
          <t xml:space="preserve">standalone</t>
        </is>
      </c>
      <c r="E38" s="0" t="inlineStr">
        <is>
          <t xml:space="preserve">YULISTA SUPPORT SERVICES LLC</t>
        </is>
      </c>
      <c r="F38" s="0" t="inlineStr">
        <is>
          <t xml:space="preserve">488310</t>
        </is>
      </c>
      <c r="G38" s="0" t="inlineStr">
        <is>
          <t xml:space="preserve">1990</t>
        </is>
      </c>
      <c r="H38" s="4">
        <v>38.0</v>
      </c>
      <c r="I38" s="44">
        <v>1</v>
      </c>
      <c r="J38" s="0" t="inlineStr">
        <is>
          <t xml:space="preserve">2027-09-30</t>
        </is>
      </c>
      <c r="K38" s="4">
        <v>15.3</v>
      </c>
      <c r="L38" s="0" t="inlineStr">
        <is>
          <t xml:space="preserve">upcoming (12-24mo)</t>
        </is>
      </c>
      <c r="M38" s="0" t="inlineStr">
        <is>
          <t xml:space="preserve">open / standalone</t>
        </is>
      </c>
      <c r="N38" s="0" t="inlineStr">
        <is>
          <t xml:space="preserve">NONE</t>
        </is>
      </c>
      <c r="O38" s="0" t="inlineStr">
        <is>
          <t xml:space="preserve">2026-03-17</t>
        </is>
      </c>
      <c r="P38" s="0" t="inlineStr">
        <is>
          <t xml:space="preserve">ultimateCompletionDate</t>
        </is>
      </c>
      <c r="Q38" s="0" t="inlineStr">
        <is>
          <t xml:space="preserve">2027-09-30</t>
        </is>
      </c>
    </row>
    <row r="39">
      <c r="B39" s="0" t="inlineStr">
        <is>
          <t xml:space="preserve">N0002421C2201</t>
        </is>
      </c>
      <c r="C39" s="0" t="inlineStr">
        <is>
          <t xml:space="preserve">small_craft</t>
        </is>
      </c>
      <c r="D39" s="0" t="inlineStr">
        <is>
          <t xml:space="preserve">standalone</t>
        </is>
      </c>
      <c r="E39" s="0" t="inlineStr">
        <is>
          <t xml:space="preserve">SAFE BOATS INTERNATIONAL LLC</t>
        </is>
      </c>
      <c r="F39" s="0" t="inlineStr">
        <is>
          <t xml:space="preserve">336612</t>
        </is>
      </c>
      <c r="G39" s="0" t="inlineStr">
        <is>
          <t xml:space="preserve">1940</t>
        </is>
      </c>
      <c r="H39" s="4">
        <v>173.9</v>
      </c>
      <c r="I39" s="44">
        <v>1</v>
      </c>
      <c r="J39" s="0" t="inlineStr">
        <is>
          <t xml:space="preserve">2027-12-16</t>
        </is>
      </c>
      <c r="K39" s="4">
        <v>17.8</v>
      </c>
      <c r="L39" s="0" t="inlineStr">
        <is>
          <t xml:space="preserve">upcoming (12-24mo)</t>
        </is>
      </c>
      <c r="M39" s="0" t="inlineStr">
        <is>
          <t xml:space="preserve">open / standalone</t>
        </is>
      </c>
      <c r="N39" s="0" t="inlineStr">
        <is>
          <t xml:space="preserve">NONE</t>
        </is>
      </c>
      <c r="O39" s="0" t="inlineStr">
        <is>
          <t xml:space="preserve">2026-01-07</t>
        </is>
      </c>
      <c r="P39" s="0" t="inlineStr">
        <is>
          <t xml:space="preserve">ultimateCompletionDate</t>
        </is>
      </c>
      <c r="Q39" s="0" t="inlineStr">
        <is>
          <t xml:space="preserve">2027-12-16</t>
        </is>
      </c>
    </row>
    <row r="40">
      <c r="B40" s="0" t="inlineStr">
        <is>
          <t xml:space="preserve">N0002419C2208</t>
        </is>
      </c>
      <c r="C40" s="0" t="inlineStr">
        <is>
          <t xml:space="preserve">other_small</t>
        </is>
      </c>
      <c r="D40" s="0" t="inlineStr">
        <is>
          <t xml:space="preserve">standalone</t>
        </is>
      </c>
      <c r="E40" s="0" t="inlineStr">
        <is>
          <t xml:space="preserve">BOLLINGER MISSISSIPPI SHIPBUILDING, LLC</t>
        </is>
      </c>
      <c r="F40" s="0" t="inlineStr">
        <is>
          <t xml:space="preserve">336611</t>
        </is>
      </c>
      <c r="G40" s="0" t="inlineStr">
        <is>
          <t xml:space="preserve">1990</t>
        </is>
      </c>
      <c r="H40" s="4">
        <v>166.5</v>
      </c>
      <c r="I40" s="44">
        <v>1</v>
      </c>
      <c r="J40" s="0" t="inlineStr">
        <is>
          <t xml:space="preserve">2027-12-17</t>
        </is>
      </c>
      <c r="K40" s="4">
        <v>17.8</v>
      </c>
      <c r="L40" s="0" t="inlineStr">
        <is>
          <t xml:space="preserve">upcoming (12-24mo)</t>
        </is>
      </c>
      <c r="M40" s="0" t="inlineStr">
        <is>
          <t xml:space="preserve">open / standalone</t>
        </is>
      </c>
      <c r="N40" s="0" t="inlineStr">
        <is>
          <t xml:space="preserve">NONE</t>
        </is>
      </c>
      <c r="O40" s="0" t="inlineStr">
        <is>
          <t xml:space="preserve">2026-03-18</t>
        </is>
      </c>
      <c r="P40" s="0" t="inlineStr">
        <is>
          <t xml:space="preserve">ultimateCompletionDate</t>
        </is>
      </c>
      <c r="Q40" s="0" t="inlineStr">
        <is>
          <t xml:space="preserve">2027-12-17</t>
        </is>
      </c>
    </row>
    <row r="41">
      <c r="B41" s="0" t="inlineStr">
        <is>
          <t xml:space="preserve">N0010423GZL01</t>
        </is>
      </c>
      <c r="C41" s="0" t="inlineStr">
        <is>
          <t xml:space="preserve">small_craft</t>
        </is>
      </c>
      <c r="D41" s="0" t="inlineStr">
        <is>
          <t xml:space="preserve">IDV</t>
        </is>
      </c>
      <c r="E41" s="0" t="inlineStr">
        <is>
          <t xml:space="preserve">DEFENSE MARITIME SOLUTIONS, INC.</t>
        </is>
      </c>
      <c r="F41" s="0" t="inlineStr">
        <is>
          <t xml:space="preserve">336612</t>
        </is>
      </c>
      <c r="G41" s="0" t="inlineStr">
        <is>
          <t xml:space="preserve">2010</t>
        </is>
      </c>
      <c r="H41" s="4">
        <v>39.1</v>
      </c>
      <c r="I41" s="44">
        <v>7</v>
      </c>
      <c r="J41" s="0" t="inlineStr">
        <is>
          <t xml:space="preserve">2028-01-31</t>
        </is>
      </c>
      <c r="K41" s="4">
        <v>19.3</v>
      </c>
      <c r="L41" s="0" t="inlineStr">
        <is>
          <t xml:space="preserve">upcoming (12-24mo)</t>
        </is>
      </c>
      <c r="M41" s="0" t="inlineStr">
        <is>
          <t xml:space="preserve">holders-only (FAR 16.5)</t>
        </is>
      </c>
      <c r="N41" s="0" t="inlineStr">
        <is>
          <t xml:space="preserve">NONE</t>
        </is>
      </c>
      <c r="O41" s="0" t="inlineStr">
        <is>
          <t xml:space="preserve">2025-10-07</t>
        </is>
      </c>
      <c r="P41" s="0" t="inlineStr">
        <is>
          <t xml:space="preserve">lastDateToOrder</t>
        </is>
      </c>
      <c r="Q41" s="0" t="inlineStr">
        <is>
          <t xml:space="preserve">2028-01-26</t>
        </is>
      </c>
    </row>
    <row r="42">
      <c r="B42" s="0" t="inlineStr">
        <is>
          <t xml:space="preserve">N0002423D2224</t>
        </is>
      </c>
      <c r="C42" s="0" t="inlineStr">
        <is>
          <t xml:space="preserve">small_craft</t>
        </is>
      </c>
      <c r="D42" s="0" t="inlineStr">
        <is>
          <t xml:space="preserve">IDV</t>
        </is>
      </c>
      <c r="E42" s="0" t="inlineStr">
        <is>
          <t xml:space="preserve">RIBCRAFT USA, LLC</t>
        </is>
      </c>
      <c r="F42" s="0" t="inlineStr">
        <is>
          <t xml:space="preserve">336612</t>
        </is>
      </c>
      <c r="G42" s="0" t="inlineStr">
        <is>
          <t xml:space="preserve">1940</t>
        </is>
      </c>
      <c r="H42" s="4">
        <v>28.5</v>
      </c>
      <c r="I42" s="44">
        <v>2</v>
      </c>
      <c r="J42" s="0" t="inlineStr">
        <is>
          <t xml:space="preserve">2028-02-09</t>
        </is>
      </c>
      <c r="K42" s="4">
        <v>19.6</v>
      </c>
      <c r="L42" s="0" t="inlineStr">
        <is>
          <t xml:space="preserve">upcoming (12-24mo)</t>
        </is>
      </c>
      <c r="M42" s="0" t="inlineStr">
        <is>
          <t xml:space="preserve">holders-only (FAR 16.5)</t>
        </is>
      </c>
      <c r="N42" s="0" t="inlineStr">
        <is>
          <t xml:space="preserve">NONE</t>
        </is>
      </c>
      <c r="O42" s="0" t="inlineStr">
        <is>
          <t xml:space="preserve">2025-07-24</t>
        </is>
      </c>
      <c r="P42" s="0" t="inlineStr">
        <is>
          <t xml:space="preserve">lastDateToOrder</t>
        </is>
      </c>
      <c r="Q42" s="0" t="inlineStr">
        <is>
          <t xml:space="preserve">2027-04-24</t>
        </is>
      </c>
    </row>
    <row r="43">
      <c r="B43" s="0" t="inlineStr">
        <is>
          <t xml:space="preserve">N0002418D6401</t>
        </is>
      </c>
      <c r="C43" s="0" t="inlineStr">
        <is>
          <t xml:space="preserve">usv_core</t>
        </is>
      </c>
      <c r="D43" s="0" t="inlineStr">
        <is>
          <t xml:space="preserve">IDV</t>
        </is>
      </c>
      <c r="E43" s="0" t="inlineStr">
        <is>
          <t xml:space="preserve">THE PENNSYLVANIA STATE UNIVERSITY</t>
        </is>
      </c>
      <c r="F43" s="0" t="inlineStr">
        <is>
          <t xml:space="preserve">541715</t>
        </is>
      </c>
      <c r="G43" s="0" t="inlineStr">
        <is>
          <t xml:space="preserve">AD24</t>
        </is>
      </c>
      <c r="H43" s="4">
        <v>77.1</v>
      </c>
      <c r="I43" s="44">
        <v>2</v>
      </c>
      <c r="J43" s="0" t="inlineStr">
        <is>
          <t xml:space="preserve">2028-02-27</t>
        </is>
      </c>
      <c r="K43" s="4">
        <v>20.2</v>
      </c>
      <c r="L43" s="0" t="inlineStr">
        <is>
          <t xml:space="preserve">upcoming (12-24mo)</t>
        </is>
      </c>
      <c r="M43" s="0" t="inlineStr">
        <is>
          <t xml:space="preserve">holders-only (FAR 16.5)</t>
        </is>
      </c>
      <c r="N43" s="0" t="inlineStr">
        <is>
          <t xml:space="preserve">NONE</t>
        </is>
      </c>
      <c r="O43" s="0" t="inlineStr">
        <is>
          <t xml:space="preserve">2025-05-22</t>
        </is>
      </c>
      <c r="P43" s="0" t="inlineStr">
        <is>
          <t xml:space="preserve">lastDateToOrder</t>
        </is>
      </c>
      <c r="Q43" s="0" t="inlineStr">
        <is>
          <t xml:space="preserve">2026-09-30</t>
        </is>
      </c>
    </row>
    <row r="44">
      <c r="B44" s="0" t="inlineStr">
        <is>
          <t xml:space="preserve">N0002425C2218</t>
        </is>
      </c>
      <c r="C44" s="0" t="inlineStr">
        <is>
          <t xml:space="preserve">small_craft</t>
        </is>
      </c>
      <c r="D44" s="0" t="inlineStr">
        <is>
          <t xml:space="preserve">standalone</t>
        </is>
      </c>
      <c r="E44" s="0" t="inlineStr">
        <is>
          <t xml:space="preserve">UNITED STATES MARINE INC</t>
        </is>
      </c>
      <c r="F44" s="0" t="inlineStr">
        <is>
          <t xml:space="preserve">336612</t>
        </is>
      </c>
      <c r="G44" s="0" t="inlineStr">
        <is>
          <t xml:space="preserve">1940</t>
        </is>
      </c>
      <c r="H44" s="4">
        <v>19.9</v>
      </c>
      <c r="I44" s="44">
        <v>1</v>
      </c>
      <c r="J44" s="0" t="inlineStr">
        <is>
          <t xml:space="preserve">2028-03-14</t>
        </is>
      </c>
      <c r="K44" s="4">
        <v>20.7</v>
      </c>
      <c r="L44" s="0" t="inlineStr">
        <is>
          <t xml:space="preserve">upcoming (12-24mo)</t>
        </is>
      </c>
      <c r="M44" s="0" t="inlineStr">
        <is>
          <t xml:space="preserve">open / standalone</t>
        </is>
      </c>
      <c r="N44" s="0" t="inlineStr">
        <is>
          <t xml:space="preserve">NONE</t>
        </is>
      </c>
      <c r="O44" s="0" t="inlineStr">
        <is>
          <t xml:space="preserve">2026-02-05</t>
        </is>
      </c>
      <c r="P44" s="0" t="inlineStr">
        <is>
          <t xml:space="preserve">ultimateCompletionDate</t>
        </is>
      </c>
      <c r="Q44" s="0" t="inlineStr">
        <is>
          <t xml:space="preserve">2027-10-03</t>
        </is>
      </c>
    </row>
    <row r="45">
      <c r="B45" s="0" t="inlineStr">
        <is>
          <t xml:space="preserve">N0001424C1324</t>
        </is>
      </c>
      <c r="C45" s="0" t="inlineStr">
        <is>
          <t xml:space="preserve">usv_core</t>
        </is>
      </c>
      <c r="D45" s="0" t="inlineStr">
        <is>
          <t xml:space="preserve">standalone</t>
        </is>
      </c>
      <c r="E45" s="0" t="inlineStr">
        <is>
          <t xml:space="preserve">UNIVERSITY OF MAINE SYSTEM</t>
        </is>
      </c>
      <c r="F45" s="0" t="inlineStr">
        <is>
          <t xml:space="preserve">541715</t>
        </is>
      </c>
      <c r="G45" s="0" t="inlineStr">
        <is>
          <t xml:space="preserve">AC12</t>
        </is>
      </c>
      <c r="H45" s="4">
        <v>9.0</v>
      </c>
      <c r="I45" s="44">
        <v>1</v>
      </c>
      <c r="J45" s="0" t="inlineStr">
        <is>
          <t xml:space="preserve">2028-04-22</t>
        </is>
      </c>
      <c r="K45" s="4">
        <v>22.0</v>
      </c>
      <c r="L45" s="0" t="inlineStr">
        <is>
          <t xml:space="preserve">upcoming (12-24mo)</t>
        </is>
      </c>
      <c r="M45" s="0" t="inlineStr">
        <is>
          <t xml:space="preserve">open / standalone</t>
        </is>
      </c>
      <c r="N45" s="0" t="inlineStr">
        <is>
          <t xml:space="preserve">NONE</t>
        </is>
      </c>
      <c r="O45" s="0" t="inlineStr">
        <is>
          <t xml:space="preserve">2026-02-18</t>
        </is>
      </c>
      <c r="P45" s="0" t="inlineStr">
        <is>
          <t xml:space="preserve">ultimateCompletionDate</t>
        </is>
      </c>
      <c r="Q45" s="0" t="inlineStr">
        <is>
          <t xml:space="preserve">2028-04-22</t>
        </is>
      </c>
    </row>
    <row r="46">
      <c r="B46" s="0" t="inlineStr">
        <is>
          <t xml:space="preserve">N0002425C2213</t>
        </is>
      </c>
      <c r="C46" s="0" t="inlineStr">
        <is>
          <t xml:space="preserve">small_craft</t>
        </is>
      </c>
      <c r="D46" s="0" t="inlineStr">
        <is>
          <t xml:space="preserve">standalone</t>
        </is>
      </c>
      <c r="E46" s="0" t="inlineStr">
        <is>
          <t xml:space="preserve">SAFE BOATS INTERNATIONAL LLC</t>
        </is>
      </c>
      <c r="F46" s="0" t="inlineStr">
        <is>
          <t xml:space="preserve">336612</t>
        </is>
      </c>
      <c r="G46" s="0" t="inlineStr">
        <is>
          <t xml:space="preserve">1940</t>
        </is>
      </c>
      <c r="H46" s="4">
        <v>14.9</v>
      </c>
      <c r="I46" s="44">
        <v>1</v>
      </c>
      <c r="J46" s="0" t="inlineStr">
        <is>
          <t xml:space="preserve">2028-07-10</t>
        </is>
      </c>
      <c r="K46" s="4">
        <v>24.6</v>
      </c>
      <c r="L46" s="0" t="inlineStr">
        <is>
          <t xml:space="preserve">horizon (24-36mo)</t>
        </is>
      </c>
      <c r="M46" s="0" t="inlineStr">
        <is>
          <t xml:space="preserve">open / standalone</t>
        </is>
      </c>
      <c r="N46" s="0" t="inlineStr">
        <is>
          <t xml:space="preserve">NONE</t>
        </is>
      </c>
      <c r="O46" s="0" t="inlineStr">
        <is>
          <t xml:space="preserve">2025-05-22</t>
        </is>
      </c>
      <c r="P46" s="0" t="inlineStr">
        <is>
          <t xml:space="preserve">ultimateCompletionDate</t>
        </is>
      </c>
      <c r="Q46" s="0" t="inlineStr">
        <is>
          <t xml:space="preserve">2028-07-10</t>
        </is>
      </c>
    </row>
    <row r="47">
      <c r="B47" s="0" t="inlineStr">
        <is>
          <t xml:space="preserve">47QSWA18D009G</t>
        </is>
      </c>
      <c r="C47" s="0" t="inlineStr">
        <is>
          <t xml:space="preserve">small_craft</t>
        </is>
      </c>
      <c r="D47" s="0" t="inlineStr">
        <is>
          <t xml:space="preserve">IDV</t>
        </is>
      </c>
      <c r="E47" s="0" t="inlineStr">
        <is>
          <t xml:space="preserve">SILVER SHIPS, INC</t>
        </is>
      </c>
      <c r="F47" s="0" t="inlineStr">
        <is>
          <t xml:space="preserve">336611</t>
        </is>
      </c>
      <c r="G47" s="0" t="inlineStr">
        <is>
          <t xml:space="preserve">1940</t>
        </is>
      </c>
      <c r="H47" s="4">
        <v>67.4</v>
      </c>
      <c r="I47" s="44">
        <v>3</v>
      </c>
      <c r="J47" s="0" t="inlineStr">
        <is>
          <t xml:space="preserve">2028-09-09</t>
        </is>
      </c>
      <c r="K47" s="4">
        <v>26.6</v>
      </c>
      <c r="L47" s="0" t="inlineStr">
        <is>
          <t xml:space="preserve">horizon (24-36mo)</t>
        </is>
      </c>
      <c r="M47" s="0" t="inlineStr">
        <is>
          <t xml:space="preserve">multiple-award vehicle</t>
        </is>
      </c>
      <c r="N47" s="0" t="inlineStr">
        <is>
          <t xml:space="preserve">NONE</t>
        </is>
      </c>
      <c r="O47" s="0" t="inlineStr">
        <is>
          <t xml:space="preserve">2026-02-13</t>
        </is>
      </c>
      <c r="P47" s="0" t="inlineStr">
        <is>
          <t xml:space="preserve">lastDateToOrder</t>
        </is>
      </c>
      <c r="Q47" s="0" t="inlineStr">
        <is>
          <t xml:space="preserve">2026-06-18</t>
        </is>
      </c>
    </row>
    <row r="48">
      <c r="B48" s="0" t="inlineStr">
        <is>
          <t xml:space="preserve">N0002424C2222</t>
        </is>
      </c>
      <c r="C48" s="0" t="inlineStr">
        <is>
          <t xml:space="preserve">small_craft</t>
        </is>
      </c>
      <c r="D48" s="0" t="inlineStr">
        <is>
          <t xml:space="preserve">standalone</t>
        </is>
      </c>
      <c r="E48" s="0" t="inlineStr">
        <is>
          <t xml:space="preserve">SYNERGY PARTNERS LLC</t>
        </is>
      </c>
      <c r="F48" s="0" t="inlineStr">
        <is>
          <t xml:space="preserve">336612</t>
        </is>
      </c>
      <c r="G48" s="0" t="inlineStr">
        <is>
          <t xml:space="preserve">1940</t>
        </is>
      </c>
      <c r="H48" s="4">
        <v>17.9</v>
      </c>
      <c r="I48" s="44">
        <v>1</v>
      </c>
      <c r="J48" s="0" t="inlineStr">
        <is>
          <t xml:space="preserve">2028-10-31</t>
        </is>
      </c>
      <c r="K48" s="4">
        <v>28.3</v>
      </c>
      <c r="L48" s="0" t="inlineStr">
        <is>
          <t xml:space="preserve">horizon (24-36mo)</t>
        </is>
      </c>
      <c r="M48" s="0" t="inlineStr">
        <is>
          <t xml:space="preserve">open / standalone</t>
        </is>
      </c>
      <c r="N48" s="0" t="inlineStr">
        <is>
          <t xml:space="preserve">NONE</t>
        </is>
      </c>
      <c r="O48" s="0" t="inlineStr">
        <is>
          <t xml:space="preserve">2025-09-17</t>
        </is>
      </c>
      <c r="P48" s="0" t="inlineStr">
        <is>
          <t xml:space="preserve">ultimateCompletionDate</t>
        </is>
      </c>
      <c r="Q48" s="0" t="inlineStr">
        <is>
          <t xml:space="preserve">2028-10-31</t>
        </is>
      </c>
    </row>
    <row r="49">
      <c r="B49" s="0" t="inlineStr">
        <is>
          <t xml:space="preserve">N0017819D7206</t>
        </is>
      </c>
      <c r="C49" s="0" t="inlineStr">
        <is>
          <t xml:space="preserve">usv_core</t>
        </is>
      </c>
      <c r="D49" s="0" t="inlineStr">
        <is>
          <t xml:space="preserve">IDV</t>
        </is>
      </c>
      <c r="E49" s="0" t="inlineStr">
        <is>
          <t xml:space="preserve">AVIAN, LLC</t>
        </is>
      </c>
      <c r="F49" s="0" t="inlineStr">
        <is>
          <t xml:space="preserve">541330</t>
        </is>
      </c>
      <c r="G49" s="0" t="inlineStr">
        <is>
          <t xml:space="preserve">R425</t>
        </is>
      </c>
      <c r="H49" s="4">
        <v>32.4</v>
      </c>
      <c r="I49" s="44">
        <v>1</v>
      </c>
      <c r="J49" s="0" t="inlineStr">
        <is>
          <t xml:space="preserve">2029-01-01</t>
        </is>
      </c>
      <c r="K49" s="4">
        <v>30.4</v>
      </c>
      <c r="L49" s="0" t="inlineStr">
        <is>
          <t xml:space="preserve">horizon (24-36mo)</t>
        </is>
      </c>
      <c r="M49" s="0" t="inlineStr">
        <is>
          <t xml:space="preserve">multiple-award vehicle</t>
        </is>
      </c>
      <c r="N49" s="0" t="inlineStr">
        <is>
          <t xml:space="preserve">NONE</t>
        </is>
      </c>
      <c r="O49" s="0" t="inlineStr">
        <is>
          <t xml:space="preserve">2026-03-20</t>
        </is>
      </c>
      <c r="P49" s="0" t="inlineStr">
        <is>
          <t xml:space="preserve">lastDateToOrder</t>
        </is>
      </c>
      <c r="Q49" s="0" t="inlineStr">
        <is>
          <t xml:space="preserve">2026-08-19</t>
        </is>
      </c>
    </row>
    <row r="50">
      <c r="B50" s="0" t="inlineStr">
        <is>
          <t xml:space="preserve">N0017819D7838</t>
        </is>
      </c>
      <c r="C50" s="0" t="inlineStr">
        <is>
          <t xml:space="preserve">usv_core</t>
        </is>
      </c>
      <c r="D50" s="0" t="inlineStr">
        <is>
          <t xml:space="preserve">IDV</t>
        </is>
      </c>
      <c r="E50" s="0" t="inlineStr">
        <is>
          <t xml:space="preserve">INNOVATIVE PROFESSIONAL SOLUTIONS, INC.</t>
        </is>
      </c>
      <c r="F50" s="0" t="inlineStr">
        <is>
          <t xml:space="preserve">541330</t>
        </is>
      </c>
      <c r="G50" s="0" t="inlineStr">
        <is>
          <t xml:space="preserve">R425</t>
        </is>
      </c>
      <c r="H50" s="4">
        <v>21.6</v>
      </c>
      <c r="I50" s="44">
        <v>1</v>
      </c>
      <c r="J50" s="0" t="inlineStr">
        <is>
          <t xml:space="preserve">2029-01-01</t>
        </is>
      </c>
      <c r="K50" s="4">
        <v>30.4</v>
      </c>
      <c r="L50" s="0" t="inlineStr">
        <is>
          <t xml:space="preserve">horizon (24-36mo)</t>
        </is>
      </c>
      <c r="M50" s="0" t="inlineStr">
        <is>
          <t xml:space="preserve">multiple-award vehicle</t>
        </is>
      </c>
      <c r="N50" s="0" t="inlineStr">
        <is>
          <t xml:space="preserve">NONE</t>
        </is>
      </c>
      <c r="O50" s="0" t="inlineStr">
        <is>
          <t xml:space="preserve">2026-03-20</t>
        </is>
      </c>
      <c r="P50" s="0" t="inlineStr">
        <is>
          <t xml:space="preserve">lastDateToOrder</t>
        </is>
      </c>
      <c r="Q50" s="0" t="inlineStr">
        <is>
          <t xml:space="preserve">2027-08-31</t>
        </is>
      </c>
    </row>
    <row r="51">
      <c r="B51" s="0" t="inlineStr">
        <is>
          <t xml:space="preserve">N0010424GCQ01</t>
        </is>
      </c>
      <c r="C51" s="0" t="inlineStr">
        <is>
          <t xml:space="preserve">small_craft</t>
        </is>
      </c>
      <c r="D51" s="0" t="inlineStr">
        <is>
          <t xml:space="preserve">IDV</t>
        </is>
      </c>
      <c r="E51" s="0" t="inlineStr">
        <is>
          <t xml:space="preserve">BIRD-JOHNSON PROPELLER COMPANY, LLC</t>
        </is>
      </c>
      <c r="F51" s="0" t="inlineStr">
        <is>
          <t xml:space="preserve">336612</t>
        </is>
      </c>
      <c r="G51" s="0" t="inlineStr">
        <is>
          <t xml:space="preserve">2010</t>
        </is>
      </c>
      <c r="H51" s="4">
        <v>5.9</v>
      </c>
      <c r="I51" s="44">
        <v>4</v>
      </c>
      <c r="J51" s="0" t="inlineStr">
        <is>
          <t xml:space="preserve">2029-06-06</t>
        </is>
      </c>
      <c r="K51" s="4">
        <v>35.5</v>
      </c>
      <c r="L51" s="0" t="inlineStr">
        <is>
          <t xml:space="preserve">horizon (24-36mo)</t>
        </is>
      </c>
      <c r="M51" s="0" t="inlineStr">
        <is>
          <t xml:space="preserve">holders-only (FAR 16.5)</t>
        </is>
      </c>
      <c r="N51" s="0" t="inlineStr">
        <is>
          <t xml:space="preserve">NONE</t>
        </is>
      </c>
      <c r="O51" s="0" t="inlineStr">
        <is>
          <t xml:space="preserve">2026-03-05</t>
        </is>
      </c>
      <c r="P51" s="0" t="inlineStr">
        <is>
          <t xml:space="preserve">lastDateToOrder</t>
        </is>
      </c>
      <c r="Q51" s="0" t="inlineStr">
        <is>
          <t xml:space="preserve">2029-06-06</t>
        </is>
      </c>
    </row>
    <row r="52">
      <c r="B52" s="0" t="inlineStr">
        <is>
          <t xml:space="preserve">N0002423D2260</t>
        </is>
      </c>
      <c r="C52" s="0" t="inlineStr">
        <is>
          <t xml:space="preserve">small_craft</t>
        </is>
      </c>
      <c r="D52" s="0" t="inlineStr">
        <is>
          <t xml:space="preserve">IDV</t>
        </is>
      </c>
      <c r="E52" s="0" t="inlineStr">
        <is>
          <t xml:space="preserve">METALCRAFT MARINE US, INC.</t>
        </is>
      </c>
      <c r="F52" s="0" t="inlineStr">
        <is>
          <t xml:space="preserve">336612</t>
        </is>
      </c>
      <c r="G52" s="0" t="inlineStr">
        <is>
          <t xml:space="preserve">1940</t>
        </is>
      </c>
      <c r="H52" s="4">
        <v>10.8</v>
      </c>
      <c r="I52" s="44">
        <v>4</v>
      </c>
      <c r="J52" s="0" t="inlineStr">
        <is>
          <t xml:space="preserve">2029-08-31</t>
        </is>
      </c>
      <c r="K52" s="4">
        <v>38.3</v>
      </c>
      <c r="L52" s="0" t="inlineStr">
        <is>
          <t xml:space="preserve">horizon (24-36mo)</t>
        </is>
      </c>
      <c r="M52" s="0" t="inlineStr">
        <is>
          <t xml:space="preserve">holders-only (FAR 16.5)</t>
        </is>
      </c>
      <c r="N52" s="0" t="inlineStr">
        <is>
          <t xml:space="preserve">NONE</t>
        </is>
      </c>
      <c r="O52" s="0" t="inlineStr">
        <is>
          <t xml:space="preserve">2026-01-21</t>
        </is>
      </c>
      <c r="P52" s="0" t="inlineStr">
        <is>
          <t xml:space="preserve">lastDateToOrder</t>
        </is>
      </c>
      <c r="Q52" s="0" t="inlineStr">
        <is>
          <t xml:space="preserve">2027-11-02</t>
        </is>
      </c>
    </row>
    <row r="53">
      <c r="B53" s="0" t="inlineStr">
        <is>
          <t xml:space="preserve">N0002422C6305</t>
        </is>
      </c>
      <c r="C53" s="0" t="inlineStr">
        <is>
          <t xml:space="preserve">small_craft</t>
        </is>
      </c>
      <c r="D53" s="0" t="inlineStr">
        <is>
          <t xml:space="preserve">standalone</t>
        </is>
      </c>
      <c r="E53" s="0" t="inlineStr">
        <is>
          <t xml:space="preserve">BOLLINGER SHIPYARDS LOCKPORT, L.L.C.</t>
        </is>
      </c>
      <c r="F53" s="0" t="inlineStr">
        <is>
          <t xml:space="preserve">336611</t>
        </is>
      </c>
      <c r="G53" s="0" t="inlineStr">
        <is>
          <t xml:space="preserve">1940</t>
        </is>
      </c>
      <c r="H53" s="4">
        <v>116.5</v>
      </c>
      <c r="I53" s="44">
        <v>1</v>
      </c>
      <c r="J53" s="0" t="inlineStr">
        <is>
          <t xml:space="preserve">2029-09-10</t>
        </is>
      </c>
      <c r="K53" s="4">
        <v>38.7</v>
      </c>
      <c r="L53" s="0" t="inlineStr">
        <is>
          <t xml:space="preserve">horizon (24-36mo)</t>
        </is>
      </c>
      <c r="M53" s="0" t="inlineStr">
        <is>
          <t xml:space="preserve">open / standalone</t>
        </is>
      </c>
      <c r="N53" s="0" t="inlineStr">
        <is>
          <t xml:space="preserve">NONE</t>
        </is>
      </c>
      <c r="O53" s="0" t="inlineStr">
        <is>
          <t xml:space="preserve">2026-03-19</t>
        </is>
      </c>
      <c r="P53" s="0" t="inlineStr">
        <is>
          <t xml:space="preserve">ultimateCompletionDate</t>
        </is>
      </c>
      <c r="Q53" s="0" t="inlineStr">
        <is>
          <t xml:space="preserve">2028-09-22</t>
        </is>
      </c>
    </row>
    <row r="54">
      <c r="B54" s="0" t="inlineStr">
        <is>
          <t xml:space="preserve">N6600125D0008</t>
        </is>
      </c>
      <c r="C54" s="0" t="inlineStr">
        <is>
          <t xml:space="preserve">small_craft</t>
        </is>
      </c>
      <c r="D54" s="0" t="inlineStr">
        <is>
          <t xml:space="preserve">IDV</t>
        </is>
      </c>
      <c r="E54" s="0" t="inlineStr">
        <is>
          <t xml:space="preserve">HYDRONALIX INC</t>
        </is>
      </c>
      <c r="F54" s="0" t="inlineStr">
        <is>
          <t xml:space="preserve">541330</t>
        </is>
      </c>
      <c r="G54" s="0" t="inlineStr">
        <is>
          <t xml:space="preserve">1940</t>
        </is>
      </c>
      <c r="H54" s="4">
        <v>10.5</v>
      </c>
      <c r="I54" s="44">
        <v>1</v>
      </c>
      <c r="J54" s="0" t="inlineStr">
        <is>
          <t xml:space="preserve">2029-10-23</t>
        </is>
      </c>
      <c r="K54" s="4">
        <v>40.1</v>
      </c>
      <c r="L54" s="0" t="inlineStr">
        <is>
          <t xml:space="preserve">horizon (24-36mo)</t>
        </is>
      </c>
      <c r="M54" s="0" t="inlineStr">
        <is>
          <t xml:space="preserve">holders-only (FAR 16.5)</t>
        </is>
      </c>
      <c r="N54" s="0" t="inlineStr">
        <is>
          <t xml:space="preserve">NONE</t>
        </is>
      </c>
      <c r="O54" s="0" t="inlineStr">
        <is>
          <t xml:space="preserve">2026-03-18</t>
        </is>
      </c>
      <c r="P54" s="0" t="inlineStr">
        <is>
          <t xml:space="preserve">lastDateToOrder</t>
        </is>
      </c>
      <c r="Q54" s="0" t="inlineStr">
        <is>
          <t xml:space="preserve">2027-11-26</t>
        </is>
      </c>
    </row>
    <row r="55">
      <c r="B55" s="0" t="inlineStr">
        <is>
          <t xml:space="preserve">N0002421C2209</t>
        </is>
      </c>
      <c r="C55" s="0" t="inlineStr">
        <is>
          <t xml:space="preserve">other_small</t>
        </is>
      </c>
      <c r="D55" s="0" t="inlineStr">
        <is>
          <t xml:space="preserve">standalone</t>
        </is>
      </c>
      <c r="E55" s="0" t="inlineStr">
        <is>
          <t xml:space="preserve">AUSTAL USA, LLC</t>
        </is>
      </c>
      <c r="F55" s="0" t="inlineStr">
        <is>
          <t xml:space="preserve">336611</t>
        </is>
      </c>
      <c r="G55" s="0" t="inlineStr">
        <is>
          <t xml:space="preserve">1925</t>
        </is>
      </c>
      <c r="H55" s="4">
        <v>383.6</v>
      </c>
      <c r="I55" s="44">
        <v>1</v>
      </c>
      <c r="J55" s="0" t="inlineStr">
        <is>
          <t xml:space="preserve">2030-05-02</t>
        </is>
      </c>
      <c r="K55" s="4">
        <v>46.3</v>
      </c>
      <c r="L55" s="0" t="inlineStr">
        <is>
          <t xml:space="preserve">horizon (24-36mo)</t>
        </is>
      </c>
      <c r="M55" s="0" t="inlineStr">
        <is>
          <t xml:space="preserve">open / standalone</t>
        </is>
      </c>
      <c r="N55" s="0" t="inlineStr">
        <is>
          <t xml:space="preserve">NONE</t>
        </is>
      </c>
      <c r="O55" s="0" t="inlineStr">
        <is>
          <t xml:space="preserve">2026-03-05</t>
        </is>
      </c>
      <c r="P55" s="0" t="inlineStr">
        <is>
          <t xml:space="preserve">ultimateCompletionDate</t>
        </is>
      </c>
      <c r="Q55" s="0" t="inlineStr">
        <is>
          <t xml:space="preserve">2029-05-02</t>
        </is>
      </c>
    </row>
    <row r="56">
      <c r="B56" s="0" t="inlineStr">
        <is>
          <t xml:space="preserve">N0002424D2276</t>
        </is>
      </c>
      <c r="C56" s="0" t="inlineStr">
        <is>
          <t xml:space="preserve">small_craft</t>
        </is>
      </c>
      <c r="D56" s="0" t="inlineStr">
        <is>
          <t xml:space="preserve">IDV</t>
        </is>
      </c>
      <c r="E56" s="0" t="inlineStr">
        <is>
          <t xml:space="preserve">RECONCRAFT, LLC</t>
        </is>
      </c>
      <c r="F56" s="0" t="inlineStr">
        <is>
          <t xml:space="preserve">336612</t>
        </is>
      </c>
      <c r="G56" s="0" t="inlineStr">
        <is>
          <t xml:space="preserve">1940</t>
        </is>
      </c>
      <c r="H56" s="4">
        <v>14.6</v>
      </c>
      <c r="I56" s="44">
        <v>2</v>
      </c>
      <c r="J56" s="0" t="inlineStr">
        <is>
          <t xml:space="preserve">2031-05-16</t>
        </is>
      </c>
      <c r="K56" s="4">
        <v>58.8</v>
      </c>
      <c r="L56" s="0" t="inlineStr">
        <is>
          <t xml:space="preserve">horizon (24-36mo)</t>
        </is>
      </c>
      <c r="M56" s="0" t="inlineStr">
        <is>
          <t xml:space="preserve">multiple-award vehicle</t>
        </is>
      </c>
      <c r="N56" s="0" t="inlineStr">
        <is>
          <t xml:space="preserve">NONE</t>
        </is>
      </c>
      <c r="O56" s="0" t="inlineStr">
        <is>
          <t xml:space="preserve">2024-12-12</t>
        </is>
      </c>
      <c r="P56" s="0" t="inlineStr">
        <is>
          <t xml:space="preserve">lastDateToOrder</t>
        </is>
      </c>
      <c r="Q56" s="0" t="inlineStr">
        <is>
          <t xml:space="preserve">2026-05-01</t>
        </is>
      </c>
    </row>
    <row r="57">
      <c r="B57" s="0" t="inlineStr">
        <is>
          <t xml:space="preserve">N0002424D2275</t>
        </is>
      </c>
      <c r="C57" s="0" t="inlineStr">
        <is>
          <t xml:space="preserve">small_craft</t>
        </is>
      </c>
      <c r="D57" s="0" t="inlineStr">
        <is>
          <t xml:space="preserve">IDV</t>
        </is>
      </c>
      <c r="E57" s="0" t="inlineStr">
        <is>
          <t xml:space="preserve">GRAVOIS ALUMINUM BOATS LLC</t>
        </is>
      </c>
      <c r="F57" s="0" t="inlineStr">
        <is>
          <t xml:space="preserve">336612</t>
        </is>
      </c>
      <c r="G57" s="0" t="inlineStr">
        <is>
          <t xml:space="preserve">1940</t>
        </is>
      </c>
      <c r="H57" s="4">
        <v>36.4</v>
      </c>
      <c r="I57" s="44">
        <v>3</v>
      </c>
      <c r="J57" s="0" t="inlineStr">
        <is>
          <t xml:space="preserve">2031-05-16</t>
        </is>
      </c>
      <c r="K57" s="4">
        <v>58.8</v>
      </c>
      <c r="L57" s="0" t="inlineStr">
        <is>
          <t xml:space="preserve">horizon (24-36mo)</t>
        </is>
      </c>
      <c r="M57" s="0" t="inlineStr">
        <is>
          <t xml:space="preserve">multiple-award vehicle</t>
        </is>
      </c>
      <c r="N57" s="0" t="inlineStr">
        <is>
          <t xml:space="preserve">NONE</t>
        </is>
      </c>
      <c r="O57" s="0" t="inlineStr">
        <is>
          <t xml:space="preserve">2025-09-29</t>
        </is>
      </c>
      <c r="P57" s="0" t="inlineStr">
        <is>
          <t xml:space="preserve">lastDateToOrder</t>
        </is>
      </c>
      <c r="Q57" s="0" t="inlineStr">
        <is>
          <t xml:space="preserve">2028-01-09</t>
        </is>
      </c>
    </row>
    <row r="58">
      <c r="B58" s="0" t="inlineStr">
        <is>
          <t xml:space="preserve">N0003921D6001</t>
        </is>
      </c>
      <c r="C58" s="0" t="inlineStr">
        <is>
          <t xml:space="preserve">small_craft</t>
        </is>
      </c>
      <c r="D58" s="0" t="inlineStr">
        <is>
          <t xml:space="preserve">IDV</t>
        </is>
      </c>
      <c r="E58" s="0" t="inlineStr">
        <is>
          <t xml:space="preserve">TELEDYNE BROWN ENGINEERING, INC.</t>
        </is>
      </c>
      <c r="F58" s="0" t="inlineStr">
        <is>
          <t xml:space="preserve">334511</t>
        </is>
      </c>
      <c r="G58" s="0" t="inlineStr">
        <is>
          <t xml:space="preserve">1940</t>
        </is>
      </c>
      <c r="H58" s="4">
        <v>26.3</v>
      </c>
      <c r="I58" s="44">
        <v>25</v>
      </c>
      <c r="J58" s="0" t="inlineStr">
        <is>
          <t xml:space="preserve">2031-06-30</t>
        </is>
      </c>
      <c r="K58" s="4">
        <v>60.3</v>
      </c>
      <c r="L58" s="0" t="inlineStr">
        <is>
          <t xml:space="preserve">horizon (24-36mo)</t>
        </is>
      </c>
      <c r="M58" s="0" t="inlineStr">
        <is>
          <t xml:space="preserve">holders-only (FAR 16.5)</t>
        </is>
      </c>
      <c r="N58" s="0" t="inlineStr">
        <is>
          <t xml:space="preserve">NONE</t>
        </is>
      </c>
      <c r="O58" s="0" t="inlineStr">
        <is>
          <t xml:space="preserve">2026-01-21</t>
        </is>
      </c>
      <c r="P58" s="0" t="inlineStr">
        <is>
          <t xml:space="preserve">lastDateToOrder</t>
        </is>
      </c>
      <c r="Q58" s="0" t="inlineStr">
        <is>
          <t xml:space="preserve">2026-07-30</t>
        </is>
      </c>
    </row>
    <row r="59">
      <c r="B59" s="0" t="inlineStr">
        <is>
          <t xml:space="preserve">N0002422D6404</t>
        </is>
      </c>
      <c r="C59" s="0" t="inlineStr">
        <is>
          <t xml:space="preserve">usv_core</t>
        </is>
      </c>
      <c r="D59" s="0" t="inlineStr">
        <is>
          <t xml:space="preserve">IDV</t>
        </is>
      </c>
      <c r="E59" s="0" t="inlineStr">
        <is>
          <t xml:space="preserve">THE JOHNS HOPKINS UNIVERSITY APPLIED PHYSICS LABORATORY LLC</t>
        </is>
      </c>
      <c r="F59" s="0" t="inlineStr">
        <is>
          <t xml:space="preserve">541715</t>
        </is>
      </c>
      <c r="G59" s="0" t="inlineStr">
        <is>
          <t xml:space="preserve">AC32</t>
        </is>
      </c>
      <c r="H59" s="4">
        <v>35.2</v>
      </c>
      <c r="I59" s="44">
        <v>4</v>
      </c>
      <c r="J59" s="0" t="inlineStr">
        <is>
          <t xml:space="preserve">2032-08-21</t>
        </is>
      </c>
      <c r="K59" s="4">
        <v>74.0</v>
      </c>
      <c r="L59" s="0" t="inlineStr">
        <is>
          <t xml:space="preserve">horizon (24-36mo)</t>
        </is>
      </c>
      <c r="M59" s="0" t="inlineStr">
        <is>
          <t xml:space="preserve">holders-only (FAR 16.5)</t>
        </is>
      </c>
      <c r="N59" s="0" t="inlineStr">
        <is>
          <t xml:space="preserve">NONE</t>
        </is>
      </c>
      <c r="O59" s="0" t="inlineStr">
        <is>
          <t xml:space="preserve">2026-03-09</t>
        </is>
      </c>
      <c r="P59" s="0" t="inlineStr">
        <is>
          <t xml:space="preserve">lastDateToOrder</t>
        </is>
      </c>
      <c r="Q59" s="0" t="inlineStr">
        <is>
          <t xml:space="preserve">2028-07-27</t>
        </is>
      </c>
    </row>
  </sheetData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16" customWidth="1"/>
    <col min="3" max="3" width="28" customWidth="1"/>
    <col min="4" max="4" width="13" customWidth="1"/>
    <col min="5" max="5" width="13" customWidth="1"/>
    <col min="6" max="6" width="30" customWidth="1"/>
    <col min="7" max="7" width="13" customWidth="1"/>
    <col min="8" max="8" width="11" customWidth="1"/>
    <col min="9" max="9" width="12" customWidth="1"/>
    <col min="10" max="10" width="18" customWidth="1"/>
    <col min="11" max="11" width="9" customWidth="1"/>
    <col min="12" max="12" width="30" customWidth="1"/>
  </cols>
  <sheetData>
    <row r="1"/>
    <row r="2">
      <c r="B2" s="8" t="inlineStr">
        <is>
          <t xml:space="preserve">Teaming Edges</t>
        </is>
      </c>
      <c r="C2" s="8"/>
      <c r="D2" s="8"/>
      <c r="E2" s="8"/>
      <c r="F2" s="8"/>
      <c r="G2" s="8"/>
      <c r="H2" s="8"/>
      <c r="I2" s="8"/>
      <c r="J2" s="8"/>
      <c r="K2" s="8"/>
      <c r="L2" s="8"/>
    </row>
    <row r="3">
      <c r="B3" s="60" t="inlineStr">
        <is>
          <t xml:space="preserve">One row per reported first-tier subaward; sub amount in $M. A reported floor, not a census.</t>
        </is>
      </c>
    </row>
    <row r="5">
      <c r="B5" s="9" t="inlineStr">
        <is>
          <t xml:space="preserve">§1 - First-tier subaward edges, prime to subcontractor (SAM/FSRS)</t>
        </is>
      </c>
      <c r="C5" s="9"/>
      <c r="D5" s="9"/>
      <c r="E5" s="9"/>
      <c r="F5" s="9"/>
      <c r="G5" s="9"/>
      <c r="H5" s="9"/>
      <c r="I5" s="9"/>
      <c r="J5" s="9"/>
      <c r="K5" s="9"/>
      <c r="L5" s="9"/>
    </row>
    <row r="7">
      <c r="B7" s="2" t="inlineStr">
        <is>
          <t xml:space="preserve">Prime PIID</t>
        </is>
      </c>
      <c r="C7" s="2" t="inlineStr">
        <is>
          <t xml:space="preserve">Prime</t>
        </is>
      </c>
      <c r="D7" s="2" t="inlineStr">
        <is>
          <t xml:space="preserve">Prime UEI</t>
        </is>
      </c>
      <c r="E7" s="2" t="inlineStr">
        <is>
          <t xml:space="preserve">Sub Key</t>
        </is>
      </c>
      <c r="F7" s="2" t="inlineStr">
        <is>
          <t xml:space="preserve">Subcontractor</t>
        </is>
      </c>
      <c r="G7" s="2" t="inlineStr">
        <is>
          <t xml:space="preserve">Sub UEI</t>
        </is>
      </c>
      <c r="H7" s="22" t="inlineStr">
        <is>
          <t xml:space="preserve">Sub $M</t>
        </is>
      </c>
      <c r="I7" s="2" t="inlineStr">
        <is>
          <t xml:space="preserve">Sub Date</t>
        </is>
      </c>
      <c r="J7" s="2" t="inlineStr">
        <is>
          <t xml:space="preserve">Capability</t>
        </is>
      </c>
      <c r="K7" s="22" t="inlineStr">
        <is>
          <t xml:space="preserve">Lag (mo)</t>
        </is>
      </c>
      <c r="L7" s="2" t="inlineStr">
        <is>
          <t xml:space="preserve">Description</t>
        </is>
      </c>
    </row>
    <row r="8">
      <c r="B8" s="0" t="inlineStr">
        <is>
          <t xml:space="preserve">N0002419C6402</t>
        </is>
      </c>
      <c r="C8" s="0" t="inlineStr">
        <is>
          <t xml:space="preserve">TELEDYNE BROWN ENGINEERING, INC.</t>
        </is>
      </c>
      <c r="D8" s="0" t="inlineStr">
        <is>
          <t xml:space="preserve">FBRSJB6V4LW8</t>
        </is>
      </c>
      <c r="E8" s="0" t="inlineStr">
        <is>
          <t xml:space="preserve">PAH8M4BJACA5</t>
        </is>
      </c>
      <c r="F8" s="0" t="inlineStr">
        <is>
          <t xml:space="preserve">TELEDYNE INSTRUMENTS INC</t>
        </is>
      </c>
      <c r="G8" s="0" t="inlineStr">
        <is>
          <t xml:space="preserve">PAH8M4BJACA5</t>
        </is>
      </c>
      <c r="H8" s="4">
        <v>8.259345999999999</v>
      </c>
      <c r="I8" s="0" t="inlineStr">
        <is>
          <t xml:space="preserve">2025-10-28</t>
        </is>
      </c>
      <c r="J8" s="0" t="inlineStr">
        <is>
          <t xml:space="preserve">propulsion_power</t>
        </is>
      </c>
      <c r="K8" s="4">
        <v>1.0</v>
      </c>
      <c r="L8" s="0" t="inlineStr">
        <is>
          <t xml:space="preserve">Engineering materials</t>
        </is>
      </c>
    </row>
    <row r="9">
      <c r="B9" s="0" t="inlineStr">
        <is>
          <t xml:space="preserve">N0001421C1009</t>
        </is>
      </c>
      <c r="C9" s="0" t="inlineStr">
        <is>
          <t xml:space="preserve">RAYTHEON COMPANY</t>
        </is>
      </c>
      <c r="D9" s="0" t="inlineStr">
        <is>
          <t xml:space="preserve">VTEWM5QSE598</t>
        </is>
      </c>
      <c r="E9" s="0" t="inlineStr">
        <is>
          <t xml:space="preserve">MFCTLU3MRXC8</t>
        </is>
      </c>
      <c r="F9" s="0" t="inlineStr">
        <is>
          <t xml:space="preserve">EMPIRICAL SYSTEMS AEROSPACE, INC.</t>
        </is>
      </c>
      <c r="G9" s="0" t="inlineStr">
        <is>
          <t xml:space="preserve">MFCTLU3MRXC8</t>
        </is>
      </c>
      <c r="H9" s="4">
        <v>5.507238</v>
      </c>
      <c r="I9" s="0" t="inlineStr">
        <is>
          <t xml:space="preserve">2022-06-17</t>
        </is>
      </c>
      <c r="J9" s="0" t="inlineStr">
        <is>
          <t xml:space="preserve">other_unclassified</t>
        </is>
      </c>
      <c r="K9" s="4">
        <v>0.8</v>
      </c>
      <c r="L9" s="0" t="inlineStr">
        <is>
          <t xml:space="preserve">NRE - Other.</t>
        </is>
      </c>
    </row>
    <row r="10">
      <c r="B10" s="0" t="inlineStr">
        <is>
          <t xml:space="preserve">N0001421C1009</t>
        </is>
      </c>
      <c r="C10" s="0" t="inlineStr">
        <is>
          <t xml:space="preserve">RAYTHEON COMPANY</t>
        </is>
      </c>
      <c r="D10" s="0" t="inlineStr">
        <is>
          <t xml:space="preserve">VTEWM5QSE598</t>
        </is>
      </c>
      <c r="E10" s="0" t="inlineStr">
        <is>
          <t xml:space="preserve">U1ASEJJJKDP5</t>
        </is>
      </c>
      <c r="F10" s="0" t="inlineStr">
        <is>
          <t xml:space="preserve">EMPIRICAL SYSTEMS AEROSPACE INC</t>
        </is>
      </c>
      <c r="G10" s="0" t="inlineStr">
        <is>
          <t xml:space="preserve">MFCTLU3MRXC8</t>
        </is>
      </c>
      <c r="H10" s="4">
        <v>5.507238</v>
      </c>
      <c r="I10" s="0" t="inlineStr">
        <is>
          <t xml:space="preserve">2022-06-17</t>
        </is>
      </c>
      <c r="J10" s="0" t="inlineStr">
        <is>
          <t xml:space="preserve">other_unclassified</t>
        </is>
      </c>
      <c r="K10" s="4">
        <v>9.8</v>
      </c>
      <c r="L10" s="0" t="inlineStr">
        <is>
          <t xml:space="preserve">NRE - Other.</t>
        </is>
      </c>
    </row>
    <row r="11">
      <c r="B11" s="0" t="inlineStr">
        <is>
          <t xml:space="preserve">N0001421C1009</t>
        </is>
      </c>
      <c r="C11" s="0" t="inlineStr">
        <is>
          <t xml:space="preserve">RAYTHEON COMPANY</t>
        </is>
      </c>
      <c r="D11" s="0" t="inlineStr">
        <is>
          <t xml:space="preserve">VTEWM5QSE598</t>
        </is>
      </c>
      <c r="E11" s="0" t="inlineStr">
        <is>
          <t xml:space="preserve">U1ASEJJJKDP5</t>
        </is>
      </c>
      <c r="F11" s="0" t="inlineStr">
        <is>
          <t xml:space="preserve">EMPIRICAL SYSTEMS AEROSPACE INC</t>
        </is>
      </c>
      <c r="G11" s="0" t="inlineStr">
        <is>
          <t xml:space="preserve">MFCTLU3MRXC8</t>
        </is>
      </c>
      <c r="H11" s="4">
        <v>5.401075</v>
      </c>
      <c r="I11" s="0" t="inlineStr">
        <is>
          <t xml:space="preserve">2022-06-17</t>
        </is>
      </c>
      <c r="J11" s="0" t="inlineStr">
        <is>
          <t xml:space="preserve">other_unclassified</t>
        </is>
      </c>
      <c r="K11" s="4">
        <v>22.2</v>
      </c>
      <c r="L11" s="0" t="inlineStr">
        <is>
          <t xml:space="preserve">NRE - All.</t>
        </is>
      </c>
    </row>
    <row r="12">
      <c r="B12" s="0" t="inlineStr">
        <is>
          <t xml:space="preserve">N0001421C1009</t>
        </is>
      </c>
      <c r="C12" s="0" t="inlineStr">
        <is>
          <t xml:space="preserve">RAYTHEON COMPANY</t>
        </is>
      </c>
      <c r="D12" s="0" t="inlineStr">
        <is>
          <t xml:space="preserve">VTEWM5QSE598</t>
        </is>
      </c>
      <c r="E12" s="0" t="inlineStr">
        <is>
          <t xml:space="preserve">MFCTLU3MRXC8</t>
        </is>
      </c>
      <c r="F12" s="0" t="inlineStr">
        <is>
          <t xml:space="preserve">EMPIRICAL SYSTEMS AEROSPACE, INC.</t>
        </is>
      </c>
      <c r="G12" s="0" t="inlineStr">
        <is>
          <t xml:space="preserve">MFCTLU3MRXC8</t>
        </is>
      </c>
      <c r="H12" s="4">
        <v>5.362873</v>
      </c>
      <c r="I12" s="0" t="inlineStr">
        <is>
          <t xml:space="preserve">2021-03-24</t>
        </is>
      </c>
      <c r="J12" s="0" t="inlineStr">
        <is>
          <t xml:space="preserve">other_unclassified</t>
        </is>
      </c>
      <c r="K12" s="4">
        <v>17.3</v>
      </c>
      <c r="L12" s="0" t="inlineStr">
        <is>
          <t xml:space="preserve">Electromech-Mj Assys, NRE - Other.</t>
        </is>
      </c>
    </row>
    <row r="13">
      <c r="B13" s="0" t="inlineStr">
        <is>
          <t xml:space="preserve">N0001421C1009</t>
        </is>
      </c>
      <c r="C13" s="0" t="inlineStr">
        <is>
          <t xml:space="preserve">RAYTHEON COMPANY</t>
        </is>
      </c>
      <c r="D13" s="0" t="inlineStr">
        <is>
          <t xml:space="preserve">VTEWM5QSE598</t>
        </is>
      </c>
      <c r="E13" s="0" t="inlineStr">
        <is>
          <t xml:space="preserve">U1ASEJJJKDP5</t>
        </is>
      </c>
      <c r="F13" s="0" t="inlineStr">
        <is>
          <t xml:space="preserve">EMPIRICAL SYSTEMS AEROSPACE INC</t>
        </is>
      </c>
      <c r="G13" s="0" t="inlineStr">
        <is>
          <t xml:space="preserve">MFCTLU3MRXC8</t>
        </is>
      </c>
      <c r="H13" s="4">
        <v>4.394075</v>
      </c>
      <c r="I13" s="0" t="inlineStr">
        <is>
          <t xml:space="preserve">2021-03-24</t>
        </is>
      </c>
      <c r="J13" s="0" t="inlineStr">
        <is>
          <t xml:space="preserve">integration_eng_svcs</t>
        </is>
      </c>
      <c r="K13" s="4">
        <v>37.0</v>
      </c>
      <c r="L13" s="0" t="inlineStr">
        <is>
          <t xml:space="preserve">Electromech-Mj Assys, NRE - All, Test Fixtures.</t>
        </is>
      </c>
    </row>
    <row r="14">
      <c r="B14" s="0" t="inlineStr">
        <is>
          <t xml:space="preserve">N0001421C1009</t>
        </is>
      </c>
      <c r="C14" s="0" t="inlineStr">
        <is>
          <t xml:space="preserve">RAYTHEON COMPANY</t>
        </is>
      </c>
      <c r="D14" s="0" t="inlineStr">
        <is>
          <t xml:space="preserve">VTEWM5QSE598</t>
        </is>
      </c>
      <c r="E14" s="0" t="inlineStr">
        <is>
          <t xml:space="preserve">U1ASEJJJKDP5</t>
        </is>
      </c>
      <c r="F14" s="0" t="inlineStr">
        <is>
          <t xml:space="preserve">EMPIRICAL SYSTEMS AEROSPACE INC</t>
        </is>
      </c>
      <c r="G14" s="0" t="inlineStr">
        <is>
          <t xml:space="preserve">MFCTLU3MRXC8</t>
        </is>
      </c>
      <c r="H14" s="4">
        <v>4.394075</v>
      </c>
      <c r="I14" s="0" t="inlineStr">
        <is>
          <t xml:space="preserve">2021-03-24</t>
        </is>
      </c>
      <c r="J14" s="0" t="inlineStr">
        <is>
          <t xml:space="preserve">integration_eng_svcs</t>
        </is>
      </c>
      <c r="K14" s="4">
        <v>24.6</v>
      </c>
      <c r="L14" s="0" t="inlineStr">
        <is>
          <t xml:space="preserve">Electromech-Mj Assys, NRE - Other, Test Fixtures.</t>
        </is>
      </c>
    </row>
    <row r="15">
      <c r="B15" s="0" t="inlineStr">
        <is>
          <t xml:space="preserve">N0003925F1019</t>
        </is>
      </c>
      <c r="C15" s="0" t="inlineStr">
        <is>
          <t xml:space="preserve">TELEDYNE BROWN ENGINEERING, INC.</t>
        </is>
      </c>
      <c r="D15" s="0" t="inlineStr">
        <is>
          <t xml:space="preserve">FBRSJB6V4LW8</t>
        </is>
      </c>
      <c r="E15" s="0" t="inlineStr">
        <is>
          <t xml:space="preserve">SQ2DSCE69F15</t>
        </is>
      </c>
      <c r="F15" s="0" t="inlineStr">
        <is>
          <t xml:space="preserve">TELEDYNE TECHNOLOGIES INCORPORATED</t>
        </is>
      </c>
      <c r="G15" s="0" t="inlineStr">
        <is>
          <t xml:space="preserve">FNA3YNLZNM43</t>
        </is>
      </c>
      <c r="H15" s="4">
        <v>3.1898329999999997</v>
      </c>
      <c r="I15" s="0" t="inlineStr">
        <is>
          <t xml:space="preserve">2025-06-04</t>
        </is>
      </c>
      <c r="J15" s="0" t="inlineStr">
        <is>
          <t xml:space="preserve">propulsion_power</t>
        </is>
      </c>
      <c r="K15" s="4">
        <v>1.8</v>
      </c>
      <c r="L15" s="0" t="inlineStr">
        <is>
          <t xml:space="preserve">Engineering services</t>
        </is>
      </c>
    </row>
    <row r="16">
      <c r="B16" s="0" t="inlineStr">
        <is>
          <t xml:space="preserve">N0001418C2006</t>
        </is>
      </c>
      <c r="C16" s="0" t="inlineStr">
        <is>
          <t xml:space="preserve">LEIDOS, INC.</t>
        </is>
      </c>
      <c r="D16" s="0" t="inlineStr">
        <is>
          <t xml:space="preserve">KTMAJCY6JXM3</t>
        </is>
      </c>
      <c r="E16" s="0" t="inlineStr">
        <is>
          <t xml:space="preserve">JXUMFLGNSMP8</t>
        </is>
      </c>
      <c r="F16" s="0" t="inlineStr">
        <is>
          <t xml:space="preserve">UNITED STATES MARINE, INC.</t>
        </is>
      </c>
      <c r="G16" s="0" t="inlineStr">
        <is>
          <t xml:space="preserve">JXUMFLGNSMP8</t>
        </is>
      </c>
      <c r="H16" s="4">
        <v>3.114496</v>
      </c>
      <c r="I16" s="0" t="inlineStr">
        <is>
          <t xml:space="preserve">2018-01-17</t>
        </is>
      </c>
      <c r="J16" s="0" t="inlineStr">
        <is>
          <t xml:space="preserve">other_unclassified</t>
        </is>
      </c>
      <c r="K16" s="4">
        <v>24.9</v>
      </c>
      <c r="L16" s="0" t="inlineStr">
        <is>
          <t xml:space="preserve">PROCURED SERVICES BETWEEN 1/1/2020-1/31/2020 IN SUPPORT OF CONTRACT SOW.</t>
        </is>
      </c>
    </row>
    <row r="17">
      <c r="B17" s="0" t="inlineStr">
        <is>
          <t xml:space="preserve">N0002424C2204</t>
        </is>
      </c>
      <c r="C17" s="0" t="inlineStr">
        <is>
          <t xml:space="preserve">SAAB, INC</t>
        </is>
      </c>
      <c r="D17" s="0" t="inlineStr">
        <is>
          <t xml:space="preserve">H5FMLSGM29L1</t>
        </is>
      </c>
      <c r="E17" s="0" t="inlineStr">
        <is>
          <t xml:space="preserve">NQEMKX3MRBV6</t>
        </is>
      </c>
      <c r="F17" s="0" t="inlineStr">
        <is>
          <t xml:space="preserve">SAAB DYNAMICS AKTIEBOLAG</t>
        </is>
      </c>
      <c r="G17" s="0" t="inlineStr">
        <is>
          <t xml:space="preserve">NQEMKX3MRBV6</t>
        </is>
      </c>
      <c r="H17" s="4">
        <v>2.6554618199999998</v>
      </c>
      <c r="I17" s="0" t="inlineStr">
        <is>
          <t xml:space="preserve">2025-03-27</t>
        </is>
      </c>
      <c r="J17" s="0" t="inlineStr">
        <is>
          <t xml:space="preserve">other_unclassified</t>
        </is>
      </c>
      <c r="K17" s="4">
        <v>0.7</v>
      </c>
      <c r="L17" s="0" t="inlineStr">
        <is>
          <t xml:space="preserve">Multiple Parts for Double Eagle program</t>
        </is>
      </c>
    </row>
    <row r="18">
      <c r="B18" s="0" t="inlineStr">
        <is>
          <t xml:space="preserve">N0002419C6402</t>
        </is>
      </c>
      <c r="C18" s="0" t="inlineStr">
        <is>
          <t xml:space="preserve">TELEDYNE BROWN ENGINEERING, INC.</t>
        </is>
      </c>
      <c r="D18" s="0" t="inlineStr">
        <is>
          <t xml:space="preserve">FBRSJB6V4LW8</t>
        </is>
      </c>
      <c r="E18" s="0" t="inlineStr">
        <is>
          <t xml:space="preserve">JNJDBJZLL2R7</t>
        </is>
      </c>
      <c r="F18" s="0" t="inlineStr">
        <is>
          <t xml:space="preserve">EDGEONE LLC</t>
        </is>
      </c>
      <c r="G18" s="0" t="inlineStr">
        <is>
          <t xml:space="preserve">JNJDBJZLL2R7</t>
        </is>
      </c>
      <c r="H18" s="4">
        <v>1.7728899999999999</v>
      </c>
      <c r="I18" s="0" t="inlineStr">
        <is>
          <t xml:space="preserve">2025-10-27</t>
        </is>
      </c>
      <c r="J18" s="0" t="inlineStr">
        <is>
          <t xml:space="preserve">propulsion_power</t>
        </is>
      </c>
      <c r="K18" s="4">
        <v>1.0</v>
      </c>
      <c r="L18" s="0" t="inlineStr">
        <is>
          <t xml:space="preserve">Engineering materials</t>
        </is>
      </c>
    </row>
    <row r="19">
      <c r="B19" s="0" t="inlineStr">
        <is>
          <t xml:space="preserve">N0002419C6402</t>
        </is>
      </c>
      <c r="C19" s="0" t="inlineStr">
        <is>
          <t xml:space="preserve">TELEDYNE BROWN ENGINEERING, INC.</t>
        </is>
      </c>
      <c r="D19" s="0" t="inlineStr">
        <is>
          <t xml:space="preserve">FBRSJB6V4LW8</t>
        </is>
      </c>
      <c r="E19" s="0" t="inlineStr">
        <is>
          <t xml:space="preserve">SQ2DSCE69F15</t>
        </is>
      </c>
      <c r="F19" s="0" t="inlineStr">
        <is>
          <t xml:space="preserve">TELEDYNE TECHNOLOGIES INCORPORATED</t>
        </is>
      </c>
      <c r="G19" s="0" t="inlineStr">
        <is>
          <t xml:space="preserve">PAH8M4BJACA5</t>
        </is>
      </c>
      <c r="H19" s="4">
        <v>1.43512811</v>
      </c>
      <c r="I19" s="0" t="inlineStr">
        <is>
          <t xml:space="preserve">2021-08-11</t>
        </is>
      </c>
      <c r="J19" s="0" t="inlineStr">
        <is>
          <t xml:space="preserve">propulsion_power</t>
        </is>
      </c>
      <c r="K19" s="4">
        <v>0.7</v>
      </c>
      <c r="L19" s="0" t="inlineStr">
        <is>
          <t xml:space="preserve">Engineering services/materials</t>
        </is>
      </c>
    </row>
    <row r="20">
      <c r="B20" s="0" t="inlineStr">
        <is>
          <t xml:space="preserve">N0016419F0049</t>
        </is>
      </c>
      <c r="C20" s="0" t="inlineStr">
        <is>
          <t xml:space="preserve">ATLANTIC DIVING SUPPLY, INC.</t>
        </is>
      </c>
      <c r="D20" s="0" t="inlineStr">
        <is>
          <t xml:space="preserve">GJMSFBCNMSK3</t>
        </is>
      </c>
      <c r="E20" s="0" t="inlineStr">
        <is>
          <t xml:space="preserve">TCYEPH3BN7L6</t>
        </is>
      </c>
      <c r="F20" s="0" t="inlineStr">
        <is>
          <t xml:space="preserve">POSEIDON BARGE LTD.</t>
        </is>
      </c>
      <c r="G20" s="0" t="inlineStr">
        <is>
          <t xml:space="preserve">TCYEPH3BN7L6</t>
        </is>
      </c>
      <c r="H20" s="4">
        <v>1.3881999999999999</v>
      </c>
      <c r="I20" s="0" t="inlineStr">
        <is>
          <t xml:space="preserve">2019-03-20</t>
        </is>
      </c>
      <c r="J20" s="0" t="inlineStr">
        <is>
          <t xml:space="preserve">other_unclassified</t>
        </is>
      </c>
      <c r="K20" s="4">
        <v>0.8</v>
      </c>
      <c r="L20" s="0" t="inlineStr">
        <is>
          <t xml:space="preserve">POSEIDON BARGE, LTD</t>
        </is>
      </c>
    </row>
    <row r="21">
      <c r="B21" s="0" t="inlineStr">
        <is>
          <t xml:space="preserve">N0003922F2153</t>
        </is>
      </c>
      <c r="C21" s="0" t="inlineStr">
        <is>
          <t xml:space="preserve">TELEDYNE BROWN ENGINEERING, INC.</t>
        </is>
      </c>
      <c r="D21" s="0" t="inlineStr">
        <is>
          <t xml:space="preserve">FBRSJB6V4LW8</t>
        </is>
      </c>
      <c r="E21" s="0" t="inlineStr">
        <is>
          <t xml:space="preserve">SQ2DSCE69F15</t>
        </is>
      </c>
      <c r="F21" s="0" t="inlineStr">
        <is>
          <t xml:space="preserve">TELEDYNE TECHNOLOGIES INCORPORATED</t>
        </is>
      </c>
      <c r="G21" s="0" t="inlineStr">
        <is>
          <t xml:space="preserve">FNA3YNLZNM43</t>
        </is>
      </c>
      <c r="H21" s="4">
        <v>1.24176</v>
      </c>
      <c r="I21" s="0" t="inlineStr">
        <is>
          <t xml:space="preserve">2022-09-01</t>
        </is>
      </c>
      <c r="J21" s="0" t="inlineStr">
        <is>
          <t xml:space="preserve">propulsion_power</t>
        </is>
      </c>
      <c r="K21" s="4">
        <v>1.1</v>
      </c>
      <c r="L21" s="0" t="inlineStr">
        <is>
          <t xml:space="preserve">Engineering materials</t>
        </is>
      </c>
    </row>
    <row r="22">
      <c r="B22" s="0" t="inlineStr">
        <is>
          <t xml:space="preserve">N0002419C6402</t>
        </is>
      </c>
      <c r="C22" s="0" t="inlineStr">
        <is>
          <t xml:space="preserve">TELEDYNE BROWN ENGINEERING, INC.</t>
        </is>
      </c>
      <c r="D22" s="0" t="inlineStr">
        <is>
          <t xml:space="preserve">FBRSJB6V4LW8</t>
        </is>
      </c>
      <c r="E22" s="0" t="inlineStr">
        <is>
          <t xml:space="preserve">Q1B3NG6LP9B5</t>
        </is>
      </c>
      <c r="F22" s="0" t="inlineStr">
        <is>
          <t xml:space="preserve">Exail Defense Systems, Inc.</t>
        </is>
      </c>
      <c r="G22" s="0" t="inlineStr">
        <is>
          <t xml:space="preserve">Q1B3NG6LP9B5</t>
        </is>
      </c>
      <c r="H22" s="4">
        <v>1.23396</v>
      </c>
      <c r="I22" s="0" t="inlineStr">
        <is>
          <t xml:space="preserve">2025-10-28</t>
        </is>
      </c>
      <c r="J22" s="0" t="inlineStr">
        <is>
          <t xml:space="preserve">autonomy_software</t>
        </is>
      </c>
      <c r="K22" s="4">
        <v>1.0</v>
      </c>
      <c r="L22" s="0" t="inlineStr">
        <is>
          <t xml:space="preserve">Engineering materials</t>
        </is>
      </c>
    </row>
    <row r="23">
      <c r="B23" s="0" t="inlineStr">
        <is>
          <t xml:space="preserve">N0002419C6402</t>
        </is>
      </c>
      <c r="C23" s="0" t="inlineStr">
        <is>
          <t xml:space="preserve">TELEDYNE BROWN ENGINEERING, INC.</t>
        </is>
      </c>
      <c r="D23" s="0" t="inlineStr">
        <is>
          <t xml:space="preserve">FBRSJB6V4LW8</t>
        </is>
      </c>
      <c r="E23" s="0" t="inlineStr">
        <is>
          <t xml:space="preserve">XNHRXR2HTXA8</t>
        </is>
      </c>
      <c r="F23" s="0" t="inlineStr">
        <is>
          <t xml:space="preserve">BEAUFORT COMPOSITE TECHNOLOGIES, INC.</t>
        </is>
      </c>
      <c r="G23" s="0" t="inlineStr">
        <is>
          <t xml:space="preserve">XNHRXR2HTXA8</t>
        </is>
      </c>
      <c r="H23" s="4">
        <v>1.1415199999999999</v>
      </c>
      <c r="I23" s="0" t="inlineStr">
        <is>
          <t xml:space="preserve">2025-06-19</t>
        </is>
      </c>
      <c r="J23" s="0" t="inlineStr">
        <is>
          <t xml:space="preserve">platform_hull</t>
        </is>
      </c>
      <c r="K23" s="4">
        <v>1.3</v>
      </c>
      <c r="L23" s="0" t="inlineStr">
        <is>
          <t xml:space="preserve">Engineering Services/Materials</t>
        </is>
      </c>
    </row>
    <row r="24">
      <c r="B24" s="0" t="inlineStr">
        <is>
          <t xml:space="preserve">N0001421C1009</t>
        </is>
      </c>
      <c r="C24" s="0" t="inlineStr">
        <is>
          <t xml:space="preserve">RAYTHEON COMPANY</t>
        </is>
      </c>
      <c r="D24" s="0" t="inlineStr">
        <is>
          <t xml:space="preserve">VTEWM5QSE598</t>
        </is>
      </c>
      <c r="E24" s="0" t="inlineStr">
        <is>
          <t xml:space="preserve">ME2BVJ4KGAM1</t>
        </is>
      </c>
      <c r="F24" s="0" t="inlineStr">
        <is>
          <t xml:space="preserve">SYSTIMA TECHNOLOGIES INC</t>
        </is>
      </c>
      <c r="G24" s="0" t="inlineStr">
        <is>
          <t xml:space="preserve">ME2BVJ4KGAM1</t>
        </is>
      </c>
      <c r="H24" s="4">
        <v>1.066543</v>
      </c>
      <c r="I24" s="0" t="inlineStr">
        <is>
          <t xml:space="preserve">2021-04-02</t>
        </is>
      </c>
      <c r="J24" s="0" t="inlineStr">
        <is>
          <t xml:space="preserve">other_unclassified</t>
        </is>
      </c>
      <c r="K24" s="4">
        <v>36.7</v>
      </c>
      <c r="L24" s="0" t="inlineStr">
        <is>
          <t xml:space="preserve">Gen Structural Assys, NP H/W - Govt. Owned, NRE - All, Pyrotechnic Devices, Replacement Spares.</t>
        </is>
      </c>
    </row>
    <row r="25">
      <c r="B25" s="0" t="inlineStr">
        <is>
          <t xml:space="preserve">N0001421C1009</t>
        </is>
      </c>
      <c r="C25" s="0" t="inlineStr">
        <is>
          <t xml:space="preserve">RAYTHEON COMPANY</t>
        </is>
      </c>
      <c r="D25" s="0" t="inlineStr">
        <is>
          <t xml:space="preserve">VTEWM5QSE598</t>
        </is>
      </c>
      <c r="E25" s="0" t="inlineStr">
        <is>
          <t xml:space="preserve">ME2BVJ4KGAM1</t>
        </is>
      </c>
      <c r="F25" s="0" t="inlineStr">
        <is>
          <t xml:space="preserve">SYSTIMA TECHNOLOGIES INC</t>
        </is>
      </c>
      <c r="G25" s="0" t="inlineStr">
        <is>
          <t xml:space="preserve">ME2BVJ4KGAM1</t>
        </is>
      </c>
      <c r="H25" s="4">
        <v>1.066543</v>
      </c>
      <c r="I25" s="0" t="inlineStr">
        <is>
          <t xml:space="preserve">2021-04-02</t>
        </is>
      </c>
      <c r="J25" s="0" t="inlineStr">
        <is>
          <t xml:space="preserve">other_unclassified</t>
        </is>
      </c>
      <c r="K25" s="4">
        <v>24.3</v>
      </c>
      <c r="L25" s="0" t="inlineStr">
        <is>
          <t xml:space="preserve">Gen Structural Assys, NP H/W - Govt. Owned, NRE - Other, Pyrotechnic Devices, Replacement Spares.</t>
        </is>
      </c>
    </row>
    <row r="26">
      <c r="B26" s="0" t="inlineStr">
        <is>
          <t xml:space="preserve">N0001421C1009</t>
        </is>
      </c>
      <c r="C26" s="0" t="inlineStr">
        <is>
          <t xml:space="preserve">RAYTHEON COMPANY</t>
        </is>
      </c>
      <c r="D26" s="0" t="inlineStr">
        <is>
          <t xml:space="preserve">VTEWM5QSE598</t>
        </is>
      </c>
      <c r="E26" s="0" t="inlineStr">
        <is>
          <t xml:space="preserve">ME2BVJ4KGAM1</t>
        </is>
      </c>
      <c r="F26" s="0" t="inlineStr">
        <is>
          <t xml:space="preserve">SYSTIMA TECHNOLOGIES, INC.</t>
        </is>
      </c>
      <c r="G26" s="0" t="inlineStr">
        <is>
          <t xml:space="preserve">ME2BVJ4KGAM1</t>
        </is>
      </c>
      <c r="H26" s="4">
        <v>1.043213</v>
      </c>
      <c r="I26" s="0" t="inlineStr">
        <is>
          <t xml:space="preserve">2021-04-02</t>
        </is>
      </c>
      <c r="J26" s="0" t="inlineStr">
        <is>
          <t xml:space="preserve">other_unclassified</t>
        </is>
      </c>
      <c r="K26" s="4">
        <v>17.0</v>
      </c>
      <c r="L26" s="0" t="inlineStr">
        <is>
          <t xml:space="preserve">Gen Structural Assys, NP H/W - Govt. Owned, NRE - Other, Pyrotechnic Devices, Replacement Spares.</t>
        </is>
      </c>
    </row>
    <row r="27">
      <c r="B27" s="0" t="inlineStr">
        <is>
          <t xml:space="preserve">N0002419C6402</t>
        </is>
      </c>
      <c r="C27" s="0" t="inlineStr">
        <is>
          <t xml:space="preserve">TELEDYNE BROWN ENGINEERING, INC.</t>
        </is>
      </c>
      <c r="D27" s="0" t="inlineStr">
        <is>
          <t xml:space="preserve">FBRSJB6V4LW8</t>
        </is>
      </c>
      <c r="E27" s="0" t="inlineStr">
        <is>
          <t xml:space="preserve">Z8A7XHU5PG92</t>
        </is>
      </c>
      <c r="F27" s="0" t="inlineStr">
        <is>
          <t xml:space="preserve">EDGETECH INSTRUMENTS INC.</t>
        </is>
      </c>
      <c r="G27" s="0" t="inlineStr">
        <is>
          <t xml:space="preserve">Z8A7XHU5PG92</t>
        </is>
      </c>
      <c r="H27" s="4">
        <v>0.800241</v>
      </c>
      <c r="I27" s="0" t="inlineStr">
        <is>
          <t xml:space="preserve">2021-05-17</t>
        </is>
      </c>
      <c r="J27" s="0" t="inlineStr">
        <is>
          <t xml:space="preserve">propulsion_power</t>
        </is>
      </c>
      <c r="K27" s="4">
        <v>0.6</v>
      </c>
      <c r="L27" s="0" t="inlineStr">
        <is>
          <t xml:space="preserve">Engineering services/materials</t>
        </is>
      </c>
    </row>
    <row r="28">
      <c r="B28" s="0" t="inlineStr">
        <is>
          <t xml:space="preserve">N0002419C6402</t>
        </is>
      </c>
      <c r="C28" s="0" t="inlineStr">
        <is>
          <t xml:space="preserve">TELEDYNE BROWN ENGINEERING, INC.</t>
        </is>
      </c>
      <c r="D28" s="0" t="inlineStr">
        <is>
          <t xml:space="preserve">FBRSJB6V4LW8</t>
        </is>
      </c>
      <c r="E28" s="0" t="inlineStr">
        <is>
          <t xml:space="preserve">YRD5CM5FTNU9</t>
        </is>
      </c>
      <c r="F28" s="0" t="inlineStr">
        <is>
          <t xml:space="preserve">EDGEONE LLC</t>
        </is>
      </c>
      <c r="G28" s="0" t="inlineStr">
        <is>
          <t xml:space="preserve">JNJDBJZLL2R7</t>
        </is>
      </c>
      <c r="H28" s="4">
        <v>0.800241</v>
      </c>
      <c r="I28" s="0" t="inlineStr">
        <is>
          <t xml:space="preserve">2020-03-10</t>
        </is>
      </c>
      <c r="J28" s="0" t="inlineStr">
        <is>
          <t xml:space="preserve">propulsion_power</t>
        </is>
      </c>
      <c r="K28" s="4">
        <v>9.9</v>
      </c>
      <c r="L28" s="0" t="inlineStr">
        <is>
          <t xml:space="preserve">Engineering services/materials</t>
        </is>
      </c>
    </row>
    <row r="29">
      <c r="B29" s="0" t="inlineStr">
        <is>
          <t xml:space="preserve">N0003921F2173</t>
        </is>
      </c>
      <c r="C29" s="0" t="inlineStr">
        <is>
          <t xml:space="preserve">TELEDYNE BROWN ENGINEERING, INC.</t>
        </is>
      </c>
      <c r="D29" s="0" t="inlineStr">
        <is>
          <t xml:space="preserve">FBRSJB6V4LW8</t>
        </is>
      </c>
      <c r="E29" s="0" t="inlineStr">
        <is>
          <t xml:space="preserve">SQ2DSCE69F15</t>
        </is>
      </c>
      <c r="F29" s="0" t="inlineStr">
        <is>
          <t xml:space="preserve">TELEDYNE TECHNOLOGIES INCORPORATED</t>
        </is>
      </c>
      <c r="G29" s="0" t="inlineStr">
        <is>
          <t xml:space="preserve">FNA3YNLZNM43</t>
        </is>
      </c>
      <c r="H29" s="4">
        <v>0.7959999999999999</v>
      </c>
      <c r="I29" s="0" t="inlineStr">
        <is>
          <t xml:space="preserve">2021-07-19</t>
        </is>
      </c>
      <c r="J29" s="0" t="inlineStr">
        <is>
          <t xml:space="preserve">propulsion_power</t>
        </is>
      </c>
      <c r="K29" s="4">
        <v>0.5</v>
      </c>
      <c r="L29" s="0" t="inlineStr">
        <is>
          <t xml:space="preserve">Engineering services/materials</t>
        </is>
      </c>
    </row>
    <row r="30">
      <c r="B30" s="0" t="inlineStr">
        <is>
          <t xml:space="preserve">N0002424C2204</t>
        </is>
      </c>
      <c r="C30" s="0" t="inlineStr">
        <is>
          <t xml:space="preserve">SAAB, INC</t>
        </is>
      </c>
      <c r="D30" s="0" t="inlineStr">
        <is>
          <t xml:space="preserve">H5FMLSGM29L1</t>
        </is>
      </c>
      <c r="E30" s="0" t="inlineStr">
        <is>
          <t xml:space="preserve">NQEMKX3MRBV6</t>
        </is>
      </c>
      <c r="F30" s="0" t="inlineStr">
        <is>
          <t xml:space="preserve">SAAB DYNAMICS AKTIEBOLAG</t>
        </is>
      </c>
      <c r="G30" s="0" t="inlineStr">
        <is>
          <t xml:space="preserve">NQEMKX3MRBV6</t>
        </is>
      </c>
      <c r="H30" s="4">
        <v>0.7449367199999999</v>
      </c>
      <c r="I30" s="0" t="inlineStr">
        <is>
          <t xml:space="preserve">2026-02-03</t>
        </is>
      </c>
      <c r="J30" s="0" t="inlineStr">
        <is>
          <t xml:space="preserve">other_unclassified</t>
        </is>
      </c>
      <c r="K30" s="4">
        <v>0.0</v>
      </c>
      <c r="L30" s="0" t="inlineStr">
        <is>
          <t xml:space="preserve">ATC (FC) Winch, top outlet for our Double Eagle underwater program</t>
        </is>
      </c>
    </row>
    <row r="31">
      <c r="B31" s="0" t="inlineStr">
        <is>
          <t xml:space="preserve">N0002424C2204</t>
        </is>
      </c>
      <c r="C31" s="0" t="inlineStr">
        <is>
          <t xml:space="preserve">SAAB, INC</t>
        </is>
      </c>
      <c r="D31" s="0" t="inlineStr">
        <is>
          <t xml:space="preserve">H5FMLSGM29L1</t>
        </is>
      </c>
      <c r="E31" s="0" t="inlineStr">
        <is>
          <t xml:space="preserve">NQEMKX3MRBV6</t>
        </is>
      </c>
      <c r="F31" s="0" t="inlineStr">
        <is>
          <t xml:space="preserve">SAAB DYNAMICS AKTIEBOLAG</t>
        </is>
      </c>
      <c r="G31" s="0" t="inlineStr">
        <is>
          <t xml:space="preserve">NQEMKX3MRBV6</t>
        </is>
      </c>
      <c r="H31" s="4">
        <v>0.7212278799999999</v>
      </c>
      <c r="I31" s="0" t="inlineStr">
        <is>
          <t xml:space="preserve">2026-03-23</t>
        </is>
      </c>
      <c r="J31" s="0" t="inlineStr">
        <is>
          <t xml:space="preserve">other_unclassified</t>
        </is>
      </c>
      <c r="K31" s="4">
        <v>0.7</v>
      </c>
      <c r="L31" s="0" t="inlineStr">
        <is>
          <t xml:space="preserve">ATC (FC) Winch, top outlet</t>
        </is>
      </c>
    </row>
    <row r="32">
      <c r="B32" s="0" t="inlineStr">
        <is>
          <t xml:space="preserve">N0002419C6402</t>
        </is>
      </c>
      <c r="C32" s="0" t="inlineStr">
        <is>
          <t xml:space="preserve">TELEDYNE BROWN ENGINEERING, INC.</t>
        </is>
      </c>
      <c r="D32" s="0" t="inlineStr">
        <is>
          <t xml:space="preserve">FBRSJB6V4LW8</t>
        </is>
      </c>
      <c r="E32" s="0" t="inlineStr">
        <is>
          <t xml:space="preserve">SQ2DSCE69F15</t>
        </is>
      </c>
      <c r="F32" s="0" t="inlineStr">
        <is>
          <t xml:space="preserve">TELEDYNE TECHNOLOGIES INCORPORATED</t>
        </is>
      </c>
      <c r="G32" s="0" t="inlineStr">
        <is>
          <t xml:space="preserve">PAH8M4BJACA5</t>
        </is>
      </c>
      <c r="H32" s="4">
        <v>0.7030159399999999</v>
      </c>
      <c r="I32" s="0" t="inlineStr">
        <is>
          <t xml:space="preserve">2020-11-16</t>
        </is>
      </c>
      <c r="J32" s="0" t="inlineStr">
        <is>
          <t xml:space="preserve">propulsion_power</t>
        </is>
      </c>
      <c r="K32" s="4">
        <v>0.7</v>
      </c>
      <c r="L32" s="0" t="inlineStr">
        <is>
          <t xml:space="preserve">Engineering services/materials</t>
        </is>
      </c>
    </row>
    <row r="33">
      <c r="B33" s="0" t="inlineStr">
        <is>
          <t xml:space="preserve">N0002419C6402</t>
        </is>
      </c>
      <c r="C33" s="0" t="inlineStr">
        <is>
          <t xml:space="preserve">TELEDYNE BROWN ENGINEERING, INC.</t>
        </is>
      </c>
      <c r="D33" s="0" t="inlineStr">
        <is>
          <t xml:space="preserve">FBRSJB6V4LW8</t>
        </is>
      </c>
      <c r="E33" s="0" t="inlineStr">
        <is>
          <t xml:space="preserve">F125YU6SWK59</t>
        </is>
      </c>
      <c r="F33" s="0" t="inlineStr">
        <is>
          <t xml:space="preserve">BATTELLE MEMORIAL INSTITUTE</t>
        </is>
      </c>
      <c r="G33" s="0" t="inlineStr">
        <is>
          <t xml:space="preserve">F125YU6SWK59</t>
        </is>
      </c>
      <c r="H33" s="4">
        <v>0.6547468799999999</v>
      </c>
      <c r="I33" s="0" t="inlineStr">
        <is>
          <t xml:space="preserve">2020-08-12</t>
        </is>
      </c>
      <c r="J33" s="0" t="inlineStr">
        <is>
          <t xml:space="preserve">propulsion_power</t>
        </is>
      </c>
      <c r="K33" s="4">
        <v>0.8</v>
      </c>
      <c r="L33" s="0" t="inlineStr">
        <is>
          <t xml:space="preserve">Engineering services/materials</t>
        </is>
      </c>
    </row>
    <row r="34">
      <c r="B34" s="0" t="inlineStr">
        <is>
          <t xml:space="preserve">N0002419C6402</t>
        </is>
      </c>
      <c r="C34" s="0" t="inlineStr">
        <is>
          <t xml:space="preserve">TELEDYNE BROWN ENGINEERING, INC.</t>
        </is>
      </c>
      <c r="D34" s="0" t="inlineStr">
        <is>
          <t xml:space="preserve">FBRSJB6V4LW8</t>
        </is>
      </c>
      <c r="E34" s="0" t="inlineStr">
        <is>
          <t xml:space="preserve">XNHRXR2HTXA8</t>
        </is>
      </c>
      <c r="F34" s="0" t="inlineStr">
        <is>
          <t xml:space="preserve">BEAUFORT COMPOSITE TECHNOLOGIES, INC</t>
        </is>
      </c>
      <c r="G34" s="0" t="inlineStr">
        <is>
          <t xml:space="preserve">XNHRXR2HTXA8</t>
        </is>
      </c>
      <c r="H34" s="4">
        <v>0.63171</v>
      </c>
      <c r="I34" s="0" t="inlineStr">
        <is>
          <t xml:space="preserve">2021-06-21</t>
        </is>
      </c>
      <c r="J34" s="0" t="inlineStr">
        <is>
          <t xml:space="preserve">platform_hull</t>
        </is>
      </c>
      <c r="K34" s="4">
        <v>0.6</v>
      </c>
      <c r="L34" s="0" t="inlineStr">
        <is>
          <t xml:space="preserve">Engineering services/materials</t>
        </is>
      </c>
    </row>
    <row r="35">
      <c r="B35" s="0" t="inlineStr">
        <is>
          <t xml:space="preserve">N0002417C4103</t>
        </is>
      </c>
      <c r="C35" s="0" t="inlineStr">
        <is>
          <t xml:space="preserve">HUNTINGTON INGALLS INC</t>
        </is>
      </c>
      <c r="D35" s="0" t="inlineStr">
        <is>
          <t xml:space="preserve">WMXDDH6HJNA5</t>
        </is>
      </c>
      <c r="E35" s="0" t="inlineStr">
        <is>
          <t xml:space="preserve">NKVZLJL93QT6</t>
        </is>
      </c>
      <c r="F35" s="0" t="inlineStr">
        <is>
          <t xml:space="preserve">NORTHROP GRUMMAN CORPORATION</t>
        </is>
      </c>
      <c r="G35" s="0" t="inlineStr">
        <is>
          <t xml:space="preserve">LCV2N9FVV739</t>
        </is>
      </c>
      <c r="H35" s="4">
        <v>0.629821</v>
      </c>
      <c r="I35" s="0" t="inlineStr">
        <is>
          <t xml:space="preserve">2018-06-20</t>
        </is>
      </c>
      <c r="J35" s="0" t="inlineStr">
        <is>
          <t xml:space="preserve">other_unclassified</t>
        </is>
      </c>
      <c r="K35" s="4">
        <v>1.4</v>
      </c>
      <c r="L35" s="0" t="inlineStr">
        <is>
          <t xml:space="preserve">Vendor Service; Item #1</t>
        </is>
      </c>
    </row>
    <row r="36">
      <c r="B36" s="0" t="inlineStr">
        <is>
          <t xml:space="preserve">N0002419C6402</t>
        </is>
      </c>
      <c r="C36" s="0" t="inlineStr">
        <is>
          <t xml:space="preserve">TELEDYNE BROWN ENGINEERING, INC.</t>
        </is>
      </c>
      <c r="D36" s="0" t="inlineStr">
        <is>
          <t xml:space="preserve">FBRSJB6V4LW8</t>
        </is>
      </c>
      <c r="E36" s="0" t="inlineStr">
        <is>
          <t xml:space="preserve">MHZPPJVGRNN6</t>
        </is>
      </c>
      <c r="F36" s="0" t="inlineStr">
        <is>
          <t xml:space="preserve">IXCORE</t>
        </is>
      </c>
      <c r="G36" s="0" t="inlineStr">
        <is>
          <t xml:space="preserve">Q1B3NG6LP9B5</t>
        </is>
      </c>
      <c r="H36" s="4">
        <v>0.5900092499999999</v>
      </c>
      <c r="I36" s="0" t="inlineStr">
        <is>
          <t xml:space="preserve">2021-04-28</t>
        </is>
      </c>
      <c r="J36" s="0" t="inlineStr">
        <is>
          <t xml:space="preserve">propulsion_power</t>
        </is>
      </c>
      <c r="K36" s="4">
        <v>0.2</v>
      </c>
      <c r="L36" s="0" t="inlineStr">
        <is>
          <t xml:space="preserve">Engineering services/materials</t>
        </is>
      </c>
    </row>
    <row r="37">
      <c r="B37" s="0" t="inlineStr">
        <is>
          <t xml:space="preserve">N0002419C6402</t>
        </is>
      </c>
      <c r="C37" s="0" t="inlineStr">
        <is>
          <t xml:space="preserve">TELEDYNE BROWN ENGINEERING, INC.</t>
        </is>
      </c>
      <c r="D37" s="0" t="inlineStr">
        <is>
          <t xml:space="preserve">FBRSJB6V4LW8</t>
        </is>
      </c>
      <c r="E37" s="0" t="inlineStr">
        <is>
          <t xml:space="preserve">G68SW8U2WVM4</t>
        </is>
      </c>
      <c r="F37" s="0" t="inlineStr">
        <is>
          <t xml:space="preserve">MOTION CONTROL SYSTEMS, INC.</t>
        </is>
      </c>
      <c r="G37" s="0" t="inlineStr">
        <is>
          <t xml:space="preserve">G68SW8U2WVM4</t>
        </is>
      </c>
      <c r="H37" s="4">
        <v>0.587868</v>
      </c>
      <c r="I37" s="0" t="inlineStr">
        <is>
          <t xml:space="preserve">2021-06-17</t>
        </is>
      </c>
      <c r="J37" s="0" t="inlineStr">
        <is>
          <t xml:space="preserve">propulsion_power</t>
        </is>
      </c>
      <c r="K37" s="4">
        <v>0.7</v>
      </c>
      <c r="L37" s="0" t="inlineStr">
        <is>
          <t xml:space="preserve">Engineering services/materials</t>
        </is>
      </c>
    </row>
    <row r="38">
      <c r="B38" s="0" t="inlineStr">
        <is>
          <t xml:space="preserve">N6133115C0025</t>
        </is>
      </c>
      <c r="C38" s="0" t="inlineStr">
        <is>
          <t xml:space="preserve">Y-TECH SERVICES, INC.</t>
        </is>
      </c>
      <c r="D38" s="0" t="inlineStr">
        <is>
          <t xml:space="preserve">P62MLNFBEZA9</t>
        </is>
      </c>
      <c r="E38" s="0" t="inlineStr">
        <is>
          <t xml:space="preserve">VANJSRE1BJ77</t>
        </is>
      </c>
      <c r="F38" s="0" t="inlineStr">
        <is>
          <t xml:space="preserve">SEAWARD SERVICES, INC.</t>
        </is>
      </c>
      <c r="G38" s="0" t="inlineStr">
        <is>
          <t xml:space="preserve">VANJSRE1BJ77</t>
        </is>
      </c>
      <c r="H38" s="4">
        <v>0.575834</v>
      </c>
      <c r="I38" s="0" t="inlineStr">
        <is>
          <t xml:space="preserve">2015-12-15</t>
        </is>
      </c>
      <c r="J38" s="0" t="inlineStr">
        <is>
          <t xml:space="preserve">other_unclassified</t>
        </is>
      </c>
      <c r="K38" s="4">
        <v>2.4</v>
      </c>
      <c r="L38" s="0" t="inlineStr">
        <is>
          <t xml:space="preserve">crew</t>
        </is>
      </c>
    </row>
    <row r="39">
      <c r="B39" s="0" t="inlineStr">
        <is>
          <t xml:space="preserve">N0001421C1009</t>
        </is>
      </c>
      <c r="C39" s="0" t="inlineStr">
        <is>
          <t xml:space="preserve">RAYTHEON COMPANY</t>
        </is>
      </c>
      <c r="D39" s="0" t="inlineStr">
        <is>
          <t xml:space="preserve">VTEWM5QSE598</t>
        </is>
      </c>
      <c r="E39" s="0" t="inlineStr">
        <is>
          <t xml:space="preserve">MFCTLU3MRXC8</t>
        </is>
      </c>
      <c r="F39" s="0" t="inlineStr">
        <is>
          <t xml:space="preserve">EMPIRICAL SYSTEMS AEROSPACE, INC.</t>
        </is>
      </c>
      <c r="G39" s="0" t="inlineStr">
        <is>
          <t xml:space="preserve">MFCTLU3MRXC8</t>
        </is>
      </c>
      <c r="H39" s="4">
        <v>0.5712809999999999</v>
      </c>
      <c r="I39" s="0" t="inlineStr">
        <is>
          <t xml:space="preserve">2021-10-28</t>
        </is>
      </c>
      <c r="J39" s="0" t="inlineStr">
        <is>
          <t xml:space="preserve">other_unclassified</t>
        </is>
      </c>
      <c r="K39" s="4">
        <v>10.1</v>
      </c>
      <c r="L39" s="0" t="inlineStr">
        <is>
          <t xml:space="preserve">Electromech-Mj Assys, NRE - Other.</t>
        </is>
      </c>
    </row>
    <row r="40">
      <c r="B40" s="0" t="inlineStr">
        <is>
          <t xml:space="preserve">N0001421C1009</t>
        </is>
      </c>
      <c r="C40" s="0" t="inlineStr">
        <is>
          <t xml:space="preserve">RAYTHEON COMPANY</t>
        </is>
      </c>
      <c r="D40" s="0" t="inlineStr">
        <is>
          <t xml:space="preserve">VTEWM5QSE598</t>
        </is>
      </c>
      <c r="E40" s="0" t="inlineStr">
        <is>
          <t xml:space="preserve">U1ASEJJJKDP5</t>
        </is>
      </c>
      <c r="F40" s="0" t="inlineStr">
        <is>
          <t xml:space="preserve">EMPIRICAL SYSTEMS AEROSPACE INC</t>
        </is>
      </c>
      <c r="G40" s="0" t="inlineStr">
        <is>
          <t xml:space="preserve">MFCTLU3MRXC8</t>
        </is>
      </c>
      <c r="H40" s="4">
        <v>0.5712809999999999</v>
      </c>
      <c r="I40" s="0" t="inlineStr">
        <is>
          <t xml:space="preserve">2021-10-28</t>
        </is>
      </c>
      <c r="J40" s="0" t="inlineStr">
        <is>
          <t xml:space="preserve">other_unclassified</t>
        </is>
      </c>
      <c r="K40" s="4">
        <v>29.8</v>
      </c>
      <c r="L40" s="0" t="inlineStr">
        <is>
          <t xml:space="preserve">Electromech-Mj Assys, NRE - All.</t>
        </is>
      </c>
    </row>
    <row r="41">
      <c r="B41" s="0" t="inlineStr">
        <is>
          <t xml:space="preserve">N0001421C1009</t>
        </is>
      </c>
      <c r="C41" s="0" t="inlineStr">
        <is>
          <t xml:space="preserve">RAYTHEON COMPANY</t>
        </is>
      </c>
      <c r="D41" s="0" t="inlineStr">
        <is>
          <t xml:space="preserve">VTEWM5QSE598</t>
        </is>
      </c>
      <c r="E41" s="0" t="inlineStr">
        <is>
          <t xml:space="preserve">U1ASEJJJKDP5</t>
        </is>
      </c>
      <c r="F41" s="0" t="inlineStr">
        <is>
          <t xml:space="preserve">EMPIRICAL SYSTEMS AEROSPACE INC</t>
        </is>
      </c>
      <c r="G41" s="0" t="inlineStr">
        <is>
          <t xml:space="preserve">MFCTLU3MRXC8</t>
        </is>
      </c>
      <c r="H41" s="4">
        <v>0.5712809999999999</v>
      </c>
      <c r="I41" s="0" t="inlineStr">
        <is>
          <t xml:space="preserve">2021-10-28</t>
        </is>
      </c>
      <c r="J41" s="0" t="inlineStr">
        <is>
          <t xml:space="preserve">other_unclassified</t>
        </is>
      </c>
      <c r="K41" s="4">
        <v>17.5</v>
      </c>
      <c r="L41" s="0" t="inlineStr">
        <is>
          <t xml:space="preserve">Electromech-Mj Assys, NRE - Other.</t>
        </is>
      </c>
    </row>
    <row r="42">
      <c r="B42" s="0" t="inlineStr">
        <is>
          <t xml:space="preserve">N0002419C6402</t>
        </is>
      </c>
      <c r="C42" s="0" t="inlineStr">
        <is>
          <t xml:space="preserve">TELEDYNE BROWN ENGINEERING, INC.</t>
        </is>
      </c>
      <c r="D42" s="0" t="inlineStr">
        <is>
          <t xml:space="preserve">FBRSJB6V4LW8</t>
        </is>
      </c>
      <c r="E42" s="0" t="inlineStr">
        <is>
          <t xml:space="preserve">U1PHZ8JUHL21</t>
        </is>
      </c>
      <c r="F42" s="0" t="inlineStr">
        <is>
          <t xml:space="preserve">RTD EMBEDDED TECHNOLOGIES INC</t>
        </is>
      </c>
      <c r="G42" s="0" t="inlineStr">
        <is>
          <t xml:space="preserve">U1PHZ8JUHL21</t>
        </is>
      </c>
      <c r="H42" s="4">
        <v>0.568332</v>
      </c>
      <c r="I42" s="0" t="inlineStr">
        <is>
          <t xml:space="preserve">2025-11-04</t>
        </is>
      </c>
      <c r="J42" s="0" t="inlineStr">
        <is>
          <t xml:space="preserve">propulsion_power</t>
        </is>
      </c>
      <c r="K42" s="4">
        <v>5.8</v>
      </c>
      <c r="L42" s="0" t="inlineStr">
        <is>
          <t xml:space="preserve">Engineering Services/ Materials</t>
        </is>
      </c>
    </row>
    <row r="43">
      <c r="B43" s="0" t="inlineStr">
        <is>
          <t xml:space="preserve">N0002417C4103</t>
        </is>
      </c>
      <c r="C43" s="0" t="inlineStr">
        <is>
          <t xml:space="preserve">HUNTINGTON INGALLS INC</t>
        </is>
      </c>
      <c r="D43" s="0" t="inlineStr">
        <is>
          <t xml:space="preserve">WMXDDH6HJNA5</t>
        </is>
      </c>
      <c r="E43" s="0" t="inlineStr">
        <is>
          <t xml:space="preserve">W8PTMRME1496</t>
        </is>
      </c>
      <c r="F43" s="0" t="inlineStr">
        <is>
          <t xml:space="preserve">LEONARDO SPA</t>
        </is>
      </c>
      <c r="G43" s="0" t="inlineStr">
        <is>
          <t xml:space="preserve">CPHLNLBGWFN5</t>
        </is>
      </c>
      <c r="H43" s="4">
        <v>0.5657679999999999</v>
      </c>
      <c r="I43" s="0" t="inlineStr">
        <is>
          <t xml:space="preserve">2018-06-01</t>
        </is>
      </c>
      <c r="J43" s="0" t="inlineStr">
        <is>
          <t xml:space="preserve">other_unclassified</t>
        </is>
      </c>
      <c r="K43" s="4">
        <v>2.0</v>
      </c>
      <c r="L43" s="0" t="inlineStr">
        <is>
          <t xml:space="preserve">Vendor Service Request; Item #1</t>
        </is>
      </c>
    </row>
    <row r="44">
      <c r="B44" s="0" t="inlineStr">
        <is>
          <t xml:space="preserve">N0003921F2173</t>
        </is>
      </c>
      <c r="C44" s="0" t="inlineStr">
        <is>
          <t xml:space="preserve">TELEDYNE BROWN ENGINEERING, INC.</t>
        </is>
      </c>
      <c r="D44" s="0" t="inlineStr">
        <is>
          <t xml:space="preserve">FBRSJB6V4LW8</t>
        </is>
      </c>
      <c r="E44" s="0" t="inlineStr">
        <is>
          <t xml:space="preserve">SQ2DSCE69F15</t>
        </is>
      </c>
      <c r="F44" s="0" t="inlineStr">
        <is>
          <t xml:space="preserve">TELEDYNE TECHNOLOGIES INCORPORATED</t>
        </is>
      </c>
      <c r="G44" s="0" t="inlineStr">
        <is>
          <t xml:space="preserve">FNA3YNLZNM43</t>
        </is>
      </c>
      <c r="H44" s="4">
        <v>0.56053354</v>
      </c>
      <c r="I44" s="0" t="inlineStr">
        <is>
          <t xml:space="preserve">2021-07-20</t>
        </is>
      </c>
      <c r="J44" s="0" t="inlineStr">
        <is>
          <t xml:space="preserve">propulsion_power</t>
        </is>
      </c>
      <c r="K44" s="4">
        <v>0.5</v>
      </c>
      <c r="L44" s="0" t="inlineStr">
        <is>
          <t xml:space="preserve">Engineering services/materials</t>
        </is>
      </c>
    </row>
    <row r="45">
      <c r="B45" s="0" t="inlineStr">
        <is>
          <t xml:space="preserve">N0002419C6402</t>
        </is>
      </c>
      <c r="C45" s="0" t="inlineStr">
        <is>
          <t xml:space="preserve">TELEDYNE BROWN ENGINEERING, INC.</t>
        </is>
      </c>
      <c r="D45" s="0" t="inlineStr">
        <is>
          <t xml:space="preserve">FBRSJB6V4LW8</t>
        </is>
      </c>
      <c r="E45" s="0" t="inlineStr">
        <is>
          <t xml:space="preserve">G68SW8U2WVM4</t>
        </is>
      </c>
      <c r="F45" s="0" t="inlineStr">
        <is>
          <t xml:space="preserve">MOTION CONTROL SYSTEMS, INC.</t>
        </is>
      </c>
      <c r="G45" s="0" t="inlineStr">
        <is>
          <t xml:space="preserve">G68SW8U2WVM4</t>
        </is>
      </c>
      <c r="H45" s="4">
        <v>0.5534279999999999</v>
      </c>
      <c r="I45" s="0" t="inlineStr">
        <is>
          <t xml:space="preserve">2020-11-17</t>
        </is>
      </c>
      <c r="J45" s="0" t="inlineStr">
        <is>
          <t xml:space="preserve">propulsion_power</t>
        </is>
      </c>
      <c r="K45" s="4">
        <v>0.7</v>
      </c>
      <c r="L45" s="0" t="inlineStr">
        <is>
          <t xml:space="preserve">Engineering services/materials</t>
        </is>
      </c>
    </row>
    <row r="46">
      <c r="B46" s="0" t="inlineStr">
        <is>
          <t xml:space="preserve">N0002419C6402</t>
        </is>
      </c>
      <c r="C46" s="0" t="inlineStr">
        <is>
          <t xml:space="preserve">TELEDYNE BROWN ENGINEERING, INC.</t>
        </is>
      </c>
      <c r="D46" s="0" t="inlineStr">
        <is>
          <t xml:space="preserve">FBRSJB6V4LW8</t>
        </is>
      </c>
      <c r="E46" s="0" t="inlineStr">
        <is>
          <t xml:space="preserve">XNHRXR2HTXA8</t>
        </is>
      </c>
      <c r="F46" s="0" t="inlineStr">
        <is>
          <t xml:space="preserve">BEAUFORT COMPOSITE TECHNOLOGIES, INC</t>
        </is>
      </c>
      <c r="G46" s="0" t="inlineStr">
        <is>
          <t xml:space="preserve">XNHRXR2HTXA8</t>
        </is>
      </c>
      <c r="H46" s="4">
        <v>0.53938</v>
      </c>
      <c r="I46" s="0" t="inlineStr">
        <is>
          <t xml:space="preserve">2021-08-25</t>
        </is>
      </c>
      <c r="J46" s="0" t="inlineStr">
        <is>
          <t xml:space="preserve">platform_hull</t>
        </is>
      </c>
      <c r="K46" s="4">
        <v>0.3</v>
      </c>
      <c r="L46" s="0" t="inlineStr">
        <is>
          <t xml:space="preserve">Engineering materials</t>
        </is>
      </c>
    </row>
    <row r="47">
      <c r="B47" s="0" t="inlineStr">
        <is>
          <t xml:space="preserve">N6133120F3009</t>
        </is>
      </c>
      <c r="C47" s="0" t="inlineStr">
        <is>
          <t xml:space="preserve">AVIAN, LLC</t>
        </is>
      </c>
      <c r="D47" s="0" t="inlineStr">
        <is>
          <t xml:space="preserve">D82NUFL39FE3</t>
        </is>
      </c>
      <c r="E47" s="0" t="inlineStr">
        <is>
          <t xml:space="preserve">VF58HFRNGEL8</t>
        </is>
      </c>
      <c r="F47" s="0" t="inlineStr">
        <is>
          <t xml:space="preserve">GENERAL DYNAMICS CORPORATION</t>
        </is>
      </c>
      <c r="G47" s="0" t="inlineStr">
        <is>
          <t xml:space="preserve">SMNWM6HN79X5</t>
        </is>
      </c>
      <c r="H47" s="4">
        <v>0.53752176</v>
      </c>
      <c r="I47" s="0" t="inlineStr">
        <is>
          <t xml:space="preserve">2021-09-21</t>
        </is>
      </c>
      <c r="J47" s="0" t="inlineStr">
        <is>
          <t xml:space="preserve">autonomy_software</t>
        </is>
      </c>
      <c r="K47" s="4">
        <v>12.6</v>
      </c>
      <c r="L47" s="0" t="inlineStr">
        <is>
          <t xml:space="preserve">Training support for UUV Unmanned Maritime System.</t>
        </is>
      </c>
    </row>
    <row r="48">
      <c r="B48" s="0" t="inlineStr">
        <is>
          <t xml:space="preserve">N0001418C2006</t>
        </is>
      </c>
      <c r="C48" s="0" t="inlineStr">
        <is>
          <t xml:space="preserve">LEIDOS, INC.</t>
        </is>
      </c>
      <c r="D48" s="0" t="inlineStr">
        <is>
          <t xml:space="preserve">KTMAJCY6JXM3</t>
        </is>
      </c>
      <c r="E48" s="0" t="inlineStr">
        <is>
          <t xml:space="preserve">JXUMFLGNSMP8</t>
        </is>
      </c>
      <c r="F48" s="0" t="inlineStr">
        <is>
          <t xml:space="preserve">UNITED STATES MARINE, INC.</t>
        </is>
      </c>
      <c r="G48" s="0" t="inlineStr">
        <is>
          <t xml:space="preserve">JXUMFLGNSMP8</t>
        </is>
      </c>
      <c r="H48" s="4">
        <v>0.513999</v>
      </c>
      <c r="I48" s="0" t="inlineStr">
        <is>
          <t xml:space="preserve">2018-01-17</t>
        </is>
      </c>
      <c r="J48" s="0" t="inlineStr">
        <is>
          <t xml:space="preserve">other_unclassified</t>
        </is>
      </c>
      <c r="K48" s="4">
        <v>33.8</v>
      </c>
      <c r="L48" s="0" t="inlineStr">
        <is>
          <t xml:space="preserve">PROCURED SERVICES BETWEEN 10/1/2020-10/30/2020 IN SUPPORT OF CONTRACT SOW.</t>
        </is>
      </c>
    </row>
    <row r="49">
      <c r="B49" s="0" t="inlineStr">
        <is>
          <t xml:space="preserve">N0001419C1020</t>
        </is>
      </c>
      <c r="C49" s="0" t="inlineStr">
        <is>
          <t xml:space="preserve">LEIDOS, INC.</t>
        </is>
      </c>
      <c r="D49" s="0" t="inlineStr">
        <is>
          <t xml:space="preserve">KTMAJCY6JXM3</t>
        </is>
      </c>
      <c r="E49" s="0" t="inlineStr">
        <is>
          <t xml:space="preserve">U2JMKHNS5TG4</t>
        </is>
      </c>
      <c r="F49" s="0" t="inlineStr">
        <is>
          <t xml:space="preserve">CALIFORNIA INSTITUTE OF TECHNOLOGY</t>
        </is>
      </c>
      <c r="G49" s="0" t="inlineStr">
        <is>
          <t xml:space="preserve">YC1YP79BFD19</t>
        </is>
      </c>
      <c r="H49" s="4">
        <v>0.5</v>
      </c>
      <c r="I49" s="0" t="inlineStr">
        <is>
          <t xml:space="preserve">2019-12-17</t>
        </is>
      </c>
      <c r="J49" s="0" t="inlineStr">
        <is>
          <t xml:space="preserve">other_unclassified</t>
        </is>
      </c>
      <c r="K49" s="4">
        <v>1.4</v>
      </c>
      <c r="L49" s="0" t="inlineStr">
        <is>
          <t xml:space="preserve">PROCURED SERVICES BETWEEN 12/1/2019-12/31/2019 IN SUPPORT OF CONTRACT SOW.</t>
        </is>
      </c>
    </row>
    <row r="50">
      <c r="B50" s="0" t="inlineStr">
        <is>
          <t xml:space="preserve">N0002419C6402</t>
        </is>
      </c>
      <c r="C50" s="0" t="inlineStr">
        <is>
          <t xml:space="preserve">TELEDYNE BROWN ENGINEERING, INC.</t>
        </is>
      </c>
      <c r="D50" s="0" t="inlineStr">
        <is>
          <t xml:space="preserve">FBRSJB6V4LW8</t>
        </is>
      </c>
      <c r="E50" s="0" t="inlineStr">
        <is>
          <t xml:space="preserve">SQ2DSCE69F15</t>
        </is>
      </c>
      <c r="F50" s="0" t="inlineStr">
        <is>
          <t xml:space="preserve">TELEDYNE TECHNOLOGIES INCORPORATED</t>
        </is>
      </c>
      <c r="G50" s="0" t="inlineStr">
        <is>
          <t xml:space="preserve">PAH8M4BJACA5</t>
        </is>
      </c>
      <c r="H50" s="4">
        <v>0.49960578</v>
      </c>
      <c r="I50" s="0" t="inlineStr">
        <is>
          <t xml:space="preserve">2021-10-06</t>
        </is>
      </c>
      <c r="J50" s="0" t="inlineStr">
        <is>
          <t xml:space="preserve">propulsion_power</t>
        </is>
      </c>
      <c r="K50" s="4">
        <v>1.1</v>
      </c>
      <c r="L50" s="0" t="inlineStr">
        <is>
          <t xml:space="preserve">Engineering materials/services</t>
        </is>
      </c>
    </row>
    <row r="51">
      <c r="B51" s="0" t="inlineStr">
        <is>
          <t xml:space="preserve">N0002419C6402</t>
        </is>
      </c>
      <c r="C51" s="0" t="inlineStr">
        <is>
          <t xml:space="preserve">TELEDYNE BROWN ENGINEERING, INC.</t>
        </is>
      </c>
      <c r="D51" s="0" t="inlineStr">
        <is>
          <t xml:space="preserve">FBRSJB6V4LW8</t>
        </is>
      </c>
      <c r="E51" s="0" t="inlineStr">
        <is>
          <t xml:space="preserve">XNHRXR2HTXA8</t>
        </is>
      </c>
      <c r="F51" s="0" t="inlineStr">
        <is>
          <t xml:space="preserve">BEAUFORT COMPOSITE TECHNOLOGIES, INC.</t>
        </is>
      </c>
      <c r="G51" s="0" t="inlineStr">
        <is>
          <t xml:space="preserve">XNHRXR2HTXA8</t>
        </is>
      </c>
      <c r="H51" s="4">
        <v>0.49385999999999997</v>
      </c>
      <c r="I51" s="0" t="inlineStr">
        <is>
          <t xml:space="preserve">2024-06-04</t>
        </is>
      </c>
      <c r="J51" s="0" t="inlineStr">
        <is>
          <t xml:space="preserve">platform_hull</t>
        </is>
      </c>
      <c r="K51" s="4">
        <v>5.1</v>
      </c>
      <c r="L51" s="0" t="inlineStr">
        <is>
          <t xml:space="preserve">Engineering services/materials</t>
        </is>
      </c>
    </row>
    <row r="52">
      <c r="B52" s="0" t="inlineStr">
        <is>
          <t xml:space="preserve">N0001421C1009</t>
        </is>
      </c>
      <c r="C52" s="0" t="inlineStr">
        <is>
          <t xml:space="preserve">RAYTHEON COMPANY</t>
        </is>
      </c>
      <c r="D52" s="0" t="inlineStr">
        <is>
          <t xml:space="preserve">VTEWM5QSE598</t>
        </is>
      </c>
      <c r="E52" s="0" t="inlineStr">
        <is>
          <t xml:space="preserve">ME2BVJ4KGAM1</t>
        </is>
      </c>
      <c r="F52" s="0" t="inlineStr">
        <is>
          <t xml:space="preserve">SYSTIMA TECHNOLOGIES, INC.</t>
        </is>
      </c>
      <c r="G52" s="0" t="inlineStr">
        <is>
          <t xml:space="preserve">ME2BVJ4KGAM1</t>
        </is>
      </c>
      <c r="H52" s="4">
        <v>0.490898</v>
      </c>
      <c r="I52" s="0" t="inlineStr">
        <is>
          <t xml:space="preserve">2022-04-21</t>
        </is>
      </c>
      <c r="J52" s="0" t="inlineStr">
        <is>
          <t xml:space="preserve">propulsion_power</t>
        </is>
      </c>
      <c r="K52" s="4">
        <v>0.6</v>
      </c>
      <c r="L52" s="0" t="inlineStr">
        <is>
          <t xml:space="preserve">GasGenerator&amp;Bottles, Launchers&amp;Cannisters, Pyrotechnic Devices.</t>
        </is>
      </c>
    </row>
    <row r="53">
      <c r="B53" s="0" t="inlineStr">
        <is>
          <t xml:space="preserve">N0001421C1009</t>
        </is>
      </c>
      <c r="C53" s="0" t="inlineStr">
        <is>
          <t xml:space="preserve">RAYTHEON COMPANY</t>
        </is>
      </c>
      <c r="D53" s="0" t="inlineStr">
        <is>
          <t xml:space="preserve">VTEWM5QSE598</t>
        </is>
      </c>
      <c r="E53" s="0" t="inlineStr">
        <is>
          <t xml:space="preserve">ME2BVJ4KGAM1</t>
        </is>
      </c>
      <c r="F53" s="0" t="inlineStr">
        <is>
          <t xml:space="preserve">SYSTIMA TECHNOLOGIES INC</t>
        </is>
      </c>
      <c r="G53" s="0" t="inlineStr">
        <is>
          <t xml:space="preserve">ME2BVJ4KGAM1</t>
        </is>
      </c>
      <c r="H53" s="4">
        <v>0.490898</v>
      </c>
      <c r="I53" s="0" t="inlineStr">
        <is>
          <t xml:space="preserve">2022-04-21</t>
        </is>
      </c>
      <c r="J53" s="0" t="inlineStr">
        <is>
          <t xml:space="preserve">propulsion_power</t>
        </is>
      </c>
      <c r="K53" s="4">
        <v>24.1</v>
      </c>
      <c r="L53" s="0" t="inlineStr">
        <is>
          <t xml:space="preserve">GasGenerator&amp;Bottles, Launchers&amp;Cannisters, Pyrotechnic Devices.</t>
        </is>
      </c>
    </row>
    <row r="54">
      <c r="B54" s="0" t="inlineStr">
        <is>
          <t xml:space="preserve">N0001421C1009</t>
        </is>
      </c>
      <c r="C54" s="0" t="inlineStr">
        <is>
          <t xml:space="preserve">RAYTHEON COMPANY</t>
        </is>
      </c>
      <c r="D54" s="0" t="inlineStr">
        <is>
          <t xml:space="preserve">VTEWM5QSE598</t>
        </is>
      </c>
      <c r="E54" s="0" t="inlineStr">
        <is>
          <t xml:space="preserve">ME2BVJ4KGAM1</t>
        </is>
      </c>
      <c r="F54" s="0" t="inlineStr">
        <is>
          <t xml:space="preserve">SYSTIMA TECHNOLOGIES INC</t>
        </is>
      </c>
      <c r="G54" s="0" t="inlineStr">
        <is>
          <t xml:space="preserve">ME2BVJ4KGAM1</t>
        </is>
      </c>
      <c r="H54" s="4">
        <v>0.490898</v>
      </c>
      <c r="I54" s="0" t="inlineStr">
        <is>
          <t xml:space="preserve">2022-04-21</t>
        </is>
      </c>
      <c r="J54" s="0" t="inlineStr">
        <is>
          <t xml:space="preserve">propulsion_power</t>
        </is>
      </c>
      <c r="K54" s="4">
        <v>11.7</v>
      </c>
      <c r="L54" s="0" t="inlineStr">
        <is>
          <t xml:space="preserve">GasGenerator&amp;Bottles, Launchers&amp;Cannisters, Pyrotechnic Devices.</t>
        </is>
      </c>
    </row>
    <row r="55">
      <c r="B55" s="0" t="inlineStr">
        <is>
          <t xml:space="preserve">N0002419C6402</t>
        </is>
      </c>
      <c r="C55" s="0" t="inlineStr">
        <is>
          <t xml:space="preserve">TELEDYNE BROWN ENGINEERING, INC.</t>
        </is>
      </c>
      <c r="D55" s="0" t="inlineStr">
        <is>
          <t xml:space="preserve">FBRSJB6V4LW8</t>
        </is>
      </c>
      <c r="E55" s="0" t="inlineStr">
        <is>
          <t xml:space="preserve">Q1B3NG6LP9B5</t>
        </is>
      </c>
      <c r="F55" s="0" t="inlineStr">
        <is>
          <t xml:space="preserve">Exail Defense Systems, Inc.</t>
        </is>
      </c>
      <c r="G55" s="0" t="inlineStr">
        <is>
          <t xml:space="preserve">Q1B3NG6LP9B5</t>
        </is>
      </c>
      <c r="H55" s="4">
        <v>0.48886199999999996</v>
      </c>
      <c r="I55" s="0" t="inlineStr">
        <is>
          <t xml:space="preserve">2025-02-10</t>
        </is>
      </c>
      <c r="J55" s="0" t="inlineStr">
        <is>
          <t xml:space="preserve">autonomy_software</t>
        </is>
      </c>
      <c r="K55" s="4">
        <v>1.6</v>
      </c>
      <c r="L55" s="0" t="inlineStr">
        <is>
          <t xml:space="preserve">Engineering Servies and materials</t>
        </is>
      </c>
    </row>
    <row r="56">
      <c r="B56" s="0" t="inlineStr">
        <is>
          <t xml:space="preserve">N0002419C6402</t>
        </is>
      </c>
      <c r="C56" s="0" t="inlineStr">
        <is>
          <t xml:space="preserve">TELEDYNE BROWN ENGINEERING, INC.</t>
        </is>
      </c>
      <c r="D56" s="0" t="inlineStr">
        <is>
          <t xml:space="preserve">FBRSJB6V4LW8</t>
        </is>
      </c>
      <c r="E56" s="0" t="inlineStr">
        <is>
          <t xml:space="preserve">Q1B3NG6LP9B5</t>
        </is>
      </c>
      <c r="F56" s="0" t="inlineStr">
        <is>
          <t xml:space="preserve">EXAIL DEFENSE SYSTEMS, INC.</t>
        </is>
      </c>
      <c r="G56" s="0" t="inlineStr">
        <is>
          <t xml:space="preserve">Q1B3NG6LP9B5</t>
        </is>
      </c>
      <c r="H56" s="4">
        <v>0.4888605</v>
      </c>
      <c r="I56" s="0" t="inlineStr">
        <is>
          <t xml:space="preserve">2024-07-29</t>
        </is>
      </c>
      <c r="J56" s="0" t="inlineStr">
        <is>
          <t xml:space="preserve">autonomy_software</t>
        </is>
      </c>
      <c r="K56" s="4">
        <v>3.3</v>
      </c>
      <c r="L56" s="0" t="inlineStr">
        <is>
          <t xml:space="preserve">Engineering services/materials</t>
        </is>
      </c>
    </row>
    <row r="57">
      <c r="B57" s="0" t="inlineStr">
        <is>
          <t xml:space="preserve">N6133120F3009</t>
        </is>
      </c>
      <c r="C57" s="0" t="inlineStr">
        <is>
          <t xml:space="preserve">AVIAN, LLC</t>
        </is>
      </c>
      <c r="D57" s="0" t="inlineStr">
        <is>
          <t xml:space="preserve">D82NUFL39FE3</t>
        </is>
      </c>
      <c r="E57" s="0" t="inlineStr">
        <is>
          <t xml:space="preserve">FAZSFFE6CST9</t>
        </is>
      </c>
      <c r="F57" s="0" t="inlineStr">
        <is>
          <t xml:space="preserve">GENERAL DYNAMICS CORP</t>
        </is>
      </c>
      <c r="G57" s="0" t="inlineStr">
        <is>
          <t xml:space="preserve">SMNWM6HN79X5</t>
        </is>
      </c>
      <c r="H57" s="4">
        <v>0.46226628000000003</v>
      </c>
      <c r="I57" s="0" t="inlineStr">
        <is>
          <t xml:space="preserve">2024-08-20</t>
        </is>
      </c>
      <c r="J57" s="0" t="inlineStr">
        <is>
          <t xml:space="preserve">other_unclassified</t>
        </is>
      </c>
      <c r="K57" s="4">
        <v>10.9</v>
      </c>
      <c r="L57" s="0" t="inlineStr">
        <is>
          <t xml:space="preserve">OPTION YEAR 4</t>
        </is>
      </c>
    </row>
    <row r="58">
      <c r="B58" s="0" t="inlineStr">
        <is>
          <t xml:space="preserve">N0001421C1009</t>
        </is>
      </c>
      <c r="C58" s="0" t="inlineStr">
        <is>
          <t xml:space="preserve">RAYTHEON COMPANY</t>
        </is>
      </c>
      <c r="D58" s="0" t="inlineStr">
        <is>
          <t xml:space="preserve">VTEWM5QSE598</t>
        </is>
      </c>
      <c r="E58" s="0" t="inlineStr">
        <is>
          <t xml:space="preserve">ME2BVJ4KGAM1</t>
        </is>
      </c>
      <c r="F58" s="0" t="inlineStr">
        <is>
          <t xml:space="preserve">SYSTIMA TECHNOLOGIES, INC.</t>
        </is>
      </c>
      <c r="G58" s="0" t="inlineStr">
        <is>
          <t xml:space="preserve">ME2BVJ4KGAM1</t>
        </is>
      </c>
      <c r="H58" s="4">
        <v>0.459071</v>
      </c>
      <c r="I58" s="0" t="inlineStr">
        <is>
          <t xml:space="preserve">2021-03-16</t>
        </is>
      </c>
      <c r="J58" s="0" t="inlineStr">
        <is>
          <t xml:space="preserve">other_unclassified</t>
        </is>
      </c>
      <c r="K58" s="4">
        <v>17.5</v>
      </c>
      <c r="L58" s="0" t="inlineStr">
        <is>
          <t xml:space="preserve">Launchers&amp;Cannisters, NRE - Other.</t>
        </is>
      </c>
    </row>
    <row r="59">
      <c r="B59" s="0" t="inlineStr">
        <is>
          <t xml:space="preserve">N0001421C1009</t>
        </is>
      </c>
      <c r="C59" s="0" t="inlineStr">
        <is>
          <t xml:space="preserve">RAYTHEON COMPANY</t>
        </is>
      </c>
      <c r="D59" s="0" t="inlineStr">
        <is>
          <t xml:space="preserve">VTEWM5QSE598</t>
        </is>
      </c>
      <c r="E59" s="0" t="inlineStr">
        <is>
          <t xml:space="preserve">ME2BVJ4KGAM1</t>
        </is>
      </c>
      <c r="F59" s="0" t="inlineStr">
        <is>
          <t xml:space="preserve">SYSTIMA TECHNOLOGIES INC</t>
        </is>
      </c>
      <c r="G59" s="0" t="inlineStr">
        <is>
          <t xml:space="preserve">ME2BVJ4KGAM1</t>
        </is>
      </c>
      <c r="H59" s="4">
        <v>0.459071</v>
      </c>
      <c r="I59" s="0" t="inlineStr">
        <is>
          <t xml:space="preserve">2021-03-16</t>
        </is>
      </c>
      <c r="J59" s="0" t="inlineStr">
        <is>
          <t xml:space="preserve">other_unclassified</t>
        </is>
      </c>
      <c r="K59" s="4">
        <v>37.3</v>
      </c>
      <c r="L59" s="0" t="inlineStr">
        <is>
          <t xml:space="preserve">Launchers&amp;Cannisters, NRE - All.</t>
        </is>
      </c>
    </row>
    <row r="60">
      <c r="B60" s="0" t="inlineStr">
        <is>
          <t xml:space="preserve">N0001421C1009</t>
        </is>
      </c>
      <c r="C60" s="0" t="inlineStr">
        <is>
          <t xml:space="preserve">RAYTHEON COMPANY</t>
        </is>
      </c>
      <c r="D60" s="0" t="inlineStr">
        <is>
          <t xml:space="preserve">VTEWM5QSE598</t>
        </is>
      </c>
      <c r="E60" s="0" t="inlineStr">
        <is>
          <t xml:space="preserve">ME2BVJ4KGAM1</t>
        </is>
      </c>
      <c r="F60" s="0" t="inlineStr">
        <is>
          <t xml:space="preserve">SYSTIMA TECHNOLOGIES INC</t>
        </is>
      </c>
      <c r="G60" s="0" t="inlineStr">
        <is>
          <t xml:space="preserve">ME2BVJ4KGAM1</t>
        </is>
      </c>
      <c r="H60" s="4">
        <v>0.459071</v>
      </c>
      <c r="I60" s="0" t="inlineStr">
        <is>
          <t xml:space="preserve">2021-03-16</t>
        </is>
      </c>
      <c r="J60" s="0" t="inlineStr">
        <is>
          <t xml:space="preserve">other_unclassified</t>
        </is>
      </c>
      <c r="K60" s="4">
        <v>24.9</v>
      </c>
      <c r="L60" s="0" t="inlineStr">
        <is>
          <t xml:space="preserve">Launchers&amp;Cannisters, NRE - Other.</t>
        </is>
      </c>
    </row>
    <row r="61">
      <c r="B61" s="0" t="inlineStr">
        <is>
          <t xml:space="preserve">N0001418C2006</t>
        </is>
      </c>
      <c r="C61" s="0" t="inlineStr">
        <is>
          <t xml:space="preserve">LEIDOS, INC.</t>
        </is>
      </c>
      <c r="D61" s="0" t="inlineStr">
        <is>
          <t xml:space="preserve">KTMAJCY6JXM3</t>
        </is>
      </c>
      <c r="E61" s="0" t="inlineStr">
        <is>
          <t xml:space="preserve">JXUMFLGNSMP8</t>
        </is>
      </c>
      <c r="F61" s="0" t="inlineStr">
        <is>
          <t xml:space="preserve">UNITED STATES MARINE, INC.</t>
        </is>
      </c>
      <c r="G61" s="0" t="inlineStr">
        <is>
          <t xml:space="preserve">JXUMFLGNSMP8</t>
        </is>
      </c>
      <c r="H61" s="4">
        <v>0.459001</v>
      </c>
      <c r="I61" s="0" t="inlineStr">
        <is>
          <t xml:space="preserve">2018-01-17</t>
        </is>
      </c>
      <c r="J61" s="0" t="inlineStr">
        <is>
          <t xml:space="preserve">other_unclassified</t>
        </is>
      </c>
      <c r="K61" s="4">
        <v>32.2</v>
      </c>
      <c r="L61" s="0" t="inlineStr">
        <is>
          <t xml:space="preserve">PROCURED SERVICES BETWEEN 8/1/2020-8/30/2020 IN SUPPORT OF CONTRACT SOW.</t>
        </is>
      </c>
    </row>
    <row r="62">
      <c r="B62" s="0" t="inlineStr">
        <is>
          <t xml:space="preserve">N0002417C4103</t>
        </is>
      </c>
      <c r="C62" s="0" t="inlineStr">
        <is>
          <t xml:space="preserve">HUNTINGTON INGALLS INC</t>
        </is>
      </c>
      <c r="D62" s="0" t="inlineStr">
        <is>
          <t xml:space="preserve">WMXDDH6HJNA5</t>
        </is>
      </c>
      <c r="E62" s="0" t="inlineStr">
        <is>
          <t xml:space="preserve">N1PJDANWUJ61</t>
        </is>
      </c>
      <c r="F62" s="0" t="inlineStr">
        <is>
          <t xml:space="preserve">SCOT FORGE COMPANY</t>
        </is>
      </c>
      <c r="G62" s="0" t="inlineStr">
        <is>
          <t xml:space="preserve">N1PJDANWUJ61</t>
        </is>
      </c>
      <c r="H62" s="4">
        <v>0.45621599999999995</v>
      </c>
      <c r="I62" s="0" t="inlineStr">
        <is>
          <t xml:space="preserve">2018-07-24</t>
        </is>
      </c>
      <c r="J62" s="0" t="inlineStr">
        <is>
          <t xml:space="preserve">other_unclassified</t>
        </is>
      </c>
      <c r="K62" s="4">
        <v>2.1</v>
      </c>
      <c r="L62" s="0" t="inlineStr">
        <is>
          <t xml:space="preserve">SEA CHEST,NICU,16.000 NOM,DISCHARGE; Item # 2</t>
        </is>
      </c>
    </row>
    <row r="63">
      <c r="B63" s="0" t="inlineStr">
        <is>
          <t xml:space="preserve">N0002417C4103</t>
        </is>
      </c>
      <c r="C63" s="0" t="inlineStr">
        <is>
          <t xml:space="preserve">HUNTINGTON INGALLS INC</t>
        </is>
      </c>
      <c r="D63" s="0" t="inlineStr">
        <is>
          <t xml:space="preserve">WMXDDH6HJNA5</t>
        </is>
      </c>
      <c r="E63" s="0" t="inlineStr">
        <is>
          <t xml:space="preserve">KZA5CX3J8KE8</t>
        </is>
      </c>
      <c r="F63" s="0" t="inlineStr">
        <is>
          <t xml:space="preserve">CARLYLE HOLDING CORP</t>
        </is>
      </c>
      <c r="G63" s="0" t="inlineStr">
        <is>
          <t xml:space="preserve">EDNNTCM7SUS8</t>
        </is>
      </c>
      <c r="H63" s="4">
        <v>0.43960723999999995</v>
      </c>
      <c r="I63" s="0" t="inlineStr">
        <is>
          <t xml:space="preserve">2019-04-16</t>
        </is>
      </c>
      <c r="J63" s="0" t="inlineStr">
        <is>
          <t xml:space="preserve">other_unclassified</t>
        </is>
      </c>
      <c r="K63" s="4">
        <v>76.3</v>
      </c>
      <c r="L63" s="0" t="inlineStr">
        <is>
          <t xml:space="preserve">JP-5, DC Voids  pump/clean/wash support</t>
        </is>
      </c>
    </row>
    <row r="64">
      <c r="B64" s="0" t="inlineStr">
        <is>
          <t xml:space="preserve">N0002417C4103</t>
        </is>
      </c>
      <c r="C64" s="0" t="inlineStr">
        <is>
          <t xml:space="preserve">HUNTINGTON INGALLS INC</t>
        </is>
      </c>
      <c r="D64" s="0" t="inlineStr">
        <is>
          <t xml:space="preserve">WMXDDH6HJNA5</t>
        </is>
      </c>
      <c r="E64" s="0" t="inlineStr">
        <is>
          <t xml:space="preserve">RLDUT4AS31N5</t>
        </is>
      </c>
      <c r="F64" s="0" t="inlineStr">
        <is>
          <t xml:space="preserve">MOBILEASE MODULAR SPACE, INC.</t>
        </is>
      </c>
      <c r="G64" s="0" t="inlineStr">
        <is>
          <t xml:space="preserve">RLDUT4AS31N5</t>
        </is>
      </c>
      <c r="H64" s="4">
        <v>0.427853</v>
      </c>
      <c r="I64" s="0" t="inlineStr">
        <is>
          <t xml:space="preserve">2020-08-10</t>
        </is>
      </c>
      <c r="J64" s="0" t="inlineStr">
        <is>
          <t xml:space="preserve">other_unclassified</t>
        </is>
      </c>
      <c r="K64" s="4">
        <v>1.6</v>
      </c>
      <c r="L64" s="0" t="inlineStr">
        <is>
          <t xml:space="preserve">Initial Freight &amp; InstallationPO item #2</t>
        </is>
      </c>
    </row>
    <row r="65">
      <c r="B65" s="0" t="inlineStr">
        <is>
          <t xml:space="preserve">N0002417C4103</t>
        </is>
      </c>
      <c r="C65" s="0" t="inlineStr">
        <is>
          <t xml:space="preserve">HUNTINGTON INGALLS INC</t>
        </is>
      </c>
      <c r="D65" s="0" t="inlineStr">
        <is>
          <t xml:space="preserve">WMXDDH6HJNA5</t>
        </is>
      </c>
      <c r="E65" s="0" t="inlineStr">
        <is>
          <t xml:space="preserve">RLDUT4AS31N5</t>
        </is>
      </c>
      <c r="F65" s="0" t="inlineStr">
        <is>
          <t xml:space="preserve">MOBILEASE MODULAR SPACE, INC.</t>
        </is>
      </c>
      <c r="G65" s="0" t="inlineStr">
        <is>
          <t xml:space="preserve">RLDUT4AS31N5</t>
        </is>
      </c>
      <c r="H65" s="4">
        <v>0.427853</v>
      </c>
      <c r="I65" s="0" t="inlineStr">
        <is>
          <t xml:space="preserve">2020-03-10</t>
        </is>
      </c>
      <c r="J65" s="0" t="inlineStr">
        <is>
          <t xml:space="preserve">other_unclassified</t>
        </is>
      </c>
      <c r="K65" s="4">
        <v>3.5</v>
      </c>
      <c r="L65" s="0" t="inlineStr">
        <is>
          <t xml:space="preserve">Initial Freight &amp; Installation;item num#2</t>
        </is>
      </c>
    </row>
    <row r="66">
      <c r="B66" s="0" t="inlineStr">
        <is>
          <t xml:space="preserve">N0002417C4103</t>
        </is>
      </c>
      <c r="C66" s="0" t="inlineStr">
        <is>
          <t xml:space="preserve">HUNTINGTON INGALLS INC</t>
        </is>
      </c>
      <c r="D66" s="0" t="inlineStr">
        <is>
          <t xml:space="preserve">WMXDDH6HJNA5</t>
        </is>
      </c>
      <c r="E66" s="0" t="inlineStr">
        <is>
          <t xml:space="preserve">N1PJDANWUJ61</t>
        </is>
      </c>
      <c r="F66" s="0" t="inlineStr">
        <is>
          <t xml:space="preserve">SCOT FORGE COMPANY</t>
        </is>
      </c>
      <c r="G66" s="0" t="inlineStr">
        <is>
          <t xml:space="preserve">N1PJDANWUJ61</t>
        </is>
      </c>
      <c r="H66" s="4">
        <v>0.412724</v>
      </c>
      <c r="I66" s="0" t="inlineStr">
        <is>
          <t xml:space="preserve">2018-07-24</t>
        </is>
      </c>
      <c r="J66" s="0" t="inlineStr">
        <is>
          <t xml:space="preserve">other_unclassified</t>
        </is>
      </c>
      <c r="K66" s="4">
        <v>2.1</v>
      </c>
      <c r="L66" s="0" t="inlineStr">
        <is>
          <t xml:space="preserve">SEA CHEST,NICU,16.000 NOM,DISCHARGE; Item # 1</t>
        </is>
      </c>
    </row>
    <row r="67">
      <c r="B67" s="0" t="inlineStr">
        <is>
          <t xml:space="preserve">N0002419C6402</t>
        </is>
      </c>
      <c r="C67" s="0" t="inlineStr">
        <is>
          <t xml:space="preserve">TELEDYNE BROWN ENGINEERING, INC.</t>
        </is>
      </c>
      <c r="D67" s="0" t="inlineStr">
        <is>
          <t xml:space="preserve">FBRSJB6V4LW8</t>
        </is>
      </c>
      <c r="E67" s="0" t="inlineStr">
        <is>
          <t xml:space="preserve">Q1B3NG6LP9B5</t>
        </is>
      </c>
      <c r="F67" s="0" t="inlineStr">
        <is>
          <t xml:space="preserve">EXAIL DEFENSE SYSTEMS, INC.</t>
        </is>
      </c>
      <c r="G67" s="0" t="inlineStr">
        <is>
          <t xml:space="preserve">Q1B3NG6LP9B5</t>
        </is>
      </c>
      <c r="H67" s="4">
        <v>0.406323</v>
      </c>
      <c r="I67" s="0" t="inlineStr">
        <is>
          <t xml:space="preserve">2024-12-19</t>
        </is>
      </c>
      <c r="J67" s="0" t="inlineStr">
        <is>
          <t xml:space="preserve">autonomy_software</t>
        </is>
      </c>
      <c r="K67" s="4">
        <v>1.4</v>
      </c>
      <c r="L67" s="0" t="inlineStr">
        <is>
          <t xml:space="preserve">Engineering Services/Materials</t>
        </is>
      </c>
    </row>
    <row r="68">
      <c r="B68" s="0" t="inlineStr">
        <is>
          <t xml:space="preserve">N0002419C6402</t>
        </is>
      </c>
      <c r="C68" s="0" t="inlineStr">
        <is>
          <t xml:space="preserve">TELEDYNE BROWN ENGINEERING, INC.</t>
        </is>
      </c>
      <c r="D68" s="0" t="inlineStr">
        <is>
          <t xml:space="preserve">FBRSJB6V4LW8</t>
        </is>
      </c>
      <c r="E68" s="0" t="inlineStr">
        <is>
          <t xml:space="preserve">MHZPPJVGRNN6</t>
        </is>
      </c>
      <c r="F68" s="0" t="inlineStr">
        <is>
          <t xml:space="preserve">IXCORE</t>
        </is>
      </c>
      <c r="G68" s="0" t="inlineStr">
        <is>
          <t xml:space="preserve">Q1B3NG6LP9B5</t>
        </is>
      </c>
      <c r="H68" s="4">
        <v>0.40432399999999996</v>
      </c>
      <c r="I68" s="0" t="inlineStr">
        <is>
          <t xml:space="preserve">2020-03-03</t>
        </is>
      </c>
      <c r="J68" s="0" t="inlineStr">
        <is>
          <t xml:space="preserve">propulsion_power</t>
        </is>
      </c>
      <c r="K68" s="4">
        <v>10.1</v>
      </c>
      <c r="L68" s="0" t="inlineStr">
        <is>
          <t xml:space="preserve">Engineering materials</t>
        </is>
      </c>
    </row>
    <row r="69">
      <c r="B69" s="0" t="inlineStr">
        <is>
          <t xml:space="preserve">N0002417C4103</t>
        </is>
      </c>
      <c r="C69" s="0" t="inlineStr">
        <is>
          <t xml:space="preserve">HUNTINGTON INGALLS INC</t>
        </is>
      </c>
      <c r="D69" s="0" t="inlineStr">
        <is>
          <t xml:space="preserve">WMXDDH6HJNA5</t>
        </is>
      </c>
      <c r="E69" s="0" t="inlineStr">
        <is>
          <t xml:space="preserve">RLDUT4AS31N5</t>
        </is>
      </c>
      <c r="F69" s="0" t="inlineStr">
        <is>
          <t xml:space="preserve">MOBILEASE MODULAR SPACE, INC.</t>
        </is>
      </c>
      <c r="G69" s="0" t="inlineStr">
        <is>
          <t xml:space="preserve">RLDUT4AS31N5</t>
        </is>
      </c>
      <c r="H69" s="4">
        <v>0.3954104</v>
      </c>
      <c r="I69" s="0" t="inlineStr">
        <is>
          <t xml:space="preserve">2020-08-10</t>
        </is>
      </c>
      <c r="J69" s="0" t="inlineStr">
        <is>
          <t xml:space="preserve">other_unclassified</t>
        </is>
      </c>
      <c r="K69" s="4">
        <v>1.6</v>
      </c>
      <c r="L69" s="0" t="inlineStr">
        <is>
          <t xml:space="preserve">Lease Non-Combust Modular OfficesPO item #1</t>
        </is>
      </c>
    </row>
    <row r="70">
      <c r="B70" s="0" t="inlineStr">
        <is>
          <t xml:space="preserve">N0002417C4103</t>
        </is>
      </c>
      <c r="C70" s="0" t="inlineStr">
        <is>
          <t xml:space="preserve">HUNTINGTON INGALLS INC</t>
        </is>
      </c>
      <c r="D70" s="0" t="inlineStr">
        <is>
          <t xml:space="preserve">WMXDDH6HJNA5</t>
        </is>
      </c>
      <c r="E70" s="0" t="inlineStr">
        <is>
          <t xml:space="preserve">RLDUT4AS31N5</t>
        </is>
      </c>
      <c r="F70" s="0" t="inlineStr">
        <is>
          <t xml:space="preserve">MOBILEASE MODULAR SPACE, INC.</t>
        </is>
      </c>
      <c r="G70" s="0" t="inlineStr">
        <is>
          <t xml:space="preserve">RLDUT4AS31N5</t>
        </is>
      </c>
      <c r="H70" s="4">
        <v>0.3954104</v>
      </c>
      <c r="I70" s="0" t="inlineStr">
        <is>
          <t xml:space="preserve">2020-03-10</t>
        </is>
      </c>
      <c r="J70" s="0" t="inlineStr">
        <is>
          <t xml:space="preserve">other_unclassified</t>
        </is>
      </c>
      <c r="K70" s="4">
        <v>3.5</v>
      </c>
      <c r="L70" s="0" t="inlineStr">
        <is>
          <t xml:space="preserve">Lease Non-Combust Modular Offices;item num#1</t>
        </is>
      </c>
    </row>
    <row r="71">
      <c r="B71" s="0" t="inlineStr">
        <is>
          <t xml:space="preserve">N0002419C6402</t>
        </is>
      </c>
      <c r="C71" s="0" t="inlineStr">
        <is>
          <t xml:space="preserve">TELEDYNE BROWN ENGINEERING, INC.</t>
        </is>
      </c>
      <c r="D71" s="0" t="inlineStr">
        <is>
          <t xml:space="preserve">FBRSJB6V4LW8</t>
        </is>
      </c>
      <c r="E71" s="0" t="inlineStr">
        <is>
          <t xml:space="preserve">UPV2EK5XFBJ6</t>
        </is>
      </c>
      <c r="F71" s="0" t="inlineStr">
        <is>
          <t xml:space="preserve">PHAZAR CORP</t>
        </is>
      </c>
      <c r="G71" s="0" t="inlineStr">
        <is>
          <t xml:space="preserve">E65NWNLNERQ5</t>
        </is>
      </c>
      <c r="H71" s="4">
        <v>0.38249123999999995</v>
      </c>
      <c r="I71" s="0" t="inlineStr">
        <is>
          <t xml:space="preserve">2026-02-05</t>
        </is>
      </c>
      <c r="J71" s="0" t="inlineStr">
        <is>
          <t xml:space="preserve">propulsion_power</t>
        </is>
      </c>
      <c r="K71" s="4">
        <v>1.1</v>
      </c>
      <c r="L71" s="0" t="inlineStr">
        <is>
          <t xml:space="preserve">Engineering Services</t>
        </is>
      </c>
    </row>
    <row r="72">
      <c r="B72" s="0" t="inlineStr">
        <is>
          <t xml:space="preserve">N6133120F3009</t>
        </is>
      </c>
      <c r="C72" s="0" t="inlineStr">
        <is>
          <t xml:space="preserve">AVIAN, LLC</t>
        </is>
      </c>
      <c r="D72" s="0" t="inlineStr">
        <is>
          <t xml:space="preserve">D82NUFL39FE3</t>
        </is>
      </c>
      <c r="E72" s="0" t="inlineStr">
        <is>
          <t xml:space="preserve">FAZSFFE6CST9</t>
        </is>
      </c>
      <c r="F72" s="0" t="inlineStr">
        <is>
          <t xml:space="preserve">GENERAL DYNAMICS INFORMATION TECHNOLOGY, INC.</t>
        </is>
      </c>
      <c r="G72" s="0" t="inlineStr">
        <is>
          <t xml:space="preserve">SMNWM6HN79X5</t>
        </is>
      </c>
      <c r="H72" s="4">
        <v>0.37745759999999995</v>
      </c>
      <c r="I72" s="0" t="inlineStr">
        <is>
          <t xml:space="preserve">2023-08-20</t>
        </is>
      </c>
      <c r="J72" s="0" t="inlineStr">
        <is>
          <t xml:space="preserve">autonomy_software</t>
        </is>
      </c>
      <c r="K72" s="4">
        <v>10.8</v>
      </c>
      <c r="L72" s="0" t="inlineStr">
        <is>
          <t xml:space="preserve">Training support for UUV Unmanned Maritime System.</t>
        </is>
      </c>
    </row>
    <row r="73">
      <c r="B73" s="0" t="inlineStr">
        <is>
          <t xml:space="preserve">N0002419C6402</t>
        </is>
      </c>
      <c r="C73" s="0" t="inlineStr">
        <is>
          <t xml:space="preserve">TELEDYNE BROWN ENGINEERING, INC.</t>
        </is>
      </c>
      <c r="D73" s="0" t="inlineStr">
        <is>
          <t xml:space="preserve">FBRSJB6V4LW8</t>
        </is>
      </c>
      <c r="E73" s="0" t="inlineStr">
        <is>
          <t xml:space="preserve">SQ2DSCE69F15</t>
        </is>
      </c>
      <c r="F73" s="0" t="inlineStr">
        <is>
          <t xml:space="preserve">TELEDYNE TECHNOLOGIES INCORPORATED</t>
        </is>
      </c>
      <c r="G73" s="0" t="inlineStr">
        <is>
          <t xml:space="preserve">PAH8M4BJACA5</t>
        </is>
      </c>
      <c r="H73" s="4">
        <v>0.37268347999999996</v>
      </c>
      <c r="I73" s="0" t="inlineStr">
        <is>
          <t xml:space="preserve">2021-12-27</t>
        </is>
      </c>
      <c r="J73" s="0" t="inlineStr">
        <is>
          <t xml:space="preserve">propulsion_power</t>
        </is>
      </c>
      <c r="K73" s="4">
        <v>0.3</v>
      </c>
      <c r="L73" s="0" t="inlineStr">
        <is>
          <t xml:space="preserve">Engineering services/materials</t>
        </is>
      </c>
    </row>
    <row r="74">
      <c r="B74" s="0" t="inlineStr">
        <is>
          <t xml:space="preserve">N0003921F2173</t>
        </is>
      </c>
      <c r="C74" s="0" t="inlineStr">
        <is>
          <t xml:space="preserve">TELEDYNE BROWN ENGINEERING, INC.</t>
        </is>
      </c>
      <c r="D74" s="0" t="inlineStr">
        <is>
          <t xml:space="preserve">FBRSJB6V4LW8</t>
        </is>
      </c>
      <c r="E74" s="0" t="inlineStr">
        <is>
          <t xml:space="preserve">SQ2DSCE69F15</t>
        </is>
      </c>
      <c r="F74" s="0" t="inlineStr">
        <is>
          <t xml:space="preserve">TELEDYNE TECHNOLOGIES INCORPORATED</t>
        </is>
      </c>
      <c r="G74" s="0" t="inlineStr">
        <is>
          <t xml:space="preserve">FNA3YNLZNM43</t>
        </is>
      </c>
      <c r="H74" s="4">
        <v>0.36127427</v>
      </c>
      <c r="I74" s="0" t="inlineStr">
        <is>
          <t xml:space="preserve">2024-12-01</t>
        </is>
      </c>
      <c r="J74" s="0" t="inlineStr">
        <is>
          <t xml:space="preserve">propulsion_power</t>
        </is>
      </c>
      <c r="K74" s="4">
        <v>2.0</v>
      </c>
      <c r="L74" s="0" t="inlineStr">
        <is>
          <t xml:space="preserve">Engineering Services</t>
        </is>
      </c>
    </row>
    <row r="75">
      <c r="B75" s="0" t="inlineStr">
        <is>
          <t xml:space="preserve">N0002419C6402</t>
        </is>
      </c>
      <c r="C75" s="0" t="inlineStr">
        <is>
          <t xml:space="preserve">TELEDYNE BROWN ENGINEERING, INC.</t>
        </is>
      </c>
      <c r="D75" s="0" t="inlineStr">
        <is>
          <t xml:space="preserve">FBRSJB6V4LW8</t>
        </is>
      </c>
      <c r="E75" s="0" t="inlineStr">
        <is>
          <t xml:space="preserve">PX7XVJDX7TZ7</t>
        </is>
      </c>
      <c r="F75" s="0" t="inlineStr">
        <is>
          <t xml:space="preserve">VICOR CORPORATION</t>
        </is>
      </c>
      <c r="G75" s="0" t="inlineStr">
        <is>
          <t xml:space="preserve">PZK1KSXFFNX9</t>
        </is>
      </c>
      <c r="H75" s="4">
        <v>0.354792</v>
      </c>
      <c r="I75" s="0" t="inlineStr">
        <is>
          <t xml:space="preserve">2021-04-14</t>
        </is>
      </c>
      <c r="J75" s="0" t="inlineStr">
        <is>
          <t xml:space="preserve">propulsion_power</t>
        </is>
      </c>
      <c r="K75" s="4">
        <v>0.6</v>
      </c>
      <c r="L75" s="0" t="inlineStr">
        <is>
          <t xml:space="preserve">Engineering services/materials</t>
        </is>
      </c>
    </row>
    <row r="76">
      <c r="B76" s="0" t="inlineStr">
        <is>
          <t xml:space="preserve">N0002417C4103</t>
        </is>
      </c>
      <c r="C76" s="0" t="inlineStr">
        <is>
          <t xml:space="preserve">HUNTINGTON INGALLS INC</t>
        </is>
      </c>
      <c r="D76" s="0" t="inlineStr">
        <is>
          <t xml:space="preserve">WMXDDH6HJNA5</t>
        </is>
      </c>
      <c r="E76" s="0" t="inlineStr">
        <is>
          <t xml:space="preserve">RLDUT4AS31N5</t>
        </is>
      </c>
      <c r="F76" s="0" t="inlineStr">
        <is>
          <t xml:space="preserve">MOBILEASE MODULAR SPACE, INC.</t>
        </is>
      </c>
      <c r="G76" s="0" t="inlineStr">
        <is>
          <t xml:space="preserve">RLDUT4AS31N5</t>
        </is>
      </c>
      <c r="H76" s="4">
        <v>0.35374035</v>
      </c>
      <c r="I76" s="0" t="inlineStr">
        <is>
          <t xml:space="preserve">2020-08-10</t>
        </is>
      </c>
      <c r="J76" s="0" t="inlineStr">
        <is>
          <t xml:space="preserve">other_unclassified</t>
        </is>
      </c>
      <c r="K76" s="4">
        <v>1.6</v>
      </c>
      <c r="L76" s="0" t="inlineStr">
        <is>
          <t xml:space="preserve">Non-Combust Offices- 3/22/20 - 6/22/21PO item #11</t>
        </is>
      </c>
    </row>
    <row r="77">
      <c r="B77" s="0" t="inlineStr">
        <is>
          <t xml:space="preserve">N0002417C4103</t>
        </is>
      </c>
      <c r="C77" s="0" t="inlineStr">
        <is>
          <t xml:space="preserve">HUNTINGTON INGALLS INC</t>
        </is>
      </c>
      <c r="D77" s="0" t="inlineStr">
        <is>
          <t xml:space="preserve">WMXDDH6HJNA5</t>
        </is>
      </c>
      <c r="E77" s="0" t="inlineStr">
        <is>
          <t xml:space="preserve">EDNNTCM7SUS8</t>
        </is>
      </c>
      <c r="F77" s="0" t="inlineStr">
        <is>
          <t xml:space="preserve">INTERNATIONAL MARINE AND INDUSTRIAL APPLICATORS, LLC</t>
        </is>
      </c>
      <c r="G77" s="0" t="inlineStr">
        <is>
          <t xml:space="preserve">EDNNTCM7SUS8</t>
        </is>
      </c>
      <c r="H77" s="4">
        <v>0.35308559999999994</v>
      </c>
      <c r="I77" s="0" t="inlineStr">
        <is>
          <t xml:space="preserve">2020-05-27</t>
        </is>
      </c>
      <c r="J77" s="0" t="inlineStr">
        <is>
          <t xml:space="preserve">autonomy_software</t>
        </is>
      </c>
      <c r="K77" s="4">
        <v>1.0</v>
      </c>
      <c r="L77" s="0" t="inlineStr">
        <is>
          <t xml:space="preserve">Painting Blast Plugs for CVN 77 DPIA;PO Item#1</t>
        </is>
      </c>
    </row>
    <row r="78">
      <c r="B78" s="0" t="inlineStr">
        <is>
          <t xml:space="preserve">N0002417C4103</t>
        </is>
      </c>
      <c r="C78" s="0" t="inlineStr">
        <is>
          <t xml:space="preserve">HUNTINGTON INGALLS INC</t>
        </is>
      </c>
      <c r="D78" s="0" t="inlineStr">
        <is>
          <t xml:space="preserve">WMXDDH6HJNA5</t>
        </is>
      </c>
      <c r="E78" s="0" t="inlineStr">
        <is>
          <t xml:space="preserve">PJM1KBVHTYL6</t>
        </is>
      </c>
      <c r="F78" s="0" t="inlineStr">
        <is>
          <t xml:space="preserve">Distribution International, Inc.</t>
        </is>
      </c>
      <c r="G78" s="0" t="inlineStr">
        <is>
          <t xml:space="preserve">CMFGEC4XM233</t>
        </is>
      </c>
      <c r="H78" s="4">
        <v>0.3520704</v>
      </c>
      <c r="I78" s="0" t="inlineStr">
        <is>
          <t xml:space="preserve">2018-06-01</t>
        </is>
      </c>
      <c r="J78" s="0" t="inlineStr">
        <is>
          <t xml:space="preserve">other_unclassified</t>
        </is>
      </c>
      <c r="K78" s="4">
        <v>2.0</v>
      </c>
      <c r="L78" s="0" t="inlineStr">
        <is>
          <t xml:space="preserve">INSUL,FBRGL,24.000W X 36.000L X 2.000THK; Item #1</t>
        </is>
      </c>
    </row>
    <row r="79">
      <c r="B79" s="0" t="inlineStr">
        <is>
          <t xml:space="preserve">N0002419C6402</t>
        </is>
      </c>
      <c r="C79" s="0" t="inlineStr">
        <is>
          <t xml:space="preserve">TELEDYNE BROWN ENGINEERING, INC.</t>
        </is>
      </c>
      <c r="D79" s="0" t="inlineStr">
        <is>
          <t xml:space="preserve">FBRSJB6V4LW8</t>
        </is>
      </c>
      <c r="E79" s="0" t="inlineStr">
        <is>
          <t xml:space="preserve">JNJDBJZLL2R7</t>
        </is>
      </c>
      <c r="F79" s="0" t="inlineStr">
        <is>
          <t xml:space="preserve">EDGEONE LLC</t>
        </is>
      </c>
      <c r="G79" s="0" t="inlineStr">
        <is>
          <t xml:space="preserve">JNJDBJZLL2R7</t>
        </is>
      </c>
      <c r="H79" s="4">
        <v>0.346437</v>
      </c>
      <c r="I79" s="0" t="inlineStr">
        <is>
          <t xml:space="preserve">2024-09-12</t>
        </is>
      </c>
      <c r="J79" s="0" t="inlineStr">
        <is>
          <t xml:space="preserve">propulsion_power</t>
        </is>
      </c>
      <c r="K79" s="4">
        <v>1.8</v>
      </c>
      <c r="L79" s="0" t="inlineStr">
        <is>
          <t xml:space="preserve">Engineering services/materials</t>
        </is>
      </c>
    </row>
    <row r="80">
      <c r="B80" s="0" t="inlineStr">
        <is>
          <t xml:space="preserve">N0001421C1009</t>
        </is>
      </c>
      <c r="C80" s="0" t="inlineStr">
        <is>
          <t xml:space="preserve">RAYTHEON COMPANY</t>
        </is>
      </c>
      <c r="D80" s="0" t="inlineStr">
        <is>
          <t xml:space="preserve">VTEWM5QSE598</t>
        </is>
      </c>
      <c r="E80" s="0" t="inlineStr">
        <is>
          <t xml:space="preserve">MFCTLU3MRXC8</t>
        </is>
      </c>
      <c r="F80" s="0" t="inlineStr">
        <is>
          <t xml:space="preserve">EMPIRICAL SYSTEMS AEROSPACE, INC.</t>
        </is>
      </c>
      <c r="G80" s="0" t="inlineStr">
        <is>
          <t xml:space="preserve">MFCTLU3MRXC8</t>
        </is>
      </c>
      <c r="H80" s="4">
        <v>0.34060599999999996</v>
      </c>
      <c r="I80" s="0" t="inlineStr">
        <is>
          <t xml:space="preserve">2021-10-28</t>
        </is>
      </c>
      <c r="J80" s="0" t="inlineStr">
        <is>
          <t xml:space="preserve">other_unclassified</t>
        </is>
      </c>
      <c r="K80" s="4">
        <v>0.5</v>
      </c>
      <c r="L80" s="0" t="inlineStr">
        <is>
          <t xml:space="preserve">Electromech-Mj Assys, NRE - Other.</t>
        </is>
      </c>
    </row>
    <row r="81">
      <c r="B81" s="0" t="inlineStr">
        <is>
          <t xml:space="preserve">N0002419C6402</t>
        </is>
      </c>
      <c r="C81" s="0" t="inlineStr">
        <is>
          <t xml:space="preserve">TELEDYNE BROWN ENGINEERING, INC.</t>
        </is>
      </c>
      <c r="D81" s="0" t="inlineStr">
        <is>
          <t xml:space="preserve">FBRSJB6V4LW8</t>
        </is>
      </c>
      <c r="E81" s="0" t="inlineStr">
        <is>
          <t xml:space="preserve">YRD5CM5FTNU9</t>
        </is>
      </c>
      <c r="F81" s="0" t="inlineStr">
        <is>
          <t xml:space="preserve">EDGEONE LLC</t>
        </is>
      </c>
      <c r="G81" s="0" t="inlineStr">
        <is>
          <t xml:space="preserve">JNJDBJZLL2R7</t>
        </is>
      </c>
      <c r="H81" s="4">
        <v>0.338317</v>
      </c>
      <c r="I81" s="0" t="inlineStr">
        <is>
          <t xml:space="preserve">2023-05-04</t>
        </is>
      </c>
      <c r="J81" s="0" t="inlineStr">
        <is>
          <t xml:space="preserve">propulsion_power</t>
        </is>
      </c>
      <c r="K81" s="4">
        <v>1.1</v>
      </c>
      <c r="L81" s="0" t="inlineStr">
        <is>
          <t xml:space="preserve">Engineering services/materials</t>
        </is>
      </c>
    </row>
    <row r="82">
      <c r="B82" s="0" t="inlineStr">
        <is>
          <t xml:space="preserve">N0002417C4103</t>
        </is>
      </c>
      <c r="C82" s="0" t="inlineStr">
        <is>
          <t xml:space="preserve">HUNTINGTON INGALLS INC</t>
        </is>
      </c>
      <c r="D82" s="0" t="inlineStr">
        <is>
          <t xml:space="preserve">WMXDDH6HJNA5</t>
        </is>
      </c>
      <c r="E82" s="0" t="inlineStr">
        <is>
          <t xml:space="preserve">MYJHF1S2HGV5</t>
        </is>
      </c>
      <c r="F82" s="0" t="inlineStr">
        <is>
          <t xml:space="preserve">EPSILON SYSTEMS SOLUTIONS, INC.</t>
        </is>
      </c>
      <c r="G82" s="0" t="inlineStr">
        <is>
          <t xml:space="preserve">T1GVZ5Z6K5L4</t>
        </is>
      </c>
      <c r="H82" s="4">
        <v>0.3372594</v>
      </c>
      <c r="I82" s="0" t="inlineStr">
        <is>
          <t xml:space="preserve">2019-03-04</t>
        </is>
      </c>
      <c r="J82" s="0" t="inlineStr">
        <is>
          <t xml:space="preserve">other_unclassified</t>
        </is>
      </c>
      <c r="K82" s="4">
        <v>1.6</v>
      </c>
      <c r="L82" s="0" t="inlineStr">
        <is>
          <t xml:space="preserve">CVN 77 DPIA JP-5 PUMPING SERVICES; Item #1</t>
        </is>
      </c>
    </row>
    <row r="83">
      <c r="B83" s="0" t="inlineStr">
        <is>
          <t xml:space="preserve">N0002419C6402</t>
        </is>
      </c>
      <c r="C83" s="0" t="inlineStr">
        <is>
          <t xml:space="preserve">TELEDYNE BROWN ENGINEERING, INC.</t>
        </is>
      </c>
      <c r="D83" s="0" t="inlineStr">
        <is>
          <t xml:space="preserve">FBRSJB6V4LW8</t>
        </is>
      </c>
      <c r="E83" s="0" t="inlineStr">
        <is>
          <t xml:space="preserve">XNHRXR2HTXA8</t>
        </is>
      </c>
      <c r="F83" s="0" t="inlineStr">
        <is>
          <t xml:space="preserve">BEAUFORT COMPOSITE TECHNOLOGIES, INC</t>
        </is>
      </c>
      <c r="G83" s="0" t="inlineStr">
        <is>
          <t xml:space="preserve">XNHRXR2HTXA8</t>
        </is>
      </c>
      <c r="H83" s="4">
        <v>0.33399999999999996</v>
      </c>
      <c r="I83" s="0" t="inlineStr">
        <is>
          <t xml:space="preserve">2021-10-19</t>
        </is>
      </c>
      <c r="J83" s="0" t="inlineStr">
        <is>
          <t xml:space="preserve">platform_hull</t>
        </is>
      </c>
      <c r="K83" s="4">
        <v>0.7</v>
      </c>
      <c r="L83" s="0" t="inlineStr">
        <is>
          <t xml:space="preserve">Engineering materials</t>
        </is>
      </c>
    </row>
    <row r="84">
      <c r="B84" s="0" t="inlineStr">
        <is>
          <t xml:space="preserve">N0002416C4112</t>
        </is>
      </c>
      <c r="C84" s="0" t="inlineStr">
        <is>
          <t xml:space="preserve">HUNTINGTON INGALLS INC</t>
        </is>
      </c>
      <c r="D84" s="0" t="inlineStr">
        <is>
          <t xml:space="preserve">WMXDDH6HJNA5</t>
        </is>
      </c>
      <c r="E84" s="0" t="inlineStr">
        <is>
          <t xml:space="preserve">YQ9EQZJ8PKM6</t>
        </is>
      </c>
      <c r="F84" s="0" t="inlineStr">
        <is>
          <t xml:space="preserve">AUXILIARY SYSTEMS, INC.</t>
        </is>
      </c>
      <c r="G84" s="0" t="inlineStr">
        <is>
          <t xml:space="preserve">YQ9EQZJ8PKM6</t>
        </is>
      </c>
      <c r="H84" s="4">
        <v>0.327045</v>
      </c>
      <c r="I84" s="0" t="inlineStr">
        <is>
          <t xml:space="preserve">2017-08-14</t>
        </is>
      </c>
      <c r="J84" s="0" t="inlineStr">
        <is>
          <t xml:space="preserve">other_unclassified</t>
        </is>
      </c>
      <c r="K84" s="4">
        <v>4.2</v>
      </c>
      <c r="L84" s="0" t="inlineStr">
        <is>
          <t xml:space="preserve">Execution Funding for Reboiler Work; ITEM #2</t>
        </is>
      </c>
    </row>
    <row r="85">
      <c r="B85" s="0" t="inlineStr">
        <is>
          <t xml:space="preserve">N0002417C4103</t>
        </is>
      </c>
      <c r="C85" s="0" t="inlineStr">
        <is>
          <t xml:space="preserve">HUNTINGTON INGALLS INC</t>
        </is>
      </c>
      <c r="D85" s="0" t="inlineStr">
        <is>
          <t xml:space="preserve">WMXDDH6HJNA5</t>
        </is>
      </c>
      <c r="E85" s="0" t="inlineStr">
        <is>
          <t xml:space="preserve">MYJHF1S2HGV5</t>
        </is>
      </c>
      <c r="F85" s="0" t="inlineStr">
        <is>
          <t xml:space="preserve">EPSILON SYSTEMS SOLUTIONS, INC.</t>
        </is>
      </c>
      <c r="G85" s="0" t="inlineStr">
        <is>
          <t xml:space="preserve">T1GVZ5Z6K5L4</t>
        </is>
      </c>
      <c r="H85" s="4">
        <v>0.32502555</v>
      </c>
      <c r="I85" s="0" t="inlineStr">
        <is>
          <t xml:space="preserve">2020-06-02</t>
        </is>
      </c>
      <c r="J85" s="0" t="inlineStr">
        <is>
          <t xml:space="preserve">other_unclassified</t>
        </is>
      </c>
      <c r="K85" s="4">
        <v>1.8</v>
      </c>
      <c r="L85" s="0" t="inlineStr">
        <is>
          <t xml:space="preserve">CVN 77 DPIA JP-5 Pumping Services; item #2</t>
        </is>
      </c>
    </row>
    <row r="86">
      <c r="B86" s="0" t="inlineStr">
        <is>
          <t xml:space="preserve">N0002417C4103</t>
        </is>
      </c>
      <c r="C86" s="0" t="inlineStr">
        <is>
          <t xml:space="preserve">HUNTINGTON INGALLS INC</t>
        </is>
      </c>
      <c r="D86" s="0" t="inlineStr">
        <is>
          <t xml:space="preserve">WMXDDH6HJNA5</t>
        </is>
      </c>
      <c r="E86" s="0" t="inlineStr">
        <is>
          <t xml:space="preserve">MYJHF1S2HGV5</t>
        </is>
      </c>
      <c r="F86" s="0" t="inlineStr">
        <is>
          <t xml:space="preserve">EPSILON SYSTEMS SOLUTIONS, INC.</t>
        </is>
      </c>
      <c r="G86" s="0" t="inlineStr">
        <is>
          <t xml:space="preserve">T1GVZ5Z6K5L4</t>
        </is>
      </c>
      <c r="H86" s="4">
        <v>0.32502555</v>
      </c>
      <c r="I86" s="0" t="inlineStr">
        <is>
          <t xml:space="preserve">2020-06-02</t>
        </is>
      </c>
      <c r="J86" s="0" t="inlineStr">
        <is>
          <t xml:space="preserve">other_unclassified</t>
        </is>
      </c>
      <c r="K86" s="4">
        <v>1.8</v>
      </c>
      <c r="L86" s="0" t="inlineStr">
        <is>
          <t xml:space="preserve">CVN 77 DPIA JP-5 Pumping Services; item #2</t>
        </is>
      </c>
    </row>
    <row r="87">
      <c r="B87" s="0" t="inlineStr">
        <is>
          <t xml:space="preserve">N0002419C6402</t>
        </is>
      </c>
      <c r="C87" s="0" t="inlineStr">
        <is>
          <t xml:space="preserve">TELEDYNE BROWN ENGINEERING, INC.</t>
        </is>
      </c>
      <c r="D87" s="0" t="inlineStr">
        <is>
          <t xml:space="preserve">FBRSJB6V4LW8</t>
        </is>
      </c>
      <c r="E87" s="0" t="inlineStr">
        <is>
          <t xml:space="preserve">DJ72XMAJLNL4</t>
        </is>
      </c>
      <c r="F87" s="0" t="inlineStr">
        <is>
          <t xml:space="preserve">Teledyne Instruments, Inc.</t>
        </is>
      </c>
      <c r="G87" s="0" t="inlineStr">
        <is>
          <t xml:space="preserve">DJ72XMAJLNL4</t>
        </is>
      </c>
      <c r="H87" s="4">
        <v>0.323976</v>
      </c>
      <c r="I87" s="0" t="inlineStr">
        <is>
          <t xml:space="preserve">2025-12-16</t>
        </is>
      </c>
      <c r="J87" s="0" t="inlineStr">
        <is>
          <t xml:space="preserve">propulsion_power</t>
        </is>
      </c>
      <c r="K87" s="4">
        <v>2.2</v>
      </c>
      <c r="L87" s="0" t="inlineStr">
        <is>
          <t xml:space="preserve">Engineering Material/Services</t>
        </is>
      </c>
    </row>
    <row r="88">
      <c r="B88" s="0" t="inlineStr">
        <is>
          <t xml:space="preserve">N0002419C6402</t>
        </is>
      </c>
      <c r="C88" s="0" t="inlineStr">
        <is>
          <t xml:space="preserve">TELEDYNE BROWN ENGINEERING, INC.</t>
        </is>
      </c>
      <c r="D88" s="0" t="inlineStr">
        <is>
          <t xml:space="preserve">FBRSJB6V4LW8</t>
        </is>
      </c>
      <c r="E88" s="0" t="inlineStr">
        <is>
          <t xml:space="preserve">XNHRXR2HTXA8</t>
        </is>
      </c>
      <c r="F88" s="0" t="inlineStr">
        <is>
          <t xml:space="preserve">BEAUFORT COMPOSITE TECHNOLOGIES, INC.</t>
        </is>
      </c>
      <c r="G88" s="0" t="inlineStr">
        <is>
          <t xml:space="preserve">XNHRXR2HTXA8</t>
        </is>
      </c>
      <c r="H88" s="4">
        <v>0.31817999999999996</v>
      </c>
      <c r="I88" s="0" t="inlineStr">
        <is>
          <t xml:space="preserve">2024-05-24</t>
        </is>
      </c>
      <c r="J88" s="0" t="inlineStr">
        <is>
          <t xml:space="preserve">platform_hull</t>
        </is>
      </c>
      <c r="K88" s="4">
        <v>5.4</v>
      </c>
      <c r="L88" s="0" t="inlineStr">
        <is>
          <t xml:space="preserve">Engineering services/materials</t>
        </is>
      </c>
    </row>
    <row r="89">
      <c r="B89" s="0" t="inlineStr">
        <is>
          <t xml:space="preserve">N0002417C4103</t>
        </is>
      </c>
      <c r="C89" s="0" t="inlineStr">
        <is>
          <t xml:space="preserve">HUNTINGTON INGALLS INC</t>
        </is>
      </c>
      <c r="D89" s="0" t="inlineStr">
        <is>
          <t xml:space="preserve">WMXDDH6HJNA5</t>
        </is>
      </c>
      <c r="E89" s="0" t="inlineStr">
        <is>
          <t xml:space="preserve">KAYUMJMKWDF9</t>
        </is>
      </c>
      <c r="F89" s="0" t="inlineStr">
        <is>
          <t xml:space="preserve">J. H. NORTON COMPANY, INC.</t>
        </is>
      </c>
      <c r="G89" s="0" t="inlineStr">
        <is>
          <t xml:space="preserve">KAYUMJMKWDF9</t>
        </is>
      </c>
      <c r="H89" s="4">
        <v>0.31293</v>
      </c>
      <c r="I89" s="0" t="inlineStr">
        <is>
          <t xml:space="preserve">2022-07-12</t>
        </is>
      </c>
      <c r="J89" s="0" t="inlineStr">
        <is>
          <t xml:space="preserve">other_unclassified</t>
        </is>
      </c>
      <c r="K89" s="4">
        <v>1.6</v>
      </c>
      <c r="L89" s="0" t="inlineStr">
        <is>
          <t xml:space="preserve">PO 4500596793 PO Item No. 1 - CVN77 Blast Equipment 4/23/19-12/30/19</t>
        </is>
      </c>
    </row>
    <row r="90">
      <c r="B90" s="0" t="inlineStr">
        <is>
          <t xml:space="preserve">N0002419C6402</t>
        </is>
      </c>
      <c r="C90" s="0" t="inlineStr">
        <is>
          <t xml:space="preserve">TELEDYNE BROWN ENGINEERING, INC.</t>
        </is>
      </c>
      <c r="D90" s="0" t="inlineStr">
        <is>
          <t xml:space="preserve">FBRSJB6V4LW8</t>
        </is>
      </c>
      <c r="E90" s="0" t="inlineStr">
        <is>
          <t xml:space="preserve">M34VC7UDBDE6</t>
        </is>
      </c>
      <c r="F90" s="0" t="inlineStr">
        <is>
          <t xml:space="preserve">ADL EMBEDDED SOLUTIONS INC</t>
        </is>
      </c>
      <c r="G90" s="0" t="inlineStr">
        <is>
          <t xml:space="preserve">M34VC7UDBDE6</t>
        </is>
      </c>
      <c r="H90" s="4">
        <v>0.293436</v>
      </c>
      <c r="I90" s="0" t="inlineStr">
        <is>
          <t xml:space="preserve">2022-12-07</t>
        </is>
      </c>
      <c r="J90" s="0" t="inlineStr">
        <is>
          <t xml:space="preserve">propulsion_power</t>
        </is>
      </c>
      <c r="K90" s="4">
        <v>1.6</v>
      </c>
      <c r="L90" s="0" t="inlineStr">
        <is>
          <t xml:space="preserve">Engineering services/materials</t>
        </is>
      </c>
    </row>
    <row r="91">
      <c r="B91" s="0" t="inlineStr">
        <is>
          <t xml:space="preserve">N0002419C6402</t>
        </is>
      </c>
      <c r="C91" s="0" t="inlineStr">
        <is>
          <t xml:space="preserve">TELEDYNE BROWN ENGINEERING, INC.</t>
        </is>
      </c>
      <c r="D91" s="0" t="inlineStr">
        <is>
          <t xml:space="preserve">FBRSJB6V4LW8</t>
        </is>
      </c>
      <c r="E91" s="0" t="inlineStr">
        <is>
          <t xml:space="preserve">PAH8M4BJACA5</t>
        </is>
      </c>
      <c r="F91" s="0" t="inlineStr">
        <is>
          <t xml:space="preserve">TELEDYNE INSTRUMENTS INC</t>
        </is>
      </c>
      <c r="G91" s="0" t="inlineStr">
        <is>
          <t xml:space="preserve">PAH8M4BJACA5</t>
        </is>
      </c>
      <c r="H91" s="4">
        <v>0.291319</v>
      </c>
      <c r="I91" s="0" t="inlineStr">
        <is>
          <t xml:space="preserve">2024-05-06</t>
        </is>
      </c>
      <c r="J91" s="0" t="inlineStr">
        <is>
          <t xml:space="preserve">propulsion_power</t>
        </is>
      </c>
      <c r="K91" s="4">
        <v>6.0</v>
      </c>
      <c r="L91" s="0" t="inlineStr">
        <is>
          <t xml:space="preserve">Engineering services/materials</t>
        </is>
      </c>
    </row>
    <row r="92">
      <c r="B92" s="0" t="inlineStr">
        <is>
          <t xml:space="preserve">N0002417C4103</t>
        </is>
      </c>
      <c r="C92" s="0" t="inlineStr">
        <is>
          <t xml:space="preserve">HUNTINGTON INGALLS INC</t>
        </is>
      </c>
      <c r="D92" s="0" t="inlineStr">
        <is>
          <t xml:space="preserve">WMXDDH6HJNA5</t>
        </is>
      </c>
      <c r="E92" s="0" t="inlineStr">
        <is>
          <t xml:space="preserve">YQ9EQZJ8PKM6</t>
        </is>
      </c>
      <c r="F92" s="0" t="inlineStr">
        <is>
          <t xml:space="preserve">AUXILIARY SYSTEMS, INC.</t>
        </is>
      </c>
      <c r="G92" s="0" t="inlineStr">
        <is>
          <t xml:space="preserve">YQ9EQZJ8PKM6</t>
        </is>
      </c>
      <c r="H92" s="4">
        <v>0.28809999999999997</v>
      </c>
      <c r="I92" s="0" t="inlineStr">
        <is>
          <t xml:space="preserve">2019-02-14</t>
        </is>
      </c>
      <c r="J92" s="0" t="inlineStr">
        <is>
          <t xml:space="preserve">other_unclassified</t>
        </is>
      </c>
      <c r="K92" s="4">
        <v>1.1</v>
      </c>
      <c r="L92" s="0" t="inlineStr">
        <is>
          <t xml:space="preserve">#2 REBOILER TUBE REMOVAL; Item #1</t>
        </is>
      </c>
    </row>
    <row r="93">
      <c r="B93" s="0" t="inlineStr">
        <is>
          <t xml:space="preserve">N6660418F3022</t>
        </is>
      </c>
      <c r="C93" s="0" t="inlineStr">
        <is>
          <t xml:space="preserve">SERCO-IPS CORPORATION</t>
        </is>
      </c>
      <c r="D93" s="0" t="inlineStr">
        <is>
          <t xml:space="preserve">RGEBPDP8RV96</t>
        </is>
      </c>
      <c r="E93" s="0" t="inlineStr">
        <is>
          <t xml:space="preserve">F8Z3EH848VJ1</t>
        </is>
      </c>
      <c r="F93" s="0" t="inlineStr">
        <is>
          <t xml:space="preserve">FATHOM RESOURCES LLC</t>
        </is>
      </c>
      <c r="G93" s="0" t="inlineStr">
        <is>
          <t xml:space="preserve">F8Z3EH848VJ1</t>
        </is>
      </c>
      <c r="H93" s="4">
        <v>0.28352412</v>
      </c>
      <c r="I93" s="0" t="inlineStr">
        <is>
          <t xml:space="preserve">2021-05-18</t>
        </is>
      </c>
      <c r="J93" s="0" t="inlineStr">
        <is>
          <t xml:space="preserve">other_unclassified</t>
        </is>
      </c>
      <c r="K93" s="4">
        <v>29.5</v>
      </c>
      <c r="L93" s="0" t="inlineStr">
        <is>
          <t xml:space="preserve">Services</t>
        </is>
      </c>
    </row>
    <row r="94">
      <c r="B94" s="0" t="inlineStr">
        <is>
          <t xml:space="preserve">N0002419C6402</t>
        </is>
      </c>
      <c r="C94" s="0" t="inlineStr">
        <is>
          <t xml:space="preserve">TELEDYNE BROWN ENGINEERING, INC.</t>
        </is>
      </c>
      <c r="D94" s="0" t="inlineStr">
        <is>
          <t xml:space="preserve">FBRSJB6V4LW8</t>
        </is>
      </c>
      <c r="E94" s="0" t="inlineStr">
        <is>
          <t xml:space="preserve">XNHRXR2HTXA8</t>
        </is>
      </c>
      <c r="F94" s="0" t="inlineStr">
        <is>
          <t xml:space="preserve">BEAUFORT COMPOSITE TECHNOLOGIES, INC</t>
        </is>
      </c>
      <c r="G94" s="0" t="inlineStr">
        <is>
          <t xml:space="preserve">XNHRXR2HTXA8</t>
        </is>
      </c>
      <c r="H94" s="4">
        <v>0.28293</v>
      </c>
      <c r="I94" s="0" t="inlineStr">
        <is>
          <t xml:space="preserve">2021-04-13</t>
        </is>
      </c>
      <c r="J94" s="0" t="inlineStr">
        <is>
          <t xml:space="preserve">platform_hull</t>
        </is>
      </c>
      <c r="K94" s="4">
        <v>0.7</v>
      </c>
      <c r="L94" s="0" t="inlineStr">
        <is>
          <t xml:space="preserve">Engineering services/materials</t>
        </is>
      </c>
    </row>
    <row r="95">
      <c r="B95" s="0" t="inlineStr">
        <is>
          <t xml:space="preserve">N0002417C4103</t>
        </is>
      </c>
      <c r="C95" s="0" t="inlineStr">
        <is>
          <t xml:space="preserve">HUNTINGTON INGALLS INC</t>
        </is>
      </c>
      <c r="D95" s="0" t="inlineStr">
        <is>
          <t xml:space="preserve">WMXDDH6HJNA5</t>
        </is>
      </c>
      <c r="E95" s="0" t="inlineStr">
        <is>
          <t xml:space="preserve">RLDUT4AS31N5</t>
        </is>
      </c>
      <c r="F95" s="0" t="inlineStr">
        <is>
          <t xml:space="preserve">MOBILEASE MODULAR SPACE, INC.</t>
        </is>
      </c>
      <c r="G95" s="0" t="inlineStr">
        <is>
          <t xml:space="preserve">RLDUT4AS31N5</t>
        </is>
      </c>
      <c r="H95" s="4">
        <v>0.27678728</v>
      </c>
      <c r="I95" s="0" t="inlineStr">
        <is>
          <t xml:space="preserve">2020-08-10</t>
        </is>
      </c>
      <c r="J95" s="0" t="inlineStr">
        <is>
          <t xml:space="preserve">other_unclassified</t>
        </is>
      </c>
      <c r="K95" s="4">
        <v>1.6</v>
      </c>
      <c r="L95" s="0" t="inlineStr">
        <is>
          <t xml:space="preserve">Mod offices Charge Change 9/16/19-3/7/20PO item #9</t>
        </is>
      </c>
    </row>
    <row r="96">
      <c r="B96" s="0" t="inlineStr">
        <is>
          <t xml:space="preserve">N0002417C4103</t>
        </is>
      </c>
      <c r="C96" s="0" t="inlineStr">
        <is>
          <t xml:space="preserve">HUNTINGTON INGALLS INC</t>
        </is>
      </c>
      <c r="D96" s="0" t="inlineStr">
        <is>
          <t xml:space="preserve">WMXDDH6HJNA5</t>
        </is>
      </c>
      <c r="E96" s="0" t="inlineStr">
        <is>
          <t xml:space="preserve">RLDUT4AS31N5</t>
        </is>
      </c>
      <c r="F96" s="0" t="inlineStr">
        <is>
          <t xml:space="preserve">MOBILEASE MODULAR SPACE, INC.</t>
        </is>
      </c>
      <c r="G96" s="0" t="inlineStr">
        <is>
          <t xml:space="preserve">RLDUT4AS31N5</t>
        </is>
      </c>
      <c r="H96" s="4">
        <v>0.27678728</v>
      </c>
      <c r="I96" s="0" t="inlineStr">
        <is>
          <t xml:space="preserve">2020-03-10</t>
        </is>
      </c>
      <c r="J96" s="0" t="inlineStr">
        <is>
          <t xml:space="preserve">other_unclassified</t>
        </is>
      </c>
      <c r="K96" s="4">
        <v>3.5</v>
      </c>
      <c r="L96" s="0" t="inlineStr">
        <is>
          <t xml:space="preserve">Mod offices Charge Change 9/16/19-3/7/20;item num#9</t>
        </is>
      </c>
    </row>
    <row r="97">
      <c r="B97" s="0" t="inlineStr">
        <is>
          <t xml:space="preserve">N0002419C6402</t>
        </is>
      </c>
      <c r="C97" s="0" t="inlineStr">
        <is>
          <t xml:space="preserve">TELEDYNE BROWN ENGINEERING, INC.</t>
        </is>
      </c>
      <c r="D97" s="0" t="inlineStr">
        <is>
          <t xml:space="preserve">FBRSJB6V4LW8</t>
        </is>
      </c>
      <c r="E97" s="0" t="inlineStr">
        <is>
          <t xml:space="preserve">GNF1HLLEJDK3</t>
        </is>
      </c>
      <c r="F97" s="0" t="inlineStr">
        <is>
          <t xml:space="preserve">CKS TECHNOLOGIES, LLC</t>
        </is>
      </c>
      <c r="G97" s="0" t="inlineStr">
        <is>
          <t xml:space="preserve">GNF1HLLEJDK3</t>
        </is>
      </c>
      <c r="H97" s="4">
        <v>0.2766</v>
      </c>
      <c r="I97" s="0" t="inlineStr">
        <is>
          <t xml:space="preserve">2021-06-21</t>
        </is>
      </c>
      <c r="J97" s="0" t="inlineStr">
        <is>
          <t xml:space="preserve">propulsion_power</t>
        </is>
      </c>
      <c r="K97" s="4">
        <v>0.6</v>
      </c>
      <c r="L97" s="0" t="inlineStr">
        <is>
          <t xml:space="preserve">Engineering services/materials</t>
        </is>
      </c>
    </row>
    <row r="98">
      <c r="B98" s="0" t="inlineStr">
        <is>
          <t xml:space="preserve">N0001421C1009</t>
        </is>
      </c>
      <c r="C98" s="0" t="inlineStr">
        <is>
          <t xml:space="preserve">RAYTHEON COMPANY</t>
        </is>
      </c>
      <c r="D98" s="0" t="inlineStr">
        <is>
          <t xml:space="preserve">VTEWM5QSE598</t>
        </is>
      </c>
      <c r="E98" s="0" t="inlineStr">
        <is>
          <t xml:space="preserve">HXDVZG1NZU21</t>
        </is>
      </c>
      <c r="F98" s="0" t="inlineStr">
        <is>
          <t xml:space="preserve">SCORPION TECHNOLOGIES LLC</t>
        </is>
      </c>
      <c r="G98" s="0" t="inlineStr">
        <is>
          <t xml:space="preserve">HXDVZG1NZU21</t>
        </is>
      </c>
      <c r="H98" s="4">
        <v>0.27208299999999996</v>
      </c>
      <c r="I98" s="0" t="inlineStr">
        <is>
          <t xml:space="preserve">2021-06-17</t>
        </is>
      </c>
      <c r="J98" s="0" t="inlineStr">
        <is>
          <t xml:space="preserve">integration_eng_svcs</t>
        </is>
      </c>
      <c r="K98" s="4">
        <v>34.2</v>
      </c>
      <c r="L98" s="0" t="inlineStr">
        <is>
          <t xml:space="preserve">CableAssy&amp;HarnMulti, Electromech-Mj Assys, Electronic Test Sys, NRE - All.</t>
        </is>
      </c>
    </row>
    <row r="99">
      <c r="B99" s="0" t="inlineStr">
        <is>
          <t xml:space="preserve">N0001421C1009</t>
        </is>
      </c>
      <c r="C99" s="0" t="inlineStr">
        <is>
          <t xml:space="preserve">RAYTHEON COMPANY</t>
        </is>
      </c>
      <c r="D99" s="0" t="inlineStr">
        <is>
          <t xml:space="preserve">VTEWM5QSE598</t>
        </is>
      </c>
      <c r="E99" s="0" t="inlineStr">
        <is>
          <t xml:space="preserve">HXDVZG1NZU21</t>
        </is>
      </c>
      <c r="F99" s="0" t="inlineStr">
        <is>
          <t xml:space="preserve">SCORPION TECHNOLOGIES LLC</t>
        </is>
      </c>
      <c r="G99" s="0" t="inlineStr">
        <is>
          <t xml:space="preserve">HXDVZG1NZU21</t>
        </is>
      </c>
      <c r="H99" s="4">
        <v>0.27208299999999996</v>
      </c>
      <c r="I99" s="0" t="inlineStr">
        <is>
          <t xml:space="preserve">2021-06-17</t>
        </is>
      </c>
      <c r="J99" s="0" t="inlineStr">
        <is>
          <t xml:space="preserve">integration_eng_svcs</t>
        </is>
      </c>
      <c r="K99" s="4">
        <v>21.8</v>
      </c>
      <c r="L99" s="0" t="inlineStr">
        <is>
          <t xml:space="preserve">CableAssy&amp;HarnMulti, Electromech-Mj Assys, Electronic Test Sys, NRE - Other.</t>
        </is>
      </c>
    </row>
    <row r="100">
      <c r="B100" s="0" t="inlineStr">
        <is>
          <t xml:space="preserve">N0001421C1009</t>
        </is>
      </c>
      <c r="C100" s="0" t="inlineStr">
        <is>
          <t xml:space="preserve">RAYTHEON COMPANY</t>
        </is>
      </c>
      <c r="D100" s="0" t="inlineStr">
        <is>
          <t xml:space="preserve">VTEWM5QSE598</t>
        </is>
      </c>
      <c r="E100" s="0" t="inlineStr">
        <is>
          <t xml:space="preserve">HXDVZG1NZU21</t>
        </is>
      </c>
      <c r="F100" s="0" t="inlineStr">
        <is>
          <t xml:space="preserve">SCORPION TECHNOLOGIES LLC</t>
        </is>
      </c>
      <c r="G100" s="0" t="inlineStr">
        <is>
          <t xml:space="preserve">HXDVZG1NZU21</t>
        </is>
      </c>
      <c r="H100" s="4">
        <v>0.27208299999999996</v>
      </c>
      <c r="I100" s="0" t="inlineStr">
        <is>
          <t xml:space="preserve">2021-06-17</t>
        </is>
      </c>
      <c r="J100" s="0" t="inlineStr">
        <is>
          <t xml:space="preserve">integration_eng_svcs</t>
        </is>
      </c>
      <c r="K100" s="4">
        <v>14.5</v>
      </c>
      <c r="L100" s="0" t="inlineStr">
        <is>
          <t xml:space="preserve">CableAssy&amp;HarnMulti, Electromech-Mj Assys, Electronic Test Sys, NRE - Other.</t>
        </is>
      </c>
    </row>
    <row r="101">
      <c r="B101" s="0" t="inlineStr">
        <is>
          <t xml:space="preserve">N0002419C6402</t>
        </is>
      </c>
      <c r="C101" s="0" t="inlineStr">
        <is>
          <t xml:space="preserve">TELEDYNE BROWN ENGINEERING, INC.</t>
        </is>
      </c>
      <c r="D101" s="0" t="inlineStr">
        <is>
          <t xml:space="preserve">FBRSJB6V4LW8</t>
        </is>
      </c>
      <c r="E101" s="0" t="inlineStr">
        <is>
          <t xml:space="preserve">PX7XVJDX7TZ7</t>
        </is>
      </c>
      <c r="F101" s="0" t="inlineStr">
        <is>
          <t xml:space="preserve">VICOR CORPORATION</t>
        </is>
      </c>
      <c r="G101" s="0" t="inlineStr">
        <is>
          <t xml:space="preserve">PZK1KSXFFNX9</t>
        </is>
      </c>
      <c r="H101" s="4">
        <v>0.265488</v>
      </c>
      <c r="I101" s="0" t="inlineStr">
        <is>
          <t xml:space="preserve">2020-04-23</t>
        </is>
      </c>
      <c r="J101" s="0" t="inlineStr">
        <is>
          <t xml:space="preserve">propulsion_power</t>
        </is>
      </c>
      <c r="K101" s="4">
        <v>8.9</v>
      </c>
      <c r="L101" s="0" t="inlineStr">
        <is>
          <t xml:space="preserve">Engineering materials</t>
        </is>
      </c>
    </row>
    <row r="102">
      <c r="B102" s="0" t="inlineStr">
        <is>
          <t xml:space="preserve">N6660418F3022</t>
        </is>
      </c>
      <c r="C102" s="0" t="inlineStr">
        <is>
          <t xml:space="preserve">SERCO-IPS CORPORATION</t>
        </is>
      </c>
      <c r="D102" s="0" t="inlineStr">
        <is>
          <t xml:space="preserve">RGEBPDP8RV96</t>
        </is>
      </c>
      <c r="E102" s="0" t="inlineStr">
        <is>
          <t xml:space="preserve">M3WTFLL92KZ3</t>
        </is>
      </c>
      <c r="F102" s="0" t="inlineStr">
        <is>
          <t xml:space="preserve">DBV TECHNOLOGY, LLC</t>
        </is>
      </c>
      <c r="G102" s="0" t="inlineStr">
        <is>
          <t xml:space="preserve">M3WTFLL92KZ3</t>
        </is>
      </c>
      <c r="H102" s="4">
        <v>0.26489974</v>
      </c>
      <c r="I102" s="0" t="inlineStr">
        <is>
          <t xml:space="preserve">2022-06-29</t>
        </is>
      </c>
      <c r="J102" s="0" t="inlineStr">
        <is>
          <t xml:space="preserve">other_unclassified</t>
        </is>
      </c>
      <c r="K102" s="4">
        <v>22.1</v>
      </c>
      <c r="L102" s="0" t="inlineStr">
        <is>
          <t xml:space="preserve">Services</t>
        </is>
      </c>
    </row>
    <row r="103">
      <c r="B103" s="0" t="inlineStr">
        <is>
          <t xml:space="preserve">N0002419C6402</t>
        </is>
      </c>
      <c r="C103" s="0" t="inlineStr">
        <is>
          <t xml:space="preserve">TELEDYNE BROWN ENGINEERING, INC.</t>
        </is>
      </c>
      <c r="D103" s="0" t="inlineStr">
        <is>
          <t xml:space="preserve">FBRSJB6V4LW8</t>
        </is>
      </c>
      <c r="E103" s="0" t="inlineStr">
        <is>
          <t xml:space="preserve">XNHRXR2HTXA8</t>
        </is>
      </c>
      <c r="F103" s="0" t="inlineStr">
        <is>
          <t xml:space="preserve">BEAUFORT COMPOSITE TECHNOLOGIES, INC</t>
        </is>
      </c>
      <c r="G103" s="0" t="inlineStr">
        <is>
          <t xml:space="preserve">XNHRXR2HTXA8</t>
        </is>
      </c>
      <c r="H103" s="4">
        <v>0.26419</v>
      </c>
      <c r="I103" s="0" t="inlineStr">
        <is>
          <t xml:space="preserve">2021-10-19</t>
        </is>
      </c>
      <c r="J103" s="0" t="inlineStr">
        <is>
          <t xml:space="preserve">platform_hull</t>
        </is>
      </c>
      <c r="K103" s="4">
        <v>0.7</v>
      </c>
      <c r="L103" s="0" t="inlineStr">
        <is>
          <t xml:space="preserve">Engineering materials</t>
        </is>
      </c>
    </row>
    <row r="104">
      <c r="B104" s="0" t="inlineStr">
        <is>
          <t xml:space="preserve">N0002419C6402</t>
        </is>
      </c>
      <c r="C104" s="0" t="inlineStr">
        <is>
          <t xml:space="preserve">TELEDYNE BROWN ENGINEERING, INC.</t>
        </is>
      </c>
      <c r="D104" s="0" t="inlineStr">
        <is>
          <t xml:space="preserve">FBRSJB6V4LW8</t>
        </is>
      </c>
      <c r="E104" s="0" t="inlineStr">
        <is>
          <t xml:space="preserve">RPLNSRFLMJ47</t>
        </is>
      </c>
      <c r="F104" s="0" t="inlineStr">
        <is>
          <t xml:space="preserve">Delay Holdings, LLC</t>
        </is>
      </c>
      <c r="G104" s="0" t="inlineStr">
        <is>
          <t xml:space="preserve">K8XBC9JAPCJ3</t>
        </is>
      </c>
      <c r="H104" s="4">
        <v>0.26109</v>
      </c>
      <c r="I104" s="0" t="inlineStr">
        <is>
          <t xml:space="preserve">2020-10-29</t>
        </is>
      </c>
      <c r="J104" s="0" t="inlineStr">
        <is>
          <t xml:space="preserve">propulsion_power</t>
        </is>
      </c>
      <c r="K104" s="4">
        <v>0.2</v>
      </c>
      <c r="L104" s="0" t="inlineStr">
        <is>
          <t xml:space="preserve">Engineering materials</t>
        </is>
      </c>
    </row>
    <row r="105">
      <c r="B105" s="0" t="inlineStr">
        <is>
          <t xml:space="preserve">N0001421C1009</t>
        </is>
      </c>
      <c r="C105" s="0" t="inlineStr">
        <is>
          <t xml:space="preserve">RAYTHEON COMPANY</t>
        </is>
      </c>
      <c r="D105" s="0" t="inlineStr">
        <is>
          <t xml:space="preserve">VTEWM5QSE598</t>
        </is>
      </c>
      <c r="E105" s="0" t="inlineStr">
        <is>
          <t xml:space="preserve">F295NQHTL3F9</t>
        </is>
      </c>
      <c r="F105" s="0" t="inlineStr">
        <is>
          <t xml:space="preserve">APPLIED COMPOSITES HOLDINGS, LLC</t>
        </is>
      </c>
      <c r="G105" s="0" t="inlineStr">
        <is>
          <t xml:space="preserve">W6UDW59QZAZ9</t>
        </is>
      </c>
      <c r="H105" s="4">
        <v>0.259523</v>
      </c>
      <c r="I105" s="0" t="inlineStr">
        <is>
          <t xml:space="preserve">2018-10-11</t>
        </is>
      </c>
      <c r="J105" s="0" t="inlineStr">
        <is>
          <t xml:space="preserve">platform_hull</t>
        </is>
      </c>
      <c r="K105" s="4">
        <v>54.1</v>
      </c>
      <c r="L105" s="0" t="inlineStr">
        <is>
          <t xml:space="preserve">Fuselage.</t>
        </is>
      </c>
    </row>
    <row r="106">
      <c r="B106" s="0" t="inlineStr">
        <is>
          <t xml:space="preserve">N0001421C1009</t>
        </is>
      </c>
      <c r="C106" s="0" t="inlineStr">
        <is>
          <t xml:space="preserve">RAYTHEON COMPANY</t>
        </is>
      </c>
      <c r="D106" s="0" t="inlineStr">
        <is>
          <t xml:space="preserve">VTEWM5QSE598</t>
        </is>
      </c>
      <c r="E106" s="0" t="inlineStr">
        <is>
          <t xml:space="preserve">K3NZPM2GWY95</t>
        </is>
      </c>
      <c r="F106" s="0" t="inlineStr">
        <is>
          <t xml:space="preserve">SAN DIEGO COMPOSITES, INC</t>
        </is>
      </c>
      <c r="G106" s="0" t="inlineStr">
        <is>
          <t xml:space="preserve">W6UDW59QZAZ9</t>
        </is>
      </c>
      <c r="H106" s="4">
        <v>0.259523</v>
      </c>
      <c r="I106" s="0" t="inlineStr">
        <is>
          <t xml:space="preserve">2018-10-11</t>
        </is>
      </c>
      <c r="J106" s="0" t="inlineStr">
        <is>
          <t xml:space="preserve">platform_hull</t>
        </is>
      </c>
      <c r="K106" s="4">
        <v>66.4</v>
      </c>
      <c r="L106" s="0" t="inlineStr">
        <is>
          <t xml:space="preserve">Fuselage.</t>
        </is>
      </c>
    </row>
    <row r="107">
      <c r="B107" s="0" t="inlineStr">
        <is>
          <t xml:space="preserve">N0002424C2204</t>
        </is>
      </c>
      <c r="C107" s="0" t="inlineStr">
        <is>
          <t xml:space="preserve">SAAB, INC</t>
        </is>
      </c>
      <c r="D107" s="0" t="inlineStr">
        <is>
          <t xml:space="preserve">H5FMLSGM29L1</t>
        </is>
      </c>
      <c r="E107" s="0" t="inlineStr">
        <is>
          <t xml:space="preserve">DC5VNMMT1FW6</t>
        </is>
      </c>
      <c r="F107" s="0" t="inlineStr">
        <is>
          <t xml:space="preserve">FORCYS INC.</t>
        </is>
      </c>
      <c r="G107" s="0" t="inlineStr">
        <is>
          <t xml:space="preserve">DC5VNMMT1FW6</t>
        </is>
      </c>
      <c r="H107" s="4">
        <v>0.25513707999999996</v>
      </c>
      <c r="I107" s="0" t="inlineStr">
        <is>
          <t xml:space="preserve">2024-06-03</t>
        </is>
      </c>
      <c r="J107" s="0" t="inlineStr">
        <is>
          <t xml:space="preserve">autonomy_software</t>
        </is>
      </c>
      <c r="K107" s="4">
        <v>0.5</v>
      </c>
      <c r="L107" s="0" t="inlineStr">
        <is>
          <t xml:space="preserve">EIVA EDGE Processing, Software</t>
        </is>
      </c>
    </row>
    <row r="108">
      <c r="B108" s="0" t="inlineStr">
        <is>
          <t xml:space="preserve">N0001421C1009</t>
        </is>
      </c>
      <c r="C108" s="0" t="inlineStr">
        <is>
          <t xml:space="preserve">RAYTHEON COMPANY</t>
        </is>
      </c>
      <c r="D108" s="0" t="inlineStr">
        <is>
          <t xml:space="preserve">VTEWM5QSE598</t>
        </is>
      </c>
      <c r="E108" s="0" t="inlineStr">
        <is>
          <t xml:space="preserve">ME2BVJ4KGAM1</t>
        </is>
      </c>
      <c r="F108" s="0" t="inlineStr">
        <is>
          <t xml:space="preserve">SYSTIMA TECHNOLOGIES, INC.</t>
        </is>
      </c>
      <c r="G108" s="0" t="inlineStr">
        <is>
          <t xml:space="preserve">ME2BVJ4KGAM1</t>
        </is>
      </c>
      <c r="H108" s="4">
        <v>0.25</v>
      </c>
      <c r="I108" s="0" t="inlineStr">
        <is>
          <t xml:space="preserve">2021-04-02</t>
        </is>
      </c>
      <c r="J108" s="0" t="inlineStr">
        <is>
          <t xml:space="preserve">other_unclassified</t>
        </is>
      </c>
      <c r="K108" s="4">
        <v>1.5</v>
      </c>
      <c r="L108" s="0" t="inlineStr">
        <is>
          <t xml:space="preserve">NRE - Other.</t>
        </is>
      </c>
    </row>
    <row r="109">
      <c r="B109" s="0" t="inlineStr">
        <is>
          <t xml:space="preserve">N6660418F3022</t>
        </is>
      </c>
      <c r="C109" s="0" t="inlineStr">
        <is>
          <t xml:space="preserve">SERCO-IPS CORPORATION</t>
        </is>
      </c>
      <c r="D109" s="0" t="inlineStr">
        <is>
          <t xml:space="preserve">RGEBPDP8RV96</t>
        </is>
      </c>
      <c r="E109" s="0" t="inlineStr">
        <is>
          <t xml:space="preserve">M3WTFLL92KZ3</t>
        </is>
      </c>
      <c r="F109" s="0" t="inlineStr">
        <is>
          <t xml:space="preserve">DBV TECHNOLOGY, LLC</t>
        </is>
      </c>
      <c r="G109" s="0" t="inlineStr">
        <is>
          <t xml:space="preserve">M3WTFLL92KZ3</t>
        </is>
      </c>
      <c r="H109" s="4">
        <v>0.24975</v>
      </c>
      <c r="I109" s="0" t="inlineStr">
        <is>
          <t xml:space="preserve">2021-03-18</t>
        </is>
      </c>
      <c r="J109" s="0" t="inlineStr">
        <is>
          <t xml:space="preserve">other_unclassified</t>
        </is>
      </c>
      <c r="K109" s="4">
        <v>31.5</v>
      </c>
      <c r="L109" s="0" t="inlineStr">
        <is>
          <t xml:space="preserve">Services</t>
        </is>
      </c>
    </row>
    <row r="110">
      <c r="B110" s="0" t="inlineStr">
        <is>
          <t xml:space="preserve">N0002419C6402</t>
        </is>
      </c>
      <c r="C110" s="0" t="inlineStr">
        <is>
          <t xml:space="preserve">TELEDYNE BROWN ENGINEERING, INC.</t>
        </is>
      </c>
      <c r="D110" s="0" t="inlineStr">
        <is>
          <t xml:space="preserve">FBRSJB6V4LW8</t>
        </is>
      </c>
      <c r="E110" s="0" t="inlineStr">
        <is>
          <t xml:space="preserve">MYHSMYECPCR1</t>
        </is>
      </c>
      <c r="F110" s="0" t="inlineStr">
        <is>
          <t xml:space="preserve">TECNOVA ADVANCED SYSTEMS, INC.</t>
        </is>
      </c>
      <c r="G110" s="0" t="inlineStr">
        <is>
          <t xml:space="preserve">MYHSMYECPCR1</t>
        </is>
      </c>
      <c r="H110" s="4">
        <v>0.2488</v>
      </c>
      <c r="I110" s="0" t="inlineStr">
        <is>
          <t xml:space="preserve">2025-11-20</t>
        </is>
      </c>
      <c r="J110" s="0" t="inlineStr">
        <is>
          <t xml:space="preserve">propulsion_power</t>
        </is>
      </c>
      <c r="K110" s="4">
        <v>1.3</v>
      </c>
      <c r="L110" s="0" t="inlineStr">
        <is>
          <t xml:space="preserve">Engineering Services/Materials</t>
        </is>
      </c>
    </row>
    <row r="111">
      <c r="B111" s="0" t="inlineStr">
        <is>
          <t xml:space="preserve">N0002417C4103</t>
        </is>
      </c>
      <c r="C111" s="0" t="inlineStr">
        <is>
          <t xml:space="preserve">HUNTINGTON INGALLS INC</t>
        </is>
      </c>
      <c r="D111" s="0" t="inlineStr">
        <is>
          <t xml:space="preserve">WMXDDH6HJNA5</t>
        </is>
      </c>
      <c r="E111" s="0" t="inlineStr">
        <is>
          <t xml:space="preserve">RLDUT4AS31N5</t>
        </is>
      </c>
      <c r="F111" s="0" t="inlineStr">
        <is>
          <t xml:space="preserve">MOBILEASE MODULAR SPACE, INC.</t>
        </is>
      </c>
      <c r="G111" s="0" t="inlineStr">
        <is>
          <t xml:space="preserve">RLDUT4AS31N5</t>
        </is>
      </c>
      <c r="H111" s="4">
        <v>0.247463</v>
      </c>
      <c r="I111" s="0" t="inlineStr">
        <is>
          <t xml:space="preserve">2020-08-10</t>
        </is>
      </c>
      <c r="J111" s="0" t="inlineStr">
        <is>
          <t xml:space="preserve">other_unclassified</t>
        </is>
      </c>
      <c r="K111" s="4">
        <v>1.6</v>
      </c>
      <c r="L111" s="0" t="inlineStr">
        <is>
          <t xml:space="preserve">Dismantle &amp; Return FreightPO item #4</t>
        </is>
      </c>
    </row>
    <row r="112">
      <c r="B112" s="0" t="inlineStr">
        <is>
          <t xml:space="preserve">N0002417C4103</t>
        </is>
      </c>
      <c r="C112" s="0" t="inlineStr">
        <is>
          <t xml:space="preserve">HUNTINGTON INGALLS INC</t>
        </is>
      </c>
      <c r="D112" s="0" t="inlineStr">
        <is>
          <t xml:space="preserve">WMXDDH6HJNA5</t>
        </is>
      </c>
      <c r="E112" s="0" t="inlineStr">
        <is>
          <t xml:space="preserve">RLDUT4AS31N5</t>
        </is>
      </c>
      <c r="F112" s="0" t="inlineStr">
        <is>
          <t xml:space="preserve">MOBILEASE MODULAR SPACE, INC.</t>
        </is>
      </c>
      <c r="G112" s="0" t="inlineStr">
        <is>
          <t xml:space="preserve">RLDUT4AS31N5</t>
        </is>
      </c>
      <c r="H112" s="4">
        <v>0.247463</v>
      </c>
      <c r="I112" s="0" t="inlineStr">
        <is>
          <t xml:space="preserve">2020-03-10</t>
        </is>
      </c>
      <c r="J112" s="0" t="inlineStr">
        <is>
          <t xml:space="preserve">other_unclassified</t>
        </is>
      </c>
      <c r="K112" s="4">
        <v>3.5</v>
      </c>
      <c r="L112" s="0" t="inlineStr">
        <is>
          <t xml:space="preserve">Dismantle &amp; Return Freight;item num#4</t>
        </is>
      </c>
    </row>
    <row r="113">
      <c r="B113" s="0" t="inlineStr">
        <is>
          <t xml:space="preserve">N0002417C4103</t>
        </is>
      </c>
      <c r="C113" s="0" t="inlineStr">
        <is>
          <t xml:space="preserve">HUNTINGTON INGALLS INC</t>
        </is>
      </c>
      <c r="D113" s="0" t="inlineStr">
        <is>
          <t xml:space="preserve">WMXDDH6HJNA5</t>
        </is>
      </c>
      <c r="E113" s="0" t="inlineStr">
        <is>
          <t xml:space="preserve">LBZEPJN83LB8</t>
        </is>
      </c>
      <c r="F113" s="0" t="inlineStr">
        <is>
          <t xml:space="preserve">MARINE CHEMIST SERVICE INC</t>
        </is>
      </c>
      <c r="G113" s="0" t="inlineStr">
        <is>
          <t xml:space="preserve">LBZEPJN83LB8</t>
        </is>
      </c>
      <c r="H113" s="4">
        <v>0.2457</v>
      </c>
      <c r="I113" s="0" t="inlineStr">
        <is>
          <t xml:space="preserve">2019-02-11</t>
        </is>
      </c>
      <c r="J113" s="0" t="inlineStr">
        <is>
          <t xml:space="preserve">other_unclassified</t>
        </is>
      </c>
      <c r="K113" s="4">
        <v>1.2</v>
      </c>
      <c r="L113" s="0" t="inlineStr">
        <is>
          <t xml:space="preserve">HEALTH AND SAFETY TECHNICIAN SERVICES; Item #1</t>
        </is>
      </c>
    </row>
    <row r="114">
      <c r="B114" s="0" t="inlineStr">
        <is>
          <t xml:space="preserve">N0001421C1009</t>
        </is>
      </c>
      <c r="C114" s="0" t="inlineStr">
        <is>
          <t xml:space="preserve">RAYTHEON COMPANY</t>
        </is>
      </c>
      <c r="D114" s="0" t="inlineStr">
        <is>
          <t xml:space="preserve">VTEWM5QSE598</t>
        </is>
      </c>
      <c r="E114" s="0" t="inlineStr">
        <is>
          <t xml:space="preserve">HGFLCANUEGZ2</t>
        </is>
      </c>
      <c r="F114" s="0" t="inlineStr">
        <is>
          <t xml:space="preserve">PRIMARY AIMLINE LLC</t>
        </is>
      </c>
      <c r="G114" s="0" t="inlineStr">
        <is>
          <t xml:space="preserve">HGFLCANUEGZ2</t>
        </is>
      </c>
      <c r="H114" s="4">
        <v>0.244332</v>
      </c>
      <c r="I114" s="0" t="inlineStr">
        <is>
          <t xml:space="preserve">2021-09-08</t>
        </is>
      </c>
      <c r="J114" s="0" t="inlineStr">
        <is>
          <t xml:space="preserve">autonomy_software</t>
        </is>
      </c>
      <c r="K114" s="4">
        <v>19.1</v>
      </c>
      <c r="L114" s="0" t="inlineStr">
        <is>
          <t xml:space="preserve">NRE - Other.</t>
        </is>
      </c>
    </row>
    <row r="115">
      <c r="B115" s="0" t="inlineStr">
        <is>
          <t xml:space="preserve">N0002419C6402</t>
        </is>
      </c>
      <c r="C115" s="0" t="inlineStr">
        <is>
          <t xml:space="preserve">TELEDYNE BROWN ENGINEERING, INC.</t>
        </is>
      </c>
      <c r="D115" s="0" t="inlineStr">
        <is>
          <t xml:space="preserve">FBRSJB6V4LW8</t>
        </is>
      </c>
      <c r="E115" s="0" t="inlineStr">
        <is>
          <t xml:space="preserve">Q1B3NG6LP9B5</t>
        </is>
      </c>
      <c r="F115" s="0" t="inlineStr">
        <is>
          <t xml:space="preserve">EXAIL DEFENSE SYSTEMS, INC.</t>
        </is>
      </c>
      <c r="G115" s="0" t="inlineStr">
        <is>
          <t xml:space="preserve">Q1B3NG6LP9B5</t>
        </is>
      </c>
      <c r="H115" s="4">
        <v>0.23864170999999998</v>
      </c>
      <c r="I115" s="0" t="inlineStr">
        <is>
          <t xml:space="preserve">2023-06-28</t>
        </is>
      </c>
      <c r="J115" s="0" t="inlineStr">
        <is>
          <t xml:space="preserve">autonomy_software</t>
        </is>
      </c>
      <c r="K115" s="4">
        <v>1.1</v>
      </c>
      <c r="L115" s="0" t="inlineStr">
        <is>
          <t xml:space="preserve">Engineering services/materials</t>
        </is>
      </c>
    </row>
    <row r="116">
      <c r="B116" s="0" t="inlineStr">
        <is>
          <t xml:space="preserve">N0001421C1009</t>
        </is>
      </c>
      <c r="C116" s="0" t="inlineStr">
        <is>
          <t xml:space="preserve">RAYTHEON COMPANY</t>
        </is>
      </c>
      <c r="D116" s="0" t="inlineStr">
        <is>
          <t xml:space="preserve">VTEWM5QSE598</t>
        </is>
      </c>
      <c r="E116" s="0" t="inlineStr">
        <is>
          <t xml:space="preserve">HGFLCANUEGZ2</t>
        </is>
      </c>
      <c r="F116" s="0" t="inlineStr">
        <is>
          <t xml:space="preserve">PRIMARY AIMLINE LLC</t>
        </is>
      </c>
      <c r="G116" s="0" t="inlineStr">
        <is>
          <t xml:space="preserve">HGFLCANUEGZ2</t>
        </is>
      </c>
      <c r="H116" s="4">
        <v>0.23745</v>
      </c>
      <c r="I116" s="0" t="inlineStr">
        <is>
          <t xml:space="preserve">2021-09-08</t>
        </is>
      </c>
      <c r="J116" s="0" t="inlineStr">
        <is>
          <t xml:space="preserve">autonomy_software</t>
        </is>
      </c>
      <c r="K116" s="4">
        <v>31.5</v>
      </c>
      <c r="L116" s="0" t="inlineStr">
        <is>
          <t xml:space="preserve">NRE - All.</t>
        </is>
      </c>
    </row>
    <row r="117">
      <c r="B117" s="0" t="inlineStr">
        <is>
          <t xml:space="preserve">N0002419C6402</t>
        </is>
      </c>
      <c r="C117" s="0" t="inlineStr">
        <is>
          <t xml:space="preserve">TELEDYNE BROWN ENGINEERING, INC.</t>
        </is>
      </c>
      <c r="D117" s="0" t="inlineStr">
        <is>
          <t xml:space="preserve">FBRSJB6V4LW8</t>
        </is>
      </c>
      <c r="E117" s="0" t="inlineStr">
        <is>
          <t xml:space="preserve">WWXGWQMGPUL3</t>
        </is>
      </c>
      <c r="F117" s="0" t="inlineStr">
        <is>
          <t xml:space="preserve">HANWHA CIMARRON LLC</t>
        </is>
      </c>
      <c r="G117" s="0" t="inlineStr">
        <is>
          <t xml:space="preserve">WWXGWQMGPUL3</t>
        </is>
      </c>
      <c r="H117" s="4">
        <v>0.2363067</v>
      </c>
      <c r="I117" s="0" t="inlineStr">
        <is>
          <t xml:space="preserve">2023-02-24</t>
        </is>
      </c>
      <c r="J117" s="0" t="inlineStr">
        <is>
          <t xml:space="preserve">propulsion_power</t>
        </is>
      </c>
      <c r="K117" s="4">
        <v>0.3</v>
      </c>
      <c r="L117" s="0" t="inlineStr">
        <is>
          <t xml:space="preserve">Engineering services/materials</t>
        </is>
      </c>
    </row>
    <row r="118">
      <c r="B118" s="0" t="inlineStr">
        <is>
          <t xml:space="preserve">N6660418F3022</t>
        </is>
      </c>
      <c r="C118" s="0" t="inlineStr">
        <is>
          <t xml:space="preserve">SERCO-IPS CORPORATION</t>
        </is>
      </c>
      <c r="D118" s="0" t="inlineStr">
        <is>
          <t xml:space="preserve">RGEBPDP8RV96</t>
        </is>
      </c>
      <c r="E118" s="0" t="inlineStr">
        <is>
          <t xml:space="preserve">GFKFBWG2TV98</t>
        </is>
      </c>
      <c r="F118" s="0" t="inlineStr">
        <is>
          <t xml:space="preserve">WOODS HOLE OCEANOGRAPHIC INSTITUTION</t>
        </is>
      </c>
      <c r="G118" s="0" t="inlineStr">
        <is>
          <t xml:space="preserve">GFKFBWG2TV98</t>
        </is>
      </c>
      <c r="H118" s="4">
        <v>0.23586307999999997</v>
      </c>
      <c r="I118" s="0" t="inlineStr">
        <is>
          <t xml:space="preserve">2025-06-10</t>
        </is>
      </c>
      <c r="J118" s="0" t="inlineStr">
        <is>
          <t xml:space="preserve">other_unclassified</t>
        </is>
      </c>
      <c r="K118" s="4">
        <v>1.2</v>
      </c>
      <c r="L118" s="0" t="inlineStr">
        <is>
          <t xml:space="preserve">Goods</t>
        </is>
      </c>
    </row>
    <row r="119">
      <c r="B119" s="0" t="inlineStr">
        <is>
          <t xml:space="preserve">N0002423C6308</t>
        </is>
      </c>
      <c r="C119" s="0" t="inlineStr">
        <is>
          <t xml:space="preserve">HII UNMANNED SYSTEMS, INC</t>
        </is>
      </c>
      <c r="D119" s="0" t="inlineStr">
        <is>
          <t xml:space="preserve">WN18KN7KQLG9</t>
        </is>
      </c>
      <c r="E119" s="0" t="inlineStr">
        <is>
          <t xml:space="preserve">FD82BKJCMHG7</t>
        </is>
      </c>
      <c r="F119" s="0" t="inlineStr">
        <is>
          <t xml:space="preserve">SICOM INDUSTRIES LTD</t>
        </is>
      </c>
      <c r="G119" s="0" t="inlineStr">
        <is>
          <t xml:space="preserve">FD82BKJCMHG7</t>
        </is>
      </c>
      <c r="H119" s="4">
        <v>0.23519168999999998</v>
      </c>
      <c r="I119" s="0" t="inlineStr">
        <is>
          <t xml:space="preserve">2025-09-17</t>
        </is>
      </c>
      <c r="J119" s="0" t="inlineStr">
        <is>
          <t xml:space="preserve">platform_hull</t>
        </is>
      </c>
      <c r="K119" s="4">
        <v>1.4</v>
      </c>
      <c r="L119" s="0" t="inlineStr">
        <is>
          <t xml:space="preserve">Miscellaneous Fabricated Metal Product Manufacturing</t>
        </is>
      </c>
    </row>
    <row r="120">
      <c r="B120" s="0" t="inlineStr">
        <is>
          <t xml:space="preserve">N0002419C6402</t>
        </is>
      </c>
      <c r="C120" s="0" t="inlineStr">
        <is>
          <t xml:space="preserve">TELEDYNE BROWN ENGINEERING, INC.</t>
        </is>
      </c>
      <c r="D120" s="0" t="inlineStr">
        <is>
          <t xml:space="preserve">FBRSJB6V4LW8</t>
        </is>
      </c>
      <c r="E120" s="0" t="inlineStr">
        <is>
          <t xml:space="preserve">GNF1HLLEJDK3</t>
        </is>
      </c>
      <c r="F120" s="0" t="inlineStr">
        <is>
          <t xml:space="preserve">CKS TECHNOLOGIES, LLC</t>
        </is>
      </c>
      <c r="G120" s="0" t="inlineStr">
        <is>
          <t xml:space="preserve">GNF1HLLEJDK3</t>
        </is>
      </c>
      <c r="H120" s="4">
        <v>0.2336</v>
      </c>
      <c r="I120" s="0" t="inlineStr">
        <is>
          <t xml:space="preserve">2020-05-28</t>
        </is>
      </c>
      <c r="J120" s="0" t="inlineStr">
        <is>
          <t xml:space="preserve">propulsion_power</t>
        </is>
      </c>
      <c r="K120" s="4">
        <v>0.3</v>
      </c>
      <c r="L120" s="0" t="inlineStr">
        <is>
          <t xml:space="preserve">Engineering services/materials</t>
        </is>
      </c>
    </row>
    <row r="121">
      <c r="B121" s="0" t="inlineStr">
        <is>
          <t xml:space="preserve">N0003921F2173</t>
        </is>
      </c>
      <c r="C121" s="0" t="inlineStr">
        <is>
          <t xml:space="preserve">TELEDYNE BROWN ENGINEERING, INC.</t>
        </is>
      </c>
      <c r="D121" s="0" t="inlineStr">
        <is>
          <t xml:space="preserve">FBRSJB6V4LW8</t>
        </is>
      </c>
      <c r="E121" s="0" t="inlineStr">
        <is>
          <t xml:space="preserve">PDPJQW8ADE17</t>
        </is>
      </c>
      <c r="F121" s="0" t="inlineStr">
        <is>
          <t xml:space="preserve">YULISTA SERVICES, LLC</t>
        </is>
      </c>
      <c r="G121" s="0" t="inlineStr">
        <is>
          <t xml:space="preserve">PDPJQW8ADE17</t>
        </is>
      </c>
      <c r="H121" s="4">
        <v>0.23315798999999998</v>
      </c>
      <c r="I121" s="0" t="inlineStr">
        <is>
          <t xml:space="preserve">2021-07-28</t>
        </is>
      </c>
      <c r="J121" s="0" t="inlineStr">
        <is>
          <t xml:space="preserve">propulsion_power</t>
        </is>
      </c>
      <c r="K121" s="4">
        <v>0.2</v>
      </c>
      <c r="L121" s="0" t="inlineStr">
        <is>
          <t xml:space="preserve">Engineering services</t>
        </is>
      </c>
    </row>
    <row r="122">
      <c r="B122" s="0" t="inlineStr">
        <is>
          <t xml:space="preserve">N0002419C6402</t>
        </is>
      </c>
      <c r="C122" s="0" t="inlineStr">
        <is>
          <t xml:space="preserve">TELEDYNE BROWN ENGINEERING, INC.</t>
        </is>
      </c>
      <c r="D122" s="0" t="inlineStr">
        <is>
          <t xml:space="preserve">FBRSJB6V4LW8</t>
        </is>
      </c>
      <c r="E122" s="0" t="inlineStr">
        <is>
          <t xml:space="preserve">XNHRXR2HTXA8</t>
        </is>
      </c>
      <c r="F122" s="0" t="inlineStr">
        <is>
          <t xml:space="preserve">BEAUFORT COMPOSITE TECHNOLOGIES, INC.</t>
        </is>
      </c>
      <c r="G122" s="0" t="inlineStr">
        <is>
          <t xml:space="preserve">XNHRXR2HTXA8</t>
        </is>
      </c>
      <c r="H122" s="4">
        <v>0.23173</v>
      </c>
      <c r="I122" s="0" t="inlineStr">
        <is>
          <t xml:space="preserve">2023-11-08</t>
        </is>
      </c>
      <c r="J122" s="0" t="inlineStr">
        <is>
          <t xml:space="preserve">platform_hull</t>
        </is>
      </c>
      <c r="K122" s="4">
        <v>1.7</v>
      </c>
      <c r="L122" s="0" t="inlineStr">
        <is>
          <t xml:space="preserve">Engineering services/materials</t>
        </is>
      </c>
    </row>
    <row r="123">
      <c r="B123" s="0" t="inlineStr">
        <is>
          <t xml:space="preserve">N0002419C6402</t>
        </is>
      </c>
      <c r="C123" s="0" t="inlineStr">
        <is>
          <t xml:space="preserve">TELEDYNE BROWN ENGINEERING, INC.</t>
        </is>
      </c>
      <c r="D123" s="0" t="inlineStr">
        <is>
          <t xml:space="preserve">FBRSJB6V4LW8</t>
        </is>
      </c>
      <c r="E123" s="0" t="inlineStr">
        <is>
          <t xml:space="preserve">RKXHNMJD8639</t>
        </is>
      </c>
      <c r="F123" s="0" t="inlineStr">
        <is>
          <t xml:space="preserve">WHITESBURG ELECTRONICS INC</t>
        </is>
      </c>
      <c r="G123" s="0" t="inlineStr">
        <is>
          <t xml:space="preserve">RKXHNMJD8639</t>
        </is>
      </c>
      <c r="H123" s="4">
        <v>0.22537782999999997</v>
      </c>
      <c r="I123" s="0" t="inlineStr">
        <is>
          <t xml:space="preserve">2024-03-26</t>
        </is>
      </c>
      <c r="J123" s="0" t="inlineStr">
        <is>
          <t xml:space="preserve">propulsion_power</t>
        </is>
      </c>
      <c r="K123" s="4">
        <v>0.7</v>
      </c>
      <c r="L123" s="0" t="inlineStr">
        <is>
          <t xml:space="preserve">Engineering services/materials</t>
        </is>
      </c>
    </row>
    <row r="124">
      <c r="B124" s="0" t="inlineStr">
        <is>
          <t xml:space="preserve">N0002419C6402</t>
        </is>
      </c>
      <c r="C124" s="0" t="inlineStr">
        <is>
          <t xml:space="preserve">TELEDYNE BROWN ENGINEERING, INC.</t>
        </is>
      </c>
      <c r="D124" s="0" t="inlineStr">
        <is>
          <t xml:space="preserve">FBRSJB6V4LW8</t>
        </is>
      </c>
      <c r="E124" s="0" t="inlineStr">
        <is>
          <t xml:space="preserve">SQ2DSCE69F15</t>
        </is>
      </c>
      <c r="F124" s="0" t="inlineStr">
        <is>
          <t xml:space="preserve">TELEDYNE TECHNOLOGIES INCORPORATED</t>
        </is>
      </c>
      <c r="G124" s="0" t="inlineStr">
        <is>
          <t xml:space="preserve">K3MRSBC1CYT4</t>
        </is>
      </c>
      <c r="H124" s="4">
        <v>0.22354076</v>
      </c>
      <c r="I124" s="0" t="inlineStr">
        <is>
          <t xml:space="preserve">2023-04-20</t>
        </is>
      </c>
      <c r="J124" s="0" t="inlineStr">
        <is>
          <t xml:space="preserve">propulsion_power</t>
        </is>
      </c>
      <c r="K124" s="4">
        <v>0.9</v>
      </c>
      <c r="L124" s="0" t="inlineStr">
        <is>
          <t xml:space="preserve">Engineering services/materials</t>
        </is>
      </c>
    </row>
    <row r="125">
      <c r="B125" s="0" t="inlineStr">
        <is>
          <t xml:space="preserve">N0002417C4103</t>
        </is>
      </c>
      <c r="C125" s="0" t="inlineStr">
        <is>
          <t xml:space="preserve">HUNTINGTON INGALLS INC</t>
        </is>
      </c>
      <c r="D125" s="0" t="inlineStr">
        <is>
          <t xml:space="preserve">WMXDDH6HJNA5</t>
        </is>
      </c>
      <c r="E125" s="0" t="inlineStr">
        <is>
          <t xml:space="preserve">MYJHF1S2HGV5</t>
        </is>
      </c>
      <c r="F125" s="0" t="inlineStr">
        <is>
          <t xml:space="preserve">EPSILON SYSTEMS SOLUTIONS, INC.</t>
        </is>
      </c>
      <c r="G125" s="0" t="inlineStr">
        <is>
          <t xml:space="preserve">T1GVZ5Z6K5L4</t>
        </is>
      </c>
      <c r="H125" s="4">
        <v>0.22252604999999998</v>
      </c>
      <c r="I125" s="0" t="inlineStr">
        <is>
          <t xml:space="preserve">2020-06-02</t>
        </is>
      </c>
      <c r="J125" s="0" t="inlineStr">
        <is>
          <t xml:space="preserve">other_unclassified</t>
        </is>
      </c>
      <c r="K125" s="4">
        <v>1.8</v>
      </c>
      <c r="L125" s="0" t="inlineStr">
        <is>
          <t xml:space="preserve">CVN 77 DPIA JP-5 Pumping Services; item #1</t>
        </is>
      </c>
    </row>
    <row r="126">
      <c r="B126" s="0" t="inlineStr">
        <is>
          <t xml:space="preserve">N0002417C4103</t>
        </is>
      </c>
      <c r="C126" s="0" t="inlineStr">
        <is>
          <t xml:space="preserve">HUNTINGTON INGALLS INC</t>
        </is>
      </c>
      <c r="D126" s="0" t="inlineStr">
        <is>
          <t xml:space="preserve">WMXDDH6HJNA5</t>
        </is>
      </c>
      <c r="E126" s="0" t="inlineStr">
        <is>
          <t xml:space="preserve">MYJHF1S2HGV5</t>
        </is>
      </c>
      <c r="F126" s="0" t="inlineStr">
        <is>
          <t xml:space="preserve">EPSILON SYSTEMS SOLUTIONS, INC.</t>
        </is>
      </c>
      <c r="G126" s="0" t="inlineStr">
        <is>
          <t xml:space="preserve">T1GVZ5Z6K5L4</t>
        </is>
      </c>
      <c r="H126" s="4">
        <v>0.22252604999999998</v>
      </c>
      <c r="I126" s="0" t="inlineStr">
        <is>
          <t xml:space="preserve">2020-06-02</t>
        </is>
      </c>
      <c r="J126" s="0" t="inlineStr">
        <is>
          <t xml:space="preserve">other_unclassified</t>
        </is>
      </c>
      <c r="K126" s="4">
        <v>1.8</v>
      </c>
      <c r="L126" s="0" t="inlineStr">
        <is>
          <t xml:space="preserve">CVN 77 DPIA JP-5 Pumping Services; item #1</t>
        </is>
      </c>
    </row>
    <row r="127">
      <c r="B127" s="0" t="inlineStr">
        <is>
          <t xml:space="preserve">N0002419C6402</t>
        </is>
      </c>
      <c r="C127" s="0" t="inlineStr">
        <is>
          <t xml:space="preserve">TELEDYNE BROWN ENGINEERING, INC.</t>
        </is>
      </c>
      <c r="D127" s="0" t="inlineStr">
        <is>
          <t xml:space="preserve">FBRSJB6V4LW8</t>
        </is>
      </c>
      <c r="E127" s="0" t="inlineStr">
        <is>
          <t xml:space="preserve">RKXHNMJD8639</t>
        </is>
      </c>
      <c r="F127" s="0" t="inlineStr">
        <is>
          <t xml:space="preserve">WHITESBURG ELECTRONICS INC</t>
        </is>
      </c>
      <c r="G127" s="0" t="inlineStr">
        <is>
          <t xml:space="preserve">RKXHNMJD8639</t>
        </is>
      </c>
      <c r="H127" s="4">
        <v>0.22053526999999998</v>
      </c>
      <c r="I127" s="0" t="inlineStr">
        <is>
          <t xml:space="preserve">2023-06-02</t>
        </is>
      </c>
      <c r="J127" s="0" t="inlineStr">
        <is>
          <t xml:space="preserve">propulsion_power</t>
        </is>
      </c>
      <c r="K127" s="4">
        <v>2.0</v>
      </c>
      <c r="L127" s="0" t="inlineStr">
        <is>
          <t xml:space="preserve">Engineering services/materials</t>
        </is>
      </c>
    </row>
    <row r="128">
      <c r="B128" s="0" t="inlineStr">
        <is>
          <t xml:space="preserve">N0002419C6402</t>
        </is>
      </c>
      <c r="C128" s="0" t="inlineStr">
        <is>
          <t xml:space="preserve">TELEDYNE BROWN ENGINEERING, INC.</t>
        </is>
      </c>
      <c r="D128" s="0" t="inlineStr">
        <is>
          <t xml:space="preserve">FBRSJB6V4LW8</t>
        </is>
      </c>
      <c r="E128" s="0" t="inlineStr">
        <is>
          <t xml:space="preserve">CJGFRMQ3CDM4</t>
        </is>
      </c>
      <c r="F128" s="0" t="inlineStr">
        <is>
          <t xml:space="preserve">APEX SPECIALTY METALS, INC.</t>
        </is>
      </c>
      <c r="G128" s="0" t="inlineStr">
        <is>
          <t xml:space="preserve">CJGFRMQ3CDM4</t>
        </is>
      </c>
      <c r="H128" s="4">
        <v>0.21493885</v>
      </c>
      <c r="I128" s="0" t="inlineStr">
        <is>
          <t xml:space="preserve">2021-04-13</t>
        </is>
      </c>
      <c r="J128" s="0" t="inlineStr">
        <is>
          <t xml:space="preserve">propulsion_power</t>
        </is>
      </c>
      <c r="K128" s="4">
        <v>0.7</v>
      </c>
      <c r="L128" s="0" t="inlineStr">
        <is>
          <t xml:space="preserve">Engineering services/materials</t>
        </is>
      </c>
    </row>
    <row r="129">
      <c r="B129" s="0" t="inlineStr">
        <is>
          <t xml:space="preserve">N0002419C6402</t>
        </is>
      </c>
      <c r="C129" s="0" t="inlineStr">
        <is>
          <t xml:space="preserve">TELEDYNE BROWN ENGINEERING, INC.</t>
        </is>
      </c>
      <c r="D129" s="0" t="inlineStr">
        <is>
          <t xml:space="preserve">FBRSJB6V4LW8</t>
        </is>
      </c>
      <c r="E129" s="0" t="inlineStr">
        <is>
          <t xml:space="preserve">XNHRXR2HTXA8</t>
        </is>
      </c>
      <c r="F129" s="0" t="inlineStr">
        <is>
          <t xml:space="preserve">BEAUFORT COMPOSITE TECHNOLOGIES, INC.</t>
        </is>
      </c>
      <c r="G129" s="0" t="inlineStr">
        <is>
          <t xml:space="preserve">XNHRXR2HTXA8</t>
        </is>
      </c>
      <c r="H129" s="4">
        <v>0.21273</v>
      </c>
      <c r="I129" s="0" t="inlineStr">
        <is>
          <t xml:space="preserve">2023-11-06</t>
        </is>
      </c>
      <c r="J129" s="0" t="inlineStr">
        <is>
          <t xml:space="preserve">platform_hull</t>
        </is>
      </c>
      <c r="K129" s="4">
        <v>1.7</v>
      </c>
      <c r="L129" s="0" t="inlineStr">
        <is>
          <t xml:space="preserve">Engineering services/materials</t>
        </is>
      </c>
    </row>
    <row r="130">
      <c r="B130" s="0" t="inlineStr">
        <is>
          <t xml:space="preserve">N0002423C6308</t>
        </is>
      </c>
      <c r="C130" s="0" t="inlineStr">
        <is>
          <t xml:space="preserve">HII UNMANNED SYSTEMS, INC</t>
        </is>
      </c>
      <c r="D130" s="0" t="inlineStr">
        <is>
          <t xml:space="preserve">WN18KN7KQLG9</t>
        </is>
      </c>
      <c r="E130" s="0" t="inlineStr">
        <is>
          <t xml:space="preserve">Q1B3NG6LP9B5</t>
        </is>
      </c>
      <c r="F130" s="0" t="inlineStr">
        <is>
          <t xml:space="preserve">Exail Defense Systems, Inc.</t>
        </is>
      </c>
      <c r="G130" s="0" t="inlineStr">
        <is>
          <t xml:space="preserve">Q1B3NG6LP9B5</t>
        </is>
      </c>
      <c r="H130" s="4">
        <v>0.20779999999999998</v>
      </c>
      <c r="I130" s="0" t="inlineStr">
        <is>
          <t xml:space="preserve">2025-09-16</t>
        </is>
      </c>
      <c r="J130" s="0" t="inlineStr">
        <is>
          <t xml:space="preserve">autonomy_software</t>
        </is>
      </c>
      <c r="K130" s="4">
        <v>1.4</v>
      </c>
      <c r="L130" s="0" t="inlineStr">
        <is>
          <t xml:space="preserve">Search, Detection, Navigation, Guidance, Aeronautical, and Nautical System and Instrument Manufacturing</t>
        </is>
      </c>
    </row>
    <row r="131">
      <c r="B131" s="0" t="inlineStr">
        <is>
          <t xml:space="preserve">N0002419C6402</t>
        </is>
      </c>
      <c r="C131" s="0" t="inlineStr">
        <is>
          <t xml:space="preserve">TELEDYNE BROWN ENGINEERING, INC.</t>
        </is>
      </c>
      <c r="D131" s="0" t="inlineStr">
        <is>
          <t xml:space="preserve">FBRSJB6V4LW8</t>
        </is>
      </c>
      <c r="E131" s="0" t="inlineStr">
        <is>
          <t xml:space="preserve">XNHRXR2HTXA8</t>
        </is>
      </c>
      <c r="F131" s="0" t="inlineStr">
        <is>
          <t xml:space="preserve">BEAUFORT COMPOSITE TECHNOLOGIES, INC</t>
        </is>
      </c>
      <c r="G131" s="0" t="inlineStr">
        <is>
          <t xml:space="preserve">XNHRXR2HTXA8</t>
        </is>
      </c>
      <c r="H131" s="4">
        <v>0.20708</v>
      </c>
      <c r="I131" s="0" t="inlineStr">
        <is>
          <t xml:space="preserve">2021-08-04</t>
        </is>
      </c>
      <c r="J131" s="0" t="inlineStr">
        <is>
          <t xml:space="preserve">platform_hull</t>
        </is>
      </c>
      <c r="K131" s="4">
        <v>1.0</v>
      </c>
      <c r="L131" s="0" t="inlineStr">
        <is>
          <t xml:space="preserve">Engineering materials</t>
        </is>
      </c>
    </row>
    <row r="132">
      <c r="B132" s="0" t="inlineStr">
        <is>
          <t xml:space="preserve">N0002419C6402</t>
        </is>
      </c>
      <c r="C132" s="0" t="inlineStr">
        <is>
          <t xml:space="preserve">TELEDYNE BROWN ENGINEERING, INC.</t>
        </is>
      </c>
      <c r="D132" s="0" t="inlineStr">
        <is>
          <t xml:space="preserve">FBRSJB6V4LW8</t>
        </is>
      </c>
      <c r="E132" s="0" t="inlineStr">
        <is>
          <t xml:space="preserve">U8LNE16562Z5</t>
        </is>
      </c>
      <c r="F132" s="0" t="inlineStr">
        <is>
          <t xml:space="preserve">COMTECH TELECOMMUNICATIONS CORP.</t>
        </is>
      </c>
      <c r="G132" s="0" t="inlineStr">
        <is>
          <t xml:space="preserve">HKASYSKZWLQ5</t>
        </is>
      </c>
      <c r="H132" s="4">
        <v>0.205642</v>
      </c>
      <c r="I132" s="0" t="inlineStr">
        <is>
          <t xml:space="preserve">2022-06-23</t>
        </is>
      </c>
      <c r="J132" s="0" t="inlineStr">
        <is>
          <t xml:space="preserve">propulsion_power</t>
        </is>
      </c>
      <c r="K132" s="4">
        <v>0.4</v>
      </c>
      <c r="L132" s="0" t="inlineStr">
        <is>
          <t xml:space="preserve">Engineering services/materials</t>
        </is>
      </c>
    </row>
    <row r="133">
      <c r="B133" s="0" t="inlineStr">
        <is>
          <t xml:space="preserve">N0002419C6402</t>
        </is>
      </c>
      <c r="C133" s="0" t="inlineStr">
        <is>
          <t xml:space="preserve">TELEDYNE BROWN ENGINEERING, INC.</t>
        </is>
      </c>
      <c r="D133" s="0" t="inlineStr">
        <is>
          <t xml:space="preserve">FBRSJB6V4LW8</t>
        </is>
      </c>
      <c r="E133" s="0" t="inlineStr">
        <is>
          <t xml:space="preserve">PX7XVJDX7TZ7</t>
        </is>
      </c>
      <c r="F133" s="0" t="inlineStr">
        <is>
          <t xml:space="preserve">VICOR CORPORATION</t>
        </is>
      </c>
      <c r="G133" s="0" t="inlineStr">
        <is>
          <t xml:space="preserve">PZK1KSXFFNX9</t>
        </is>
      </c>
      <c r="H133" s="4">
        <v>0.204336</v>
      </c>
      <c r="I133" s="0" t="inlineStr">
        <is>
          <t xml:space="preserve">2021-03-10</t>
        </is>
      </c>
      <c r="J133" s="0" t="inlineStr">
        <is>
          <t xml:space="preserve">propulsion_power</t>
        </is>
      </c>
      <c r="K133" s="4">
        <v>0.9</v>
      </c>
      <c r="L133" s="0" t="inlineStr">
        <is>
          <t xml:space="preserve">Engineering services/materials</t>
        </is>
      </c>
    </row>
    <row r="134">
      <c r="B134" s="0" t="inlineStr">
        <is>
          <t xml:space="preserve">N0002419C6402</t>
        </is>
      </c>
      <c r="C134" s="0" t="inlineStr">
        <is>
          <t xml:space="preserve">TELEDYNE BROWN ENGINEERING, INC.</t>
        </is>
      </c>
      <c r="D134" s="0" t="inlineStr">
        <is>
          <t xml:space="preserve">FBRSJB6V4LW8</t>
        </is>
      </c>
      <c r="E134" s="0" t="inlineStr">
        <is>
          <t xml:space="preserve">MHZPPJVGRNN6</t>
        </is>
      </c>
      <c r="F134" s="0" t="inlineStr">
        <is>
          <t xml:space="preserve">IXCORE</t>
        </is>
      </c>
      <c r="G134" s="0" t="inlineStr">
        <is>
          <t xml:space="preserve">Q1B3NG6LP9B5</t>
        </is>
      </c>
      <c r="H134" s="4">
        <v>0.201562</v>
      </c>
      <c r="I134" s="0" t="inlineStr">
        <is>
          <t xml:space="preserve">2020-10-27</t>
        </is>
      </c>
      <c r="J134" s="0" t="inlineStr">
        <is>
          <t xml:space="preserve">propulsion_power</t>
        </is>
      </c>
      <c r="K134" s="4">
        <v>0.3</v>
      </c>
      <c r="L134" s="0" t="inlineStr">
        <is>
          <t xml:space="preserve">Engineering materials</t>
        </is>
      </c>
    </row>
    <row r="135">
      <c r="B135" s="0" t="inlineStr">
        <is>
          <t xml:space="preserve">N0002419C6402</t>
        </is>
      </c>
      <c r="C135" s="0" t="inlineStr">
        <is>
          <t xml:space="preserve">TELEDYNE BROWN ENGINEERING, INC.</t>
        </is>
      </c>
      <c r="D135" s="0" t="inlineStr">
        <is>
          <t xml:space="preserve">FBRSJB6V4LW8</t>
        </is>
      </c>
      <c r="E135" s="0" t="inlineStr">
        <is>
          <t xml:space="preserve">G68SW8U2WVM4</t>
        </is>
      </c>
      <c r="F135" s="0" t="inlineStr">
        <is>
          <t xml:space="preserve">MOTION CONTROL SYSTEMS INC</t>
        </is>
      </c>
      <c r="G135" s="0" t="inlineStr">
        <is>
          <t xml:space="preserve">G68SW8U2WVM4</t>
        </is>
      </c>
      <c r="H135" s="4">
        <v>0.195956</v>
      </c>
      <c r="I135" s="0" t="inlineStr">
        <is>
          <t xml:space="preserve">2024-03-27</t>
        </is>
      </c>
      <c r="J135" s="0" t="inlineStr">
        <is>
          <t xml:space="preserve">propulsion_power</t>
        </is>
      </c>
      <c r="K135" s="4">
        <v>0.7</v>
      </c>
      <c r="L135" s="0" t="inlineStr">
        <is>
          <t xml:space="preserve">Engineering services/materials</t>
        </is>
      </c>
    </row>
    <row r="136">
      <c r="B136" s="0" t="inlineStr">
        <is>
          <t xml:space="preserve">N0002419C6402</t>
        </is>
      </c>
      <c r="C136" s="0" t="inlineStr">
        <is>
          <t xml:space="preserve">TELEDYNE BROWN ENGINEERING, INC.</t>
        </is>
      </c>
      <c r="D136" s="0" t="inlineStr">
        <is>
          <t xml:space="preserve">FBRSJB6V4LW8</t>
        </is>
      </c>
      <c r="E136" s="0" t="inlineStr">
        <is>
          <t xml:space="preserve">G68SW8U2WVM4</t>
        </is>
      </c>
      <c r="F136" s="0" t="inlineStr">
        <is>
          <t xml:space="preserve">MOTION CONTROL SYSTEMS INC</t>
        </is>
      </c>
      <c r="G136" s="0" t="inlineStr">
        <is>
          <t xml:space="preserve">G68SW8U2WVM4</t>
        </is>
      </c>
      <c r="H136" s="4">
        <v>0.195956</v>
      </c>
      <c r="I136" s="0" t="inlineStr">
        <is>
          <t xml:space="preserve">2023-05-09</t>
        </is>
      </c>
      <c r="J136" s="0" t="inlineStr">
        <is>
          <t xml:space="preserve">propulsion_power</t>
        </is>
      </c>
      <c r="K136" s="4">
        <v>0.9</v>
      </c>
      <c r="L136" s="0" t="inlineStr">
        <is>
          <t xml:space="preserve">Engineering services/materials</t>
        </is>
      </c>
    </row>
    <row r="137">
      <c r="B137" s="0" t="inlineStr">
        <is>
          <t xml:space="preserve">N0002419C6402</t>
        </is>
      </c>
      <c r="C137" s="0" t="inlineStr">
        <is>
          <t xml:space="preserve">TELEDYNE BROWN ENGINEERING, INC.</t>
        </is>
      </c>
      <c r="D137" s="0" t="inlineStr">
        <is>
          <t xml:space="preserve">FBRSJB6V4LW8</t>
        </is>
      </c>
      <c r="E137" s="0" t="inlineStr">
        <is>
          <t xml:space="preserve">XNHRXR2HTXA8</t>
        </is>
      </c>
      <c r="F137" s="0" t="inlineStr">
        <is>
          <t xml:space="preserve">BEAUFORT COMPOSITE TECHNOLOGIES, INC.</t>
        </is>
      </c>
      <c r="G137" s="0" t="inlineStr">
        <is>
          <t xml:space="preserve">XNHRXR2HTXA8</t>
        </is>
      </c>
      <c r="H137" s="4">
        <v>0.19466999999999998</v>
      </c>
      <c r="I137" s="0" t="inlineStr">
        <is>
          <t xml:space="preserve">2025-02-24</t>
        </is>
      </c>
      <c r="J137" s="0" t="inlineStr">
        <is>
          <t xml:space="preserve">platform_hull</t>
        </is>
      </c>
      <c r="K137" s="4">
        <v>1.2</v>
      </c>
      <c r="L137" s="0" t="inlineStr">
        <is>
          <t xml:space="preserve">Engineering Services/Materials</t>
        </is>
      </c>
    </row>
    <row r="138">
      <c r="B138" s="0" t="inlineStr">
        <is>
          <t xml:space="preserve">N0002424C2204</t>
        </is>
      </c>
      <c r="C138" s="0" t="inlineStr">
        <is>
          <t xml:space="preserve">SAAB, INC</t>
        </is>
      </c>
      <c r="D138" s="0" t="inlineStr">
        <is>
          <t xml:space="preserve">H5FMLSGM29L1</t>
        </is>
      </c>
      <c r="E138" s="0" t="inlineStr">
        <is>
          <t xml:space="preserve">DC5VNMMT1FW6</t>
        </is>
      </c>
      <c r="F138" s="0" t="inlineStr">
        <is>
          <t xml:space="preserve">FORCYS INC.</t>
        </is>
      </c>
      <c r="G138" s="0" t="inlineStr">
        <is>
          <t xml:space="preserve">DC5VNMMT1FW6</t>
        </is>
      </c>
      <c r="H138" s="4">
        <v>0.18749543999999999</v>
      </c>
      <c r="I138" s="0" t="inlineStr">
        <is>
          <t xml:space="preserve">2024-08-07</t>
        </is>
      </c>
      <c r="J138" s="0" t="inlineStr">
        <is>
          <t xml:space="preserve">other_unclassified</t>
        </is>
      </c>
      <c r="K138" s="4">
        <v>0.4</v>
      </c>
      <c r="L138" s="0" t="inlineStr">
        <is>
          <t xml:space="preserve">Sprint-Nav Mini Navigator 300m P/N 8334-0715-002</t>
        </is>
      </c>
    </row>
    <row r="139">
      <c r="B139" s="0" t="inlineStr">
        <is>
          <t xml:space="preserve">N0003923F2056</t>
        </is>
      </c>
      <c r="C139" s="0" t="inlineStr">
        <is>
          <t xml:space="preserve">TELEDYNE BROWN ENGINEERING, INC.</t>
        </is>
      </c>
      <c r="D139" s="0" t="inlineStr">
        <is>
          <t xml:space="preserve">FBRSJB6V4LW8</t>
        </is>
      </c>
      <c r="E139" s="0" t="inlineStr">
        <is>
          <t xml:space="preserve">SQ2DSCE69F15</t>
        </is>
      </c>
      <c r="F139" s="0" t="inlineStr">
        <is>
          <t xml:space="preserve">TELEDYNE TECHNOLOGIES INCORPORATED</t>
        </is>
      </c>
      <c r="G139" s="0" t="inlineStr">
        <is>
          <t xml:space="preserve">FNA3YNLZNM43</t>
        </is>
      </c>
      <c r="H139" s="4">
        <v>0.18602667999999997</v>
      </c>
      <c r="I139" s="0" t="inlineStr">
        <is>
          <t xml:space="preserve">2023-03-01</t>
        </is>
      </c>
      <c r="J139" s="0" t="inlineStr">
        <is>
          <t xml:space="preserve">propulsion_power</t>
        </is>
      </c>
      <c r="K139" s="4">
        <v>1.2</v>
      </c>
      <c r="L139" s="0" t="inlineStr">
        <is>
          <t xml:space="preserve">Engineering services/materials</t>
        </is>
      </c>
    </row>
    <row r="140">
      <c r="B140" s="0" t="inlineStr">
        <is>
          <t xml:space="preserve">N6133120F3009</t>
        </is>
      </c>
      <c r="C140" s="0" t="inlineStr">
        <is>
          <t xml:space="preserve">AVIAN, LLC</t>
        </is>
      </c>
      <c r="D140" s="0" t="inlineStr">
        <is>
          <t xml:space="preserve">D82NUFL39FE3</t>
        </is>
      </c>
      <c r="E140" s="0" t="inlineStr">
        <is>
          <t xml:space="preserve">MBPHTU7Y9S65</t>
        </is>
      </c>
      <c r="F140" s="0" t="inlineStr">
        <is>
          <t xml:space="preserve">BOOZ ALLEN HAMILTON HOLDING CORPORATION</t>
        </is>
      </c>
      <c r="G140" s="0" t="inlineStr">
        <is>
          <t xml:space="preserve">JCBMLGPE6Z71</t>
        </is>
      </c>
      <c r="H140" s="4">
        <v>0.18551232999999998</v>
      </c>
      <c r="I140" s="0" t="inlineStr">
        <is>
          <t xml:space="preserve">2021-08-20</t>
        </is>
      </c>
      <c r="J140" s="0" t="inlineStr">
        <is>
          <t xml:space="preserve">autonomy_software</t>
        </is>
      </c>
      <c r="K140" s="4">
        <v>13.7</v>
      </c>
      <c r="L140" s="0" t="inlineStr">
        <is>
          <t xml:space="preserve">Support of Unmanned Maritime Systems Program.</t>
        </is>
      </c>
    </row>
    <row r="141">
      <c r="B141" s="0" t="inlineStr">
        <is>
          <t xml:space="preserve">N6660418F3022</t>
        </is>
      </c>
      <c r="C141" s="0" t="inlineStr">
        <is>
          <t xml:space="preserve">SERCO-IPS CORPORATION</t>
        </is>
      </c>
      <c r="D141" s="0" t="inlineStr">
        <is>
          <t xml:space="preserve">RGEBPDP8RV96</t>
        </is>
      </c>
      <c r="E141" s="0" t="inlineStr">
        <is>
          <t xml:space="preserve">M3WTFLL92KZ3</t>
        </is>
      </c>
      <c r="F141" s="0" t="inlineStr">
        <is>
          <t xml:space="preserve">DBV TECHNOLOGY, LLC</t>
        </is>
      </c>
      <c r="G141" s="0" t="inlineStr">
        <is>
          <t xml:space="preserve">M3WTFLL92KZ3</t>
        </is>
      </c>
      <c r="H141" s="4">
        <v>0.18544047</v>
      </c>
      <c r="I141" s="0" t="inlineStr">
        <is>
          <t xml:space="preserve">2021-03-18</t>
        </is>
      </c>
      <c r="J141" s="0" t="inlineStr">
        <is>
          <t xml:space="preserve">other_unclassified</t>
        </is>
      </c>
      <c r="K141" s="4">
        <v>37.5</v>
      </c>
      <c r="L141" s="0" t="inlineStr">
        <is>
          <t xml:space="preserve">Services</t>
        </is>
      </c>
    </row>
    <row r="142">
      <c r="B142" s="0" t="inlineStr">
        <is>
          <t xml:space="preserve">N0002419C6402</t>
        </is>
      </c>
      <c r="C142" s="0" t="inlineStr">
        <is>
          <t xml:space="preserve">TELEDYNE BROWN ENGINEERING, INC.</t>
        </is>
      </c>
      <c r="D142" s="0" t="inlineStr">
        <is>
          <t xml:space="preserve">FBRSJB6V4LW8</t>
        </is>
      </c>
      <c r="E142" s="0" t="inlineStr">
        <is>
          <t xml:space="preserve">SQ2DSCE69F15</t>
        </is>
      </c>
      <c r="F142" s="0" t="inlineStr">
        <is>
          <t xml:space="preserve">TELEDYNE TECHNOLOGIES INCORPORATED</t>
        </is>
      </c>
      <c r="G142" s="0" t="inlineStr">
        <is>
          <t xml:space="preserve">WQKMXY9FRUC5</t>
        </is>
      </c>
      <c r="H142" s="4">
        <v>0.18</v>
      </c>
      <c r="I142" s="0" t="inlineStr">
        <is>
          <t xml:space="preserve">2025-02-26</t>
        </is>
      </c>
      <c r="J142" s="0" t="inlineStr">
        <is>
          <t xml:space="preserve">propulsion_power</t>
        </is>
      </c>
      <c r="K142" s="4">
        <v>1.1</v>
      </c>
      <c r="L142" s="0" t="inlineStr">
        <is>
          <t xml:space="preserve">Engineering Servies and materials</t>
        </is>
      </c>
    </row>
    <row r="143">
      <c r="B143" s="0" t="inlineStr">
        <is>
          <t xml:space="preserve">N0002419C6402</t>
        </is>
      </c>
      <c r="C143" s="0" t="inlineStr">
        <is>
          <t xml:space="preserve">TELEDYNE BROWN ENGINEERING, INC.</t>
        </is>
      </c>
      <c r="D143" s="0" t="inlineStr">
        <is>
          <t xml:space="preserve">FBRSJB6V4LW8</t>
        </is>
      </c>
      <c r="E143" s="0" t="inlineStr">
        <is>
          <t xml:space="preserve">XNHRXR2HTXA8</t>
        </is>
      </c>
      <c r="F143" s="0" t="inlineStr">
        <is>
          <t xml:space="preserve">BEAUFORT COMPOSITE TECHNOLOGIES, INC</t>
        </is>
      </c>
      <c r="G143" s="0" t="inlineStr">
        <is>
          <t xml:space="preserve">XNHRXR2HTXA8</t>
        </is>
      </c>
      <c r="H143" s="4">
        <v>0.17736</v>
      </c>
      <c r="I143" s="0" t="inlineStr">
        <is>
          <t xml:space="preserve">2021-07-12</t>
        </is>
      </c>
      <c r="J143" s="0" t="inlineStr">
        <is>
          <t xml:space="preserve">platform_hull</t>
        </is>
      </c>
      <c r="K143" s="4">
        <v>0.8</v>
      </c>
      <c r="L143" s="0" t="inlineStr">
        <is>
          <t xml:space="preserve">Engineering services/materials</t>
        </is>
      </c>
    </row>
    <row r="144">
      <c r="B144" s="0" t="inlineStr">
        <is>
          <t xml:space="preserve">N0010426CXA01</t>
        </is>
      </c>
      <c r="C144" s="0" t="inlineStr">
        <is>
          <t xml:space="preserve">GENERAL DYNAMICS INFORMATION TECHNOLOGY, INC.</t>
        </is>
      </c>
      <c r="D144" s="0" t="inlineStr">
        <is>
          <t xml:space="preserve">SMNWM6HN79X5</t>
        </is>
      </c>
      <c r="E144" s="0" t="inlineStr">
        <is>
          <t xml:space="preserve">E582KXT4RVH6</t>
        </is>
      </c>
      <c r="F144" s="0" t="inlineStr">
        <is>
          <t xml:space="preserve">SUPERIOR MOTION CONTROLS, INC.</t>
        </is>
      </c>
      <c r="G144" s="0" t="inlineStr">
        <is>
          <t xml:space="preserve">E582KXT4RVH6</t>
        </is>
      </c>
      <c r="H144" s="4">
        <v>0.177024</v>
      </c>
      <c r="I144" s="0" t="inlineStr">
        <is>
          <t xml:space="preserve">2026-03-05</t>
        </is>
      </c>
      <c r="J144" s="0" t="inlineStr">
        <is>
          <t xml:space="preserve">other_unclassified</t>
        </is>
      </c>
      <c r="K144" s="4">
        <v>1.5</v>
      </c>
      <c r="L144" s="0" t="inlineStr">
        <is>
          <t xml:space="preserve">products</t>
        </is>
      </c>
    </row>
    <row r="145">
      <c r="B145" s="0" t="inlineStr">
        <is>
          <t xml:space="preserve">N0002419C6402</t>
        </is>
      </c>
      <c r="C145" s="0" t="inlineStr">
        <is>
          <t xml:space="preserve">TELEDYNE BROWN ENGINEERING, INC.</t>
        </is>
      </c>
      <c r="D145" s="0" t="inlineStr">
        <is>
          <t xml:space="preserve">FBRSJB6V4LW8</t>
        </is>
      </c>
      <c r="E145" s="0" t="inlineStr">
        <is>
          <t xml:space="preserve">SQ2DSCE69F15</t>
        </is>
      </c>
      <c r="F145" s="0" t="inlineStr">
        <is>
          <t xml:space="preserve">TELEDYNE TECHNOLOGIES INCORPORATED</t>
        </is>
      </c>
      <c r="G145" s="0" t="inlineStr">
        <is>
          <t xml:space="preserve">DJ72XMAJLNL4</t>
        </is>
      </c>
      <c r="H145" s="4">
        <v>0.17661</v>
      </c>
      <c r="I145" s="0" t="inlineStr">
        <is>
          <t xml:space="preserve">2021-07-30</t>
        </is>
      </c>
      <c r="J145" s="0" t="inlineStr">
        <is>
          <t xml:space="preserve">propulsion_power</t>
        </is>
      </c>
      <c r="K145" s="4">
        <v>0.2</v>
      </c>
      <c r="L145" s="0" t="inlineStr">
        <is>
          <t xml:space="preserve">Engineering services/materials</t>
        </is>
      </c>
    </row>
    <row r="146">
      <c r="B146" s="0" t="inlineStr">
        <is>
          <t xml:space="preserve">N6660418F3022</t>
        </is>
      </c>
      <c r="C146" s="0" t="inlineStr">
        <is>
          <t xml:space="preserve">SERCO-IPS CORPORATION</t>
        </is>
      </c>
      <c r="D146" s="0" t="inlineStr">
        <is>
          <t xml:space="preserve">RGEBPDP8RV96</t>
        </is>
      </c>
      <c r="E146" s="0" t="inlineStr">
        <is>
          <t xml:space="preserve">M3WTFLL92KZ3</t>
        </is>
      </c>
      <c r="F146" s="0" t="inlineStr">
        <is>
          <t xml:space="preserve">DBV TECHNOLOGY, LLC</t>
        </is>
      </c>
      <c r="G146" s="0" t="inlineStr">
        <is>
          <t xml:space="preserve">M3WTFLL92KZ3</t>
        </is>
      </c>
      <c r="H146" s="4">
        <v>0.17631507999999999</v>
      </c>
      <c r="I146" s="0" t="inlineStr">
        <is>
          <t xml:space="preserve">2023-04-14</t>
        </is>
      </c>
      <c r="J146" s="0" t="inlineStr">
        <is>
          <t xml:space="preserve">other_unclassified</t>
        </is>
      </c>
      <c r="K146" s="4">
        <v>25.5</v>
      </c>
      <c r="L146" s="0" t="inlineStr">
        <is>
          <t xml:space="preserve">Services</t>
        </is>
      </c>
    </row>
    <row r="147">
      <c r="B147" s="0" t="inlineStr">
        <is>
          <t xml:space="preserve">N0002419C6402</t>
        </is>
      </c>
      <c r="C147" s="0" t="inlineStr">
        <is>
          <t xml:space="preserve">TELEDYNE BROWN ENGINEERING, INC.</t>
        </is>
      </c>
      <c r="D147" s="0" t="inlineStr">
        <is>
          <t xml:space="preserve">FBRSJB6V4LW8</t>
        </is>
      </c>
      <c r="E147" s="0" t="inlineStr">
        <is>
          <t xml:space="preserve">K3MRSBC1CYT4</t>
        </is>
      </c>
      <c r="F147" s="0" t="inlineStr">
        <is>
          <t xml:space="preserve">TELEDYNE INSTRUMENTS, INC.</t>
        </is>
      </c>
      <c r="G147" s="0" t="inlineStr">
        <is>
          <t xml:space="preserve">K3MRSBC1CYT4</t>
        </is>
      </c>
      <c r="H147" s="4">
        <v>0.17455278</v>
      </c>
      <c r="I147" s="0" t="inlineStr">
        <is>
          <t xml:space="preserve">2024-05-17</t>
        </is>
      </c>
      <c r="J147" s="0" t="inlineStr">
        <is>
          <t xml:space="preserve">propulsion_power</t>
        </is>
      </c>
      <c r="K147" s="4">
        <v>5.7</v>
      </c>
      <c r="L147" s="0" t="inlineStr">
        <is>
          <t xml:space="preserve">Engineering services/materials</t>
        </is>
      </c>
    </row>
    <row r="148">
      <c r="B148" s="0" t="inlineStr">
        <is>
          <t xml:space="preserve">N0002419C6402</t>
        </is>
      </c>
      <c r="C148" s="0" t="inlineStr">
        <is>
          <t xml:space="preserve">TELEDYNE BROWN ENGINEERING, INC.</t>
        </is>
      </c>
      <c r="D148" s="0" t="inlineStr">
        <is>
          <t xml:space="preserve">FBRSJB6V4LW8</t>
        </is>
      </c>
      <c r="E148" s="0" t="inlineStr">
        <is>
          <t xml:space="preserve">U8LNE16562Z5</t>
        </is>
      </c>
      <c r="F148" s="0" t="inlineStr">
        <is>
          <t xml:space="preserve">COMTECH TELECOMMUNICATIONS CORP.</t>
        </is>
      </c>
      <c r="G148" s="0" t="inlineStr">
        <is>
          <t xml:space="preserve">HKASYSKZWLQ5</t>
        </is>
      </c>
      <c r="H148" s="4">
        <v>0.174195</v>
      </c>
      <c r="I148" s="0" t="inlineStr">
        <is>
          <t xml:space="preserve">2021-06-04</t>
        </is>
      </c>
      <c r="J148" s="0" t="inlineStr">
        <is>
          <t xml:space="preserve">propulsion_power</t>
        </is>
      </c>
      <c r="K148" s="4">
        <v>1.1</v>
      </c>
      <c r="L148" s="0" t="inlineStr">
        <is>
          <t xml:space="preserve">Engineering services/materials</t>
        </is>
      </c>
    </row>
    <row r="149">
      <c r="B149" s="0" t="inlineStr">
        <is>
          <t xml:space="preserve">N0002419C6402</t>
        </is>
      </c>
      <c r="C149" s="0" t="inlineStr">
        <is>
          <t xml:space="preserve">TELEDYNE BROWN ENGINEERING, INC.</t>
        </is>
      </c>
      <c r="D149" s="0" t="inlineStr">
        <is>
          <t xml:space="preserve">FBRSJB6V4LW8</t>
        </is>
      </c>
      <c r="E149" s="0" t="inlineStr">
        <is>
          <t xml:space="preserve">RKXHNMJD8639</t>
        </is>
      </c>
      <c r="F149" s="0" t="inlineStr">
        <is>
          <t xml:space="preserve">WHITESBURG ELECTRONICS, INC.</t>
        </is>
      </c>
      <c r="G149" s="0" t="inlineStr">
        <is>
          <t xml:space="preserve">RKXHNMJD8639</t>
        </is>
      </c>
      <c r="H149" s="4">
        <v>0.17414769</v>
      </c>
      <c r="I149" s="0" t="inlineStr">
        <is>
          <t xml:space="preserve">2021-09-09</t>
        </is>
      </c>
      <c r="J149" s="0" t="inlineStr">
        <is>
          <t xml:space="preserve">propulsion_power</t>
        </is>
      </c>
      <c r="K149" s="4">
        <v>0.7</v>
      </c>
      <c r="L149" s="0" t="inlineStr">
        <is>
          <t xml:space="preserve">Engineering materials</t>
        </is>
      </c>
    </row>
    <row r="150">
      <c r="B150" s="0" t="inlineStr">
        <is>
          <t xml:space="preserve">N0002417C4103</t>
        </is>
      </c>
      <c r="C150" s="0" t="inlineStr">
        <is>
          <t xml:space="preserve">HUNTINGTON INGALLS INC</t>
        </is>
      </c>
      <c r="D150" s="0" t="inlineStr">
        <is>
          <t xml:space="preserve">WMXDDH6HJNA5</t>
        </is>
      </c>
      <c r="E150" s="0" t="inlineStr">
        <is>
          <t xml:space="preserve">KAYUMJMKWDF9</t>
        </is>
      </c>
      <c r="F150" s="0" t="inlineStr">
        <is>
          <t xml:space="preserve">J. H. NORTON COMPANY, INC.</t>
        </is>
      </c>
      <c r="G150" s="0" t="inlineStr">
        <is>
          <t xml:space="preserve">KAYUMJMKWDF9</t>
        </is>
      </c>
      <c r="H150" s="4">
        <v>0.17385</v>
      </c>
      <c r="I150" s="0" t="inlineStr">
        <is>
          <t xml:space="preserve">2022-07-12</t>
        </is>
      </c>
      <c r="J150" s="0" t="inlineStr">
        <is>
          <t xml:space="preserve">other_unclassified</t>
        </is>
      </c>
      <c r="K150" s="4">
        <v>1.6</v>
      </c>
      <c r="L150" s="0" t="inlineStr">
        <is>
          <t xml:space="preserve">PO 4500596793 PO Item No. 3 - Blast Equipment 12/31/19-5/18/20</t>
        </is>
      </c>
    </row>
    <row r="151">
      <c r="B151" s="0" t="inlineStr">
        <is>
          <t xml:space="preserve">N0002419C6402</t>
        </is>
      </c>
      <c r="C151" s="0" t="inlineStr">
        <is>
          <t xml:space="preserve">TELEDYNE BROWN ENGINEERING, INC.</t>
        </is>
      </c>
      <c r="D151" s="0" t="inlineStr">
        <is>
          <t xml:space="preserve">FBRSJB6V4LW8</t>
        </is>
      </c>
      <c r="E151" s="0" t="inlineStr">
        <is>
          <t xml:space="preserve">G68SW8U2WVM4</t>
        </is>
      </c>
      <c r="F151" s="0" t="inlineStr">
        <is>
          <t xml:space="preserve">MOTION CONTROL SYSTEMS INC</t>
        </is>
      </c>
      <c r="G151" s="0" t="inlineStr">
        <is>
          <t xml:space="preserve">G68SW8U2WVM4</t>
        </is>
      </c>
      <c r="H151" s="4">
        <v>0.173268</v>
      </c>
      <c r="I151" s="0" t="inlineStr">
        <is>
          <t xml:space="preserve">2024-12-10</t>
        </is>
      </c>
      <c r="J151" s="0" t="inlineStr">
        <is>
          <t xml:space="preserve">propulsion_power</t>
        </is>
      </c>
      <c r="K151" s="4">
        <v>1.7</v>
      </c>
      <c r="L151" s="0" t="inlineStr">
        <is>
          <t xml:space="preserve">Engineering Services/Materials</t>
        </is>
      </c>
    </row>
    <row r="152">
      <c r="B152" s="0" t="inlineStr">
        <is>
          <t xml:space="preserve">N0002419C6402</t>
        </is>
      </c>
      <c r="C152" s="0" t="inlineStr">
        <is>
          <t xml:space="preserve">TELEDYNE BROWN ENGINEERING, INC.</t>
        </is>
      </c>
      <c r="D152" s="0" t="inlineStr">
        <is>
          <t xml:space="preserve">FBRSJB6V4LW8</t>
        </is>
      </c>
      <c r="E152" s="0" t="inlineStr">
        <is>
          <t xml:space="preserve">SQ2DSCE69F15</t>
        </is>
      </c>
      <c r="F152" s="0" t="inlineStr">
        <is>
          <t xml:space="preserve">TELEDYNE TECHNOLOGIES INCORPORATED</t>
        </is>
      </c>
      <c r="G152" s="0" t="inlineStr">
        <is>
          <t xml:space="preserve">PAH8M4BJACA5</t>
        </is>
      </c>
      <c r="H152" s="4">
        <v>0.17324984</v>
      </c>
      <c r="I152" s="0" t="inlineStr">
        <is>
          <t xml:space="preserve">2020-11-16</t>
        </is>
      </c>
      <c r="J152" s="0" t="inlineStr">
        <is>
          <t xml:space="preserve">propulsion_power</t>
        </is>
      </c>
      <c r="K152" s="4">
        <v>0.7</v>
      </c>
      <c r="L152" s="0" t="inlineStr">
        <is>
          <t xml:space="preserve">Engineering services/materials</t>
        </is>
      </c>
    </row>
    <row r="153">
      <c r="B153" s="0" t="inlineStr">
        <is>
          <t xml:space="preserve">N0002419C6402</t>
        </is>
      </c>
      <c r="C153" s="0" t="inlineStr">
        <is>
          <t xml:space="preserve">TELEDYNE BROWN ENGINEERING, INC.</t>
        </is>
      </c>
      <c r="D153" s="0" t="inlineStr">
        <is>
          <t xml:space="preserve">FBRSJB6V4LW8</t>
        </is>
      </c>
      <c r="E153" s="0" t="inlineStr">
        <is>
          <t xml:space="preserve">RKXHNMJD8639</t>
        </is>
      </c>
      <c r="F153" s="0" t="inlineStr">
        <is>
          <t xml:space="preserve">WHITESBURG ELECTRONICS, INC.</t>
        </is>
      </c>
      <c r="G153" s="0" t="inlineStr">
        <is>
          <t xml:space="preserve">RKXHNMJD8639</t>
        </is>
      </c>
      <c r="H153" s="4">
        <v>0.16755909</v>
      </c>
      <c r="I153" s="0" t="inlineStr">
        <is>
          <t xml:space="preserve">2021-04-15</t>
        </is>
      </c>
      <c r="J153" s="0" t="inlineStr">
        <is>
          <t xml:space="preserve">propulsion_power</t>
        </is>
      </c>
      <c r="K153" s="4">
        <v>0.6</v>
      </c>
      <c r="L153" s="0" t="inlineStr">
        <is>
          <t xml:space="preserve">Engineering services/materials</t>
        </is>
      </c>
    </row>
    <row r="154">
      <c r="B154" s="0" t="inlineStr">
        <is>
          <t xml:space="preserve">N0001421C1009</t>
        </is>
      </c>
      <c r="C154" s="0" t="inlineStr">
        <is>
          <t xml:space="preserve">RAYTHEON COMPANY</t>
        </is>
      </c>
      <c r="D154" s="0" t="inlineStr">
        <is>
          <t xml:space="preserve">VTEWM5QSE598</t>
        </is>
      </c>
      <c r="E154" s="0" t="inlineStr">
        <is>
          <t xml:space="preserve">F1BAZ9LWHKW6</t>
        </is>
      </c>
      <c r="F154" s="0" t="inlineStr">
        <is>
          <t xml:space="preserve">DE TECHNOLOGIES INC</t>
        </is>
      </c>
      <c r="G154" s="0" t="inlineStr">
        <is>
          <t xml:space="preserve">F1BAZ9LWHKW6</t>
        </is>
      </c>
      <c r="H154" s="4">
        <v>0.167156</v>
      </c>
      <c r="I154" s="0" t="inlineStr">
        <is>
          <t xml:space="preserve">2020-05-05</t>
        </is>
      </c>
      <c r="J154" s="0" t="inlineStr">
        <is>
          <t xml:space="preserve">other_unclassified</t>
        </is>
      </c>
      <c r="K154" s="4">
        <v>47.6</v>
      </c>
      <c r="L154" s="0" t="inlineStr">
        <is>
          <t xml:space="preserve">Warheads.</t>
        </is>
      </c>
    </row>
    <row r="155">
      <c r="B155" s="0" t="inlineStr">
        <is>
          <t xml:space="preserve">N0001421C1009</t>
        </is>
      </c>
      <c r="C155" s="0" t="inlineStr">
        <is>
          <t xml:space="preserve">RAYTHEON COMPANY</t>
        </is>
      </c>
      <c r="D155" s="0" t="inlineStr">
        <is>
          <t xml:space="preserve">VTEWM5QSE598</t>
        </is>
      </c>
      <c r="E155" s="0" t="inlineStr">
        <is>
          <t xml:space="preserve">F1BAZ9LWHKW6</t>
        </is>
      </c>
      <c r="F155" s="0" t="inlineStr">
        <is>
          <t xml:space="preserve">DE TECHNOLOGIES INC</t>
        </is>
      </c>
      <c r="G155" s="0" t="inlineStr">
        <is>
          <t xml:space="preserve">F1BAZ9LWHKW6</t>
        </is>
      </c>
      <c r="H155" s="4">
        <v>0.167156</v>
      </c>
      <c r="I155" s="0" t="inlineStr">
        <is>
          <t xml:space="preserve">2020-05-05</t>
        </is>
      </c>
      <c r="J155" s="0" t="inlineStr">
        <is>
          <t xml:space="preserve">other_unclassified</t>
        </is>
      </c>
      <c r="K155" s="4">
        <v>35.3</v>
      </c>
      <c r="L155" s="0" t="inlineStr">
        <is>
          <t xml:space="preserve">Warheads.</t>
        </is>
      </c>
    </row>
    <row r="156">
      <c r="B156" s="0" t="inlineStr">
        <is>
          <t xml:space="preserve">N0002419C6402</t>
        </is>
      </c>
      <c r="C156" s="0" t="inlineStr">
        <is>
          <t xml:space="preserve">TELEDYNE BROWN ENGINEERING, INC.</t>
        </is>
      </c>
      <c r="D156" s="0" t="inlineStr">
        <is>
          <t xml:space="preserve">FBRSJB6V4LW8</t>
        </is>
      </c>
      <c r="E156" s="0" t="inlineStr">
        <is>
          <t xml:space="preserve">EFP1A999JVS6</t>
        </is>
      </c>
      <c r="F156" s="0" t="inlineStr">
        <is>
          <t xml:space="preserve">Alabama Seal and Packing Co Inc</t>
        </is>
      </c>
      <c r="G156" s="0" t="inlineStr">
        <is>
          <t xml:space="preserve">EFP1A999JVS6</t>
        </is>
      </c>
      <c r="H156" s="4">
        <v>0.16281973</v>
      </c>
      <c r="I156" s="0" t="inlineStr">
        <is>
          <t xml:space="preserve">2025-10-21</t>
        </is>
      </c>
      <c r="J156" s="0" t="inlineStr">
        <is>
          <t xml:space="preserve">propulsion_power</t>
        </is>
      </c>
      <c r="K156" s="4">
        <v>6.2</v>
      </c>
      <c r="L156" s="0" t="inlineStr">
        <is>
          <t xml:space="preserve">Engineering services /  materials</t>
        </is>
      </c>
    </row>
    <row r="157">
      <c r="B157" s="0" t="inlineStr">
        <is>
          <t xml:space="preserve">N6660418F3022</t>
        </is>
      </c>
      <c r="C157" s="0" t="inlineStr">
        <is>
          <t xml:space="preserve">SERCO-IPS CORPORATION</t>
        </is>
      </c>
      <c r="D157" s="0" t="inlineStr">
        <is>
          <t xml:space="preserve">RGEBPDP8RV96</t>
        </is>
      </c>
      <c r="E157" s="0" t="inlineStr">
        <is>
          <t xml:space="preserve">M3WTFLL92KZ3</t>
        </is>
      </c>
      <c r="F157" s="0" t="inlineStr">
        <is>
          <t xml:space="preserve">DBV TECHNOLOGY, LLC</t>
        </is>
      </c>
      <c r="G157" s="0" t="inlineStr">
        <is>
          <t xml:space="preserve">M3WTFLL92KZ3</t>
        </is>
      </c>
      <c r="H157" s="4">
        <v>0.1626339</v>
      </c>
      <c r="I157" s="0" t="inlineStr">
        <is>
          <t xml:space="preserve">2019-11-27</t>
        </is>
      </c>
      <c r="J157" s="0" t="inlineStr">
        <is>
          <t xml:space="preserve">other_unclassified</t>
        </is>
      </c>
      <c r="K157" s="4">
        <v>47.2</v>
      </c>
      <c r="L157" s="0" t="inlineStr">
        <is>
          <t xml:space="preserve">Services</t>
        </is>
      </c>
    </row>
    <row r="158">
      <c r="B158" s="0" t="inlineStr">
        <is>
          <t xml:space="preserve">N0002416C4112</t>
        </is>
      </c>
      <c r="C158" s="0" t="inlineStr">
        <is>
          <t xml:space="preserve">HUNTINGTON INGALLS INC</t>
        </is>
      </c>
      <c r="D158" s="0" t="inlineStr">
        <is>
          <t xml:space="preserve">WMXDDH6HJNA5</t>
        </is>
      </c>
      <c r="E158" s="0" t="inlineStr">
        <is>
          <t xml:space="preserve">CQUHU3PC44L3</t>
        </is>
      </c>
      <c r="F158" s="0" t="inlineStr">
        <is>
          <t xml:space="preserve">AMERICAN MARITIME HOLDINGS, INC.</t>
        </is>
      </c>
      <c r="G158" s="0" t="inlineStr">
        <is>
          <t xml:space="preserve">ZTAFBECM35Z6</t>
        </is>
      </c>
      <c r="H158" s="4">
        <v>0.159641</v>
      </c>
      <c r="I158" s="0" t="inlineStr">
        <is>
          <t xml:space="preserve">2017-10-16</t>
        </is>
      </c>
      <c r="J158" s="0" t="inlineStr">
        <is>
          <t xml:space="preserve">other_unclassified</t>
        </is>
      </c>
      <c r="K158" s="4">
        <v>2.6</v>
      </c>
      <c r="L158" s="0" t="inlineStr">
        <is>
          <t xml:space="preserve">1 CAT LAGGING; ITEM #1</t>
        </is>
      </c>
    </row>
    <row r="159">
      <c r="B159" s="0" t="inlineStr">
        <is>
          <t xml:space="preserve">N0002419C6402</t>
        </is>
      </c>
      <c r="C159" s="0" t="inlineStr">
        <is>
          <t xml:space="preserve">TELEDYNE BROWN ENGINEERING, INC.</t>
        </is>
      </c>
      <c r="D159" s="0" t="inlineStr">
        <is>
          <t xml:space="preserve">FBRSJB6V4LW8</t>
        </is>
      </c>
      <c r="E159" s="0" t="inlineStr">
        <is>
          <t xml:space="preserve">SQ2DSCE69F15</t>
        </is>
      </c>
      <c r="F159" s="0" t="inlineStr">
        <is>
          <t xml:space="preserve">TELEDYNE TECHNOLOGIES INCORPORATED</t>
        </is>
      </c>
      <c r="G159" s="0" t="inlineStr">
        <is>
          <t xml:space="preserve">K3MRSBC1CYT4</t>
        </is>
      </c>
      <c r="H159" s="4">
        <v>0.15911344</v>
      </c>
      <c r="I159" s="0" t="inlineStr">
        <is>
          <t xml:space="preserve">2021-04-22</t>
        </is>
      </c>
      <c r="J159" s="0" t="inlineStr">
        <is>
          <t xml:space="preserve">propulsion_power</t>
        </is>
      </c>
      <c r="K159" s="4">
        <v>0.4</v>
      </c>
      <c r="L159" s="0" t="inlineStr">
        <is>
          <t xml:space="preserve">Engineering services/materials</t>
        </is>
      </c>
    </row>
    <row r="160">
      <c r="B160" s="0" t="inlineStr">
        <is>
          <t xml:space="preserve">N6660421FC832</t>
        </is>
      </c>
      <c r="C160" s="0" t="inlineStr">
        <is>
          <t xml:space="preserve">SERCO INC</t>
        </is>
      </c>
      <c r="D160" s="0" t="inlineStr">
        <is>
          <t xml:space="preserve">DKJ1R5ABCN48</t>
        </is>
      </c>
      <c r="E160" s="0" t="inlineStr">
        <is>
          <t xml:space="preserve">UJYVVYJF29Q7</t>
        </is>
      </c>
      <c r="F160" s="0" t="inlineStr">
        <is>
          <t xml:space="preserve">METAL TECHNOLOGIES OF MURFREESBORO, INC.</t>
        </is>
      </c>
      <c r="G160" s="0" t="inlineStr">
        <is>
          <t xml:space="preserve">UJYVVYJF29Q7</t>
        </is>
      </c>
      <c r="H160" s="4">
        <v>0.15790642</v>
      </c>
      <c r="I160" s="0" t="inlineStr">
        <is>
          <t xml:space="preserve">2022-08-29</t>
        </is>
      </c>
      <c r="J160" s="0" t="inlineStr">
        <is>
          <t xml:space="preserve">c2_comms</t>
        </is>
      </c>
      <c r="K160" s="4">
        <v>1.1</v>
      </c>
      <c r="L160" s="0" t="inlineStr">
        <is>
          <t xml:space="preserve">SERVICE</t>
        </is>
      </c>
    </row>
    <row r="161">
      <c r="B161" s="0" t="inlineStr">
        <is>
          <t xml:space="preserve">N6660418F3022</t>
        </is>
      </c>
      <c r="C161" s="0" t="inlineStr">
        <is>
          <t xml:space="preserve">SERCO-IPS CORPORATION</t>
        </is>
      </c>
      <c r="D161" s="0" t="inlineStr">
        <is>
          <t xml:space="preserve">RGEBPDP8RV96</t>
        </is>
      </c>
      <c r="E161" s="0" t="inlineStr">
        <is>
          <t xml:space="preserve">DMMFJS7D8RX8</t>
        </is>
      </c>
      <c r="F161" s="0" t="inlineStr">
        <is>
          <t xml:space="preserve">ECLIPSE GROUP, INC.</t>
        </is>
      </c>
      <c r="G161" s="0" t="inlineStr">
        <is>
          <t xml:space="preserve">DMMFJS7D8RX8</t>
        </is>
      </c>
      <c r="H161" s="4">
        <v>0.15645</v>
      </c>
      <c r="I161" s="0" t="inlineStr">
        <is>
          <t xml:space="preserve">2021-11-23</t>
        </is>
      </c>
      <c r="J161" s="0" t="inlineStr">
        <is>
          <t xml:space="preserve">other_unclassified</t>
        </is>
      </c>
      <c r="K161" s="4">
        <v>23.3</v>
      </c>
      <c r="L161" s="0" t="inlineStr">
        <is>
          <t xml:space="preserve">Services</t>
        </is>
      </c>
    </row>
    <row r="162">
      <c r="B162" s="0" t="inlineStr">
        <is>
          <t xml:space="preserve">N0002416C4112</t>
        </is>
      </c>
      <c r="C162" s="0" t="inlineStr">
        <is>
          <t xml:space="preserve">HUNTINGTON INGALLS INC</t>
        </is>
      </c>
      <c r="D162" s="0" t="inlineStr">
        <is>
          <t xml:space="preserve">WMXDDH6HJNA5</t>
        </is>
      </c>
      <c r="E162" s="0" t="inlineStr">
        <is>
          <t xml:space="preserve">CQUHU3PC44L3</t>
        </is>
      </c>
      <c r="F162" s="0" t="inlineStr">
        <is>
          <t xml:space="preserve">AMERICAN MARITIME HOLDINGS, INC.</t>
        </is>
      </c>
      <c r="G162" s="0" t="inlineStr">
        <is>
          <t xml:space="preserve">ZTAFBECM35Z6</t>
        </is>
      </c>
      <c r="H162" s="4">
        <v>0.155942</v>
      </c>
      <c r="I162" s="0" t="inlineStr">
        <is>
          <t xml:space="preserve">2017-10-16</t>
        </is>
      </c>
      <c r="J162" s="0" t="inlineStr">
        <is>
          <t xml:space="preserve">other_unclassified</t>
        </is>
      </c>
      <c r="K162" s="4">
        <v>2.6</v>
      </c>
      <c r="L162" s="0" t="inlineStr">
        <is>
          <t xml:space="preserve">2 CAT LAGGING; ITEM #2</t>
        </is>
      </c>
    </row>
    <row r="163">
      <c r="B163" s="0" t="inlineStr">
        <is>
          <t xml:space="preserve">N0002419C6402</t>
        </is>
      </c>
      <c r="C163" s="0" t="inlineStr">
        <is>
          <t xml:space="preserve">TELEDYNE BROWN ENGINEERING, INC.</t>
        </is>
      </c>
      <c r="D163" s="0" t="inlineStr">
        <is>
          <t xml:space="preserve">FBRSJB6V4LW8</t>
        </is>
      </c>
      <c r="E163" s="0" t="inlineStr">
        <is>
          <t xml:space="preserve">N5HGL94UC1D6</t>
        </is>
      </c>
      <c r="F163" s="0" t="inlineStr">
        <is>
          <t xml:space="preserve">PIERCE ALUMINUM COMPANY, INC.</t>
        </is>
      </c>
      <c r="G163" s="0" t="inlineStr">
        <is>
          <t xml:space="preserve">N5HGL94UC1D6</t>
        </is>
      </c>
      <c r="H163" s="4">
        <v>0.1557375</v>
      </c>
      <c r="I163" s="0" t="inlineStr">
        <is>
          <t xml:space="preserve">2020-10-30</t>
        </is>
      </c>
      <c r="J163" s="0" t="inlineStr">
        <is>
          <t xml:space="preserve">platform_hull</t>
        </is>
      </c>
      <c r="K163" s="4">
        <v>0.2</v>
      </c>
      <c r="L163" s="0" t="inlineStr">
        <is>
          <t xml:space="preserve">Engineering materials</t>
        </is>
      </c>
    </row>
    <row r="164">
      <c r="B164" s="0" t="inlineStr">
        <is>
          <t xml:space="preserve">N0002419C6402</t>
        </is>
      </c>
      <c r="C164" s="0" t="inlineStr">
        <is>
          <t xml:space="preserve">TELEDYNE BROWN ENGINEERING, INC.</t>
        </is>
      </c>
      <c r="D164" s="0" t="inlineStr">
        <is>
          <t xml:space="preserve">FBRSJB6V4LW8</t>
        </is>
      </c>
      <c r="E164" s="0" t="inlineStr">
        <is>
          <t xml:space="preserve">RKXHNMJD8639</t>
        </is>
      </c>
      <c r="F164" s="0" t="inlineStr">
        <is>
          <t xml:space="preserve">WHITESBURG ELECTRONICS, INC.</t>
        </is>
      </c>
      <c r="G164" s="0" t="inlineStr">
        <is>
          <t xml:space="preserve">RKXHNMJD8639</t>
        </is>
      </c>
      <c r="H164" s="4">
        <v>0.1548117</v>
      </c>
      <c r="I164" s="0" t="inlineStr">
        <is>
          <t xml:space="preserve">2019-10-31</t>
        </is>
      </c>
      <c r="J164" s="0" t="inlineStr">
        <is>
          <t xml:space="preserve">propulsion_power</t>
        </is>
      </c>
      <c r="K164" s="4">
        <v>0.0</v>
      </c>
      <c r="L164" s="0" t="inlineStr">
        <is>
          <t xml:space="preserve">Engineering materials</t>
        </is>
      </c>
    </row>
    <row r="165">
      <c r="B165" s="0" t="inlineStr">
        <is>
          <t xml:space="preserve">N0002419C6402</t>
        </is>
      </c>
      <c r="C165" s="0" t="inlineStr">
        <is>
          <t xml:space="preserve">TELEDYNE BROWN ENGINEERING, INC.</t>
        </is>
      </c>
      <c r="D165" s="0" t="inlineStr">
        <is>
          <t xml:space="preserve">FBRSJB6V4LW8</t>
        </is>
      </c>
      <c r="E165" s="0" t="inlineStr">
        <is>
          <t xml:space="preserve">XNHRXR2HTXA8</t>
        </is>
      </c>
      <c r="F165" s="0" t="inlineStr">
        <is>
          <t xml:space="preserve">BEAUFORT COMPOSITE TECHNOLOGIES, INC</t>
        </is>
      </c>
      <c r="G165" s="0" t="inlineStr">
        <is>
          <t xml:space="preserve">XNHRXR2HTXA8</t>
        </is>
      </c>
      <c r="H165" s="4">
        <v>0.15272</v>
      </c>
      <c r="I165" s="0" t="inlineStr">
        <is>
          <t xml:space="preserve">2021-10-20</t>
        </is>
      </c>
      <c r="J165" s="0" t="inlineStr">
        <is>
          <t xml:space="preserve">platform_hull</t>
        </is>
      </c>
      <c r="K165" s="4">
        <v>0.6</v>
      </c>
      <c r="L165" s="0" t="inlineStr">
        <is>
          <t xml:space="preserve">Engineering materials</t>
        </is>
      </c>
    </row>
    <row r="166">
      <c r="B166" s="0" t="inlineStr">
        <is>
          <t xml:space="preserve">N0002419C6402</t>
        </is>
      </c>
      <c r="C166" s="0" t="inlineStr">
        <is>
          <t xml:space="preserve">TELEDYNE BROWN ENGINEERING, INC.</t>
        </is>
      </c>
      <c r="D166" s="0" t="inlineStr">
        <is>
          <t xml:space="preserve">FBRSJB6V4LW8</t>
        </is>
      </c>
      <c r="E166" s="0" t="inlineStr">
        <is>
          <t xml:space="preserve">C1FCEKJP7F91</t>
        </is>
      </c>
      <c r="F166" s="0" t="inlineStr">
        <is>
          <t xml:space="preserve">MCMASTER-CARR SUPPLY CO</t>
        </is>
      </c>
      <c r="G166" s="0" t="inlineStr">
        <is>
          <t xml:space="preserve">EX4CFJCUSRZ5</t>
        </is>
      </c>
      <c r="H166" s="4">
        <v>0.15120271</v>
      </c>
      <c r="I166" s="0" t="inlineStr">
        <is>
          <t xml:space="preserve">2023-11-22</t>
        </is>
      </c>
      <c r="J166" s="0" t="inlineStr">
        <is>
          <t xml:space="preserve">propulsion_power</t>
        </is>
      </c>
      <c r="K166" s="4">
        <v>1.2</v>
      </c>
      <c r="L166" s="0" t="inlineStr">
        <is>
          <t xml:space="preserve">Engineering services/materials</t>
        </is>
      </c>
    </row>
    <row r="167">
      <c r="B167" s="0" t="inlineStr">
        <is>
          <t xml:space="preserve">N0001418C2006</t>
        </is>
      </c>
      <c r="C167" s="0" t="inlineStr">
        <is>
          <t xml:space="preserve">LEIDOS, INC.</t>
        </is>
      </c>
      <c r="D167" s="0" t="inlineStr">
        <is>
          <t xml:space="preserve">KTMAJCY6JXM3</t>
        </is>
      </c>
      <c r="E167" s="0" t="inlineStr">
        <is>
          <t xml:space="preserve">RX3MV2GBCVC5</t>
        </is>
      </c>
      <c r="F167" s="0" t="inlineStr">
        <is>
          <t xml:space="preserve">COMPOSITES UNIVERSAL GROUP</t>
        </is>
      </c>
      <c r="G167" s="0" t="inlineStr">
        <is>
          <t xml:space="preserve">RX3MV2GBCVC5</t>
        </is>
      </c>
      <c r="H167" s="4">
        <v>0.15036392</v>
      </c>
      <c r="I167" s="0" t="inlineStr">
        <is>
          <t xml:space="preserve">2018-02-16</t>
        </is>
      </c>
      <c r="J167" s="0" t="inlineStr">
        <is>
          <t xml:space="preserve">platform_hull</t>
        </is>
      </c>
      <c r="K167" s="4">
        <v>29.1</v>
      </c>
      <c r="L167" s="0" t="inlineStr">
        <is>
          <t xml:space="preserve">PROCURED GOODS AND SERVICES BETWEEN 6/1/2020-6/30/2020 IN SUPPORT OF CONTRACT SOW.</t>
        </is>
      </c>
    </row>
    <row r="168">
      <c r="B168" s="0" t="inlineStr">
        <is>
          <t xml:space="preserve">N0002421C2212</t>
        </is>
      </c>
      <c r="C168" s="0" t="inlineStr">
        <is>
          <t xml:space="preserve">NATIONAL STEEL AND SHIPBUILDING COMPANY</t>
        </is>
      </c>
      <c r="D168" s="0" t="inlineStr">
        <is>
          <t xml:space="preserve">Q85KVUK3JBF5</t>
        </is>
      </c>
      <c r="E168" s="0" t="inlineStr">
        <is>
          <t xml:space="preserve">JRZ1WHXAKBM3</t>
        </is>
      </c>
      <c r="F168" s="0" t="inlineStr">
        <is>
          <t xml:space="preserve">GENERAL ELECTRIC COMPANY</t>
        </is>
      </c>
      <c r="G168" s="0" t="inlineStr">
        <is>
          <t xml:space="preserve">U864F3HRME53</t>
        </is>
      </c>
      <c r="H168" s="4">
        <v>0.15</v>
      </c>
      <c r="I168" s="0" t="inlineStr">
        <is>
          <t xml:space="preserve">2021-06-04</t>
        </is>
      </c>
      <c r="J168" s="0" t="inlineStr">
        <is>
          <t xml:space="preserve">other_unclassified</t>
        </is>
      </c>
      <c r="K168" s="4">
        <v>1.2</v>
      </c>
      <c r="L168" s="0" t="inlineStr">
        <is>
          <t xml:space="preserve">Non-Coded New Construction</t>
        </is>
      </c>
    </row>
    <row r="169">
      <c r="B169" s="0" t="inlineStr">
        <is>
          <t xml:space="preserve">N0002419C6402</t>
        </is>
      </c>
      <c r="C169" s="0" t="inlineStr">
        <is>
          <t xml:space="preserve">TELEDYNE BROWN ENGINEERING, INC.</t>
        </is>
      </c>
      <c r="D169" s="0" t="inlineStr">
        <is>
          <t xml:space="preserve">FBRSJB6V4LW8</t>
        </is>
      </c>
      <c r="E169" s="0" t="inlineStr">
        <is>
          <t xml:space="preserve">GR5UXCH3JAE1</t>
        </is>
      </c>
      <c r="F169" s="0" t="inlineStr">
        <is>
          <t xml:space="preserve">TELECOMMUNICATION SYSTEMS INC</t>
        </is>
      </c>
      <c r="G169" s="0" t="inlineStr">
        <is>
          <t xml:space="preserve">HKASYSKZWLQ5</t>
        </is>
      </c>
      <c r="H169" s="4">
        <v>0.14983</v>
      </c>
      <c r="I169" s="0" t="inlineStr">
        <is>
          <t xml:space="preserve">2023-05-01</t>
        </is>
      </c>
      <c r="J169" s="0" t="inlineStr">
        <is>
          <t xml:space="preserve">propulsion_power</t>
        </is>
      </c>
      <c r="K169" s="4">
        <v>1.2</v>
      </c>
      <c r="L169" s="0" t="inlineStr">
        <is>
          <t xml:space="preserve">Engineering services/materials</t>
        </is>
      </c>
    </row>
    <row r="170">
      <c r="B170" s="0" t="inlineStr">
        <is>
          <t xml:space="preserve">N0002417C4103</t>
        </is>
      </c>
      <c r="C170" s="0" t="inlineStr">
        <is>
          <t xml:space="preserve">HUNTINGTON INGALLS INC</t>
        </is>
      </c>
      <c r="D170" s="0" t="inlineStr">
        <is>
          <t xml:space="preserve">WMXDDH6HJNA5</t>
        </is>
      </c>
      <c r="E170" s="0" t="inlineStr">
        <is>
          <t xml:space="preserve">EJB6ZB4NKGJ7</t>
        </is>
      </c>
      <c r="F170" s="0" t="inlineStr">
        <is>
          <t xml:space="preserve">MAIN INDUSTRIES, INC.</t>
        </is>
      </c>
      <c r="G170" s="0" t="inlineStr">
        <is>
          <t xml:space="preserve">EJB6ZB4NKGJ7</t>
        </is>
      </c>
      <c r="H170" s="4">
        <v>0.149203</v>
      </c>
      <c r="I170" s="0" t="inlineStr">
        <is>
          <t xml:space="preserve">2019-02-15</t>
        </is>
      </c>
      <c r="J170" s="0" t="inlineStr">
        <is>
          <t xml:space="preserve">autonomy_software</t>
        </is>
      </c>
      <c r="K170" s="4">
        <v>1.1</v>
      </c>
      <c r="L170" s="0" t="inlineStr">
        <is>
          <t xml:space="preserve">RCP #1 HANGER BAY 1 STAGING; Item #1</t>
        </is>
      </c>
    </row>
    <row r="171">
      <c r="B171" s="0" t="inlineStr">
        <is>
          <t xml:space="preserve">N0002419C6402</t>
        </is>
      </c>
      <c r="C171" s="0" t="inlineStr">
        <is>
          <t xml:space="preserve">TELEDYNE BROWN ENGINEERING, INC.</t>
        </is>
      </c>
      <c r="D171" s="0" t="inlineStr">
        <is>
          <t xml:space="preserve">FBRSJB6V4LW8</t>
        </is>
      </c>
      <c r="E171" s="0" t="inlineStr">
        <is>
          <t xml:space="preserve">K574V7KEQUC8</t>
        </is>
      </c>
      <c r="F171" s="0" t="inlineStr">
        <is>
          <t xml:space="preserve">CIRCOR AEROSPACE, INC.</t>
        </is>
      </c>
      <c r="G171" s="0" t="inlineStr">
        <is>
          <t xml:space="preserve">K574V7KEQUC8</t>
        </is>
      </c>
      <c r="H171" s="4">
        <v>0.14849299999999999</v>
      </c>
      <c r="I171" s="0" t="inlineStr">
        <is>
          <t xml:space="preserve">2025-10-29</t>
        </is>
      </c>
      <c r="J171" s="0" t="inlineStr">
        <is>
          <t xml:space="preserve">propulsion_power</t>
        </is>
      </c>
      <c r="K171" s="4">
        <v>0.9</v>
      </c>
      <c r="L171" s="0" t="inlineStr">
        <is>
          <t xml:space="preserve">Engineering services / materials</t>
        </is>
      </c>
    </row>
    <row r="172">
      <c r="B172" s="0" t="inlineStr">
        <is>
          <t xml:space="preserve">N6660418F3022</t>
        </is>
      </c>
      <c r="C172" s="0" t="inlineStr">
        <is>
          <t xml:space="preserve">SERCO-IPS CORPORATION</t>
        </is>
      </c>
      <c r="D172" s="0" t="inlineStr">
        <is>
          <t xml:space="preserve">RGEBPDP8RV96</t>
        </is>
      </c>
      <c r="E172" s="0" t="inlineStr">
        <is>
          <t xml:space="preserve">EQ17DFU97TJ9</t>
        </is>
      </c>
      <c r="F172" s="0" t="inlineStr">
        <is>
          <t xml:space="preserve">SEEBYTE INC.</t>
        </is>
      </c>
      <c r="G172" s="0" t="inlineStr">
        <is>
          <t xml:space="preserve">EQ17DFU97TJ9</t>
        </is>
      </c>
      <c r="H172" s="4">
        <v>0.147</v>
      </c>
      <c r="I172" s="0" t="inlineStr">
        <is>
          <t xml:space="preserve">2023-02-15</t>
        </is>
      </c>
      <c r="J172" s="0" t="inlineStr">
        <is>
          <t xml:space="preserve">other_unclassified</t>
        </is>
      </c>
      <c r="K172" s="4">
        <v>8.5</v>
      </c>
      <c r="L172" s="0" t="inlineStr">
        <is>
          <t xml:space="preserve">Services</t>
        </is>
      </c>
    </row>
    <row r="173">
      <c r="B173" s="0" t="inlineStr">
        <is>
          <t xml:space="preserve">N6660418F3022</t>
        </is>
      </c>
      <c r="C173" s="0" t="inlineStr">
        <is>
          <t xml:space="preserve">SERCO-IPS CORPORATION</t>
        </is>
      </c>
      <c r="D173" s="0" t="inlineStr">
        <is>
          <t xml:space="preserve">RGEBPDP8RV96</t>
        </is>
      </c>
      <c r="E173" s="0" t="inlineStr">
        <is>
          <t xml:space="preserve">EQ17DFU97TJ9</t>
        </is>
      </c>
      <c r="F173" s="0" t="inlineStr">
        <is>
          <t xml:space="preserve">SEEBYTE INC.</t>
        </is>
      </c>
      <c r="G173" s="0" t="inlineStr">
        <is>
          <t xml:space="preserve">EQ17DFU97TJ9</t>
        </is>
      </c>
      <c r="H173" s="4">
        <v>0.147</v>
      </c>
      <c r="I173" s="0" t="inlineStr">
        <is>
          <t xml:space="preserve">2023-02-15</t>
        </is>
      </c>
      <c r="J173" s="0" t="inlineStr">
        <is>
          <t xml:space="preserve">other_unclassified</t>
        </is>
      </c>
      <c r="K173" s="4">
        <v>8.5</v>
      </c>
      <c r="L173" s="0" t="inlineStr">
        <is>
          <t xml:space="preserve">Services</t>
        </is>
      </c>
    </row>
    <row r="174">
      <c r="B174" s="0" t="inlineStr">
        <is>
          <t xml:space="preserve">N0002419C6402</t>
        </is>
      </c>
      <c r="C174" s="0" t="inlineStr">
        <is>
          <t xml:space="preserve">TELEDYNE BROWN ENGINEERING, INC.</t>
        </is>
      </c>
      <c r="D174" s="0" t="inlineStr">
        <is>
          <t xml:space="preserve">FBRSJB6V4LW8</t>
        </is>
      </c>
      <c r="E174" s="0" t="inlineStr">
        <is>
          <t xml:space="preserve">VT5KKT7WLRE7</t>
        </is>
      </c>
      <c r="F174" s="0" t="inlineStr">
        <is>
          <t xml:space="preserve">G P 50 NEW YORK, LTD.</t>
        </is>
      </c>
      <c r="G174" s="0" t="inlineStr">
        <is>
          <t xml:space="preserve">VT5KKT7WLRE7</t>
        </is>
      </c>
      <c r="H174" s="4">
        <v>0.146054</v>
      </c>
      <c r="I174" s="0" t="inlineStr">
        <is>
          <t xml:space="preserve">2026-03-06</t>
        </is>
      </c>
      <c r="J174" s="0" t="inlineStr">
        <is>
          <t xml:space="preserve">propulsion_power</t>
        </is>
      </c>
      <c r="K174" s="4">
        <v>2.3</v>
      </c>
      <c r="L174" s="0" t="inlineStr">
        <is>
          <t xml:space="preserve">Engineering materials</t>
        </is>
      </c>
    </row>
    <row r="175">
      <c r="B175" s="0" t="inlineStr">
        <is>
          <t xml:space="preserve">N0002417C4103</t>
        </is>
      </c>
      <c r="C175" s="0" t="inlineStr">
        <is>
          <t xml:space="preserve">HUNTINGTON INGALLS INC</t>
        </is>
      </c>
      <c r="D175" s="0" t="inlineStr">
        <is>
          <t xml:space="preserve">WMXDDH6HJNA5</t>
        </is>
      </c>
      <c r="E175" s="0" t="inlineStr">
        <is>
          <t xml:space="preserve">YQ9EQZJ8PKM6</t>
        </is>
      </c>
      <c r="F175" s="0" t="inlineStr">
        <is>
          <t xml:space="preserve">AUXILIARY SYSTEMS, INC.</t>
        </is>
      </c>
      <c r="G175" s="0" t="inlineStr">
        <is>
          <t xml:space="preserve">YQ9EQZJ8PKM6</t>
        </is>
      </c>
      <c r="H175" s="4">
        <v>0.14404999999999998</v>
      </c>
      <c r="I175" s="0" t="inlineStr">
        <is>
          <t xml:space="preserve">2020-08-05</t>
        </is>
      </c>
      <c r="J175" s="0" t="inlineStr">
        <is>
          <t xml:space="preserve">other_unclassified</t>
        </is>
      </c>
      <c r="K175" s="4">
        <v>1.8</v>
      </c>
      <c r="L175" s="0" t="inlineStr">
        <is>
          <t xml:space="preserve">#2 Reboiler Tube RemovalPO item #5</t>
        </is>
      </c>
    </row>
    <row r="176">
      <c r="B176" s="0" t="inlineStr">
        <is>
          <t xml:space="preserve">N0002417C4103</t>
        </is>
      </c>
      <c r="C176" s="0" t="inlineStr">
        <is>
          <t xml:space="preserve">HUNTINGTON INGALLS INC</t>
        </is>
      </c>
      <c r="D176" s="0" t="inlineStr">
        <is>
          <t xml:space="preserve">WMXDDH6HJNA5</t>
        </is>
      </c>
      <c r="E176" s="0" t="inlineStr">
        <is>
          <t xml:space="preserve">YQ9EQZJ8PKM6</t>
        </is>
      </c>
      <c r="F176" s="0" t="inlineStr">
        <is>
          <t xml:space="preserve">AUXILIARY SYSTEMS, INC.</t>
        </is>
      </c>
      <c r="G176" s="0" t="inlineStr">
        <is>
          <t xml:space="preserve">YQ9EQZJ8PKM6</t>
        </is>
      </c>
      <c r="H176" s="4">
        <v>0.14404999999999998</v>
      </c>
      <c r="I176" s="0" t="inlineStr">
        <is>
          <t xml:space="preserve">2020-08-05</t>
        </is>
      </c>
      <c r="J176" s="0" t="inlineStr">
        <is>
          <t xml:space="preserve">other_unclassified</t>
        </is>
      </c>
      <c r="K176" s="4">
        <v>1.8</v>
      </c>
      <c r="L176" s="0" t="inlineStr">
        <is>
          <t xml:space="preserve">#2 Reboiler Tube RemovalPO item #1</t>
        </is>
      </c>
    </row>
    <row r="177">
      <c r="B177" s="0" t="inlineStr">
        <is>
          <t xml:space="preserve">N0002419C6402</t>
        </is>
      </c>
      <c r="C177" s="0" t="inlineStr">
        <is>
          <t xml:space="preserve">TELEDYNE BROWN ENGINEERING, INC.</t>
        </is>
      </c>
      <c r="D177" s="0" t="inlineStr">
        <is>
          <t xml:space="preserve">FBRSJB6V4LW8</t>
        </is>
      </c>
      <c r="E177" s="0" t="inlineStr">
        <is>
          <t xml:space="preserve">F125YU6SWK59</t>
        </is>
      </c>
      <c r="F177" s="0" t="inlineStr">
        <is>
          <t xml:space="preserve">BATTELLE MEMORIAL INSTITUTE</t>
        </is>
      </c>
      <c r="G177" s="0" t="inlineStr">
        <is>
          <t xml:space="preserve">F125YU6SWK59</t>
        </is>
      </c>
      <c r="H177" s="4">
        <v>0.14123604</v>
      </c>
      <c r="I177" s="0" t="inlineStr">
        <is>
          <t xml:space="preserve">2020-05-05</t>
        </is>
      </c>
      <c r="J177" s="0" t="inlineStr">
        <is>
          <t xml:space="preserve">propulsion_power</t>
        </is>
      </c>
      <c r="K177" s="4">
        <v>1.1</v>
      </c>
      <c r="L177" s="0" t="inlineStr">
        <is>
          <t xml:space="preserve">Engineering services/materials</t>
        </is>
      </c>
    </row>
    <row r="178">
      <c r="B178" s="0" t="inlineStr">
        <is>
          <t xml:space="preserve">N0010426CXA01</t>
        </is>
      </c>
      <c r="C178" s="0" t="inlineStr">
        <is>
          <t xml:space="preserve">GENERAL DYNAMICS INFORMATION TECHNOLOGY, INC.</t>
        </is>
      </c>
      <c r="D178" s="0" t="inlineStr">
        <is>
          <t xml:space="preserve">SMNWM6HN79X5</t>
        </is>
      </c>
      <c r="E178" s="0" t="inlineStr">
        <is>
          <t xml:space="preserve">E582KXT4RVH6</t>
        </is>
      </c>
      <c r="F178" s="0" t="inlineStr">
        <is>
          <t xml:space="preserve">SUPERIOR MOTION CONTROLS, INC.</t>
        </is>
      </c>
      <c r="G178" s="0" t="inlineStr">
        <is>
          <t xml:space="preserve">E582KXT4RVH6</t>
        </is>
      </c>
      <c r="H178" s="4">
        <v>0.14083199999999998</v>
      </c>
      <c r="I178" s="0" t="inlineStr">
        <is>
          <t xml:space="preserve">2026-03-04</t>
        </is>
      </c>
      <c r="J178" s="0" t="inlineStr">
        <is>
          <t xml:space="preserve">other_unclassified</t>
        </is>
      </c>
      <c r="K178" s="4">
        <v>1.6</v>
      </c>
      <c r="L178" s="0" t="inlineStr">
        <is>
          <t xml:space="preserve">products</t>
        </is>
      </c>
    </row>
    <row r="179">
      <c r="B179" s="0" t="inlineStr">
        <is>
          <t xml:space="preserve">N0002419C6402</t>
        </is>
      </c>
      <c r="C179" s="0" t="inlineStr">
        <is>
          <t xml:space="preserve">TELEDYNE BROWN ENGINEERING, INC.</t>
        </is>
      </c>
      <c r="D179" s="0" t="inlineStr">
        <is>
          <t xml:space="preserve">FBRSJB6V4LW8</t>
        </is>
      </c>
      <c r="E179" s="0" t="inlineStr">
        <is>
          <t xml:space="preserve">HCJET1PHKSZ1</t>
        </is>
      </c>
      <c r="F179" s="0" t="inlineStr">
        <is>
          <t xml:space="preserve">KVH INDUSTRIES, INC.</t>
        </is>
      </c>
      <c r="G179" s="0" t="inlineStr">
        <is>
          <t xml:space="preserve">HCJET1PHKSZ1</t>
        </is>
      </c>
      <c r="H179" s="4">
        <v>0.1404</v>
      </c>
      <c r="I179" s="0" t="inlineStr">
        <is>
          <t xml:space="preserve">2020-11-04</t>
        </is>
      </c>
      <c r="J179" s="0" t="inlineStr">
        <is>
          <t xml:space="preserve">propulsion_power</t>
        </is>
      </c>
      <c r="K179" s="4">
        <v>1.1</v>
      </c>
      <c r="L179" s="0" t="inlineStr">
        <is>
          <t xml:space="preserve">Engineering services/materials</t>
        </is>
      </c>
    </row>
    <row r="180">
      <c r="B180" s="0" t="inlineStr">
        <is>
          <t xml:space="preserve">N0002419C6402</t>
        </is>
      </c>
      <c r="C180" s="0" t="inlineStr">
        <is>
          <t xml:space="preserve">TELEDYNE BROWN ENGINEERING, INC.</t>
        </is>
      </c>
      <c r="D180" s="0" t="inlineStr">
        <is>
          <t xml:space="preserve">FBRSJB6V4LW8</t>
        </is>
      </c>
      <c r="E180" s="0" t="inlineStr">
        <is>
          <t xml:space="preserve">XNHRXR2HTXA8</t>
        </is>
      </c>
      <c r="F180" s="0" t="inlineStr">
        <is>
          <t xml:space="preserve">BEAUFORT COMPOSITE TECHNOLOGIES, INC.</t>
        </is>
      </c>
      <c r="G180" s="0" t="inlineStr">
        <is>
          <t xml:space="preserve">XNHRXR2HTXA8</t>
        </is>
      </c>
      <c r="H180" s="4">
        <v>0.13999999999999999</v>
      </c>
      <c r="I180" s="0" t="inlineStr">
        <is>
          <t xml:space="preserve">2025-06-19</t>
        </is>
      </c>
      <c r="J180" s="0" t="inlineStr">
        <is>
          <t xml:space="preserve">platform_hull</t>
        </is>
      </c>
      <c r="K180" s="4">
        <v>1.3</v>
      </c>
      <c r="L180" s="0" t="inlineStr">
        <is>
          <t xml:space="preserve">Engineering Services/Materials</t>
        </is>
      </c>
    </row>
    <row r="181">
      <c r="B181" s="0" t="inlineStr">
        <is>
          <t xml:space="preserve">N0001421C1009</t>
        </is>
      </c>
      <c r="C181" s="0" t="inlineStr">
        <is>
          <t xml:space="preserve">RAYTHEON COMPANY</t>
        </is>
      </c>
      <c r="D181" s="0" t="inlineStr">
        <is>
          <t xml:space="preserve">VTEWM5QSE598</t>
        </is>
      </c>
      <c r="E181" s="0" t="inlineStr">
        <is>
          <t xml:space="preserve">MNYZMMCK4NP5</t>
        </is>
      </c>
      <c r="F181" s="0" t="inlineStr">
        <is>
          <t xml:space="preserve">MJS DESIGNS, INC.</t>
        </is>
      </c>
      <c r="G181" s="0" t="inlineStr">
        <is>
          <t xml:space="preserve">MNYZMMCK4NP5</t>
        </is>
      </c>
      <c r="H181" s="4">
        <v>0.138686</v>
      </c>
      <c r="I181" s="0" t="inlineStr">
        <is>
          <t xml:space="preserve">2021-05-24</t>
        </is>
      </c>
      <c r="J181" s="0" t="inlineStr">
        <is>
          <t xml:space="preserve">propulsion_power</t>
        </is>
      </c>
      <c r="K181" s="4">
        <v>22.6</v>
      </c>
      <c r="L181" s="0" t="inlineStr">
        <is>
          <t xml:space="preserve">Custom CCA's, NRE - Engineering.</t>
        </is>
      </c>
    </row>
    <row r="182">
      <c r="B182" s="0" t="inlineStr">
        <is>
          <t xml:space="preserve">N0001421C1009</t>
        </is>
      </c>
      <c r="C182" s="0" t="inlineStr">
        <is>
          <t xml:space="preserve">RAYTHEON COMPANY</t>
        </is>
      </c>
      <c r="D182" s="0" t="inlineStr">
        <is>
          <t xml:space="preserve">VTEWM5QSE598</t>
        </is>
      </c>
      <c r="E182" s="0" t="inlineStr">
        <is>
          <t xml:space="preserve">MNYZMMCK4NP5</t>
        </is>
      </c>
      <c r="F182" s="0" t="inlineStr">
        <is>
          <t xml:space="preserve">MJS DESIGNS, INC.</t>
        </is>
      </c>
      <c r="G182" s="0" t="inlineStr">
        <is>
          <t xml:space="preserve">MNYZMMCK4NP5</t>
        </is>
      </c>
      <c r="H182" s="4">
        <v>0.138686</v>
      </c>
      <c r="I182" s="0" t="inlineStr">
        <is>
          <t xml:space="preserve">2021-05-24</t>
        </is>
      </c>
      <c r="J182" s="0" t="inlineStr">
        <is>
          <t xml:space="preserve">propulsion_power</t>
        </is>
      </c>
      <c r="K182" s="4">
        <v>15.3</v>
      </c>
      <c r="L182" s="0" t="inlineStr">
        <is>
          <t xml:space="preserve">Custom CCA's, NRE - Engineering.</t>
        </is>
      </c>
    </row>
    <row r="183">
      <c r="B183" s="0" t="inlineStr">
        <is>
          <t xml:space="preserve">N0001421C1009</t>
        </is>
      </c>
      <c r="C183" s="0" t="inlineStr">
        <is>
          <t xml:space="preserve">RAYTHEON COMPANY</t>
        </is>
      </c>
      <c r="D183" s="0" t="inlineStr">
        <is>
          <t xml:space="preserve">VTEWM5QSE598</t>
        </is>
      </c>
      <c r="E183" s="0" t="inlineStr">
        <is>
          <t xml:space="preserve">MNYZMMCK4NP5</t>
        </is>
      </c>
      <c r="F183" s="0" t="inlineStr">
        <is>
          <t xml:space="preserve">MJS DESIGNS INC</t>
        </is>
      </c>
      <c r="G183" s="0" t="inlineStr">
        <is>
          <t xml:space="preserve">MNYZMMCK4NP5</t>
        </is>
      </c>
      <c r="H183" s="4">
        <v>0.138686</v>
      </c>
      <c r="I183" s="0" t="inlineStr">
        <is>
          <t xml:space="preserve">2021-05-24</t>
        </is>
      </c>
      <c r="J183" s="0" t="inlineStr">
        <is>
          <t xml:space="preserve">propulsion_power</t>
        </is>
      </c>
      <c r="K183" s="4">
        <v>35.0</v>
      </c>
      <c r="L183" s="0" t="inlineStr">
        <is>
          <t xml:space="preserve">Custom CCA's, NRE - Engineering.</t>
        </is>
      </c>
    </row>
    <row r="184">
      <c r="B184" s="0" t="inlineStr">
        <is>
          <t xml:space="preserve">N0002417C4103</t>
        </is>
      </c>
      <c r="C184" s="0" t="inlineStr">
        <is>
          <t xml:space="preserve">HUNTINGTON INGALLS INC</t>
        </is>
      </c>
      <c r="D184" s="0" t="inlineStr">
        <is>
          <t xml:space="preserve">WMXDDH6HJNA5</t>
        </is>
      </c>
      <c r="E184" s="0" t="inlineStr">
        <is>
          <t xml:space="preserve">EJB6ZB4NKGJ7</t>
        </is>
      </c>
      <c r="F184" s="0" t="inlineStr">
        <is>
          <t xml:space="preserve">MAIN INDUSTRIES, INC.</t>
        </is>
      </c>
      <c r="G184" s="0" t="inlineStr">
        <is>
          <t xml:space="preserve">EJB6ZB4NKGJ7</t>
        </is>
      </c>
      <c r="H184" s="4">
        <v>0.13826</v>
      </c>
      <c r="I184" s="0" t="inlineStr">
        <is>
          <t xml:space="preserve">2019-03-05</t>
        </is>
      </c>
      <c r="J184" s="0" t="inlineStr">
        <is>
          <t xml:space="preserve">autonomy_software</t>
        </is>
      </c>
      <c r="K184" s="4">
        <v>1.6</v>
      </c>
      <c r="L184" s="0" t="inlineStr">
        <is>
          <t xml:space="preserve">CVN 77 DPIA RCP STAGING; Item #2</t>
        </is>
      </c>
    </row>
    <row r="185">
      <c r="B185" s="0" t="inlineStr">
        <is>
          <t xml:space="preserve">N0001421C1009</t>
        </is>
      </c>
      <c r="C185" s="0" t="inlineStr">
        <is>
          <t xml:space="preserve">RAYTHEON COMPANY</t>
        </is>
      </c>
      <c r="D185" s="0" t="inlineStr">
        <is>
          <t xml:space="preserve">VTEWM5QSE598</t>
        </is>
      </c>
      <c r="E185" s="0" t="inlineStr">
        <is>
          <t xml:space="preserve">MNYZMMCK4NP5</t>
        </is>
      </c>
      <c r="F185" s="0" t="inlineStr">
        <is>
          <t xml:space="preserve">MJS DESIGNS, INC.</t>
        </is>
      </c>
      <c r="G185" s="0" t="inlineStr">
        <is>
          <t xml:space="preserve">MNYZMMCK4NP5</t>
        </is>
      </c>
      <c r="H185" s="4">
        <v>0.137936</v>
      </c>
      <c r="I185" s="0" t="inlineStr">
        <is>
          <t xml:space="preserve">2021-05-24</t>
        </is>
      </c>
      <c r="J185" s="0" t="inlineStr">
        <is>
          <t xml:space="preserve">propulsion_power</t>
        </is>
      </c>
      <c r="K185" s="4">
        <v>1.1</v>
      </c>
      <c r="L185" s="0" t="inlineStr">
        <is>
          <t xml:space="preserve">Custom CCA's, NRE - Engineering.</t>
        </is>
      </c>
    </row>
    <row r="186">
      <c r="B186" s="0" t="inlineStr">
        <is>
          <t xml:space="preserve">N0002419C6402</t>
        </is>
      </c>
      <c r="C186" s="0" t="inlineStr">
        <is>
          <t xml:space="preserve">TELEDYNE BROWN ENGINEERING, INC.</t>
        </is>
      </c>
      <c r="D186" s="0" t="inlineStr">
        <is>
          <t xml:space="preserve">FBRSJB6V4LW8</t>
        </is>
      </c>
      <c r="E186" s="0" t="inlineStr">
        <is>
          <t xml:space="preserve">GNF1HLLEJDK3</t>
        </is>
      </c>
      <c r="F186" s="0" t="inlineStr">
        <is>
          <t xml:space="preserve">CKS TECHNOLOGIES, LLC</t>
        </is>
      </c>
      <c r="G186" s="0" t="inlineStr">
        <is>
          <t xml:space="preserve">GNF1HLLEJDK3</t>
        </is>
      </c>
      <c r="H186" s="4">
        <v>0.13759</v>
      </c>
      <c r="I186" s="0" t="inlineStr">
        <is>
          <t xml:space="preserve">2020-10-08</t>
        </is>
      </c>
      <c r="J186" s="0" t="inlineStr">
        <is>
          <t xml:space="preserve">propulsion_power</t>
        </is>
      </c>
      <c r="K186" s="4">
        <v>0.9</v>
      </c>
      <c r="L186" s="0" t="inlineStr">
        <is>
          <t xml:space="preserve">Engineering services/materials</t>
        </is>
      </c>
    </row>
    <row r="187">
      <c r="B187" s="0" t="inlineStr">
        <is>
          <t xml:space="preserve">N0002423C6308</t>
        </is>
      </c>
      <c r="C187" s="0" t="inlineStr">
        <is>
          <t xml:space="preserve">HII UNMANNED SYSTEMS, INC</t>
        </is>
      </c>
      <c r="D187" s="0" t="inlineStr">
        <is>
          <t xml:space="preserve">WN18KN7KQLG9</t>
        </is>
      </c>
      <c r="E187" s="0" t="inlineStr">
        <is>
          <t xml:space="preserve">LHVGM3RFA281</t>
        </is>
      </c>
      <c r="F187" s="0" t="inlineStr">
        <is>
          <t xml:space="preserve">FALMOUTH SCIENTIFIC INC</t>
        </is>
      </c>
      <c r="G187" s="0" t="inlineStr">
        <is>
          <t xml:space="preserve">LHVGM3RFA281</t>
        </is>
      </c>
      <c r="H187" s="4">
        <v>0.13741281</v>
      </c>
      <c r="I187" s="0" t="inlineStr">
        <is>
          <t xml:space="preserve">2024-11-11</t>
        </is>
      </c>
      <c r="J187" s="0" t="inlineStr">
        <is>
          <t xml:space="preserve">autonomy_software</t>
        </is>
      </c>
      <c r="K187" s="4">
        <v>1.0</v>
      </c>
      <c r="L187" s="0" t="inlineStr">
        <is>
          <t xml:space="preserve">Search, Detection, Navigation, Guidance, Aeronautical, and Nautical System and Instrument Manufacturing</t>
        </is>
      </c>
    </row>
    <row r="188">
      <c r="B188" s="0" t="inlineStr">
        <is>
          <t xml:space="preserve">N0002419C6402</t>
        </is>
      </c>
      <c r="C188" s="0" t="inlineStr">
        <is>
          <t xml:space="preserve">TELEDYNE BROWN ENGINEERING, INC.</t>
        </is>
      </c>
      <c r="D188" s="0" t="inlineStr">
        <is>
          <t xml:space="preserve">FBRSJB6V4LW8</t>
        </is>
      </c>
      <c r="E188" s="0" t="inlineStr">
        <is>
          <t xml:space="preserve">XNHRXR2HTXA8</t>
        </is>
      </c>
      <c r="F188" s="0" t="inlineStr">
        <is>
          <t xml:space="preserve">BEAUFORT COMPOSITE TECHNOLOGIES, INC.</t>
        </is>
      </c>
      <c r="G188" s="0" t="inlineStr">
        <is>
          <t xml:space="preserve">XNHRXR2HTXA8</t>
        </is>
      </c>
      <c r="H188" s="4">
        <v>0.13701</v>
      </c>
      <c r="I188" s="0" t="inlineStr">
        <is>
          <t xml:space="preserve">2023-11-09</t>
        </is>
      </c>
      <c r="J188" s="0" t="inlineStr">
        <is>
          <t xml:space="preserve">platform_hull</t>
        </is>
      </c>
      <c r="K188" s="4">
        <v>1.6</v>
      </c>
      <c r="L188" s="0" t="inlineStr">
        <is>
          <t xml:space="preserve">Engineering services/materials</t>
        </is>
      </c>
    </row>
    <row r="189">
      <c r="B189" s="0" t="inlineStr">
        <is>
          <t xml:space="preserve">N0002419C6402</t>
        </is>
      </c>
      <c r="C189" s="0" t="inlineStr">
        <is>
          <t xml:space="preserve">TELEDYNE BROWN ENGINEERING, INC.</t>
        </is>
      </c>
      <c r="D189" s="0" t="inlineStr">
        <is>
          <t xml:space="preserve">FBRSJB6V4LW8</t>
        </is>
      </c>
      <c r="E189" s="0" t="inlineStr">
        <is>
          <t xml:space="preserve">U1PHZ8JUHL21</t>
        </is>
      </c>
      <c r="F189" s="0" t="inlineStr">
        <is>
          <t xml:space="preserve">RTD EMBEDDED TECHNOLOGIES INC</t>
        </is>
      </c>
      <c r="G189" s="0" t="inlineStr">
        <is>
          <t xml:space="preserve">U1PHZ8JUHL21</t>
        </is>
      </c>
      <c r="H189" s="4">
        <v>0.135072</v>
      </c>
      <c r="I189" s="0" t="inlineStr">
        <is>
          <t xml:space="preserve">2021-04-27</t>
        </is>
      </c>
      <c r="J189" s="0" t="inlineStr">
        <is>
          <t xml:space="preserve">propulsion_power</t>
        </is>
      </c>
      <c r="K189" s="4">
        <v>0.2</v>
      </c>
      <c r="L189" s="0" t="inlineStr">
        <is>
          <t xml:space="preserve">Engineering services/materials</t>
        </is>
      </c>
    </row>
    <row r="190">
      <c r="B190" s="0" t="inlineStr">
        <is>
          <t xml:space="preserve">N6660418F3022</t>
        </is>
      </c>
      <c r="C190" s="0" t="inlineStr">
        <is>
          <t xml:space="preserve">SERCO-IPS CORPORATION</t>
        </is>
      </c>
      <c r="D190" s="0" t="inlineStr">
        <is>
          <t xml:space="preserve">RGEBPDP8RV96</t>
        </is>
      </c>
      <c r="E190" s="0" t="inlineStr">
        <is>
          <t xml:space="preserve">F8Z3EH848VJ1</t>
        </is>
      </c>
      <c r="F190" s="0" t="inlineStr">
        <is>
          <t xml:space="preserve">FATHOM RESOURCES LLC</t>
        </is>
      </c>
      <c r="G190" s="0" t="inlineStr">
        <is>
          <t xml:space="preserve">F8Z3EH848VJ1</t>
        </is>
      </c>
      <c r="H190" s="4">
        <v>0.1347556</v>
      </c>
      <c r="I190" s="0" t="inlineStr">
        <is>
          <t xml:space="preserve">2022-05-04</t>
        </is>
      </c>
      <c r="J190" s="0" t="inlineStr">
        <is>
          <t xml:space="preserve">other_unclassified</t>
        </is>
      </c>
      <c r="K190" s="4">
        <v>23.9</v>
      </c>
      <c r="L190" s="0" t="inlineStr">
        <is>
          <t xml:space="preserve">Services</t>
        </is>
      </c>
    </row>
    <row r="191">
      <c r="B191" s="0" t="inlineStr">
        <is>
          <t xml:space="preserve">N0002419C6402</t>
        </is>
      </c>
      <c r="C191" s="0" t="inlineStr">
        <is>
          <t xml:space="preserve">TELEDYNE BROWN ENGINEERING, INC.</t>
        </is>
      </c>
      <c r="D191" s="0" t="inlineStr">
        <is>
          <t xml:space="preserve">FBRSJB6V4LW8</t>
        </is>
      </c>
      <c r="E191" s="0" t="inlineStr">
        <is>
          <t xml:space="preserve">MTNWQNAC4W27</t>
        </is>
      </c>
      <c r="F191" s="0" t="inlineStr">
        <is>
          <t xml:space="preserve">MEASUTRONICS CORPORATION</t>
        </is>
      </c>
      <c r="G191" s="0" t="inlineStr">
        <is>
          <t xml:space="preserve">MTNWQNAC4W27</t>
        </is>
      </c>
      <c r="H191" s="4">
        <v>0.13388049999999999</v>
      </c>
      <c r="I191" s="0" t="inlineStr">
        <is>
          <t xml:space="preserve">2025-11-05</t>
        </is>
      </c>
      <c r="J191" s="0" t="inlineStr">
        <is>
          <t xml:space="preserve">propulsion_power</t>
        </is>
      </c>
      <c r="K191" s="4">
        <v>1.8</v>
      </c>
      <c r="L191" s="0" t="inlineStr">
        <is>
          <t xml:space="preserve">Engineering services/ Materials</t>
        </is>
      </c>
    </row>
    <row r="192">
      <c r="B192" s="0" t="inlineStr">
        <is>
          <t xml:space="preserve">N0002424C2204</t>
        </is>
      </c>
      <c r="C192" s="0" t="inlineStr">
        <is>
          <t xml:space="preserve">SAAB, INC</t>
        </is>
      </c>
      <c r="D192" s="0" t="inlineStr">
        <is>
          <t xml:space="preserve">H5FMLSGM29L1</t>
        </is>
      </c>
      <c r="E192" s="0" t="inlineStr">
        <is>
          <t xml:space="preserve">JNJDBJZLL2R7</t>
        </is>
      </c>
      <c r="F192" s="0" t="inlineStr">
        <is>
          <t xml:space="preserve">EDGEONE LLC</t>
        </is>
      </c>
      <c r="G192" s="0" t="inlineStr">
        <is>
          <t xml:space="preserve">JNJDBJZLL2R7</t>
        </is>
      </c>
      <c r="H192" s="4">
        <v>0.1335</v>
      </c>
      <c r="I192" s="0" t="inlineStr">
        <is>
          <t xml:space="preserve">2024-06-07</t>
        </is>
      </c>
      <c r="J192" s="0" t="inlineStr">
        <is>
          <t xml:space="preserve">sensors_payload</t>
        </is>
      </c>
      <c r="K192" s="4">
        <v>0.3</v>
      </c>
      <c r="L192" s="0" t="inlineStr">
        <is>
          <t xml:space="preserve">2205 Side Scan Sonar &amp; Bathymetry (540&amp;1600 kHz)</t>
        </is>
      </c>
    </row>
    <row r="193">
      <c r="B193" s="0" t="inlineStr">
        <is>
          <t xml:space="preserve">N0002421F8089</t>
        </is>
      </c>
      <c r="C193" s="0" t="inlineStr">
        <is>
          <t xml:space="preserve">THE JOHNS HOPKINS UNIVERSITY APPLIED PHYSICS LABORATORY LLC</t>
        </is>
      </c>
      <c r="D193" s="0" t="inlineStr">
        <is>
          <t xml:space="preserve">C1HBCJ9RMBV3</t>
        </is>
      </c>
      <c r="E193" s="0" t="inlineStr">
        <is>
          <t xml:space="preserve">GFKFBWG2TV98</t>
        </is>
      </c>
      <c r="F193" s="0" t="inlineStr">
        <is>
          <t xml:space="preserve">WOODS HOLE OCEANOGRAPHIC INSTITUTION</t>
        </is>
      </c>
      <c r="G193" s="0" t="inlineStr">
        <is>
          <t xml:space="preserve">GFKFBWG2TV98</t>
        </is>
      </c>
      <c r="H193" s="4">
        <v>0.131122</v>
      </c>
      <c r="I193" s="0" t="inlineStr">
        <is>
          <t xml:space="preserve">2022-06-14</t>
        </is>
      </c>
      <c r="J193" s="0" t="inlineStr">
        <is>
          <t xml:space="preserve">integration_eng_svcs</t>
        </is>
      </c>
      <c r="K193" s="4">
        <v>1.4</v>
      </c>
      <c r="L193" s="0" t="inlineStr">
        <is>
          <t xml:space="preserve">Integration Lab</t>
        </is>
      </c>
    </row>
    <row r="194">
      <c r="B194" s="0" t="inlineStr">
        <is>
          <t xml:space="preserve">N0010426CXA01</t>
        </is>
      </c>
      <c r="C194" s="0" t="inlineStr">
        <is>
          <t xml:space="preserve">GENERAL DYNAMICS INFORMATION TECHNOLOGY, INC.</t>
        </is>
      </c>
      <c r="D194" s="0" t="inlineStr">
        <is>
          <t xml:space="preserve">SMNWM6HN79X5</t>
        </is>
      </c>
      <c r="E194" s="0" t="inlineStr">
        <is>
          <t xml:space="preserve">E582KXT4RVH6</t>
        </is>
      </c>
      <c r="F194" s="0" t="inlineStr">
        <is>
          <t xml:space="preserve">SUPERIOR MOTION CONTROLS, INC.</t>
        </is>
      </c>
      <c r="G194" s="0" t="inlineStr">
        <is>
          <t xml:space="preserve">E582KXT4RVH6</t>
        </is>
      </c>
      <c r="H194" s="4">
        <v>0.1296</v>
      </c>
      <c r="I194" s="0" t="inlineStr">
        <is>
          <t xml:space="preserve">2026-03-19</t>
        </is>
      </c>
      <c r="J194" s="0" t="inlineStr">
        <is>
          <t xml:space="preserve">other_unclassified</t>
        </is>
      </c>
      <c r="K194" s="4">
        <v>1.1</v>
      </c>
      <c r="L194" s="0" t="inlineStr">
        <is>
          <t xml:space="preserve">products</t>
        </is>
      </c>
    </row>
    <row r="195">
      <c r="B195" s="0" t="inlineStr">
        <is>
          <t xml:space="preserve">N0002417C4103</t>
        </is>
      </c>
      <c r="C195" s="0" t="inlineStr">
        <is>
          <t xml:space="preserve">HUNTINGTON INGALLS INC</t>
        </is>
      </c>
      <c r="D195" s="0" t="inlineStr">
        <is>
          <t xml:space="preserve">WMXDDH6HJNA5</t>
        </is>
      </c>
      <c r="E195" s="0" t="inlineStr">
        <is>
          <t xml:space="preserve">UZGNVGQVER16</t>
        </is>
      </c>
      <c r="F195" s="0" t="inlineStr">
        <is>
          <t xml:space="preserve">INTERNATIONAL FLOORING AND PROTECTIVE COATINGS, INC.</t>
        </is>
      </c>
      <c r="G195" s="0" t="inlineStr">
        <is>
          <t xml:space="preserve">UZGNVGQVER16</t>
        </is>
      </c>
      <c r="H195" s="4">
        <v>0.12764799999999998</v>
      </c>
      <c r="I195" s="0" t="inlineStr">
        <is>
          <t xml:space="preserve">2019-03-01</t>
        </is>
      </c>
      <c r="J195" s="0" t="inlineStr">
        <is>
          <t xml:space="preserve">autonomy_software</t>
        </is>
      </c>
      <c r="K195" s="4">
        <v>1.7</v>
      </c>
      <c r="L195" s="0" t="inlineStr">
        <is>
          <t xml:space="preserve">NON-SKID REPAIR RCP; Item #2</t>
        </is>
      </c>
    </row>
    <row r="196">
      <c r="B196" s="0" t="inlineStr">
        <is>
          <t xml:space="preserve">N0002419C6402</t>
        </is>
      </c>
      <c r="C196" s="0" t="inlineStr">
        <is>
          <t xml:space="preserve">TELEDYNE BROWN ENGINEERING, INC.</t>
        </is>
      </c>
      <c r="D196" s="0" t="inlineStr">
        <is>
          <t xml:space="preserve">FBRSJB6V4LW8</t>
        </is>
      </c>
      <c r="E196" s="0" t="inlineStr">
        <is>
          <t xml:space="preserve">XNHRXR2HTXA8</t>
        </is>
      </c>
      <c r="F196" s="0" t="inlineStr">
        <is>
          <t xml:space="preserve">BEAUFORT COMPOSITE TECHNOLOGIES, INC</t>
        </is>
      </c>
      <c r="G196" s="0" t="inlineStr">
        <is>
          <t xml:space="preserve">XNHRXR2HTXA8</t>
        </is>
      </c>
      <c r="H196" s="4">
        <v>0.12539999999999998</v>
      </c>
      <c r="I196" s="0" t="inlineStr">
        <is>
          <t xml:space="preserve">2021-04-13</t>
        </is>
      </c>
      <c r="J196" s="0" t="inlineStr">
        <is>
          <t xml:space="preserve">platform_hull</t>
        </is>
      </c>
      <c r="K196" s="4">
        <v>0.7</v>
      </c>
      <c r="L196" s="0" t="inlineStr">
        <is>
          <t xml:space="preserve">Engineering services/materials</t>
        </is>
      </c>
    </row>
    <row r="197">
      <c r="B197" s="0" t="inlineStr">
        <is>
          <t xml:space="preserve">N0002424C2204</t>
        </is>
      </c>
      <c r="C197" s="0" t="inlineStr">
        <is>
          <t xml:space="preserve">SAAB, INC</t>
        </is>
      </c>
      <c r="D197" s="0" t="inlineStr">
        <is>
          <t xml:space="preserve">H5FMLSGM29L1</t>
        </is>
      </c>
      <c r="E197" s="0" t="inlineStr">
        <is>
          <t xml:space="preserve">YSK5RH6YV5N6</t>
        </is>
      </c>
      <c r="F197" s="0" t="inlineStr">
        <is>
          <t xml:space="preserve">SONIC ENCLOSURES LIMITED</t>
        </is>
      </c>
      <c r="G197" s="0" t="inlineStr">
        <is>
          <t xml:space="preserve">YSK5RH6YV5N6</t>
        </is>
      </c>
      <c r="H197" s="4">
        <v>0.1238</v>
      </c>
      <c r="I197" s="0" t="inlineStr">
        <is>
          <t xml:space="preserve">2025-02-24</t>
        </is>
      </c>
      <c r="J197" s="0" t="inlineStr">
        <is>
          <t xml:space="preserve">autonomy_software</t>
        </is>
      </c>
      <c r="K197" s="4">
        <v>0.8</v>
      </c>
      <c r="L197" s="0" t="inlineStr">
        <is>
          <t xml:space="preserve">SHIPPING CONTAINER, 20', DOUBLE EAGLE for underwater program</t>
        </is>
      </c>
    </row>
    <row r="198">
      <c r="B198" s="0" t="inlineStr">
        <is>
          <t xml:space="preserve">N0002424C2204</t>
        </is>
      </c>
      <c r="C198" s="0" t="inlineStr">
        <is>
          <t xml:space="preserve">SAAB, INC</t>
        </is>
      </c>
      <c r="D198" s="0" t="inlineStr">
        <is>
          <t xml:space="preserve">H5FMLSGM29L1</t>
        </is>
      </c>
      <c r="E198" s="0" t="inlineStr">
        <is>
          <t xml:space="preserve">YSK5RH6YV5N6</t>
        </is>
      </c>
      <c r="F198" s="0" t="inlineStr">
        <is>
          <t xml:space="preserve">SONIC ENCLOSURES LIMITED</t>
        </is>
      </c>
      <c r="G198" s="0" t="inlineStr">
        <is>
          <t xml:space="preserve">YSK5RH6YV5N6</t>
        </is>
      </c>
      <c r="H198" s="4">
        <v>0.1238</v>
      </c>
      <c r="I198" s="0" t="inlineStr">
        <is>
          <t xml:space="preserve">2024-08-29</t>
        </is>
      </c>
      <c r="J198" s="0" t="inlineStr">
        <is>
          <t xml:space="preserve">autonomy_software</t>
        </is>
      </c>
      <c r="K198" s="4">
        <v>0.5</v>
      </c>
      <c r="L198" s="0" t="inlineStr">
        <is>
          <t xml:space="preserve">SHIPPING CONTAINER, 20', WORKSHOP, DOUBLE EAGLE</t>
        </is>
      </c>
    </row>
    <row r="199">
      <c r="B199" s="0" t="inlineStr">
        <is>
          <t xml:space="preserve">N0002419C6402</t>
        </is>
      </c>
      <c r="C199" s="0" t="inlineStr">
        <is>
          <t xml:space="preserve">TELEDYNE BROWN ENGINEERING, INC.</t>
        </is>
      </c>
      <c r="D199" s="0" t="inlineStr">
        <is>
          <t xml:space="preserve">FBRSJB6V4LW8</t>
        </is>
      </c>
      <c r="E199" s="0" t="inlineStr">
        <is>
          <t xml:space="preserve">N5HGL94UC1D6</t>
        </is>
      </c>
      <c r="F199" s="0" t="inlineStr">
        <is>
          <t xml:space="preserve">PIERCE ALUMINUM COMPANY, INC.</t>
        </is>
      </c>
      <c r="G199" s="0" t="inlineStr">
        <is>
          <t xml:space="preserve">N5HGL94UC1D6</t>
        </is>
      </c>
      <c r="H199" s="4">
        <v>0.121851</v>
      </c>
      <c r="I199" s="0" t="inlineStr">
        <is>
          <t xml:space="preserve">2020-04-29</t>
        </is>
      </c>
      <c r="J199" s="0" t="inlineStr">
        <is>
          <t xml:space="preserve">platform_hull</t>
        </is>
      </c>
      <c r="K199" s="4">
        <v>8.7</v>
      </c>
      <c r="L199" s="0" t="inlineStr">
        <is>
          <t xml:space="preserve">Engineering materials</t>
        </is>
      </c>
    </row>
    <row r="200">
      <c r="B200" s="0" t="inlineStr">
        <is>
          <t xml:space="preserve">N0002419C6402</t>
        </is>
      </c>
      <c r="C200" s="0" t="inlineStr">
        <is>
          <t xml:space="preserve">TELEDYNE BROWN ENGINEERING, INC.</t>
        </is>
      </c>
      <c r="D200" s="0" t="inlineStr">
        <is>
          <t xml:space="preserve">FBRSJB6V4LW8</t>
        </is>
      </c>
      <c r="E200" s="0" t="inlineStr">
        <is>
          <t xml:space="preserve">LKXHMX1K3AC5</t>
        </is>
      </c>
      <c r="F200" s="0" t="inlineStr">
        <is>
          <t xml:space="preserve">NATIONAL INSTRUMENTS CORPORATION</t>
        </is>
      </c>
      <c r="G200" s="0" t="inlineStr">
        <is>
          <t xml:space="preserve">LKXHMX1K3AC5</t>
        </is>
      </c>
      <c r="H200" s="4">
        <v>0.12149708</v>
      </c>
      <c r="I200" s="0" t="inlineStr">
        <is>
          <t xml:space="preserve">2020-12-16</t>
        </is>
      </c>
      <c r="J200" s="0" t="inlineStr">
        <is>
          <t xml:space="preserve">propulsion_power</t>
        </is>
      </c>
      <c r="K200" s="4">
        <v>0.7</v>
      </c>
      <c r="L200" s="0" t="inlineStr">
        <is>
          <t xml:space="preserve">Engineering materials</t>
        </is>
      </c>
    </row>
    <row r="201">
      <c r="B201" s="0" t="inlineStr">
        <is>
          <t xml:space="preserve">N0002424C2204</t>
        </is>
      </c>
      <c r="C201" s="0" t="inlineStr">
        <is>
          <t xml:space="preserve">SAAB, INC</t>
        </is>
      </c>
      <c r="D201" s="0" t="inlineStr">
        <is>
          <t xml:space="preserve">H5FMLSGM29L1</t>
        </is>
      </c>
      <c r="E201" s="0" t="inlineStr">
        <is>
          <t xml:space="preserve">ZD7EPRBLAAH5</t>
        </is>
      </c>
      <c r="F201" s="0" t="inlineStr">
        <is>
          <t xml:space="preserve">SAAB AKTIEBOLAG</t>
        </is>
      </c>
      <c r="G201" s="0" t="inlineStr">
        <is>
          <t xml:space="preserve">K2R8PH1GL627</t>
        </is>
      </c>
      <c r="H201" s="4">
        <v>0.11902639</v>
      </c>
      <c r="I201" s="0" t="inlineStr">
        <is>
          <t xml:space="preserve">2025-02-21</t>
        </is>
      </c>
      <c r="J201" s="0" t="inlineStr">
        <is>
          <t xml:space="preserve">other_unclassified</t>
        </is>
      </c>
      <c r="K201" s="4">
        <v>0.9</v>
      </c>
      <c r="L201" s="0" t="inlineStr">
        <is>
          <t xml:space="preserve">PCU Set MkII v2 for underwater program</t>
        </is>
      </c>
    </row>
    <row r="202">
      <c r="B202" s="0" t="inlineStr">
        <is>
          <t xml:space="preserve">N6600124F1105</t>
        </is>
      </c>
      <c r="C202" s="0" t="inlineStr">
        <is>
          <t xml:space="preserve">SCIENCE APPLICATIONS INTERNATIONAL CORPORATION</t>
        </is>
      </c>
      <c r="D202" s="0" t="inlineStr">
        <is>
          <t xml:space="preserve">MMLKPW9JLX64</t>
        </is>
      </c>
      <c r="E202" s="0" t="inlineStr">
        <is>
          <t xml:space="preserve">E5DNKR1BPQR6</t>
        </is>
      </c>
      <c r="F202" s="0" t="inlineStr">
        <is>
          <t xml:space="preserve">Silvus Technologies, Inc.</t>
        </is>
      </c>
      <c r="G202" s="0" t="inlineStr">
        <is>
          <t xml:space="preserve">E5DNKR1BPQR6</t>
        </is>
      </c>
      <c r="H202" s="4">
        <v>0.11812149999999999</v>
      </c>
      <c r="I202" s="0" t="inlineStr">
        <is>
          <t xml:space="preserve">2026-02-18</t>
        </is>
      </c>
      <c r="J202" s="0" t="inlineStr">
        <is>
          <t xml:space="preserve">c2_comms</t>
        </is>
      </c>
      <c r="K202" s="4">
        <v>0.7</v>
      </c>
      <c r="L202" s="0" t="inlineStr">
        <is>
          <t xml:space="preserve">Silvus Streamcaster Radios and Peripherals</t>
        </is>
      </c>
    </row>
    <row r="203">
      <c r="B203" s="0" t="inlineStr">
        <is>
          <t xml:space="preserve">N0002424C2204</t>
        </is>
      </c>
      <c r="C203" s="0" t="inlineStr">
        <is>
          <t xml:space="preserve">SAAB, INC</t>
        </is>
      </c>
      <c r="D203" s="0" t="inlineStr">
        <is>
          <t xml:space="preserve">H5FMLSGM29L1</t>
        </is>
      </c>
      <c r="E203" s="0" t="inlineStr">
        <is>
          <t xml:space="preserve">NQEMKX3MRBV6</t>
        </is>
      </c>
      <c r="F203" s="0" t="inlineStr">
        <is>
          <t xml:space="preserve">SAAB DYNAMICS AKTIEBOLAG</t>
        </is>
      </c>
      <c r="G203" s="0" t="inlineStr">
        <is>
          <t xml:space="preserve">NQEMKX3MRBV6</t>
        </is>
      </c>
      <c r="H203" s="4">
        <v>0.11786161999999999</v>
      </c>
      <c r="I203" s="0" t="inlineStr">
        <is>
          <t xml:space="preserve">2025-03-04</t>
        </is>
      </c>
      <c r="J203" s="0" t="inlineStr">
        <is>
          <t xml:space="preserve">other_unclassified</t>
        </is>
      </c>
      <c r="K203" s="4">
        <v>0.6</v>
      </c>
      <c r="L203" s="0" t="inlineStr">
        <is>
          <t xml:space="preserve">Cell module 12-cell HE for underwater program</t>
        </is>
      </c>
    </row>
    <row r="204">
      <c r="B204" s="0" t="inlineStr">
        <is>
          <t xml:space="preserve">N0001421C1009</t>
        </is>
      </c>
      <c r="C204" s="0" t="inlineStr">
        <is>
          <t xml:space="preserve">RAYTHEON COMPANY</t>
        </is>
      </c>
      <c r="D204" s="0" t="inlineStr">
        <is>
          <t xml:space="preserve">VTEWM5QSE598</t>
        </is>
      </c>
      <c r="E204" s="0" t="inlineStr">
        <is>
          <t xml:space="preserve">EZMHKCRK1F13</t>
        </is>
      </c>
      <c r="F204" s="0" t="inlineStr">
        <is>
          <t xml:space="preserve">TRILLIUM ENGINEERING LLC</t>
        </is>
      </c>
      <c r="G204" s="0" t="inlineStr">
        <is>
          <t xml:space="preserve">EZMHKCRK1F13</t>
        </is>
      </c>
      <c r="H204" s="4">
        <v>0.1152</v>
      </c>
      <c r="I204" s="0" t="inlineStr">
        <is>
          <t xml:space="preserve">2020-01-27</t>
        </is>
      </c>
      <c r="J204" s="0" t="inlineStr">
        <is>
          <t xml:space="preserve">sensors_payload</t>
        </is>
      </c>
      <c r="K204" s="4">
        <v>50.9</v>
      </c>
      <c r="L204" s="0" t="inlineStr">
        <is>
          <t xml:space="preserve">CCD Cameras.</t>
        </is>
      </c>
    </row>
    <row r="205">
      <c r="B205" s="0" t="inlineStr">
        <is>
          <t xml:space="preserve">N0001421C1009</t>
        </is>
      </c>
      <c r="C205" s="0" t="inlineStr">
        <is>
          <t xml:space="preserve">RAYTHEON COMPANY</t>
        </is>
      </c>
      <c r="D205" s="0" t="inlineStr">
        <is>
          <t xml:space="preserve">VTEWM5QSE598</t>
        </is>
      </c>
      <c r="E205" s="0" t="inlineStr">
        <is>
          <t xml:space="preserve">EZMHKCRK1F13</t>
        </is>
      </c>
      <c r="F205" s="0" t="inlineStr">
        <is>
          <t xml:space="preserve">TRILLIUM ENGINEERING LLC</t>
        </is>
      </c>
      <c r="G205" s="0" t="inlineStr">
        <is>
          <t xml:space="preserve">EZMHKCRK1F13</t>
        </is>
      </c>
      <c r="H205" s="4">
        <v>0.1152</v>
      </c>
      <c r="I205" s="0" t="inlineStr">
        <is>
          <t xml:space="preserve">2020-01-27</t>
        </is>
      </c>
      <c r="J205" s="0" t="inlineStr">
        <is>
          <t xml:space="preserve">sensors_payload</t>
        </is>
      </c>
      <c r="K205" s="4">
        <v>38.5</v>
      </c>
      <c r="L205" s="0" t="inlineStr">
        <is>
          <t xml:space="preserve">CCD Cameras.</t>
        </is>
      </c>
    </row>
    <row r="206">
      <c r="B206" s="0" t="inlineStr">
        <is>
          <t xml:space="preserve">N0002419C6402</t>
        </is>
      </c>
      <c r="C206" s="0" t="inlineStr">
        <is>
          <t xml:space="preserve">TELEDYNE BROWN ENGINEERING, INC.</t>
        </is>
      </c>
      <c r="D206" s="0" t="inlineStr">
        <is>
          <t xml:space="preserve">FBRSJB6V4LW8</t>
        </is>
      </c>
      <c r="E206" s="0" t="inlineStr">
        <is>
          <t xml:space="preserve">RKXHNMJD8639</t>
        </is>
      </c>
      <c r="F206" s="0" t="inlineStr">
        <is>
          <t xml:space="preserve">WHITESBURG ELECTRONICS, INC.</t>
        </is>
      </c>
      <c r="G206" s="0" t="inlineStr">
        <is>
          <t xml:space="preserve">RKXHNMJD8639</t>
        </is>
      </c>
      <c r="H206" s="4">
        <v>0.11379639999999999</v>
      </c>
      <c r="I206" s="0" t="inlineStr">
        <is>
          <t xml:space="preserve">2020-04-08</t>
        </is>
      </c>
      <c r="J206" s="0" t="inlineStr">
        <is>
          <t xml:space="preserve">propulsion_power</t>
        </is>
      </c>
      <c r="K206" s="4">
        <v>9.4</v>
      </c>
      <c r="L206" s="0" t="inlineStr">
        <is>
          <t xml:space="preserve">Engineering materials</t>
        </is>
      </c>
    </row>
    <row r="207">
      <c r="B207" s="0" t="inlineStr">
        <is>
          <t xml:space="preserve">N6660418F3022</t>
        </is>
      </c>
      <c r="C207" s="0" t="inlineStr">
        <is>
          <t xml:space="preserve">SERCO-IPS CORPORATION</t>
        </is>
      </c>
      <c r="D207" s="0" t="inlineStr">
        <is>
          <t xml:space="preserve">RGEBPDP8RV96</t>
        </is>
      </c>
      <c r="E207" s="0" t="inlineStr">
        <is>
          <t xml:space="preserve">M3WTFLL92KZ3</t>
        </is>
      </c>
      <c r="F207" s="0" t="inlineStr">
        <is>
          <t xml:space="preserve">DBV TECHNOLOGY, LLC</t>
        </is>
      </c>
      <c r="G207" s="0" t="inlineStr">
        <is>
          <t xml:space="preserve">M3WTFLL92KZ3</t>
        </is>
      </c>
      <c r="H207" s="4">
        <v>0.11249999999999999</v>
      </c>
      <c r="I207" s="0" t="inlineStr">
        <is>
          <t xml:space="preserve">2018-12-28</t>
        </is>
      </c>
      <c r="J207" s="0" t="inlineStr">
        <is>
          <t xml:space="preserve">other_unclassified</t>
        </is>
      </c>
      <c r="K207" s="4">
        <v>58.2</v>
      </c>
      <c r="L207" s="0" t="inlineStr">
        <is>
          <t xml:space="preserve">Services</t>
        </is>
      </c>
    </row>
    <row r="208">
      <c r="B208" s="0" t="inlineStr">
        <is>
          <t xml:space="preserve">N6133115C0025</t>
        </is>
      </c>
      <c r="C208" s="0" t="inlineStr">
        <is>
          <t xml:space="preserve">Y-TECH SERVICES, INC.</t>
        </is>
      </c>
      <c r="D208" s="0" t="inlineStr">
        <is>
          <t xml:space="preserve">P62MLNFBEZA9</t>
        </is>
      </c>
      <c r="E208" s="0" t="inlineStr">
        <is>
          <t xml:space="preserve">PPNLYGMKYMH5</t>
        </is>
      </c>
      <c r="F208" s="0" t="inlineStr">
        <is>
          <t xml:space="preserve">GREAT EASTERN GROUP, INC.</t>
        </is>
      </c>
      <c r="G208" s="0" t="inlineStr">
        <is>
          <t xml:space="preserve">PPNLYGMKYMH5</t>
        </is>
      </c>
      <c r="H208" s="4">
        <v>0.110731</v>
      </c>
      <c r="I208" s="0" t="inlineStr">
        <is>
          <t xml:space="preserve">2015-10-20</t>
        </is>
      </c>
      <c r="J208" s="0" t="inlineStr">
        <is>
          <t xml:space="preserve">other_unclassified</t>
        </is>
      </c>
      <c r="K208" s="4">
        <v>4.2</v>
      </c>
      <c r="L208" s="0" t="inlineStr">
        <is>
          <t xml:space="preserve">support</t>
        </is>
      </c>
    </row>
    <row r="209">
      <c r="B209" s="0" t="inlineStr">
        <is>
          <t xml:space="preserve">N6600120F0254</t>
        </is>
      </c>
      <c r="C209" s="0" t="inlineStr">
        <is>
          <t xml:space="preserve">OASIS SYSTEMS, LLC</t>
        </is>
      </c>
      <c r="D209" s="0" t="inlineStr">
        <is>
          <t xml:space="preserve">MST2Z1EG1HV7</t>
        </is>
      </c>
      <c r="E209" s="0" t="inlineStr">
        <is>
          <t xml:space="preserve">TJCDPVN6RNP7</t>
        </is>
      </c>
      <c r="F209" s="0" t="inlineStr">
        <is>
          <t xml:space="preserve">Dell Technologies Inc.</t>
        </is>
      </c>
      <c r="G209" s="0" t="inlineStr">
        <is>
          <t xml:space="preserve">HJLSY7RZV8X6</t>
        </is>
      </c>
      <c r="H209" s="4">
        <v>0.11069088</v>
      </c>
      <c r="I209" s="0" t="inlineStr">
        <is>
          <t xml:space="preserve">2020-06-16</t>
        </is>
      </c>
      <c r="J209" s="0" t="inlineStr">
        <is>
          <t xml:space="preserve">other_unclassified</t>
        </is>
      </c>
      <c r="K209" s="4">
        <v>0.7</v>
      </c>
      <c r="L209" s="0" t="inlineStr">
        <is>
          <t xml:space="preserve">Support of the UMSS program</t>
        </is>
      </c>
    </row>
    <row r="210">
      <c r="B210" s="0" t="inlineStr">
        <is>
          <t xml:space="preserve">N0002419C6402</t>
        </is>
      </c>
      <c r="C210" s="0" t="inlineStr">
        <is>
          <t xml:space="preserve">TELEDYNE BROWN ENGINEERING, INC.</t>
        </is>
      </c>
      <c r="D210" s="0" t="inlineStr">
        <is>
          <t xml:space="preserve">FBRSJB6V4LW8</t>
        </is>
      </c>
      <c r="E210" s="0" t="inlineStr">
        <is>
          <t xml:space="preserve">RKXHNMJD8639</t>
        </is>
      </c>
      <c r="F210" s="0" t="inlineStr">
        <is>
          <t xml:space="preserve">WHITESBURG ELECTRONICS, INC.</t>
        </is>
      </c>
      <c r="G210" s="0" t="inlineStr">
        <is>
          <t xml:space="preserve">RKXHNMJD8639</t>
        </is>
      </c>
      <c r="H210" s="4">
        <v>0.1082806</v>
      </c>
      <c r="I210" s="0" t="inlineStr">
        <is>
          <t xml:space="preserve">2022-03-30</t>
        </is>
      </c>
      <c r="J210" s="0" t="inlineStr">
        <is>
          <t xml:space="preserve">propulsion_power</t>
        </is>
      </c>
      <c r="K210" s="4">
        <v>0.2</v>
      </c>
      <c r="L210" s="0" t="inlineStr">
        <is>
          <t xml:space="preserve">Engineering materials/services</t>
        </is>
      </c>
    </row>
    <row r="211">
      <c r="B211" s="0" t="inlineStr">
        <is>
          <t xml:space="preserve">N0002419C6402</t>
        </is>
      </c>
      <c r="C211" s="0" t="inlineStr">
        <is>
          <t xml:space="preserve">TELEDYNE BROWN ENGINEERING, INC.</t>
        </is>
      </c>
      <c r="D211" s="0" t="inlineStr">
        <is>
          <t xml:space="preserve">FBRSJB6V4LW8</t>
        </is>
      </c>
      <c r="E211" s="0" t="inlineStr">
        <is>
          <t xml:space="preserve">CVYVRHJNKD96</t>
        </is>
      </c>
      <c r="F211" s="0" t="inlineStr">
        <is>
          <t xml:space="preserve">SAMTECH CORP.</t>
        </is>
      </c>
      <c r="G211" s="0" t="inlineStr">
        <is>
          <t xml:space="preserve">CVYVRHJNKD96</t>
        </is>
      </c>
      <c r="H211" s="4">
        <v>0.10716488</v>
      </c>
      <c r="I211" s="0" t="inlineStr">
        <is>
          <t xml:space="preserve">2021-04-22</t>
        </is>
      </c>
      <c r="J211" s="0" t="inlineStr">
        <is>
          <t xml:space="preserve">propulsion_power</t>
        </is>
      </c>
      <c r="K211" s="4">
        <v>0.4</v>
      </c>
      <c r="L211" s="0" t="inlineStr">
        <is>
          <t xml:space="preserve">Engineering services/materials</t>
        </is>
      </c>
    </row>
    <row r="212">
      <c r="B212" s="0" t="inlineStr">
        <is>
          <t xml:space="preserve">N0002424C2204</t>
        </is>
      </c>
      <c r="C212" s="0" t="inlineStr">
        <is>
          <t xml:space="preserve">SAAB, INC</t>
        </is>
      </c>
      <c r="D212" s="0" t="inlineStr">
        <is>
          <t xml:space="preserve">H5FMLSGM29L1</t>
        </is>
      </c>
      <c r="E212" s="0" t="inlineStr">
        <is>
          <t xml:space="preserve">NQEMKX3MRBV6</t>
        </is>
      </c>
      <c r="F212" s="0" t="inlineStr">
        <is>
          <t xml:space="preserve">SAAB DYNAMICS AKTIEBOLAG</t>
        </is>
      </c>
      <c r="G212" s="0" t="inlineStr">
        <is>
          <t xml:space="preserve">NQEMKX3MRBV6</t>
        </is>
      </c>
      <c r="H212" s="4">
        <v>0.10587437</v>
      </c>
      <c r="I212" s="0" t="inlineStr">
        <is>
          <t xml:space="preserve">2025-01-07</t>
        </is>
      </c>
      <c r="J212" s="0" t="inlineStr">
        <is>
          <t xml:space="preserve">other_unclassified</t>
        </is>
      </c>
      <c r="K212" s="4">
        <v>0.3</v>
      </c>
      <c r="L212" s="0" t="inlineStr">
        <is>
          <t xml:space="preserve">Cell module 12-cell HE</t>
        </is>
      </c>
    </row>
    <row r="213">
      <c r="B213" s="0" t="inlineStr">
        <is>
          <t xml:space="preserve">N0001419C1020</t>
        </is>
      </c>
      <c r="C213" s="0" t="inlineStr">
        <is>
          <t xml:space="preserve">LEIDOS, INC.</t>
        </is>
      </c>
      <c r="D213" s="0" t="inlineStr">
        <is>
          <t xml:space="preserve">KTMAJCY6JXM3</t>
        </is>
      </c>
      <c r="E213" s="0" t="inlineStr">
        <is>
          <t xml:space="preserve">M3MLVMK9XVV3</t>
        </is>
      </c>
      <c r="F213" s="0" t="inlineStr">
        <is>
          <t xml:space="preserve">VECTOR CONTROLS, INC.</t>
        </is>
      </c>
      <c r="G213" s="0" t="inlineStr">
        <is>
          <t xml:space="preserve">M3MLVMK9XVV3</t>
        </is>
      </c>
      <c r="H213" s="4">
        <v>0.105321</v>
      </c>
      <c r="I213" s="0" t="inlineStr">
        <is>
          <t xml:space="preserve">2020-03-31</t>
        </is>
      </c>
      <c r="J213" s="0" t="inlineStr">
        <is>
          <t xml:space="preserve">other_unclassified</t>
        </is>
      </c>
      <c r="K213" s="4">
        <v>12.5</v>
      </c>
      <c r="L213" s="0" t="inlineStr">
        <is>
          <t xml:space="preserve">PROCURED SERVICES BETWEEN 3/1/2021-3/30/2021 IN SUPPORT OF CONTRACT SOW.</t>
        </is>
      </c>
    </row>
    <row r="214">
      <c r="B214" s="0" t="inlineStr">
        <is>
          <t xml:space="preserve">N0002419C6402</t>
        </is>
      </c>
      <c r="C214" s="0" t="inlineStr">
        <is>
          <t xml:space="preserve">TELEDYNE BROWN ENGINEERING, INC.</t>
        </is>
      </c>
      <c r="D214" s="0" t="inlineStr">
        <is>
          <t xml:space="preserve">FBRSJB6V4LW8</t>
        </is>
      </c>
      <c r="E214" s="0" t="inlineStr">
        <is>
          <t xml:space="preserve">KHMVPKYKSKY9</t>
        </is>
      </c>
      <c r="F214" s="0" t="inlineStr">
        <is>
          <t xml:space="preserve">COPE PLASTICS, INC.</t>
        </is>
      </c>
      <c r="G214" s="0" t="inlineStr">
        <is>
          <t xml:space="preserve">KHMVPKYKSKY9</t>
        </is>
      </c>
      <c r="H214" s="4">
        <v>0.1051896</v>
      </c>
      <c r="I214" s="0" t="inlineStr">
        <is>
          <t xml:space="preserve">2023-10-11</t>
        </is>
      </c>
      <c r="J214" s="0" t="inlineStr">
        <is>
          <t xml:space="preserve">propulsion_power</t>
        </is>
      </c>
      <c r="K214" s="4">
        <v>1.8</v>
      </c>
      <c r="L214" s="0" t="inlineStr">
        <is>
          <t xml:space="preserve">Engineering services/materials</t>
        </is>
      </c>
    </row>
    <row r="215">
      <c r="B215" s="0" t="inlineStr">
        <is>
          <t xml:space="preserve">N0002419C6402</t>
        </is>
      </c>
      <c r="C215" s="0" t="inlineStr">
        <is>
          <t xml:space="preserve">TELEDYNE BROWN ENGINEERING, INC.</t>
        </is>
      </c>
      <c r="D215" s="0" t="inlineStr">
        <is>
          <t xml:space="preserve">FBRSJB6V4LW8</t>
        </is>
      </c>
      <c r="E215" s="0" t="inlineStr">
        <is>
          <t xml:space="preserve">XNHRXR2HTXA8</t>
        </is>
      </c>
      <c r="F215" s="0" t="inlineStr">
        <is>
          <t xml:space="preserve">BEAUFORT COMPOSITE TECHNOLOGIES, INC</t>
        </is>
      </c>
      <c r="G215" s="0" t="inlineStr">
        <is>
          <t xml:space="preserve">XNHRXR2HTXA8</t>
        </is>
      </c>
      <c r="H215" s="4">
        <v>0.10489</v>
      </c>
      <c r="I215" s="0" t="inlineStr">
        <is>
          <t xml:space="preserve">2022-05-10</t>
        </is>
      </c>
      <c r="J215" s="0" t="inlineStr">
        <is>
          <t xml:space="preserve">platform_hull</t>
        </is>
      </c>
      <c r="K215" s="4">
        <v>0.8</v>
      </c>
      <c r="L215" s="0" t="inlineStr">
        <is>
          <t xml:space="preserve">Engineering services/materials</t>
        </is>
      </c>
    </row>
    <row r="216">
      <c r="B216" s="0" t="inlineStr">
        <is>
          <t xml:space="preserve">N0002419C6402</t>
        </is>
      </c>
      <c r="C216" s="0" t="inlineStr">
        <is>
          <t xml:space="preserve">TELEDYNE BROWN ENGINEERING, INC.</t>
        </is>
      </c>
      <c r="D216" s="0" t="inlineStr">
        <is>
          <t xml:space="preserve">FBRSJB6V4LW8</t>
        </is>
      </c>
      <c r="E216" s="0" t="inlineStr">
        <is>
          <t xml:space="preserve">CJGFRMQ3CDM4</t>
        </is>
      </c>
      <c r="F216" s="0" t="inlineStr">
        <is>
          <t xml:space="preserve">APEX SPECIALTY METALS, INC.</t>
        </is>
      </c>
      <c r="G216" s="0" t="inlineStr">
        <is>
          <t xml:space="preserve">CJGFRMQ3CDM4</t>
        </is>
      </c>
      <c r="H216" s="4">
        <v>0.10404</v>
      </c>
      <c r="I216" s="0" t="inlineStr">
        <is>
          <t xml:space="preserve">2024-03-19</t>
        </is>
      </c>
      <c r="J216" s="0" t="inlineStr">
        <is>
          <t xml:space="preserve">propulsion_power</t>
        </is>
      </c>
      <c r="K216" s="4">
        <v>1.0</v>
      </c>
      <c r="L216" s="0" t="inlineStr">
        <is>
          <t xml:space="preserve">Engineering services/materials</t>
        </is>
      </c>
    </row>
    <row r="217">
      <c r="B217" s="0" t="inlineStr">
        <is>
          <t xml:space="preserve">N6660418F3022</t>
        </is>
      </c>
      <c r="C217" s="0" t="inlineStr">
        <is>
          <t xml:space="preserve">SERCO-IPS CORPORATION</t>
        </is>
      </c>
      <c r="D217" s="0" t="inlineStr">
        <is>
          <t xml:space="preserve">RGEBPDP8RV96</t>
        </is>
      </c>
      <c r="E217" s="0" t="inlineStr">
        <is>
          <t xml:space="preserve">E4G7PDVYZS83</t>
        </is>
      </c>
      <c r="F217" s="0" t="inlineStr">
        <is>
          <t xml:space="preserve">PURVIS SYSTEMS INC</t>
        </is>
      </c>
      <c r="G217" s="0" t="inlineStr">
        <is>
          <t xml:space="preserve">XM6AWNS3GKW9</t>
        </is>
      </c>
      <c r="H217" s="4">
        <v>0.10355444999999999</v>
      </c>
      <c r="I217" s="0" t="inlineStr">
        <is>
          <t xml:space="preserve">2019-01-21</t>
        </is>
      </c>
      <c r="J217" s="0" t="inlineStr">
        <is>
          <t xml:space="preserve">other_unclassified</t>
        </is>
      </c>
      <c r="K217" s="4">
        <v>64.4</v>
      </c>
      <c r="L217" s="0" t="inlineStr">
        <is>
          <t xml:space="preserve">Services</t>
        </is>
      </c>
    </row>
    <row r="218">
      <c r="B218" s="0" t="inlineStr">
        <is>
          <t xml:space="preserve">N6660418F3022</t>
        </is>
      </c>
      <c r="C218" s="0" t="inlineStr">
        <is>
          <t xml:space="preserve">SERCO-IPS CORPORATION</t>
        </is>
      </c>
      <c r="D218" s="0" t="inlineStr">
        <is>
          <t xml:space="preserve">RGEBPDP8RV96</t>
        </is>
      </c>
      <c r="E218" s="0" t="inlineStr">
        <is>
          <t xml:space="preserve">PZGKKRM4AK23</t>
        </is>
      </c>
      <c r="F218" s="0" t="inlineStr">
        <is>
          <t xml:space="preserve">PURVIS SYSTEMS INCORPORATED</t>
        </is>
      </c>
      <c r="G218" s="0" t="inlineStr">
        <is>
          <t xml:space="preserve">XM6AWNS3GKW9</t>
        </is>
      </c>
      <c r="H218" s="4">
        <v>0.10299</v>
      </c>
      <c r="I218" s="0" t="inlineStr">
        <is>
          <t xml:space="preserve">2019-01-21</t>
        </is>
      </c>
      <c r="J218" s="0" t="inlineStr">
        <is>
          <t xml:space="preserve">other_unclassified</t>
        </is>
      </c>
      <c r="K218" s="4">
        <v>63.4</v>
      </c>
      <c r="L218" s="0" t="inlineStr">
        <is>
          <t xml:space="preserve">Services</t>
        </is>
      </c>
    </row>
    <row r="219">
      <c r="B219" s="0" t="inlineStr">
        <is>
          <t xml:space="preserve">N0002423C6308</t>
        </is>
      </c>
      <c r="C219" s="0" t="inlineStr">
        <is>
          <t xml:space="preserve">HII UNMANNED SYSTEMS, INC</t>
        </is>
      </c>
      <c r="D219" s="0" t="inlineStr">
        <is>
          <t xml:space="preserve">WN18KN7KQLG9</t>
        </is>
      </c>
      <c r="E219" s="0" t="inlineStr">
        <is>
          <t xml:space="preserve">SQ2DSCE69F15</t>
        </is>
      </c>
      <c r="F219" s="0" t="inlineStr">
        <is>
          <t xml:space="preserve">TELEDYNE TECHNOLOGIES INCORPORATED</t>
        </is>
      </c>
      <c r="G219" s="0" t="inlineStr">
        <is>
          <t xml:space="preserve">VMLJT4VZGWC5</t>
        </is>
      </c>
      <c r="H219" s="4">
        <v>0.10089727999999999</v>
      </c>
      <c r="I219" s="0" t="inlineStr">
        <is>
          <t xml:space="preserve">2025-09-18</t>
        </is>
      </c>
      <c r="J219" s="0" t="inlineStr">
        <is>
          <t xml:space="preserve">autonomy_software</t>
        </is>
      </c>
      <c r="K219" s="4">
        <v>1.4</v>
      </c>
      <c r="L219" s="0" t="inlineStr">
        <is>
          <t xml:space="preserve">Search, Detection, Navigation, Guidance, Aeronautical, and Nautical System and Instrument Manufacturing</t>
        </is>
      </c>
    </row>
    <row r="220">
      <c r="B220" s="0" t="inlineStr">
        <is>
          <t xml:space="preserve">N0002419C6402</t>
        </is>
      </c>
      <c r="C220" s="0" t="inlineStr">
        <is>
          <t xml:space="preserve">TELEDYNE BROWN ENGINEERING, INC.</t>
        </is>
      </c>
      <c r="D220" s="0" t="inlineStr">
        <is>
          <t xml:space="preserve">FBRSJB6V4LW8</t>
        </is>
      </c>
      <c r="E220" s="0" t="inlineStr">
        <is>
          <t xml:space="preserve">CJGFRMQ3CDM4</t>
        </is>
      </c>
      <c r="F220" s="0" t="inlineStr">
        <is>
          <t xml:space="preserve">APEX SPECIALTY METALS, INC.</t>
        </is>
      </c>
      <c r="G220" s="0" t="inlineStr">
        <is>
          <t xml:space="preserve">CJGFRMQ3CDM4</t>
        </is>
      </c>
      <c r="H220" s="4">
        <v>0.10035999999999999</v>
      </c>
      <c r="I220" s="0" t="inlineStr">
        <is>
          <t xml:space="preserve">2021-10-22</t>
        </is>
      </c>
      <c r="J220" s="0" t="inlineStr">
        <is>
          <t xml:space="preserve">propulsion_power</t>
        </is>
      </c>
      <c r="K220" s="4">
        <v>0.6</v>
      </c>
      <c r="L220" s="0" t="inlineStr">
        <is>
          <t xml:space="preserve">Engineering materials</t>
        </is>
      </c>
    </row>
    <row r="221">
      <c r="B221" s="0" t="inlineStr">
        <is>
          <t xml:space="preserve">N0002419C6402</t>
        </is>
      </c>
      <c r="C221" s="0" t="inlineStr">
        <is>
          <t xml:space="preserve">TELEDYNE BROWN ENGINEERING, INC.</t>
        </is>
      </c>
      <c r="D221" s="0" t="inlineStr">
        <is>
          <t xml:space="preserve">FBRSJB6V4LW8</t>
        </is>
      </c>
      <c r="E221" s="0" t="inlineStr">
        <is>
          <t xml:space="preserve">CJGFRMQ3CDM4</t>
        </is>
      </c>
      <c r="F221" s="0" t="inlineStr">
        <is>
          <t xml:space="preserve">APEX SPECIALTY METALS, INC.</t>
        </is>
      </c>
      <c r="G221" s="0" t="inlineStr">
        <is>
          <t xml:space="preserve">CJGFRMQ3CDM4</t>
        </is>
      </c>
      <c r="H221" s="4">
        <v>0.099072</v>
      </c>
      <c r="I221" s="0" t="inlineStr">
        <is>
          <t xml:space="preserve">2022-03-09</t>
        </is>
      </c>
      <c r="J221" s="0" t="inlineStr">
        <is>
          <t xml:space="preserve">propulsion_power</t>
        </is>
      </c>
      <c r="K221" s="4">
        <v>0.9</v>
      </c>
      <c r="L221" s="0" t="inlineStr">
        <is>
          <t xml:space="preserve">Engineering materials/services</t>
        </is>
      </c>
    </row>
    <row r="222">
      <c r="B222" s="0" t="inlineStr">
        <is>
          <t xml:space="preserve">N0002419C6402</t>
        </is>
      </c>
      <c r="C222" s="0" t="inlineStr">
        <is>
          <t xml:space="preserve">TELEDYNE BROWN ENGINEERING, INC.</t>
        </is>
      </c>
      <c r="D222" s="0" t="inlineStr">
        <is>
          <t xml:space="preserve">FBRSJB6V4LW8</t>
        </is>
      </c>
      <c r="E222" s="0" t="inlineStr">
        <is>
          <t xml:space="preserve">RKXHNMJD8639</t>
        </is>
      </c>
      <c r="F222" s="0" t="inlineStr">
        <is>
          <t xml:space="preserve">WHITESBURG ELECTRONICS INC</t>
        </is>
      </c>
      <c r="G222" s="0" t="inlineStr">
        <is>
          <t xml:space="preserve">RKXHNMJD8639</t>
        </is>
      </c>
      <c r="H222" s="4">
        <v>0.098234</v>
      </c>
      <c r="I222" s="0" t="inlineStr">
        <is>
          <t xml:space="preserve">2023-09-26</t>
        </is>
      </c>
      <c r="J222" s="0" t="inlineStr">
        <is>
          <t xml:space="preserve">propulsion_power</t>
        </is>
      </c>
      <c r="K222" s="4">
        <v>0.9</v>
      </c>
      <c r="L222" s="0" t="inlineStr">
        <is>
          <t xml:space="preserve">Engineering services/materials</t>
        </is>
      </c>
    </row>
    <row r="223">
      <c r="B223" s="0" t="inlineStr">
        <is>
          <t xml:space="preserve">N0002419C6402</t>
        </is>
      </c>
      <c r="C223" s="0" t="inlineStr">
        <is>
          <t xml:space="preserve">TELEDYNE BROWN ENGINEERING, INC.</t>
        </is>
      </c>
      <c r="D223" s="0" t="inlineStr">
        <is>
          <t xml:space="preserve">FBRSJB6V4LW8</t>
        </is>
      </c>
      <c r="E223" s="0" t="inlineStr">
        <is>
          <t xml:space="preserve">RKXHNMJD8639</t>
        </is>
      </c>
      <c r="F223" s="0" t="inlineStr">
        <is>
          <t xml:space="preserve">WHITESBURG ELECTRONICS INC</t>
        </is>
      </c>
      <c r="G223" s="0" t="inlineStr">
        <is>
          <t xml:space="preserve">RKXHNMJD8639</t>
        </is>
      </c>
      <c r="H223" s="4">
        <v>0.097332</v>
      </c>
      <c r="I223" s="0" t="inlineStr">
        <is>
          <t xml:space="preserve">2025-10-22</t>
        </is>
      </c>
      <c r="J223" s="0" t="inlineStr">
        <is>
          <t xml:space="preserve">propulsion_power</t>
        </is>
      </c>
      <c r="K223" s="4">
        <v>6.2</v>
      </c>
      <c r="L223" s="0" t="inlineStr">
        <is>
          <t xml:space="preserve">Engineering services /materials</t>
        </is>
      </c>
    </row>
    <row r="224">
      <c r="B224" s="0" t="inlineStr">
        <is>
          <t xml:space="preserve">N0002419C6402</t>
        </is>
      </c>
      <c r="C224" s="0" t="inlineStr">
        <is>
          <t xml:space="preserve">TELEDYNE BROWN ENGINEERING, INC.</t>
        </is>
      </c>
      <c r="D224" s="0" t="inlineStr">
        <is>
          <t xml:space="preserve">FBRSJB6V4LW8</t>
        </is>
      </c>
      <c r="E224" s="0" t="inlineStr">
        <is>
          <t xml:space="preserve">N5HGL94UC1D6</t>
        </is>
      </c>
      <c r="F224" s="0" t="inlineStr">
        <is>
          <t xml:space="preserve">PIERCE ALUMINUM COMPANY, INC.</t>
        </is>
      </c>
      <c r="G224" s="0" t="inlineStr">
        <is>
          <t xml:space="preserve">N5HGL94UC1D6</t>
        </is>
      </c>
      <c r="H224" s="4">
        <v>0.0971427</v>
      </c>
      <c r="I224" s="0" t="inlineStr">
        <is>
          <t xml:space="preserve">2020-10-23</t>
        </is>
      </c>
      <c r="J224" s="0" t="inlineStr">
        <is>
          <t xml:space="preserve">platform_hull</t>
        </is>
      </c>
      <c r="K224" s="4">
        <v>0.4</v>
      </c>
      <c r="L224" s="0" t="inlineStr">
        <is>
          <t xml:space="preserve">Engineering materials</t>
        </is>
      </c>
    </row>
    <row r="225">
      <c r="B225" s="0" t="inlineStr">
        <is>
          <t xml:space="preserve">N0002419C6402</t>
        </is>
      </c>
      <c r="C225" s="0" t="inlineStr">
        <is>
          <t xml:space="preserve">TELEDYNE BROWN ENGINEERING, INC.</t>
        </is>
      </c>
      <c r="D225" s="0" t="inlineStr">
        <is>
          <t xml:space="preserve">FBRSJB6V4LW8</t>
        </is>
      </c>
      <c r="E225" s="0" t="inlineStr">
        <is>
          <t xml:space="preserve">U8LNE16562Z5</t>
        </is>
      </c>
      <c r="F225" s="0" t="inlineStr">
        <is>
          <t xml:space="preserve">COMTECH TELECOMMUNICATIONS CORP.</t>
        </is>
      </c>
      <c r="G225" s="0" t="inlineStr">
        <is>
          <t xml:space="preserve">SPD8Y16LCPM6</t>
        </is>
      </c>
      <c r="H225" s="4">
        <v>0.096201</v>
      </c>
      <c r="I225" s="0" t="inlineStr">
        <is>
          <t xml:space="preserve">2020-10-15</t>
        </is>
      </c>
      <c r="J225" s="0" t="inlineStr">
        <is>
          <t xml:space="preserve">propulsion_power</t>
        </is>
      </c>
      <c r="K225" s="4">
        <v>0.7</v>
      </c>
      <c r="L225" s="0" t="inlineStr">
        <is>
          <t xml:space="preserve">Engineering materials</t>
        </is>
      </c>
    </row>
    <row r="226">
      <c r="B226" s="0" t="inlineStr">
        <is>
          <t xml:space="preserve">N0001421C1009</t>
        </is>
      </c>
      <c r="C226" s="0" t="inlineStr">
        <is>
          <t xml:space="preserve">RAYTHEON COMPANY</t>
        </is>
      </c>
      <c r="D226" s="0" t="inlineStr">
        <is>
          <t xml:space="preserve">VTEWM5QSE598</t>
        </is>
      </c>
      <c r="E226" s="0" t="inlineStr">
        <is>
          <t xml:space="preserve">N88VHXESBD88</t>
        </is>
      </c>
      <c r="F226" s="0" t="inlineStr">
        <is>
          <t xml:space="preserve">QUASAR POWER &amp; TECHNOLOGIES INC.</t>
        </is>
      </c>
      <c r="G226" s="0" t="inlineStr">
        <is>
          <t xml:space="preserve">N88VHXESBD88</t>
        </is>
      </c>
      <c r="H226" s="4">
        <v>0.0954</v>
      </c>
      <c r="I226" s="0" t="inlineStr">
        <is>
          <t xml:space="preserve">2022-09-20</t>
        </is>
      </c>
      <c r="J226" s="0" t="inlineStr">
        <is>
          <t xml:space="preserve">propulsion_power</t>
        </is>
      </c>
      <c r="K226" s="4">
        <v>0.7</v>
      </c>
      <c r="L226" s="0" t="inlineStr">
        <is>
          <t xml:space="preserve">Network Equipment.</t>
        </is>
      </c>
    </row>
    <row r="227">
      <c r="B227" s="0" t="inlineStr">
        <is>
          <t xml:space="preserve">N0001421C1009</t>
        </is>
      </c>
      <c r="C227" s="0" t="inlineStr">
        <is>
          <t xml:space="preserve">RAYTHEON COMPANY</t>
        </is>
      </c>
      <c r="D227" s="0" t="inlineStr">
        <is>
          <t xml:space="preserve">VTEWM5QSE598</t>
        </is>
      </c>
      <c r="E227" s="0" t="inlineStr">
        <is>
          <t xml:space="preserve">MFCTLU3MRXC8</t>
        </is>
      </c>
      <c r="F227" s="0" t="inlineStr">
        <is>
          <t xml:space="preserve">EMPIRICAL SYSTEMS AEROSPACE, INC.</t>
        </is>
      </c>
      <c r="G227" s="0" t="inlineStr">
        <is>
          <t xml:space="preserve">MFCTLU3MRXC8</t>
        </is>
      </c>
      <c r="H227" s="4">
        <v>0.09469999999999999</v>
      </c>
      <c r="I227" s="0" t="inlineStr">
        <is>
          <t xml:space="preserve">2021-04-06</t>
        </is>
      </c>
      <c r="J227" s="0" t="inlineStr">
        <is>
          <t xml:space="preserve">autonomy_software</t>
        </is>
      </c>
      <c r="K227" s="4">
        <v>16.8</v>
      </c>
      <c r="L227" s="0" t="inlineStr">
        <is>
          <t xml:space="preserve">FinsWings&amp;Boattails, Gen Structural Assys.</t>
        </is>
      </c>
    </row>
    <row r="228">
      <c r="B228" s="0" t="inlineStr">
        <is>
          <t xml:space="preserve">N0001421C1009</t>
        </is>
      </c>
      <c r="C228" s="0" t="inlineStr">
        <is>
          <t xml:space="preserve">RAYTHEON COMPANY</t>
        </is>
      </c>
      <c r="D228" s="0" t="inlineStr">
        <is>
          <t xml:space="preserve">VTEWM5QSE598</t>
        </is>
      </c>
      <c r="E228" s="0" t="inlineStr">
        <is>
          <t xml:space="preserve">U1ASEJJJKDP5</t>
        </is>
      </c>
      <c r="F228" s="0" t="inlineStr">
        <is>
          <t xml:space="preserve">EMPIRICAL SYSTEMS AEROSPACE INC</t>
        </is>
      </c>
      <c r="G228" s="0" t="inlineStr">
        <is>
          <t xml:space="preserve">MFCTLU3MRXC8</t>
        </is>
      </c>
      <c r="H228" s="4">
        <v>0.09469999999999999</v>
      </c>
      <c r="I228" s="0" t="inlineStr">
        <is>
          <t xml:space="preserve">2021-04-06</t>
        </is>
      </c>
      <c r="J228" s="0" t="inlineStr">
        <is>
          <t xml:space="preserve">autonomy_software</t>
        </is>
      </c>
      <c r="K228" s="4">
        <v>36.6</v>
      </c>
      <c r="L228" s="0" t="inlineStr">
        <is>
          <t xml:space="preserve">FinsWings&amp;Boattails, Gen Structural Assys.</t>
        </is>
      </c>
    </row>
    <row r="229">
      <c r="B229" s="0" t="inlineStr">
        <is>
          <t xml:space="preserve">N0001421C1009</t>
        </is>
      </c>
      <c r="C229" s="0" t="inlineStr">
        <is>
          <t xml:space="preserve">RAYTHEON COMPANY</t>
        </is>
      </c>
      <c r="D229" s="0" t="inlineStr">
        <is>
          <t xml:space="preserve">VTEWM5QSE598</t>
        </is>
      </c>
      <c r="E229" s="0" t="inlineStr">
        <is>
          <t xml:space="preserve">U1ASEJJJKDP5</t>
        </is>
      </c>
      <c r="F229" s="0" t="inlineStr">
        <is>
          <t xml:space="preserve">EMPIRICAL SYSTEMS AEROSPACE INC</t>
        </is>
      </c>
      <c r="G229" s="0" t="inlineStr">
        <is>
          <t xml:space="preserve">MFCTLU3MRXC8</t>
        </is>
      </c>
      <c r="H229" s="4">
        <v>0.09469999999999999</v>
      </c>
      <c r="I229" s="0" t="inlineStr">
        <is>
          <t xml:space="preserve">2021-04-06</t>
        </is>
      </c>
      <c r="J229" s="0" t="inlineStr">
        <is>
          <t xml:space="preserve">autonomy_software</t>
        </is>
      </c>
      <c r="K229" s="4">
        <v>24.2</v>
      </c>
      <c r="L229" s="0" t="inlineStr">
        <is>
          <t xml:space="preserve">FinsWings&amp;Boattails, Gen Structural Assys.</t>
        </is>
      </c>
    </row>
    <row r="230">
      <c r="B230" s="0" t="inlineStr">
        <is>
          <t xml:space="preserve">N0002419C6402</t>
        </is>
      </c>
      <c r="C230" s="0" t="inlineStr">
        <is>
          <t xml:space="preserve">TELEDYNE BROWN ENGINEERING, INC.</t>
        </is>
      </c>
      <c r="D230" s="0" t="inlineStr">
        <is>
          <t xml:space="preserve">FBRSJB6V4LW8</t>
        </is>
      </c>
      <c r="E230" s="0" t="inlineStr">
        <is>
          <t xml:space="preserve">CJGFRMQ3CDM4</t>
        </is>
      </c>
      <c r="F230" s="0" t="inlineStr">
        <is>
          <t xml:space="preserve">APEX SPECIALTY METALS INC</t>
        </is>
      </c>
      <c r="G230" s="0" t="inlineStr">
        <is>
          <t xml:space="preserve">CJGFRMQ3CDM4</t>
        </is>
      </c>
      <c r="H230" s="4">
        <v>0.093496</v>
      </c>
      <c r="I230" s="0" t="inlineStr">
        <is>
          <t xml:space="preserve">2023-03-06</t>
        </is>
      </c>
      <c r="J230" s="0" t="inlineStr">
        <is>
          <t xml:space="preserve">propulsion_power</t>
        </is>
      </c>
      <c r="K230" s="4">
        <v>1.0</v>
      </c>
      <c r="L230" s="0" t="inlineStr">
        <is>
          <t xml:space="preserve">Engineering services/materials</t>
        </is>
      </c>
    </row>
    <row r="231">
      <c r="B231" s="0" t="inlineStr">
        <is>
          <t xml:space="preserve">N0002419C6402</t>
        </is>
      </c>
      <c r="C231" s="0" t="inlineStr">
        <is>
          <t xml:space="preserve">TELEDYNE BROWN ENGINEERING, INC.</t>
        </is>
      </c>
      <c r="D231" s="0" t="inlineStr">
        <is>
          <t xml:space="preserve">FBRSJB6V4LW8</t>
        </is>
      </c>
      <c r="E231" s="0" t="inlineStr">
        <is>
          <t xml:space="preserve">MYHSMYECPCR1</t>
        </is>
      </c>
      <c r="F231" s="0" t="inlineStr">
        <is>
          <t xml:space="preserve">TECNOVA ADVANCED SYSTEMS, INC.</t>
        </is>
      </c>
      <c r="G231" s="0" t="inlineStr">
        <is>
          <t xml:space="preserve">MYHSMYECPCR1</t>
        </is>
      </c>
      <c r="H231" s="4">
        <v>0.09340367999999999</v>
      </c>
      <c r="I231" s="0" t="inlineStr">
        <is>
          <t xml:space="preserve">2021-12-06</t>
        </is>
      </c>
      <c r="J231" s="0" t="inlineStr">
        <is>
          <t xml:space="preserve">propulsion_power</t>
        </is>
      </c>
      <c r="K231" s="4">
        <v>1.0</v>
      </c>
      <c r="L231" s="0" t="inlineStr">
        <is>
          <t xml:space="preserve">Engineering materials/services</t>
        </is>
      </c>
    </row>
    <row r="232">
      <c r="B232" s="0" t="inlineStr">
        <is>
          <t xml:space="preserve">N0002419C6402</t>
        </is>
      </c>
      <c r="C232" s="0" t="inlineStr">
        <is>
          <t xml:space="preserve">TELEDYNE BROWN ENGINEERING, INC.</t>
        </is>
      </c>
      <c r="D232" s="0" t="inlineStr">
        <is>
          <t xml:space="preserve">FBRSJB6V4LW8</t>
        </is>
      </c>
      <c r="E232" s="0" t="inlineStr">
        <is>
          <t xml:space="preserve">G1UFCBLM51D1</t>
        </is>
      </c>
      <c r="F232" s="0" t="inlineStr">
        <is>
          <t xml:space="preserve">ASSESSMENT &amp; TRAINING SOLUTIONS CONSULTING CORP</t>
        </is>
      </c>
      <c r="G232" s="0" t="inlineStr">
        <is>
          <t xml:space="preserve">G1UFCBLM51D1</t>
        </is>
      </c>
      <c r="H232" s="4">
        <v>0.092968</v>
      </c>
      <c r="I232" s="0" t="inlineStr">
        <is>
          <t xml:space="preserve">2023-01-13</t>
        </is>
      </c>
      <c r="J232" s="0" t="inlineStr">
        <is>
          <t xml:space="preserve">autonomy_software</t>
        </is>
      </c>
      <c r="K232" s="4">
        <v>0.6</v>
      </c>
      <c r="L232" s="0" t="inlineStr">
        <is>
          <t xml:space="preserve">Engineering services/materials</t>
        </is>
      </c>
    </row>
    <row r="233">
      <c r="B233" s="0" t="inlineStr">
        <is>
          <t xml:space="preserve">N0010425CFA13</t>
        </is>
      </c>
      <c r="C233" s="0" t="inlineStr">
        <is>
          <t xml:space="preserve">L3 TECHNOLOGIES, INC.</t>
        </is>
      </c>
      <c r="D233" s="0" t="inlineStr">
        <is>
          <t xml:space="preserve">HA3UFSU8FN75</t>
        </is>
      </c>
      <c r="E233" s="0" t="inlineStr">
        <is>
          <t xml:space="preserve">LN46BBJSG5N7</t>
        </is>
      </c>
      <c r="F233" s="0" t="inlineStr">
        <is>
          <t xml:space="preserve">PFG PRECISION OPTICS INC</t>
        </is>
      </c>
      <c r="G233" s="0" t="inlineStr">
        <is>
          <t xml:space="preserve">LN46BBJSG5N7</t>
        </is>
      </c>
      <c r="H233" s="4">
        <v>0.090672</v>
      </c>
      <c r="I233" s="0" t="inlineStr">
        <is>
          <t xml:space="preserve">2025-10-16</t>
        </is>
      </c>
      <c r="J233" s="0" t="inlineStr">
        <is>
          <t xml:space="preserve">sensors_payload</t>
        </is>
      </c>
      <c r="K233" s="4">
        <v>1.7</v>
      </c>
      <c r="L233" s="0" t="inlineStr">
        <is>
          <t xml:space="preserve">[SB] COVER, WINDOW, HEAD	
[SB] WINDOW, HEAD</t>
        </is>
      </c>
    </row>
    <row r="234">
      <c r="B234" s="0" t="inlineStr">
        <is>
          <t xml:space="preserve">N6660421FC832</t>
        </is>
      </c>
      <c r="C234" s="0" t="inlineStr">
        <is>
          <t xml:space="preserve">SERCO INC</t>
        </is>
      </c>
      <c r="D234" s="0" t="inlineStr">
        <is>
          <t xml:space="preserve">DKJ1R5ABCN48</t>
        </is>
      </c>
      <c r="E234" s="0" t="inlineStr">
        <is>
          <t xml:space="preserve">JLGXANLHYFG3</t>
        </is>
      </c>
      <c r="F234" s="0" t="inlineStr">
        <is>
          <t xml:space="preserve">PROTOTEK SHEETMETAL FABRICATION, LLC</t>
        </is>
      </c>
      <c r="G234" s="0" t="inlineStr">
        <is>
          <t xml:space="preserve">JLGXANLHYFG3</t>
        </is>
      </c>
      <c r="H234" s="4">
        <v>0.09030883999999999</v>
      </c>
      <c r="I234" s="0" t="inlineStr">
        <is>
          <t xml:space="preserve">2021-02-23</t>
        </is>
      </c>
      <c r="J234" s="0" t="inlineStr">
        <is>
          <t xml:space="preserve">platform_hull</t>
        </is>
      </c>
      <c r="K234" s="4">
        <v>7.2</v>
      </c>
      <c r="L234" s="0" t="inlineStr">
        <is>
          <t xml:space="preserve">MATERIAL</t>
        </is>
      </c>
    </row>
    <row r="235">
      <c r="B235" s="0" t="inlineStr">
        <is>
          <t xml:space="preserve">N0001419C1020</t>
        </is>
      </c>
      <c r="C235" s="0" t="inlineStr">
        <is>
          <t xml:space="preserve">LEIDOS, INC.</t>
        </is>
      </c>
      <c r="D235" s="0" t="inlineStr">
        <is>
          <t xml:space="preserve">KTMAJCY6JXM3</t>
        </is>
      </c>
      <c r="E235" s="0" t="inlineStr">
        <is>
          <t xml:space="preserve">CU5UGJMPADX8</t>
        </is>
      </c>
      <c r="F235" s="0" t="inlineStr">
        <is>
          <t xml:space="preserve">AFP INDUSTRIES, INC.</t>
        </is>
      </c>
      <c r="G235" s="0" t="inlineStr">
        <is>
          <t xml:space="preserve">CU5UGJMPADX8</t>
        </is>
      </c>
      <c r="H235" s="4">
        <v>0.09</v>
      </c>
      <c r="I235" s="0" t="inlineStr">
        <is>
          <t xml:space="preserve">2019-10-02</t>
        </is>
      </c>
      <c r="J235" s="0" t="inlineStr">
        <is>
          <t xml:space="preserve">other_unclassified</t>
        </is>
      </c>
      <c r="K235" s="4">
        <v>1.6</v>
      </c>
      <c r="L235" s="0" t="inlineStr">
        <is>
          <t xml:space="preserve">PROCURED SERVICES BETWEEN 10/1/2019-10/31/2019 IN SUPPORT OF CONTRACT SOW.</t>
        </is>
      </c>
    </row>
    <row r="236">
      <c r="B236" s="0" t="inlineStr">
        <is>
          <t xml:space="preserve">N0002417C4103</t>
        </is>
      </c>
      <c r="C236" s="0" t="inlineStr">
        <is>
          <t xml:space="preserve">HUNTINGTON INGALLS INC</t>
        </is>
      </c>
      <c r="D236" s="0" t="inlineStr">
        <is>
          <t xml:space="preserve">WMXDDH6HJNA5</t>
        </is>
      </c>
      <c r="E236" s="0" t="inlineStr">
        <is>
          <t xml:space="preserve">JZSHR7DX1MQ9</t>
        </is>
      </c>
      <c r="F236" s="0" t="inlineStr">
        <is>
          <t xml:space="preserve">CARTER MACHINERY COMPANY, INCORPORATED</t>
        </is>
      </c>
      <c r="G236" s="0" t="inlineStr">
        <is>
          <t xml:space="preserve">M25KW7YJBAK3</t>
        </is>
      </c>
      <c r="H236" s="4">
        <v>0.08854999999999999</v>
      </c>
      <c r="I236" s="0" t="inlineStr">
        <is>
          <t xml:space="preserve">2020-03-05</t>
        </is>
      </c>
      <c r="J236" s="0" t="inlineStr">
        <is>
          <t xml:space="preserve">other_unclassified</t>
        </is>
      </c>
      <c r="K236" s="4">
        <v>3.7</v>
      </c>
      <c r="L236" s="0" t="inlineStr">
        <is>
          <t xml:space="preserve">(2) Dryer, Hose  8/23/19 - 7/22/20;item num#3</t>
        </is>
      </c>
    </row>
    <row r="237">
      <c r="B237" s="0" t="inlineStr">
        <is>
          <t xml:space="preserve">N6600120F0254</t>
        </is>
      </c>
      <c r="C237" s="0" t="inlineStr">
        <is>
          <t xml:space="preserve">OASIS SYSTEMS, LLC</t>
        </is>
      </c>
      <c r="D237" s="0" t="inlineStr">
        <is>
          <t xml:space="preserve">MST2Z1EG1HV7</t>
        </is>
      </c>
      <c r="E237" s="0" t="inlineStr">
        <is>
          <t xml:space="preserve">ZRBPR96JCE93</t>
        </is>
      </c>
      <c r="F237" s="0" t="inlineStr">
        <is>
          <t xml:space="preserve">PACIFIC MARITIME GROUP, INC.</t>
        </is>
      </c>
      <c r="G237" s="0" t="inlineStr">
        <is>
          <t xml:space="preserve">ZRBPR96JCE93</t>
        </is>
      </c>
      <c r="H237" s="4">
        <v>0.08730299999999999</v>
      </c>
      <c r="I237" s="0" t="inlineStr">
        <is>
          <t xml:space="preserve">2021-03-04</t>
        </is>
      </c>
      <c r="J237" s="0" t="inlineStr">
        <is>
          <t xml:space="preserve">other_unclassified</t>
        </is>
      </c>
      <c r="K237" s="4">
        <v>1.1</v>
      </c>
      <c r="L237" s="0" t="inlineStr">
        <is>
          <t xml:space="preserve">Support of the seahunter program</t>
        </is>
      </c>
    </row>
    <row r="238">
      <c r="B238" s="0" t="inlineStr">
        <is>
          <t xml:space="preserve">N6660418F3022</t>
        </is>
      </c>
      <c r="C238" s="0" t="inlineStr">
        <is>
          <t xml:space="preserve">SERCO-IPS CORPORATION</t>
        </is>
      </c>
      <c r="D238" s="0" t="inlineStr">
        <is>
          <t xml:space="preserve">RGEBPDP8RV96</t>
        </is>
      </c>
      <c r="E238" s="0" t="inlineStr">
        <is>
          <t xml:space="preserve">HTHFAYHMJWT4</t>
        </is>
      </c>
      <c r="F238" s="0" t="inlineStr">
        <is>
          <t xml:space="preserve">HEILIND ELECTRONICS, INC</t>
        </is>
      </c>
      <c r="G238" s="0" t="inlineStr">
        <is>
          <t xml:space="preserve">ZVKEBJ4HQHB8</t>
        </is>
      </c>
      <c r="H238" s="4">
        <v>0.0860103</v>
      </c>
      <c r="I238" s="0" t="inlineStr">
        <is>
          <t xml:space="preserve">2021-05-12</t>
        </is>
      </c>
      <c r="J238" s="0" t="inlineStr">
        <is>
          <t xml:space="preserve">materials_components</t>
        </is>
      </c>
      <c r="K238" s="4">
        <v>29.7</v>
      </c>
      <c r="L238" s="0" t="inlineStr">
        <is>
          <t xml:space="preserve">Materials</t>
        </is>
      </c>
    </row>
    <row r="239">
      <c r="B239" s="0" t="inlineStr">
        <is>
          <t xml:space="preserve">N6660418F3022</t>
        </is>
      </c>
      <c r="C239" s="0" t="inlineStr">
        <is>
          <t xml:space="preserve">SERCO-IPS CORPORATION</t>
        </is>
      </c>
      <c r="D239" s="0" t="inlineStr">
        <is>
          <t xml:space="preserve">RGEBPDP8RV96</t>
        </is>
      </c>
      <c r="E239" s="0" t="inlineStr">
        <is>
          <t xml:space="preserve">TMFVUXPLMKZ5</t>
        </is>
      </c>
      <c r="F239" s="0" t="inlineStr">
        <is>
          <t xml:space="preserve">PRIMARY FLOW SIGNAL INC</t>
        </is>
      </c>
      <c r="G239" s="0" t="inlineStr">
        <is>
          <t xml:space="preserve">TMFVUXPLMKZ5</t>
        </is>
      </c>
      <c r="H239" s="4">
        <v>0.08585644999999999</v>
      </c>
      <c r="I239" s="0" t="inlineStr">
        <is>
          <t xml:space="preserve">2022-09-26</t>
        </is>
      </c>
      <c r="J239" s="0" t="inlineStr">
        <is>
          <t xml:space="preserve">other_unclassified</t>
        </is>
      </c>
      <c r="K239" s="4">
        <v>13.2</v>
      </c>
      <c r="L239" s="0" t="inlineStr">
        <is>
          <t xml:space="preserve">Goods</t>
        </is>
      </c>
    </row>
    <row r="240">
      <c r="B240" s="0" t="inlineStr">
        <is>
          <t xml:space="preserve">N0001419C1020</t>
        </is>
      </c>
      <c r="C240" s="0" t="inlineStr">
        <is>
          <t xml:space="preserve">LEIDOS, INC.</t>
        </is>
      </c>
      <c r="D240" s="0" t="inlineStr">
        <is>
          <t xml:space="preserve">KTMAJCY6JXM3</t>
        </is>
      </c>
      <c r="E240" s="0" t="inlineStr">
        <is>
          <t xml:space="preserve">M3MLVMK9XVV3</t>
        </is>
      </c>
      <c r="F240" s="0" t="inlineStr">
        <is>
          <t xml:space="preserve">VECTOR CONTROLS, INC.</t>
        </is>
      </c>
      <c r="G240" s="0" t="inlineStr">
        <is>
          <t xml:space="preserve">M3MLVMK9XVV3</t>
        </is>
      </c>
      <c r="H240" s="4">
        <v>0.085688</v>
      </c>
      <c r="I240" s="0" t="inlineStr">
        <is>
          <t xml:space="preserve">2020-03-31</t>
        </is>
      </c>
      <c r="J240" s="0" t="inlineStr">
        <is>
          <t xml:space="preserve">other_unclassified</t>
        </is>
      </c>
      <c r="K240" s="4">
        <v>0.9</v>
      </c>
      <c r="L240" s="0" t="inlineStr">
        <is>
          <t xml:space="preserve">PROCURED SERVICES BETWEEN 3/1/2020-3/31/2020 IN SUPPORT OF CONTRACT SOW.</t>
        </is>
      </c>
    </row>
    <row r="241">
      <c r="B241" s="0" t="inlineStr">
        <is>
          <t xml:space="preserve">N0002419C6402</t>
        </is>
      </c>
      <c r="C241" s="0" t="inlineStr">
        <is>
          <t xml:space="preserve">TELEDYNE BROWN ENGINEERING, INC.</t>
        </is>
      </c>
      <c r="D241" s="0" t="inlineStr">
        <is>
          <t xml:space="preserve">FBRSJB6V4LW8</t>
        </is>
      </c>
      <c r="E241" s="0" t="inlineStr">
        <is>
          <t xml:space="preserve">CJGFRMQ3CDM4</t>
        </is>
      </c>
      <c r="F241" s="0" t="inlineStr">
        <is>
          <t xml:space="preserve">APEX SPECIALTY METALS, INC.</t>
        </is>
      </c>
      <c r="G241" s="0" t="inlineStr">
        <is>
          <t xml:space="preserve">CJGFRMQ3CDM4</t>
        </is>
      </c>
      <c r="H241" s="4">
        <v>0.085492</v>
      </c>
      <c r="I241" s="0" t="inlineStr">
        <is>
          <t xml:space="preserve">2023-10-10</t>
        </is>
      </c>
      <c r="J241" s="0" t="inlineStr">
        <is>
          <t xml:space="preserve">propulsion_power</t>
        </is>
      </c>
      <c r="K241" s="4">
        <v>1.8</v>
      </c>
      <c r="L241" s="0" t="inlineStr">
        <is>
          <t xml:space="preserve">Engineering services/materials</t>
        </is>
      </c>
    </row>
    <row r="242">
      <c r="B242" s="0" t="inlineStr">
        <is>
          <t xml:space="preserve">N0002419C6402</t>
        </is>
      </c>
      <c r="C242" s="0" t="inlineStr">
        <is>
          <t xml:space="preserve">TELEDYNE BROWN ENGINEERING, INC.</t>
        </is>
      </c>
      <c r="D242" s="0" t="inlineStr">
        <is>
          <t xml:space="preserve">FBRSJB6V4LW8</t>
        </is>
      </c>
      <c r="E242" s="0" t="inlineStr">
        <is>
          <t xml:space="preserve">GNF1HLLEJDK3</t>
        </is>
      </c>
      <c r="F242" s="0" t="inlineStr">
        <is>
          <t xml:space="preserve">CKS TECHNOLOGIES, LLC</t>
        </is>
      </c>
      <c r="G242" s="0" t="inlineStr">
        <is>
          <t xml:space="preserve">GNF1HLLEJDK3</t>
        </is>
      </c>
      <c r="H242" s="4">
        <v>0.08496</v>
      </c>
      <c r="I242" s="0" t="inlineStr">
        <is>
          <t xml:space="preserve">2021-09-29</t>
        </is>
      </c>
      <c r="J242" s="0" t="inlineStr">
        <is>
          <t xml:space="preserve">propulsion_power</t>
        </is>
      </c>
      <c r="K242" s="4">
        <v>0.1</v>
      </c>
      <c r="L242" s="0" t="inlineStr">
        <is>
          <t xml:space="preserve">Engineering services/materials</t>
        </is>
      </c>
    </row>
    <row r="243">
      <c r="B243" s="0" t="inlineStr">
        <is>
          <t xml:space="preserve">N0002419C6402</t>
        </is>
      </c>
      <c r="C243" s="0" t="inlineStr">
        <is>
          <t xml:space="preserve">TELEDYNE BROWN ENGINEERING, INC.</t>
        </is>
      </c>
      <c r="D243" s="0" t="inlineStr">
        <is>
          <t xml:space="preserve">FBRSJB6V4LW8</t>
        </is>
      </c>
      <c r="E243" s="0" t="inlineStr">
        <is>
          <t xml:space="preserve">PXWRHVZ4LQF5</t>
        </is>
      </c>
      <c r="F243" s="0" t="inlineStr">
        <is>
          <t xml:space="preserve">Gallium Visual</t>
        </is>
      </c>
      <c r="G243" s="0" t="inlineStr">
        <is>
          <t xml:space="preserve">PXWRHVZ4LQF5</t>
        </is>
      </c>
      <c r="H243" s="4">
        <v>0.083475</v>
      </c>
      <c r="I243" s="0" t="inlineStr">
        <is>
          <t xml:space="preserve">2020-06-30</t>
        </is>
      </c>
      <c r="J243" s="0" t="inlineStr">
        <is>
          <t xml:space="preserve">propulsion_power</t>
        </is>
      </c>
      <c r="K243" s="4">
        <v>0.1</v>
      </c>
      <c r="L243" s="0" t="inlineStr">
        <is>
          <t xml:space="preserve">Engineering materials/services</t>
        </is>
      </c>
    </row>
    <row r="244">
      <c r="B244" s="0" t="inlineStr">
        <is>
          <t xml:space="preserve">N0002419C6402</t>
        </is>
      </c>
      <c r="C244" s="0" t="inlineStr">
        <is>
          <t xml:space="preserve">TELEDYNE BROWN ENGINEERING, INC.</t>
        </is>
      </c>
      <c r="D244" s="0" t="inlineStr">
        <is>
          <t xml:space="preserve">FBRSJB6V4LW8</t>
        </is>
      </c>
      <c r="E244" s="0" t="inlineStr">
        <is>
          <t xml:space="preserve">CJGFRMQ3CDM4</t>
        </is>
      </c>
      <c r="F244" s="0" t="inlineStr">
        <is>
          <t xml:space="preserve">APEX SPECIALTY METALS, INC.</t>
        </is>
      </c>
      <c r="G244" s="0" t="inlineStr">
        <is>
          <t xml:space="preserve">CJGFRMQ3CDM4</t>
        </is>
      </c>
      <c r="H244" s="4">
        <v>0.083448</v>
      </c>
      <c r="I244" s="0" t="inlineStr">
        <is>
          <t xml:space="preserve">2021-09-09</t>
        </is>
      </c>
      <c r="J244" s="0" t="inlineStr">
        <is>
          <t xml:space="preserve">propulsion_power</t>
        </is>
      </c>
      <c r="K244" s="4">
        <v>0.7</v>
      </c>
      <c r="L244" s="0" t="inlineStr">
        <is>
          <t xml:space="preserve">Engineering materials</t>
        </is>
      </c>
    </row>
    <row r="245">
      <c r="B245" s="0" t="inlineStr">
        <is>
          <t xml:space="preserve">N0002424C2204</t>
        </is>
      </c>
      <c r="C245" s="0" t="inlineStr">
        <is>
          <t xml:space="preserve">SAAB, INC</t>
        </is>
      </c>
      <c r="D245" s="0" t="inlineStr">
        <is>
          <t xml:space="preserve">H5FMLSGM29L1</t>
        </is>
      </c>
      <c r="E245" s="0" t="inlineStr">
        <is>
          <t xml:space="preserve">M6SKXVEXY4G3</t>
        </is>
      </c>
      <c r="F245" s="0" t="inlineStr">
        <is>
          <t xml:space="preserve">CMT MATERIALS, INC.</t>
        </is>
      </c>
      <c r="G245" s="0" t="inlineStr">
        <is>
          <t xml:space="preserve">M6SKXVEXY4G3</t>
        </is>
      </c>
      <c r="H245" s="4">
        <v>0.08334832</v>
      </c>
      <c r="I245" s="0" t="inlineStr">
        <is>
          <t xml:space="preserve">2025-03-07</t>
        </is>
      </c>
      <c r="J245" s="0" t="inlineStr">
        <is>
          <t xml:space="preserve">platform_hull</t>
        </is>
      </c>
      <c r="K245" s="4">
        <v>0.5</v>
      </c>
      <c r="L245" s="0" t="inlineStr">
        <is>
          <t xml:space="preserve">Outer hull bottom DE for underwater program</t>
        </is>
      </c>
    </row>
    <row r="246">
      <c r="B246" s="0" t="inlineStr">
        <is>
          <t xml:space="preserve">N0002424C2204</t>
        </is>
      </c>
      <c r="C246" s="0" t="inlineStr">
        <is>
          <t xml:space="preserve">SAAB, INC</t>
        </is>
      </c>
      <c r="D246" s="0" t="inlineStr">
        <is>
          <t xml:space="preserve">H5FMLSGM29L1</t>
        </is>
      </c>
      <c r="E246" s="0" t="inlineStr">
        <is>
          <t xml:space="preserve">M6SKXVEXY4G3</t>
        </is>
      </c>
      <c r="F246" s="0" t="inlineStr">
        <is>
          <t xml:space="preserve">CMT MATERIALS, INC.</t>
        </is>
      </c>
      <c r="G246" s="0" t="inlineStr">
        <is>
          <t xml:space="preserve">M6SKXVEXY4G3</t>
        </is>
      </c>
      <c r="H246" s="4">
        <v>0.08334832</v>
      </c>
      <c r="I246" s="0" t="inlineStr">
        <is>
          <t xml:space="preserve">2024-09-24</t>
        </is>
      </c>
      <c r="J246" s="0" t="inlineStr">
        <is>
          <t xml:space="preserve">platform_hull</t>
        </is>
      </c>
      <c r="K246" s="4">
        <v>0.8</v>
      </c>
      <c r="L246" s="0" t="inlineStr">
        <is>
          <t xml:space="preserve">Outer hull bottom DE</t>
        </is>
      </c>
    </row>
    <row r="247">
      <c r="B247" s="0" t="inlineStr">
        <is>
          <t xml:space="preserve">N0002416C4112</t>
        </is>
      </c>
      <c r="C247" s="0" t="inlineStr">
        <is>
          <t xml:space="preserve">HUNTINGTON INGALLS INC</t>
        </is>
      </c>
      <c r="D247" s="0" t="inlineStr">
        <is>
          <t xml:space="preserve">WMXDDH6HJNA5</t>
        </is>
      </c>
      <c r="E247" s="0" t="inlineStr">
        <is>
          <t xml:space="preserve">RDB2AM2GGHH8</t>
        </is>
      </c>
      <c r="F247" s="0" t="inlineStr">
        <is>
          <t xml:space="preserve">SIEMENS AKTIENGESELLSCHAFT</t>
        </is>
      </c>
      <c r="G247" s="0" t="inlineStr">
        <is>
          <t xml:space="preserve">J98RLH4KWB29</t>
        </is>
      </c>
      <c r="H247" s="4">
        <v>0.08323599999999999</v>
      </c>
      <c r="I247" s="0" t="inlineStr">
        <is>
          <t xml:space="preserve">2017-09-11</t>
        </is>
      </c>
      <c r="J247" s="0" t="inlineStr">
        <is>
          <t xml:space="preserve">other_unclassified</t>
        </is>
      </c>
      <c r="K247" s="4">
        <v>3.7</v>
      </c>
      <c r="L247" s="0" t="inlineStr">
        <is>
          <t xml:space="preserve">D-R #1LP IR 113 Series; ITEM #1</t>
        </is>
      </c>
    </row>
    <row r="248">
      <c r="B248" s="0" t="inlineStr">
        <is>
          <t xml:space="preserve">N0002417C4103</t>
        </is>
      </c>
      <c r="C248" s="0" t="inlineStr">
        <is>
          <t xml:space="preserve">HUNTINGTON INGALLS INC</t>
        </is>
      </c>
      <c r="D248" s="0" t="inlineStr">
        <is>
          <t xml:space="preserve">WMXDDH6HJNA5</t>
        </is>
      </c>
      <c r="E248" s="0" t="inlineStr">
        <is>
          <t xml:space="preserve">CL4ZKLFK5DR3</t>
        </is>
      </c>
      <c r="F248" s="0" t="inlineStr">
        <is>
          <t xml:space="preserve">L'AIR LIQUIDE SOCIETE ANONYME POUR L'ETUDE ET L'EXPLOITATION DES PROCEDES GEORGES CLAUDE</t>
        </is>
      </c>
      <c r="G248" s="0" t="inlineStr">
        <is>
          <t xml:space="preserve">KN5KTZ7VX9S9</t>
        </is>
      </c>
      <c r="H248" s="4">
        <v>0.08309</v>
      </c>
      <c r="I248" s="0" t="inlineStr">
        <is>
          <t xml:space="preserve">2020-09-01</t>
        </is>
      </c>
      <c r="J248" s="0" t="inlineStr">
        <is>
          <t xml:space="preserve">autonomy_software</t>
        </is>
      </c>
      <c r="K248" s="4">
        <v>1.9</v>
      </c>
      <c r="L248" s="0" t="inlineStr">
        <is>
          <t xml:space="preserve">Airgas Material &amp; Service - Tank,PO item #5</t>
        </is>
      </c>
    </row>
    <row r="249">
      <c r="B249" s="0" t="inlineStr">
        <is>
          <t xml:space="preserve">N0002419C6402</t>
        </is>
      </c>
      <c r="C249" s="0" t="inlineStr">
        <is>
          <t xml:space="preserve">TELEDYNE BROWN ENGINEERING, INC.</t>
        </is>
      </c>
      <c r="D249" s="0" t="inlineStr">
        <is>
          <t xml:space="preserve">FBRSJB6V4LW8</t>
        </is>
      </c>
      <c r="E249" s="0" t="inlineStr">
        <is>
          <t xml:space="preserve">CJGFRMQ3CDM4</t>
        </is>
      </c>
      <c r="F249" s="0" t="inlineStr">
        <is>
          <t xml:space="preserve">APEX SPECIALTY METALS INC</t>
        </is>
      </c>
      <c r="G249" s="0" t="inlineStr">
        <is>
          <t xml:space="preserve">CJGFRMQ3CDM4</t>
        </is>
      </c>
      <c r="H249" s="4">
        <v>0.08234999999999999</v>
      </c>
      <c r="I249" s="0" t="inlineStr">
        <is>
          <t xml:space="preserve">2023-03-08</t>
        </is>
      </c>
      <c r="J249" s="0" t="inlineStr">
        <is>
          <t xml:space="preserve">propulsion_power</t>
        </is>
      </c>
      <c r="K249" s="4">
        <v>1.0</v>
      </c>
      <c r="L249" s="0" t="inlineStr">
        <is>
          <t xml:space="preserve">Engineering services/materials</t>
        </is>
      </c>
    </row>
    <row r="250">
      <c r="B250" s="0" t="inlineStr">
        <is>
          <t xml:space="preserve">N0002419C6402</t>
        </is>
      </c>
      <c r="C250" s="0" t="inlineStr">
        <is>
          <t xml:space="preserve">TELEDYNE BROWN ENGINEERING, INC.</t>
        </is>
      </c>
      <c r="D250" s="0" t="inlineStr">
        <is>
          <t xml:space="preserve">FBRSJB6V4LW8</t>
        </is>
      </c>
      <c r="E250" s="0" t="inlineStr">
        <is>
          <t xml:space="preserve">GNF1HLLEJDK3</t>
        </is>
      </c>
      <c r="F250" s="0" t="inlineStr">
        <is>
          <t xml:space="preserve">CKS TECHNOLOGIES LLC</t>
        </is>
      </c>
      <c r="G250" s="0" t="inlineStr">
        <is>
          <t xml:space="preserve">GNF1HLLEJDK3</t>
        </is>
      </c>
      <c r="H250" s="4">
        <v>0.08204</v>
      </c>
      <c r="I250" s="0" t="inlineStr">
        <is>
          <t xml:space="preserve">2023-03-08</t>
        </is>
      </c>
      <c r="J250" s="0" t="inlineStr">
        <is>
          <t xml:space="preserve">propulsion_power</t>
        </is>
      </c>
      <c r="K250" s="4">
        <v>1.0</v>
      </c>
      <c r="L250" s="0" t="inlineStr">
        <is>
          <t xml:space="preserve">Engineering services/materials</t>
        </is>
      </c>
    </row>
    <row r="251">
      <c r="B251" s="0" t="inlineStr">
        <is>
          <t xml:space="preserve">N0002419C6402</t>
        </is>
      </c>
      <c r="C251" s="0" t="inlineStr">
        <is>
          <t xml:space="preserve">TELEDYNE BROWN ENGINEERING, INC.</t>
        </is>
      </c>
      <c r="D251" s="0" t="inlineStr">
        <is>
          <t xml:space="preserve">FBRSJB6V4LW8</t>
        </is>
      </c>
      <c r="E251" s="0" t="inlineStr">
        <is>
          <t xml:space="preserve">CLH8D5KDN9D6</t>
        </is>
      </c>
      <c r="F251" s="0" t="inlineStr">
        <is>
          <t xml:space="preserve">HYDRAULICS INTERNATIONAL, INC.</t>
        </is>
      </c>
      <c r="G251" s="0" t="inlineStr">
        <is>
          <t xml:space="preserve">CLH8D5KDN9D6</t>
        </is>
      </c>
      <c r="H251" s="4">
        <v>0.08109899999999999</v>
      </c>
      <c r="I251" s="0" t="inlineStr">
        <is>
          <t xml:space="preserve">2021-04-26</t>
        </is>
      </c>
      <c r="J251" s="0" t="inlineStr">
        <is>
          <t xml:space="preserve">propulsion_power</t>
        </is>
      </c>
      <c r="K251" s="4">
        <v>0.2</v>
      </c>
      <c r="L251" s="0" t="inlineStr">
        <is>
          <t xml:space="preserve">Engineering services/materials</t>
        </is>
      </c>
    </row>
    <row r="252">
      <c r="B252" s="0" t="inlineStr">
        <is>
          <t xml:space="preserve">N0002424C2204</t>
        </is>
      </c>
      <c r="C252" s="0" t="inlineStr">
        <is>
          <t xml:space="preserve">SAAB, INC</t>
        </is>
      </c>
      <c r="D252" s="0" t="inlineStr">
        <is>
          <t xml:space="preserve">H5FMLSGM29L1</t>
        </is>
      </c>
      <c r="E252" s="0" t="inlineStr">
        <is>
          <t xml:space="preserve">CPK3R55EDG83</t>
        </is>
      </c>
      <c r="F252" s="0" t="inlineStr">
        <is>
          <t xml:space="preserve">LINDEN PHOTONICS, INC.</t>
        </is>
      </c>
      <c r="G252" s="0" t="inlineStr">
        <is>
          <t xml:space="preserve">CPK3R55EDG83</t>
        </is>
      </c>
      <c r="H252" s="4">
        <v>0.08077</v>
      </c>
      <c r="I252" s="0" t="inlineStr">
        <is>
          <t xml:space="preserve">2024-06-25</t>
        </is>
      </c>
      <c r="J252" s="0" t="inlineStr">
        <is>
          <t xml:space="preserve">other_unclassified</t>
        </is>
      </c>
      <c r="K252" s="4">
        <v>0.8</v>
      </c>
      <c r="L252" s="0" t="inlineStr">
        <is>
          <t xml:space="preserve">Tether DE MkII, 11.9mm and Teth, 3.5mm SM</t>
        </is>
      </c>
    </row>
    <row r="253">
      <c r="B253" s="0" t="inlineStr">
        <is>
          <t xml:space="preserve">N0002419C6402</t>
        </is>
      </c>
      <c r="C253" s="0" t="inlineStr">
        <is>
          <t xml:space="preserve">TELEDYNE BROWN ENGINEERING, INC.</t>
        </is>
      </c>
      <c r="D253" s="0" t="inlineStr">
        <is>
          <t xml:space="preserve">FBRSJB6V4LW8</t>
        </is>
      </c>
      <c r="E253" s="0" t="inlineStr">
        <is>
          <t xml:space="preserve">XNHRXR2HTXA8</t>
        </is>
      </c>
      <c r="F253" s="0" t="inlineStr">
        <is>
          <t xml:space="preserve">BEAUFORT COMPOSITE TECHNOLOGIES, INC.</t>
        </is>
      </c>
      <c r="G253" s="0" t="inlineStr">
        <is>
          <t xml:space="preserve">XNHRXR2HTXA8</t>
        </is>
      </c>
      <c r="H253" s="4">
        <v>0.08033</v>
      </c>
      <c r="I253" s="0" t="inlineStr">
        <is>
          <t xml:space="preserve">2024-05-14</t>
        </is>
      </c>
      <c r="J253" s="0" t="inlineStr">
        <is>
          <t xml:space="preserve">platform_hull</t>
        </is>
      </c>
      <c r="K253" s="4">
        <v>5.8</v>
      </c>
      <c r="L253" s="0" t="inlineStr">
        <is>
          <t xml:space="preserve">Engineering services/materials</t>
        </is>
      </c>
    </row>
    <row r="254">
      <c r="B254" s="0" t="inlineStr">
        <is>
          <t xml:space="preserve">N0002419C6402</t>
        </is>
      </c>
      <c r="C254" s="0" t="inlineStr">
        <is>
          <t xml:space="preserve">TELEDYNE BROWN ENGINEERING, INC.</t>
        </is>
      </c>
      <c r="D254" s="0" t="inlineStr">
        <is>
          <t xml:space="preserve">FBRSJB6V4LW8</t>
        </is>
      </c>
      <c r="E254" s="0" t="inlineStr">
        <is>
          <t xml:space="preserve">SQ2DSCE69F15</t>
        </is>
      </c>
      <c r="F254" s="0" t="inlineStr">
        <is>
          <t xml:space="preserve">TELEDYNE TECHNOLOGIES INCORPORATED</t>
        </is>
      </c>
      <c r="G254" s="0" t="inlineStr">
        <is>
          <t xml:space="preserve">WQKMXY9FRUC5</t>
        </is>
      </c>
      <c r="H254" s="4">
        <v>0.08</v>
      </c>
      <c r="I254" s="0" t="inlineStr">
        <is>
          <t xml:space="preserve">2025-02-26</t>
        </is>
      </c>
      <c r="J254" s="0" t="inlineStr">
        <is>
          <t xml:space="preserve">propulsion_power</t>
        </is>
      </c>
      <c r="K254" s="4">
        <v>1.1</v>
      </c>
      <c r="L254" s="0" t="inlineStr">
        <is>
          <t xml:space="preserve">Engineering Services/Materials</t>
        </is>
      </c>
    </row>
    <row r="255">
      <c r="B255" s="0" t="inlineStr">
        <is>
          <t xml:space="preserve">N0002421C2212</t>
        </is>
      </c>
      <c r="C255" s="0" t="inlineStr">
        <is>
          <t xml:space="preserve">NATIONAL STEEL AND SHIPBUILDING COMPANY</t>
        </is>
      </c>
      <c r="D255" s="0" t="inlineStr">
        <is>
          <t xml:space="preserve">Q85KVUK3JBF5</t>
        </is>
      </c>
      <c r="E255" s="0" t="inlineStr">
        <is>
          <t xml:space="preserve">MMU8RZF8HMH9</t>
        </is>
      </c>
      <c r="F255" s="0" t="inlineStr">
        <is>
          <t xml:space="preserve">AMERICAN BUREAU OF SHIPPING</t>
        </is>
      </c>
      <c r="G255" s="0" t="inlineStr">
        <is>
          <t xml:space="preserve">MMU8RZF8HMH9</t>
        </is>
      </c>
      <c r="H255" s="4">
        <v>0.08</v>
      </c>
      <c r="I255" s="0" t="inlineStr">
        <is>
          <t xml:space="preserve">2021-10-04</t>
        </is>
      </c>
      <c r="J255" s="0" t="inlineStr">
        <is>
          <t xml:space="preserve">platform_hull</t>
        </is>
      </c>
      <c r="K255" s="4">
        <v>1.5</v>
      </c>
      <c r="L255" s="0" t="inlineStr">
        <is>
          <t xml:space="preserve">Non-Coded New Construction</t>
        </is>
      </c>
    </row>
    <row r="256">
      <c r="B256" s="0" t="inlineStr">
        <is>
          <t xml:space="preserve">N0002419C6402</t>
        </is>
      </c>
      <c r="C256" s="0" t="inlineStr">
        <is>
          <t xml:space="preserve">TELEDYNE BROWN ENGINEERING, INC.</t>
        </is>
      </c>
      <c r="D256" s="0" t="inlineStr">
        <is>
          <t xml:space="preserve">FBRSJB6V4LW8</t>
        </is>
      </c>
      <c r="E256" s="0" t="inlineStr">
        <is>
          <t xml:space="preserve">G1UFCBLM51D1</t>
        </is>
      </c>
      <c r="F256" s="0" t="inlineStr">
        <is>
          <t xml:space="preserve">ASSESSMENT AND TRAINING SOLUTIONS CONSULTING CORP.</t>
        </is>
      </c>
      <c r="G256" s="0" t="inlineStr">
        <is>
          <t xml:space="preserve">G1UFCBLM51D1</t>
        </is>
      </c>
      <c r="H256" s="4">
        <v>0.07990594999999999</v>
      </c>
      <c r="I256" s="0" t="inlineStr">
        <is>
          <t xml:space="preserve">2023-08-23</t>
        </is>
      </c>
      <c r="J256" s="0" t="inlineStr">
        <is>
          <t xml:space="preserve">autonomy_software</t>
        </is>
      </c>
      <c r="K256" s="4">
        <v>3.4</v>
      </c>
      <c r="L256" s="0" t="inlineStr">
        <is>
          <t xml:space="preserve">Engineering services/materials</t>
        </is>
      </c>
    </row>
    <row r="257">
      <c r="B257" s="0" t="inlineStr">
        <is>
          <t xml:space="preserve">N0002419C6402</t>
        </is>
      </c>
      <c r="C257" s="0" t="inlineStr">
        <is>
          <t xml:space="preserve">TELEDYNE BROWN ENGINEERING, INC.</t>
        </is>
      </c>
      <c r="D257" s="0" t="inlineStr">
        <is>
          <t xml:space="preserve">FBRSJB6V4LW8</t>
        </is>
      </c>
      <c r="E257" s="0" t="inlineStr">
        <is>
          <t xml:space="preserve">VHQ8NNER3195</t>
        </is>
      </c>
      <c r="F257" s="0" t="inlineStr">
        <is>
          <t xml:space="preserve">JBS SOLUTIONS, INC.</t>
        </is>
      </c>
      <c r="G257" s="0" t="inlineStr">
        <is>
          <t xml:space="preserve">CNHNJGHL4GN5</t>
        </is>
      </c>
      <c r="H257" s="4">
        <v>0.0795796</v>
      </c>
      <c r="I257" s="0" t="inlineStr">
        <is>
          <t xml:space="preserve">2024-09-19</t>
        </is>
      </c>
      <c r="J257" s="0" t="inlineStr">
        <is>
          <t xml:space="preserve">propulsion_power</t>
        </is>
      </c>
      <c r="K257" s="4">
        <v>1.6</v>
      </c>
      <c r="L257" s="0" t="inlineStr">
        <is>
          <t xml:space="preserve">Engineering services/materials</t>
        </is>
      </c>
    </row>
    <row r="258">
      <c r="B258" s="0" t="inlineStr">
        <is>
          <t xml:space="preserve">N0002419C6402</t>
        </is>
      </c>
      <c r="C258" s="0" t="inlineStr">
        <is>
          <t xml:space="preserve">TELEDYNE BROWN ENGINEERING, INC.</t>
        </is>
      </c>
      <c r="D258" s="0" t="inlineStr">
        <is>
          <t xml:space="preserve">FBRSJB6V4LW8</t>
        </is>
      </c>
      <c r="E258" s="0" t="inlineStr">
        <is>
          <t xml:space="preserve">ZRB2NKN4Z8A1</t>
        </is>
      </c>
      <c r="F258" s="0" t="inlineStr">
        <is>
          <t xml:space="preserve">NUMBER, INC.</t>
        </is>
      </c>
      <c r="G258" s="0" t="inlineStr">
        <is>
          <t xml:space="preserve">ZRB2NKN4Z8A1</t>
        </is>
      </c>
      <c r="H258" s="4">
        <v>0.07941084</v>
      </c>
      <c r="I258" s="0" t="inlineStr">
        <is>
          <t xml:space="preserve">2021-04-20</t>
        </is>
      </c>
      <c r="J258" s="0" t="inlineStr">
        <is>
          <t xml:space="preserve">propulsion_power</t>
        </is>
      </c>
      <c r="K258" s="4">
        <v>0.4</v>
      </c>
      <c r="L258" s="0" t="inlineStr">
        <is>
          <t xml:space="preserve">Engineering services/materials</t>
        </is>
      </c>
    </row>
    <row r="259">
      <c r="B259" s="0" t="inlineStr">
        <is>
          <t xml:space="preserve">N0002417C4103</t>
        </is>
      </c>
      <c r="C259" s="0" t="inlineStr">
        <is>
          <t xml:space="preserve">HUNTINGTON INGALLS INC</t>
        </is>
      </c>
      <c r="D259" s="0" t="inlineStr">
        <is>
          <t xml:space="preserve">WMXDDH6HJNA5</t>
        </is>
      </c>
      <c r="E259" s="0" t="inlineStr">
        <is>
          <t xml:space="preserve">JZSHR7DX1MQ9</t>
        </is>
      </c>
      <c r="F259" s="0" t="inlineStr">
        <is>
          <t xml:space="preserve">CARTER MACHINERY COMPANY, INCORPORATED</t>
        </is>
      </c>
      <c r="G259" s="0" t="inlineStr">
        <is>
          <t xml:space="preserve">M25KW7YJBAK3</t>
        </is>
      </c>
      <c r="H259" s="4">
        <v>0.07919999999999999</v>
      </c>
      <c r="I259" s="0" t="inlineStr">
        <is>
          <t xml:space="preserve">2020-03-05</t>
        </is>
      </c>
      <c r="J259" s="0" t="inlineStr">
        <is>
          <t xml:space="preserve">autonomy_software</t>
        </is>
      </c>
      <c r="K259" s="4">
        <v>3.7</v>
      </c>
      <c r="L259" s="0" t="inlineStr">
        <is>
          <t xml:space="preserve">(2) Sullair 1600 CFM  8/23/19 - 7/22/20;item num#4</t>
        </is>
      </c>
    </row>
    <row r="260">
      <c r="B260" s="0" t="inlineStr">
        <is>
          <t xml:space="preserve">N0002419C6402</t>
        </is>
      </c>
      <c r="C260" s="0" t="inlineStr">
        <is>
          <t xml:space="preserve">TELEDYNE BROWN ENGINEERING, INC.</t>
        </is>
      </c>
      <c r="D260" s="0" t="inlineStr">
        <is>
          <t xml:space="preserve">FBRSJB6V4LW8</t>
        </is>
      </c>
      <c r="E260" s="0" t="inlineStr">
        <is>
          <t xml:space="preserve">HMX5FLZ22F92</t>
        </is>
      </c>
      <c r="F260" s="0" t="inlineStr">
        <is>
          <t xml:space="preserve">TGCI</t>
        </is>
      </c>
      <c r="G260" s="0" t="inlineStr">
        <is>
          <t xml:space="preserve">HMX5FLZ22F92</t>
        </is>
      </c>
      <c r="H260" s="4">
        <v>0.07907499999999999</v>
      </c>
      <c r="I260" s="0" t="inlineStr">
        <is>
          <t xml:space="preserve">2021-07-21</t>
        </is>
      </c>
      <c r="J260" s="0" t="inlineStr">
        <is>
          <t xml:space="preserve">propulsion_power</t>
        </is>
      </c>
      <c r="K260" s="4">
        <v>0.5</v>
      </c>
      <c r="L260" s="0" t="inlineStr">
        <is>
          <t xml:space="preserve">Engineering services/materials</t>
        </is>
      </c>
    </row>
    <row r="261">
      <c r="B261" s="0" t="inlineStr">
        <is>
          <t xml:space="preserve">N0002419C6402</t>
        </is>
      </c>
      <c r="C261" s="0" t="inlineStr">
        <is>
          <t xml:space="preserve">TELEDYNE BROWN ENGINEERING, INC.</t>
        </is>
      </c>
      <c r="D261" s="0" t="inlineStr">
        <is>
          <t xml:space="preserve">FBRSJB6V4LW8</t>
        </is>
      </c>
      <c r="E261" s="0" t="inlineStr">
        <is>
          <t xml:space="preserve">NZLPJ3WBMDA8</t>
        </is>
      </c>
      <c r="F261" s="0" t="inlineStr">
        <is>
          <t xml:space="preserve">PNEU-DRAULICS, INCORPORATED</t>
        </is>
      </c>
      <c r="G261" s="0" t="inlineStr">
        <is>
          <t xml:space="preserve">NZLPJ3WBMDA8</t>
        </is>
      </c>
      <c r="H261" s="4">
        <v>0.07859883999999999</v>
      </c>
      <c r="I261" s="0" t="inlineStr">
        <is>
          <t xml:space="preserve">2024-04-12</t>
        </is>
      </c>
      <c r="J261" s="0" t="inlineStr">
        <is>
          <t xml:space="preserve">propulsion_power</t>
        </is>
      </c>
      <c r="K261" s="4">
        <v>6.8</v>
      </c>
      <c r="L261" s="0" t="inlineStr">
        <is>
          <t xml:space="preserve">Engineering services/materials</t>
        </is>
      </c>
    </row>
    <row r="262">
      <c r="B262" s="0" t="inlineStr">
        <is>
          <t xml:space="preserve">N0002419C6402</t>
        </is>
      </c>
      <c r="C262" s="0" t="inlineStr">
        <is>
          <t xml:space="preserve">TELEDYNE BROWN ENGINEERING, INC.</t>
        </is>
      </c>
      <c r="D262" s="0" t="inlineStr">
        <is>
          <t xml:space="preserve">FBRSJB6V4LW8</t>
        </is>
      </c>
      <c r="E262" s="0" t="inlineStr">
        <is>
          <t xml:space="preserve">KHMVPKYKSKY9</t>
        </is>
      </c>
      <c r="F262" s="0" t="inlineStr">
        <is>
          <t xml:space="preserve">COPE PLASTICS, INC.</t>
        </is>
      </c>
      <c r="G262" s="0" t="inlineStr">
        <is>
          <t xml:space="preserve">KHMVPKYKSKY9</t>
        </is>
      </c>
      <c r="H262" s="4">
        <v>0.07851672</v>
      </c>
      <c r="I262" s="0" t="inlineStr">
        <is>
          <t xml:space="preserve">2021-09-23</t>
        </is>
      </c>
      <c r="J262" s="0" t="inlineStr">
        <is>
          <t xml:space="preserve">propulsion_power</t>
        </is>
      </c>
      <c r="K262" s="4">
        <v>0.3</v>
      </c>
      <c r="L262" s="0" t="inlineStr">
        <is>
          <t xml:space="preserve">Engineering materials</t>
        </is>
      </c>
    </row>
    <row r="263">
      <c r="B263" s="0" t="inlineStr">
        <is>
          <t xml:space="preserve">N0002419C6402</t>
        </is>
      </c>
      <c r="C263" s="0" t="inlineStr">
        <is>
          <t xml:space="preserve">TELEDYNE BROWN ENGINEERING, INC.</t>
        </is>
      </c>
      <c r="D263" s="0" t="inlineStr">
        <is>
          <t xml:space="preserve">FBRSJB6V4LW8</t>
        </is>
      </c>
      <c r="E263" s="0" t="inlineStr">
        <is>
          <t xml:space="preserve">CJGFRMQ3CDM4</t>
        </is>
      </c>
      <c r="F263" s="0" t="inlineStr">
        <is>
          <t xml:space="preserve">APEX SPECIALTY METALS, INC.</t>
        </is>
      </c>
      <c r="G263" s="0" t="inlineStr">
        <is>
          <t xml:space="preserve">CJGFRMQ3CDM4</t>
        </is>
      </c>
      <c r="H263" s="4">
        <v>0.078432</v>
      </c>
      <c r="I263" s="0" t="inlineStr">
        <is>
          <t xml:space="preserve">2021-08-03</t>
        </is>
      </c>
      <c r="J263" s="0" t="inlineStr">
        <is>
          <t xml:space="preserve">propulsion_power</t>
        </is>
      </c>
      <c r="K263" s="4">
        <v>1.0</v>
      </c>
      <c r="L263" s="0" t="inlineStr">
        <is>
          <t xml:space="preserve">Engineering materials</t>
        </is>
      </c>
    </row>
    <row r="264">
      <c r="B264" s="0" t="inlineStr">
        <is>
          <t xml:space="preserve">N0002419C6402</t>
        </is>
      </c>
      <c r="C264" s="0" t="inlineStr">
        <is>
          <t xml:space="preserve">TELEDYNE BROWN ENGINEERING, INC.</t>
        </is>
      </c>
      <c r="D264" s="0" t="inlineStr">
        <is>
          <t xml:space="preserve">FBRSJB6V4LW8</t>
        </is>
      </c>
      <c r="E264" s="0" t="inlineStr">
        <is>
          <t xml:space="preserve">CLH8D5KDN9D6</t>
        </is>
      </c>
      <c r="F264" s="0" t="inlineStr">
        <is>
          <t xml:space="preserve">HYDRAULICS INTERNATIONAL, INC.</t>
        </is>
      </c>
      <c r="G264" s="0" t="inlineStr">
        <is>
          <t xml:space="preserve">CLH8D5KDN9D6</t>
        </is>
      </c>
      <c r="H264" s="4">
        <v>0.07797899999999999</v>
      </c>
      <c r="I264" s="0" t="inlineStr">
        <is>
          <t xml:space="preserve">2020-08-25</t>
        </is>
      </c>
      <c r="J264" s="0" t="inlineStr">
        <is>
          <t xml:space="preserve">propulsion_power</t>
        </is>
      </c>
      <c r="K264" s="4">
        <v>0.3</v>
      </c>
      <c r="L264" s="0" t="inlineStr">
        <is>
          <t xml:space="preserve">Engineering materials/services</t>
        </is>
      </c>
    </row>
    <row r="265">
      <c r="B265" s="0" t="inlineStr">
        <is>
          <t xml:space="preserve">N0002419C6402</t>
        </is>
      </c>
      <c r="C265" s="0" t="inlineStr">
        <is>
          <t xml:space="preserve">TELEDYNE BROWN ENGINEERING, INC.</t>
        </is>
      </c>
      <c r="D265" s="0" t="inlineStr">
        <is>
          <t xml:space="preserve">FBRSJB6V4LW8</t>
        </is>
      </c>
      <c r="E265" s="0" t="inlineStr">
        <is>
          <t xml:space="preserve">KHMVPKYKSKY9</t>
        </is>
      </c>
      <c r="F265" s="0" t="inlineStr">
        <is>
          <t xml:space="preserve">COPE PLASTICS, INC.</t>
        </is>
      </c>
      <c r="G265" s="0" t="inlineStr">
        <is>
          <t xml:space="preserve">KHMVPKYKSKY9</t>
        </is>
      </c>
      <c r="H265" s="4">
        <v>0.07764447999999999</v>
      </c>
      <c r="I265" s="0" t="inlineStr">
        <is>
          <t xml:space="preserve">2021-08-05</t>
        </is>
      </c>
      <c r="J265" s="0" t="inlineStr">
        <is>
          <t xml:space="preserve">propulsion_power</t>
        </is>
      </c>
      <c r="K265" s="4">
        <v>0.9</v>
      </c>
      <c r="L265" s="0" t="inlineStr">
        <is>
          <t xml:space="preserve">Engineering materials</t>
        </is>
      </c>
    </row>
    <row r="266">
      <c r="B266" s="0" t="inlineStr">
        <is>
          <t xml:space="preserve">N0002419C6402</t>
        </is>
      </c>
      <c r="C266" s="0" t="inlineStr">
        <is>
          <t xml:space="preserve">TELEDYNE BROWN ENGINEERING, INC.</t>
        </is>
      </c>
      <c r="D266" s="0" t="inlineStr">
        <is>
          <t xml:space="preserve">FBRSJB6V4LW8</t>
        </is>
      </c>
      <c r="E266" s="0" t="inlineStr">
        <is>
          <t xml:space="preserve">KHMVPKYKSKY9</t>
        </is>
      </c>
      <c r="F266" s="0" t="inlineStr">
        <is>
          <t xml:space="preserve">COPE PLASTICS, INC.</t>
        </is>
      </c>
      <c r="G266" s="0" t="inlineStr">
        <is>
          <t xml:space="preserve">KHMVPKYKSKY9</t>
        </is>
      </c>
      <c r="H266" s="4">
        <v>0.0767731</v>
      </c>
      <c r="I266" s="0" t="inlineStr">
        <is>
          <t xml:space="preserve">2021-04-08</t>
        </is>
      </c>
      <c r="J266" s="0" t="inlineStr">
        <is>
          <t xml:space="preserve">propulsion_power</t>
        </is>
      </c>
      <c r="K266" s="4">
        <v>0.8</v>
      </c>
      <c r="L266" s="0" t="inlineStr">
        <is>
          <t xml:space="preserve">Engineering services/materials</t>
        </is>
      </c>
    </row>
    <row r="267">
      <c r="B267" s="0" t="inlineStr">
        <is>
          <t xml:space="preserve">N0002417C4103</t>
        </is>
      </c>
      <c r="C267" s="0" t="inlineStr">
        <is>
          <t xml:space="preserve">HUNTINGTON INGALLS INC</t>
        </is>
      </c>
      <c r="D267" s="0" t="inlineStr">
        <is>
          <t xml:space="preserve">WMXDDH6HJNA5</t>
        </is>
      </c>
      <c r="E267" s="0" t="inlineStr">
        <is>
          <t xml:space="preserve">W8PTMRME1496</t>
        </is>
      </c>
      <c r="F267" s="0" t="inlineStr">
        <is>
          <t xml:space="preserve">LEONARDO SPA</t>
        </is>
      </c>
      <c r="G267" s="0" t="inlineStr">
        <is>
          <t xml:space="preserve">CPHLNLBGWFN5</t>
        </is>
      </c>
      <c r="H267" s="4">
        <v>0.076607</v>
      </c>
      <c r="I267" s="0" t="inlineStr">
        <is>
          <t xml:space="preserve">2018-06-08</t>
        </is>
      </c>
      <c r="J267" s="0" t="inlineStr">
        <is>
          <t xml:space="preserve">other_unclassified</t>
        </is>
      </c>
      <c r="K267" s="4">
        <v>1.8</v>
      </c>
      <c r="L267" s="0" t="inlineStr">
        <is>
          <t xml:space="preserve">Vendor Service; Item #1</t>
        </is>
      </c>
    </row>
    <row r="268">
      <c r="B268" s="0" t="inlineStr">
        <is>
          <t xml:space="preserve">N0002419C6402</t>
        </is>
      </c>
      <c r="C268" s="0" t="inlineStr">
        <is>
          <t xml:space="preserve">TELEDYNE BROWN ENGINEERING, INC.</t>
        </is>
      </c>
      <c r="D268" s="0" t="inlineStr">
        <is>
          <t xml:space="preserve">FBRSJB6V4LW8</t>
        </is>
      </c>
      <c r="E268" s="0" t="inlineStr">
        <is>
          <t xml:space="preserve">XNHRXR2HTXA8</t>
        </is>
      </c>
      <c r="F268" s="0" t="inlineStr">
        <is>
          <t xml:space="preserve">BEAUFORT COMPOSITE TECHNOLOGIES, INC</t>
        </is>
      </c>
      <c r="G268" s="0" t="inlineStr">
        <is>
          <t xml:space="preserve">XNHRXR2HTXA8</t>
        </is>
      </c>
      <c r="H268" s="4">
        <v>0.07571</v>
      </c>
      <c r="I268" s="0" t="inlineStr">
        <is>
          <t xml:space="preserve">2020-07-23</t>
        </is>
      </c>
      <c r="J268" s="0" t="inlineStr">
        <is>
          <t xml:space="preserve">platform_hull</t>
        </is>
      </c>
      <c r="K268" s="4">
        <v>0.4</v>
      </c>
      <c r="L268" s="0" t="inlineStr">
        <is>
          <t xml:space="preserve">Engineering materials</t>
        </is>
      </c>
    </row>
    <row r="269">
      <c r="B269" s="0" t="inlineStr">
        <is>
          <t xml:space="preserve">N0002417C4103</t>
        </is>
      </c>
      <c r="C269" s="0" t="inlineStr">
        <is>
          <t xml:space="preserve">HUNTINGTON INGALLS INC</t>
        </is>
      </c>
      <c r="D269" s="0" t="inlineStr">
        <is>
          <t xml:space="preserve">WMXDDH6HJNA5</t>
        </is>
      </c>
      <c r="E269" s="0" t="inlineStr">
        <is>
          <t xml:space="preserve">T8F3DFSTS611</t>
        </is>
      </c>
      <c r="F269" s="0" t="inlineStr">
        <is>
          <t xml:space="preserve">SENIOR PLC</t>
        </is>
      </c>
      <c r="G269" s="0" t="inlineStr">
        <is>
          <t xml:space="preserve">XNCCMM5WTKK1</t>
        </is>
      </c>
      <c r="H269" s="4">
        <v>0.07545</v>
      </c>
      <c r="I269" s="0" t="inlineStr">
        <is>
          <t xml:space="preserve">2019-02-21</t>
        </is>
      </c>
      <c r="J269" s="0" t="inlineStr">
        <is>
          <t xml:space="preserve">other_unclassified</t>
        </is>
      </c>
      <c r="K269" s="4">
        <v>0.9</v>
      </c>
      <c r="L269" s="0" t="inlineStr">
        <is>
          <t xml:space="preserve">JOINT,VARIOUS,42.000 NOM,EXPANSION; Item #1</t>
        </is>
      </c>
    </row>
    <row r="270">
      <c r="B270" s="0" t="inlineStr">
        <is>
          <t xml:space="preserve">N0002419C6402</t>
        </is>
      </c>
      <c r="C270" s="0" t="inlineStr">
        <is>
          <t xml:space="preserve">TELEDYNE BROWN ENGINEERING, INC.</t>
        </is>
      </c>
      <c r="D270" s="0" t="inlineStr">
        <is>
          <t xml:space="preserve">FBRSJB6V4LW8</t>
        </is>
      </c>
      <c r="E270" s="0" t="inlineStr">
        <is>
          <t xml:space="preserve">M2XAYNY2P889</t>
        </is>
      </c>
      <c r="F270" s="0" t="inlineStr">
        <is>
          <t xml:space="preserve">POWELL ELECTRONICS, INC.</t>
        </is>
      </c>
      <c r="G270" s="0" t="inlineStr">
        <is>
          <t xml:space="preserve">M2XAYNY2P889</t>
        </is>
      </c>
      <c r="H270" s="4">
        <v>0.07511184</v>
      </c>
      <c r="I270" s="0" t="inlineStr">
        <is>
          <t xml:space="preserve">2022-06-24</t>
        </is>
      </c>
      <c r="J270" s="0" t="inlineStr">
        <is>
          <t xml:space="preserve">propulsion_power</t>
        </is>
      </c>
      <c r="K270" s="4">
        <v>0.4</v>
      </c>
      <c r="L270" s="0" t="inlineStr">
        <is>
          <t xml:space="preserve">Engineering services/materials</t>
        </is>
      </c>
    </row>
    <row r="271">
      <c r="B271" s="0" t="inlineStr">
        <is>
          <t xml:space="preserve">N0002417C4103</t>
        </is>
      </c>
      <c r="C271" s="0" t="inlineStr">
        <is>
          <t xml:space="preserve">HUNTINGTON INGALLS INC</t>
        </is>
      </c>
      <c r="D271" s="0" t="inlineStr">
        <is>
          <t xml:space="preserve">WMXDDH6HJNA5</t>
        </is>
      </c>
      <c r="E271" s="0" t="inlineStr">
        <is>
          <t xml:space="preserve">MJ2VYYK18NC6</t>
        </is>
      </c>
      <c r="F271" s="0" t="inlineStr">
        <is>
          <t xml:space="preserve">WORLD FUEL SERVICES CORPORATION</t>
        </is>
      </c>
      <c r="G271" s="0" t="inlineStr">
        <is>
          <t xml:space="preserve">SWV8RMFTGRG9</t>
        </is>
      </c>
      <c r="H271" s="4">
        <v>0.075</v>
      </c>
      <c r="I271" s="0" t="inlineStr">
        <is>
          <t xml:space="preserve">2020-08-07</t>
        </is>
      </c>
      <c r="J271" s="0" t="inlineStr">
        <is>
          <t xml:space="preserve">propulsion_power</t>
        </is>
      </c>
      <c r="K271" s="4">
        <v>1.7</v>
      </c>
      <c r="L271" s="0" t="inlineStr">
        <is>
          <t xml:space="preserve">4500596799- Fuel servicePO item #9</t>
        </is>
      </c>
    </row>
    <row r="272">
      <c r="B272" s="0" t="inlineStr">
        <is>
          <t xml:space="preserve">N0002417C4103</t>
        </is>
      </c>
      <c r="C272" s="0" t="inlineStr">
        <is>
          <t xml:space="preserve">HUNTINGTON INGALLS INC</t>
        </is>
      </c>
      <c r="D272" s="0" t="inlineStr">
        <is>
          <t xml:space="preserve">WMXDDH6HJNA5</t>
        </is>
      </c>
      <c r="E272" s="0" t="inlineStr">
        <is>
          <t xml:space="preserve">MJ2VYYK18NC6</t>
        </is>
      </c>
      <c r="F272" s="0" t="inlineStr">
        <is>
          <t xml:space="preserve">WORLD FUEL SERVICES CORPORATION</t>
        </is>
      </c>
      <c r="G272" s="0" t="inlineStr">
        <is>
          <t xml:space="preserve">SWV8RMFTGRG9</t>
        </is>
      </c>
      <c r="H272" s="4">
        <v>0.075</v>
      </c>
      <c r="I272" s="0" t="inlineStr">
        <is>
          <t xml:space="preserve">2020-03-09</t>
        </is>
      </c>
      <c r="J272" s="0" t="inlineStr">
        <is>
          <t xml:space="preserve">propulsion_power</t>
        </is>
      </c>
      <c r="K272" s="4">
        <v>3.6</v>
      </c>
      <c r="L272" s="0" t="inlineStr">
        <is>
          <t xml:space="preserve">4500596799- Fuel service;item num#9</t>
        </is>
      </c>
    </row>
    <row r="273">
      <c r="B273" s="0" t="inlineStr">
        <is>
          <t xml:space="preserve">N0002417C4103</t>
        </is>
      </c>
      <c r="C273" s="0" t="inlineStr">
        <is>
          <t xml:space="preserve">HUNTINGTON INGALLS INC</t>
        </is>
      </c>
      <c r="D273" s="0" t="inlineStr">
        <is>
          <t xml:space="preserve">WMXDDH6HJNA5</t>
        </is>
      </c>
      <c r="E273" s="0" t="inlineStr">
        <is>
          <t xml:space="preserve">W8PTMRME1496</t>
        </is>
      </c>
      <c r="F273" s="0" t="inlineStr">
        <is>
          <t xml:space="preserve">LEONARDO SPA</t>
        </is>
      </c>
      <c r="G273" s="0" t="inlineStr">
        <is>
          <t xml:space="preserve">GXPHJRVG9MR7</t>
        </is>
      </c>
      <c r="H273" s="4">
        <v>0.075</v>
      </c>
      <c r="I273" s="0" t="inlineStr">
        <is>
          <t xml:space="preserve">2018-06-06</t>
        </is>
      </c>
      <c r="J273" s="0" t="inlineStr">
        <is>
          <t xml:space="preserve">other_unclassified</t>
        </is>
      </c>
      <c r="K273" s="4">
        <v>1.8</v>
      </c>
      <c r="L273" s="0" t="inlineStr">
        <is>
          <t xml:space="preserve">Vendor Service; Item #1</t>
        </is>
      </c>
    </row>
    <row r="274">
      <c r="B274" s="0" t="inlineStr">
        <is>
          <t xml:space="preserve">N0002419C6402</t>
        </is>
      </c>
      <c r="C274" s="0" t="inlineStr">
        <is>
          <t xml:space="preserve">TELEDYNE BROWN ENGINEERING, INC.</t>
        </is>
      </c>
      <c r="D274" s="0" t="inlineStr">
        <is>
          <t xml:space="preserve">FBRSJB6V4LW8</t>
        </is>
      </c>
      <c r="E274" s="0" t="inlineStr">
        <is>
          <t xml:space="preserve">TNSXP14JPJS3</t>
        </is>
      </c>
      <c r="F274" s="0" t="inlineStr">
        <is>
          <t xml:space="preserve">EPSILON SYSTEMS SOLUTIONS</t>
        </is>
      </c>
      <c r="G274" s="0" t="inlineStr">
        <is>
          <t xml:space="preserve">T1GVZ5Z6K5L4</t>
        </is>
      </c>
      <c r="H274" s="4">
        <v>0.075</v>
      </c>
      <c r="I274" s="0" t="inlineStr">
        <is>
          <t xml:space="preserve">2026-02-25</t>
        </is>
      </c>
      <c r="J274" s="0" t="inlineStr">
        <is>
          <t xml:space="preserve">propulsion_power</t>
        </is>
      </c>
      <c r="K274" s="4">
        <v>0.4</v>
      </c>
      <c r="L274" s="0" t="inlineStr">
        <is>
          <t xml:space="preserve">Engineering Services</t>
        </is>
      </c>
    </row>
    <row r="275">
      <c r="B275" s="0" t="inlineStr">
        <is>
          <t xml:space="preserve">N0002417C4103</t>
        </is>
      </c>
      <c r="C275" s="0" t="inlineStr">
        <is>
          <t xml:space="preserve">HUNTINGTON INGALLS INC</t>
        </is>
      </c>
      <c r="D275" s="0" t="inlineStr">
        <is>
          <t xml:space="preserve">WMXDDH6HJNA5</t>
        </is>
      </c>
      <c r="E275" s="0" t="inlineStr">
        <is>
          <t xml:space="preserve">H4ZMPGLLZ8D9</t>
        </is>
      </c>
      <c r="F275" s="0" t="inlineStr">
        <is>
          <t xml:space="preserve">ARTCRAFT FABRICATORS, INC.</t>
        </is>
      </c>
      <c r="G275" s="0" t="inlineStr">
        <is>
          <t xml:space="preserve">H4ZMPGLLZ8D9</t>
        </is>
      </c>
      <c r="H275" s="4">
        <v>0.074822</v>
      </c>
      <c r="I275" s="0" t="inlineStr">
        <is>
          <t xml:space="preserve">2018-11-02</t>
        </is>
      </c>
      <c r="J275" s="0" t="inlineStr">
        <is>
          <t xml:space="preserve">platform_hull</t>
        </is>
      </c>
      <c r="K275" s="4">
        <v>2.1</v>
      </c>
      <c r="L275" s="0" t="inlineStr">
        <is>
          <t xml:space="preserve">SEA CHEST,NICU,16.000 NOM,DISCHARGE; ITEM #2</t>
        </is>
      </c>
    </row>
    <row r="276">
      <c r="B276" s="0" t="inlineStr">
        <is>
          <t xml:space="preserve">N0002417C4103</t>
        </is>
      </c>
      <c r="C276" s="0" t="inlineStr">
        <is>
          <t xml:space="preserve">HUNTINGTON INGALLS INC</t>
        </is>
      </c>
      <c r="D276" s="0" t="inlineStr">
        <is>
          <t xml:space="preserve">WMXDDH6HJNA5</t>
        </is>
      </c>
      <c r="E276" s="0" t="inlineStr">
        <is>
          <t xml:space="preserve">H4ZMPGLLZ8D9</t>
        </is>
      </c>
      <c r="F276" s="0" t="inlineStr">
        <is>
          <t xml:space="preserve">ARTCRAFT FABRICATORS, INC.</t>
        </is>
      </c>
      <c r="G276" s="0" t="inlineStr">
        <is>
          <t xml:space="preserve">H4ZMPGLLZ8D9</t>
        </is>
      </c>
      <c r="H276" s="4">
        <v>0.074822</v>
      </c>
      <c r="I276" s="0" t="inlineStr">
        <is>
          <t xml:space="preserve">2018-11-02</t>
        </is>
      </c>
      <c r="J276" s="0" t="inlineStr">
        <is>
          <t xml:space="preserve">platform_hull</t>
        </is>
      </c>
      <c r="K276" s="4">
        <v>2.1</v>
      </c>
      <c r="L276" s="0" t="inlineStr">
        <is>
          <t xml:space="preserve">SEA CHEST,NICU,16.000 NOM,DISCHARGE; ITEM #2</t>
        </is>
      </c>
    </row>
    <row r="277">
      <c r="B277" s="0" t="inlineStr">
        <is>
          <t xml:space="preserve">N0002417C4103</t>
        </is>
      </c>
      <c r="C277" s="0" t="inlineStr">
        <is>
          <t xml:space="preserve">HUNTINGTON INGALLS INC</t>
        </is>
      </c>
      <c r="D277" s="0" t="inlineStr">
        <is>
          <t xml:space="preserve">WMXDDH6HJNA5</t>
        </is>
      </c>
      <c r="E277" s="0" t="inlineStr">
        <is>
          <t xml:space="preserve">H4ZMPGLLZ8D9</t>
        </is>
      </c>
      <c r="F277" s="0" t="inlineStr">
        <is>
          <t xml:space="preserve">ARTCRAFT FABRICATORS, INC.</t>
        </is>
      </c>
      <c r="G277" s="0" t="inlineStr">
        <is>
          <t xml:space="preserve">H4ZMPGLLZ8D9</t>
        </is>
      </c>
      <c r="H277" s="4">
        <v>0.074822</v>
      </c>
      <c r="I277" s="0" t="inlineStr">
        <is>
          <t xml:space="preserve">2018-11-02</t>
        </is>
      </c>
      <c r="J277" s="0" t="inlineStr">
        <is>
          <t xml:space="preserve">platform_hull</t>
        </is>
      </c>
      <c r="K277" s="4">
        <v>2.1</v>
      </c>
      <c r="L277" s="0" t="inlineStr">
        <is>
          <t xml:space="preserve">SEA CHEST,NICU,16.000 NOM,DISCHARGE; ITEM #2</t>
        </is>
      </c>
    </row>
    <row r="278">
      <c r="B278" s="0" t="inlineStr">
        <is>
          <t xml:space="preserve">N0002419C6402</t>
        </is>
      </c>
      <c r="C278" s="0" t="inlineStr">
        <is>
          <t xml:space="preserve">TELEDYNE BROWN ENGINEERING, INC.</t>
        </is>
      </c>
      <c r="D278" s="0" t="inlineStr">
        <is>
          <t xml:space="preserve">FBRSJB6V4LW8</t>
        </is>
      </c>
      <c r="E278" s="0" t="inlineStr">
        <is>
          <t xml:space="preserve">KHMVPKYKSKY9</t>
        </is>
      </c>
      <c r="F278" s="0" t="inlineStr">
        <is>
          <t xml:space="preserve">COPE PLASTICS, INC.</t>
        </is>
      </c>
      <c r="G278" s="0" t="inlineStr">
        <is>
          <t xml:space="preserve">KHMVPKYKSKY9</t>
        </is>
      </c>
      <c r="H278" s="4">
        <v>0.07436448</v>
      </c>
      <c r="I278" s="0" t="inlineStr">
        <is>
          <t xml:space="preserve">2021-03-12</t>
        </is>
      </c>
      <c r="J278" s="0" t="inlineStr">
        <is>
          <t xml:space="preserve">propulsion_power</t>
        </is>
      </c>
      <c r="K278" s="4">
        <v>0.9</v>
      </c>
      <c r="L278" s="0" t="inlineStr">
        <is>
          <t xml:space="preserve">Engineering services/materials</t>
        </is>
      </c>
    </row>
    <row r="279">
      <c r="B279" s="0" t="inlineStr">
        <is>
          <t xml:space="preserve">N0002419C6402</t>
        </is>
      </c>
      <c r="C279" s="0" t="inlineStr">
        <is>
          <t xml:space="preserve">TELEDYNE BROWN ENGINEERING, INC.</t>
        </is>
      </c>
      <c r="D279" s="0" t="inlineStr">
        <is>
          <t xml:space="preserve">FBRSJB6V4LW8</t>
        </is>
      </c>
      <c r="E279" s="0" t="inlineStr">
        <is>
          <t xml:space="preserve">MTNWQNAC4W27</t>
        </is>
      </c>
      <c r="F279" s="0" t="inlineStr">
        <is>
          <t xml:space="preserve">MEASUTRONICS CORPORATION</t>
        </is>
      </c>
      <c r="G279" s="0" t="inlineStr">
        <is>
          <t xml:space="preserve">MTNWQNAC4W27</t>
        </is>
      </c>
      <c r="H279" s="4">
        <v>0.07433</v>
      </c>
      <c r="I279" s="0" t="inlineStr">
        <is>
          <t xml:space="preserve">2025-11-07</t>
        </is>
      </c>
      <c r="J279" s="0" t="inlineStr">
        <is>
          <t xml:space="preserve">propulsion_power</t>
        </is>
      </c>
      <c r="K279" s="4">
        <v>1.8</v>
      </c>
      <c r="L279" s="0" t="inlineStr">
        <is>
          <t xml:space="preserve">Engineering Services/ Materials</t>
        </is>
      </c>
    </row>
    <row r="280">
      <c r="B280" s="0" t="inlineStr">
        <is>
          <t xml:space="preserve">N0002419C6402</t>
        </is>
      </c>
      <c r="C280" s="0" t="inlineStr">
        <is>
          <t xml:space="preserve">TELEDYNE BROWN ENGINEERING, INC.</t>
        </is>
      </c>
      <c r="D280" s="0" t="inlineStr">
        <is>
          <t xml:space="preserve">FBRSJB6V4LW8</t>
        </is>
      </c>
      <c r="E280" s="0" t="inlineStr">
        <is>
          <t xml:space="preserve">PXWRHVZ4LQF5</t>
        </is>
      </c>
      <c r="F280" s="0" t="inlineStr">
        <is>
          <t xml:space="preserve">Gallium Visual</t>
        </is>
      </c>
      <c r="G280" s="0" t="inlineStr">
        <is>
          <t xml:space="preserve">PXWRHVZ4LQF5</t>
        </is>
      </c>
      <c r="H280" s="4">
        <v>0.0742</v>
      </c>
      <c r="I280" s="0" t="inlineStr">
        <is>
          <t xml:space="preserve">2020-09-04</t>
        </is>
      </c>
      <c r="J280" s="0" t="inlineStr">
        <is>
          <t xml:space="preserve">propulsion_power</t>
        </is>
      </c>
      <c r="K280" s="4">
        <v>0.9</v>
      </c>
      <c r="L280" s="0" t="inlineStr">
        <is>
          <t xml:space="preserve">Engineering materials/services</t>
        </is>
      </c>
    </row>
    <row r="281">
      <c r="B281" s="0" t="inlineStr">
        <is>
          <t xml:space="preserve">N0001421C1009</t>
        </is>
      </c>
      <c r="C281" s="0" t="inlineStr">
        <is>
          <t xml:space="preserve">RAYTHEON COMPANY</t>
        </is>
      </c>
      <c r="D281" s="0" t="inlineStr">
        <is>
          <t xml:space="preserve">VTEWM5QSE598</t>
        </is>
      </c>
      <c r="E281" s="0" t="inlineStr">
        <is>
          <t xml:space="preserve">HXDVZG1NZU21</t>
        </is>
      </c>
      <c r="F281" s="0" t="inlineStr">
        <is>
          <t xml:space="preserve">SCORPION TECHNOLOGIES LLC</t>
        </is>
      </c>
      <c r="G281" s="0" t="inlineStr">
        <is>
          <t xml:space="preserve">HXDVZG1NZU21</t>
        </is>
      </c>
      <c r="H281" s="4">
        <v>0.07379999999999999</v>
      </c>
      <c r="I281" s="0" t="inlineStr">
        <is>
          <t xml:space="preserve">2021-06-17</t>
        </is>
      </c>
      <c r="J281" s="0" t="inlineStr">
        <is>
          <t xml:space="preserve">other_unclassified</t>
        </is>
      </c>
      <c r="K281" s="4">
        <v>1.3</v>
      </c>
      <c r="L281" s="0" t="inlineStr">
        <is>
          <t xml:space="preserve">NRE - Other.</t>
        </is>
      </c>
    </row>
    <row r="282">
      <c r="B282" s="0" t="inlineStr">
        <is>
          <t xml:space="preserve">N0002423C6308</t>
        </is>
      </c>
      <c r="C282" s="0" t="inlineStr">
        <is>
          <t xml:space="preserve">HII UNMANNED SYSTEMS, INC</t>
        </is>
      </c>
      <c r="D282" s="0" t="inlineStr">
        <is>
          <t xml:space="preserve">WN18KN7KQLG9</t>
        </is>
      </c>
      <c r="E282" s="0" t="inlineStr">
        <is>
          <t xml:space="preserve">UVF8ZTYG9FV3</t>
        </is>
      </c>
      <c r="F282" s="0" t="inlineStr">
        <is>
          <t xml:space="preserve">CURTISS-WRIGHT ELECTRO-MECHANICAL CORPORATION</t>
        </is>
      </c>
      <c r="G282" s="0" t="inlineStr">
        <is>
          <t xml:space="preserve">UVF8ZTYG9FV3</t>
        </is>
      </c>
      <c r="H282" s="4">
        <v>0.0733405</v>
      </c>
      <c r="I282" s="0" t="inlineStr">
        <is>
          <t xml:space="preserve">2024-10-08</t>
        </is>
      </c>
      <c r="J282" s="0" t="inlineStr">
        <is>
          <t xml:space="preserve">autonomy_software</t>
        </is>
      </c>
      <c r="K282" s="4">
        <v>1.8</v>
      </c>
      <c r="L282" s="0" t="inlineStr">
        <is>
          <t xml:space="preserve">Search, Detection, Navigation, Guidance, Aeronautical, and Nautical System and Instrument Manufacturing</t>
        </is>
      </c>
    </row>
    <row r="283">
      <c r="B283" s="0" t="inlineStr">
        <is>
          <t xml:space="preserve">N0002419C6402</t>
        </is>
      </c>
      <c r="C283" s="0" t="inlineStr">
        <is>
          <t xml:space="preserve">TELEDYNE BROWN ENGINEERING, INC.</t>
        </is>
      </c>
      <c r="D283" s="0" t="inlineStr">
        <is>
          <t xml:space="preserve">FBRSJB6V4LW8</t>
        </is>
      </c>
      <c r="E283" s="0" t="inlineStr">
        <is>
          <t xml:space="preserve">PAH8M4BJACA5</t>
        </is>
      </c>
      <c r="F283" s="0" t="inlineStr">
        <is>
          <t xml:space="preserve">TELEDYNE INSTRUMENTS INC</t>
        </is>
      </c>
      <c r="G283" s="0" t="inlineStr">
        <is>
          <t xml:space="preserve">PAH8M4BJACA5</t>
        </is>
      </c>
      <c r="H283" s="4">
        <v>0.072887</v>
      </c>
      <c r="I283" s="0" t="inlineStr">
        <is>
          <t xml:space="preserve">2025-10-28</t>
        </is>
      </c>
      <c r="J283" s="0" t="inlineStr">
        <is>
          <t xml:space="preserve">propulsion_power</t>
        </is>
      </c>
      <c r="K283" s="4">
        <v>1.0</v>
      </c>
      <c r="L283" s="0" t="inlineStr">
        <is>
          <t xml:space="preserve">Engineering materials</t>
        </is>
      </c>
    </row>
    <row r="284">
      <c r="B284" s="0" t="inlineStr">
        <is>
          <t xml:space="preserve">N0001421C1009</t>
        </is>
      </c>
      <c r="C284" s="0" t="inlineStr">
        <is>
          <t xml:space="preserve">RAYTHEON COMPANY</t>
        </is>
      </c>
      <c r="D284" s="0" t="inlineStr">
        <is>
          <t xml:space="preserve">VTEWM5QSE598</t>
        </is>
      </c>
      <c r="E284" s="0" t="inlineStr">
        <is>
          <t xml:space="preserve">PNE9R5EJMWK8</t>
        </is>
      </c>
      <c r="F284" s="0" t="inlineStr">
        <is>
          <t xml:space="preserve">L3HARRIS FUZING AND ORDNANCE SYSTEMS, INC.</t>
        </is>
      </c>
      <c r="G284" s="0" t="inlineStr">
        <is>
          <t xml:space="preserve">H42MN1TYJ257</t>
        </is>
      </c>
      <c r="H284" s="4">
        <v>0.072254</v>
      </c>
      <c r="I284" s="0" t="inlineStr">
        <is>
          <t xml:space="preserve">2020-11-23</t>
        </is>
      </c>
      <c r="J284" s="0" t="inlineStr">
        <is>
          <t xml:space="preserve">other_unclassified</t>
        </is>
      </c>
      <c r="K284" s="4">
        <v>41.0</v>
      </c>
      <c r="L284" s="0" t="inlineStr">
        <is>
          <t xml:space="preserve">Detonator&amp;Initiator.</t>
        </is>
      </c>
    </row>
    <row r="285">
      <c r="B285" s="0" t="inlineStr">
        <is>
          <t xml:space="preserve">N0001421C1009</t>
        </is>
      </c>
      <c r="C285" s="0" t="inlineStr">
        <is>
          <t xml:space="preserve">RAYTHEON COMPANY</t>
        </is>
      </c>
      <c r="D285" s="0" t="inlineStr">
        <is>
          <t xml:space="preserve">VTEWM5QSE598</t>
        </is>
      </c>
      <c r="E285" s="0" t="inlineStr">
        <is>
          <t xml:space="preserve">SJULQDJ8NZU7</t>
        </is>
      </c>
      <c r="F285" s="0" t="inlineStr">
        <is>
          <t xml:space="preserve">L3HARRIS TECHNOLOGIES, INC.</t>
        </is>
      </c>
      <c r="G285" s="0" t="inlineStr">
        <is>
          <t xml:space="preserve">H42MN1TYJ257</t>
        </is>
      </c>
      <c r="H285" s="4">
        <v>0.072254</v>
      </c>
      <c r="I285" s="0" t="inlineStr">
        <is>
          <t xml:space="preserve">2020-11-23</t>
        </is>
      </c>
      <c r="J285" s="0" t="inlineStr">
        <is>
          <t xml:space="preserve">other_unclassified</t>
        </is>
      </c>
      <c r="K285" s="4">
        <v>28.6</v>
      </c>
      <c r="L285" s="0" t="inlineStr">
        <is>
          <t xml:space="preserve">Detonator&amp;Initiator.</t>
        </is>
      </c>
    </row>
    <row r="286">
      <c r="B286" s="0" t="inlineStr">
        <is>
          <t xml:space="preserve">N0001421C1009</t>
        </is>
      </c>
      <c r="C286" s="0" t="inlineStr">
        <is>
          <t xml:space="preserve">RAYTHEON COMPANY</t>
        </is>
      </c>
      <c r="D286" s="0" t="inlineStr">
        <is>
          <t xml:space="preserve">VTEWM5QSE598</t>
        </is>
      </c>
      <c r="E286" s="0" t="inlineStr">
        <is>
          <t xml:space="preserve">SJULQDJ8NZU7</t>
        </is>
      </c>
      <c r="F286" s="0" t="inlineStr">
        <is>
          <t xml:space="preserve">L3HARRIS TECHNOLOGIES, INC.</t>
        </is>
      </c>
      <c r="G286" s="0" t="inlineStr">
        <is>
          <t xml:space="preserve">H42MN1TYJ257</t>
        </is>
      </c>
      <c r="H286" s="4">
        <v>0.072254</v>
      </c>
      <c r="I286" s="0" t="inlineStr">
        <is>
          <t xml:space="preserve">2020-11-23</t>
        </is>
      </c>
      <c r="J286" s="0" t="inlineStr">
        <is>
          <t xml:space="preserve">other_unclassified</t>
        </is>
      </c>
      <c r="K286" s="4">
        <v>21.2</v>
      </c>
      <c r="L286" s="0" t="inlineStr">
        <is>
          <t xml:space="preserve">Detonator&amp;Initiator.</t>
        </is>
      </c>
    </row>
    <row r="287">
      <c r="B287" s="0" t="inlineStr">
        <is>
          <t xml:space="preserve">N0002419C6402</t>
        </is>
      </c>
      <c r="C287" s="0" t="inlineStr">
        <is>
          <t xml:space="preserve">TELEDYNE BROWN ENGINEERING, INC.</t>
        </is>
      </c>
      <c r="D287" s="0" t="inlineStr">
        <is>
          <t xml:space="preserve">FBRSJB6V4LW8</t>
        </is>
      </c>
      <c r="E287" s="0" t="inlineStr">
        <is>
          <t xml:space="preserve">CJGFRMQ3CDM4</t>
        </is>
      </c>
      <c r="F287" s="0" t="inlineStr">
        <is>
          <t xml:space="preserve">APEX SPECIALTY METALS, INC.</t>
        </is>
      </c>
      <c r="G287" s="0" t="inlineStr">
        <is>
          <t xml:space="preserve">CJGFRMQ3CDM4</t>
        </is>
      </c>
      <c r="H287" s="4">
        <v>0.07213985</v>
      </c>
      <c r="I287" s="0" t="inlineStr">
        <is>
          <t xml:space="preserve">2021-11-05</t>
        </is>
      </c>
      <c r="J287" s="0" t="inlineStr">
        <is>
          <t xml:space="preserve">propulsion_power</t>
        </is>
      </c>
      <c r="K287" s="4">
        <v>0.9</v>
      </c>
      <c r="L287" s="0" t="inlineStr">
        <is>
          <t xml:space="preserve">Engineering services/materials</t>
        </is>
      </c>
    </row>
    <row r="288">
      <c r="B288" s="0" t="inlineStr">
        <is>
          <t xml:space="preserve">N0002419C6402</t>
        </is>
      </c>
      <c r="C288" s="0" t="inlineStr">
        <is>
          <t xml:space="preserve">TELEDYNE BROWN ENGINEERING, INC.</t>
        </is>
      </c>
      <c r="D288" s="0" t="inlineStr">
        <is>
          <t xml:space="preserve">FBRSJB6V4LW8</t>
        </is>
      </c>
      <c r="E288" s="0" t="inlineStr">
        <is>
          <t xml:space="preserve">T1DJK3F8H6V5</t>
        </is>
      </c>
      <c r="F288" s="0" t="inlineStr">
        <is>
          <t xml:space="preserve">METROPOLE PRODUCTS, INC.</t>
        </is>
      </c>
      <c r="G288" s="0" t="inlineStr">
        <is>
          <t xml:space="preserve">T1DJK3F8H6V5</t>
        </is>
      </c>
      <c r="H288" s="4">
        <v>0.07125</v>
      </c>
      <c r="I288" s="0" t="inlineStr">
        <is>
          <t xml:space="preserve">2026-01-12</t>
        </is>
      </c>
      <c r="J288" s="0" t="inlineStr">
        <is>
          <t xml:space="preserve">propulsion_power</t>
        </is>
      </c>
      <c r="K288" s="4">
        <v>1.3</v>
      </c>
      <c r="L288" s="0" t="inlineStr">
        <is>
          <t xml:space="preserve">Engineering Services</t>
        </is>
      </c>
    </row>
    <row r="289">
      <c r="B289" s="0" t="inlineStr">
        <is>
          <t xml:space="preserve">N0010426CXA01</t>
        </is>
      </c>
      <c r="C289" s="0" t="inlineStr">
        <is>
          <t xml:space="preserve">GENERAL DYNAMICS INFORMATION TECHNOLOGY, INC.</t>
        </is>
      </c>
      <c r="D289" s="0" t="inlineStr">
        <is>
          <t xml:space="preserve">SMNWM6HN79X5</t>
        </is>
      </c>
      <c r="E289" s="0" t="inlineStr">
        <is>
          <t xml:space="preserve">E582KXT4RVH6</t>
        </is>
      </c>
      <c r="F289" s="0" t="inlineStr">
        <is>
          <t xml:space="preserve">SUPERIOR MOTION CONTROLS, INC.</t>
        </is>
      </c>
      <c r="G289" s="0" t="inlineStr">
        <is>
          <t xml:space="preserve">E582KXT4RVH6</t>
        </is>
      </c>
      <c r="H289" s="4">
        <v>0.07124496000000001</v>
      </c>
      <c r="I289" s="0" t="inlineStr">
        <is>
          <t xml:space="preserve">2026-03-16</t>
        </is>
      </c>
      <c r="J289" s="0" t="inlineStr">
        <is>
          <t xml:space="preserve">other_unclassified</t>
        </is>
      </c>
      <c r="K289" s="4">
        <v>1.2</v>
      </c>
      <c r="L289" s="0" t="inlineStr">
        <is>
          <t xml:space="preserve">products</t>
        </is>
      </c>
    </row>
    <row r="290">
      <c r="B290" s="0" t="inlineStr">
        <is>
          <t xml:space="preserve">N0002419C6402</t>
        </is>
      </c>
      <c r="C290" s="0" t="inlineStr">
        <is>
          <t xml:space="preserve">TELEDYNE BROWN ENGINEERING, INC.</t>
        </is>
      </c>
      <c r="D290" s="0" t="inlineStr">
        <is>
          <t xml:space="preserve">FBRSJB6V4LW8</t>
        </is>
      </c>
      <c r="E290" s="0" t="inlineStr">
        <is>
          <t xml:space="preserve">KHMVPKYKSKY9</t>
        </is>
      </c>
      <c r="F290" s="0" t="inlineStr">
        <is>
          <t xml:space="preserve">COPE PLASTICS, INC.</t>
        </is>
      </c>
      <c r="G290" s="0" t="inlineStr">
        <is>
          <t xml:space="preserve">KHMVPKYKSKY9</t>
        </is>
      </c>
      <c r="H290" s="4">
        <v>0.07116</v>
      </c>
      <c r="I290" s="0" t="inlineStr">
        <is>
          <t xml:space="preserve">2021-08-06</t>
        </is>
      </c>
      <c r="J290" s="0" t="inlineStr">
        <is>
          <t xml:space="preserve">propulsion_power</t>
        </is>
      </c>
      <c r="K290" s="4">
        <v>0.9</v>
      </c>
      <c r="L290" s="0" t="inlineStr">
        <is>
          <t xml:space="preserve">Engineering materials</t>
        </is>
      </c>
    </row>
    <row r="291">
      <c r="B291" s="0" t="inlineStr">
        <is>
          <t xml:space="preserve">N0002419C6402</t>
        </is>
      </c>
      <c r="C291" s="0" t="inlineStr">
        <is>
          <t xml:space="preserve">TELEDYNE BROWN ENGINEERING, INC.</t>
        </is>
      </c>
      <c r="D291" s="0" t="inlineStr">
        <is>
          <t xml:space="preserve">FBRSJB6V4LW8</t>
        </is>
      </c>
      <c r="E291" s="0" t="inlineStr">
        <is>
          <t xml:space="preserve">RKXHNMJD8639</t>
        </is>
      </c>
      <c r="F291" s="0" t="inlineStr">
        <is>
          <t xml:space="preserve">WHITESBURG ELECTRONICS INC</t>
        </is>
      </c>
      <c r="G291" s="0" t="inlineStr">
        <is>
          <t xml:space="preserve">RKXHNMJD8639</t>
        </is>
      </c>
      <c r="H291" s="4">
        <v>0.07083492</v>
      </c>
      <c r="I291" s="0" t="inlineStr">
        <is>
          <t xml:space="preserve">2023-10-02</t>
        </is>
      </c>
      <c r="J291" s="0" t="inlineStr">
        <is>
          <t xml:space="preserve">propulsion_power</t>
        </is>
      </c>
      <c r="K291" s="4">
        <v>2.1</v>
      </c>
      <c r="L291" s="0" t="inlineStr">
        <is>
          <t xml:space="preserve">Engineering services/materials</t>
        </is>
      </c>
    </row>
    <row r="292">
      <c r="B292" s="0" t="inlineStr">
        <is>
          <t xml:space="preserve">N0002419C6402</t>
        </is>
      </c>
      <c r="C292" s="0" t="inlineStr">
        <is>
          <t xml:space="preserve">TELEDYNE BROWN ENGINEERING, INC.</t>
        </is>
      </c>
      <c r="D292" s="0" t="inlineStr">
        <is>
          <t xml:space="preserve">FBRSJB6V4LW8</t>
        </is>
      </c>
      <c r="E292" s="0" t="inlineStr">
        <is>
          <t xml:space="preserve">F3S7R7XULVR8</t>
        </is>
      </c>
      <c r="F292" s="0" t="inlineStr">
        <is>
          <t xml:space="preserve">PIERCE ALUMINUM CO INC</t>
        </is>
      </c>
      <c r="G292" s="0" t="inlineStr">
        <is>
          <t xml:space="preserve">F3S7R7XULVR8</t>
        </is>
      </c>
      <c r="H292" s="4">
        <v>0.07043614999999999</v>
      </c>
      <c r="I292" s="0" t="inlineStr">
        <is>
          <t xml:space="preserve">2024-03-07</t>
        </is>
      </c>
      <c r="J292" s="0" t="inlineStr">
        <is>
          <t xml:space="preserve">platform_hull</t>
        </is>
      </c>
      <c r="K292" s="4">
        <v>1.3</v>
      </c>
      <c r="L292" s="0" t="inlineStr">
        <is>
          <t xml:space="preserve">Engineering services/materials</t>
        </is>
      </c>
    </row>
    <row r="293">
      <c r="B293" s="0" t="inlineStr">
        <is>
          <t xml:space="preserve">N0002419C6402</t>
        </is>
      </c>
      <c r="C293" s="0" t="inlineStr">
        <is>
          <t xml:space="preserve">TELEDYNE BROWN ENGINEERING, INC.</t>
        </is>
      </c>
      <c r="D293" s="0" t="inlineStr">
        <is>
          <t xml:space="preserve">FBRSJB6V4LW8</t>
        </is>
      </c>
      <c r="E293" s="0" t="inlineStr">
        <is>
          <t xml:space="preserve">MYHSMYECPCR1</t>
        </is>
      </c>
      <c r="F293" s="0" t="inlineStr">
        <is>
          <t xml:space="preserve">TECNOVA ADVANCED SYSTEMS, INC.</t>
        </is>
      </c>
      <c r="G293" s="0" t="inlineStr">
        <is>
          <t xml:space="preserve">MYHSMYECPCR1</t>
        </is>
      </c>
      <c r="H293" s="4">
        <v>0.0702828</v>
      </c>
      <c r="I293" s="0" t="inlineStr">
        <is>
          <t xml:space="preserve">2021-03-22</t>
        </is>
      </c>
      <c r="J293" s="0" t="inlineStr">
        <is>
          <t xml:space="preserve">propulsion_power</t>
        </is>
      </c>
      <c r="K293" s="4">
        <v>0.5</v>
      </c>
      <c r="L293" s="0" t="inlineStr">
        <is>
          <t xml:space="preserve">Engineering services/materials</t>
        </is>
      </c>
    </row>
    <row r="294">
      <c r="B294" s="0" t="inlineStr">
        <is>
          <t xml:space="preserve">N0002419C6402</t>
        </is>
      </c>
      <c r="C294" s="0" t="inlineStr">
        <is>
          <t xml:space="preserve">TELEDYNE BROWN ENGINEERING, INC.</t>
        </is>
      </c>
      <c r="D294" s="0" t="inlineStr">
        <is>
          <t xml:space="preserve">FBRSJB6V4LW8</t>
        </is>
      </c>
      <c r="E294" s="0" t="inlineStr">
        <is>
          <t xml:space="preserve">XNHRXR2HTXA8</t>
        </is>
      </c>
      <c r="F294" s="0" t="inlineStr">
        <is>
          <t xml:space="preserve">BEAUFORT COMPOSITE TECHNOLOGIES, INC.</t>
        </is>
      </c>
      <c r="G294" s="0" t="inlineStr">
        <is>
          <t xml:space="preserve">XNHRXR2HTXA8</t>
        </is>
      </c>
      <c r="H294" s="4">
        <v>0.07017999999999999</v>
      </c>
      <c r="I294" s="0" t="inlineStr">
        <is>
          <t xml:space="preserve">2024-02-15</t>
        </is>
      </c>
      <c r="J294" s="0" t="inlineStr">
        <is>
          <t xml:space="preserve">platform_hull</t>
        </is>
      </c>
      <c r="K294" s="4">
        <v>2.0</v>
      </c>
      <c r="L294" s="0" t="inlineStr">
        <is>
          <t xml:space="preserve">Engineering services/materials</t>
        </is>
      </c>
    </row>
    <row r="295">
      <c r="B295" s="0" t="inlineStr">
        <is>
          <t xml:space="preserve">N0002419C6402</t>
        </is>
      </c>
      <c r="C295" s="0" t="inlineStr">
        <is>
          <t xml:space="preserve">TELEDYNE BROWN ENGINEERING, INC.</t>
        </is>
      </c>
      <c r="D295" s="0" t="inlineStr">
        <is>
          <t xml:space="preserve">FBRSJB6V4LW8</t>
        </is>
      </c>
      <c r="E295" s="0" t="inlineStr">
        <is>
          <t xml:space="preserve">U1PHZ8JUHL21</t>
        </is>
      </c>
      <c r="F295" s="0" t="inlineStr">
        <is>
          <t xml:space="preserve">RTD EMBEDDED TECHNOLOGIES INC</t>
        </is>
      </c>
      <c r="G295" s="0" t="inlineStr">
        <is>
          <t xml:space="preserve">U1PHZ8JUHL21</t>
        </is>
      </c>
      <c r="H295" s="4">
        <v>0.07010999999999999</v>
      </c>
      <c r="I295" s="0" t="inlineStr">
        <is>
          <t xml:space="preserve">2024-03-27</t>
        </is>
      </c>
      <c r="J295" s="0" t="inlineStr">
        <is>
          <t xml:space="preserve">propulsion_power</t>
        </is>
      </c>
      <c r="K295" s="4">
        <v>0.7</v>
      </c>
      <c r="L295" s="0" t="inlineStr">
        <is>
          <t xml:space="preserve">Engineering services/materials</t>
        </is>
      </c>
    </row>
    <row r="296">
      <c r="B296" s="0" t="inlineStr">
        <is>
          <t xml:space="preserve">N0002419C6402</t>
        </is>
      </c>
      <c r="C296" s="0" t="inlineStr">
        <is>
          <t xml:space="preserve">TELEDYNE BROWN ENGINEERING, INC.</t>
        </is>
      </c>
      <c r="D296" s="0" t="inlineStr">
        <is>
          <t xml:space="preserve">FBRSJB6V4LW8</t>
        </is>
      </c>
      <c r="E296" s="0" t="inlineStr">
        <is>
          <t xml:space="preserve">PAH8M4BJACA5</t>
        </is>
      </c>
      <c r="F296" s="0" t="inlineStr">
        <is>
          <t xml:space="preserve">TELEDYNE INSTRUMENTS INC</t>
        </is>
      </c>
      <c r="G296" s="0" t="inlineStr">
        <is>
          <t xml:space="preserve">PAH8M4BJACA5</t>
        </is>
      </c>
      <c r="H296" s="4">
        <v>0.069921</v>
      </c>
      <c r="I296" s="0" t="inlineStr">
        <is>
          <t xml:space="preserve">2024-03-20</t>
        </is>
      </c>
      <c r="J296" s="0" t="inlineStr">
        <is>
          <t xml:space="preserve">propulsion_power</t>
        </is>
      </c>
      <c r="K296" s="4">
        <v>0.9</v>
      </c>
      <c r="L296" s="0" t="inlineStr">
        <is>
          <t xml:space="preserve">Engineering services/materials</t>
        </is>
      </c>
    </row>
    <row r="297">
      <c r="B297" s="0" t="inlineStr">
        <is>
          <t xml:space="preserve">N0002419C6402</t>
        </is>
      </c>
      <c r="C297" s="0" t="inlineStr">
        <is>
          <t xml:space="preserve">TELEDYNE BROWN ENGINEERING, INC.</t>
        </is>
      </c>
      <c r="D297" s="0" t="inlineStr">
        <is>
          <t xml:space="preserve">FBRSJB6V4LW8</t>
        </is>
      </c>
      <c r="E297" s="0" t="inlineStr">
        <is>
          <t xml:space="preserve">KHMVPKYKSKY9</t>
        </is>
      </c>
      <c r="F297" s="0" t="inlineStr">
        <is>
          <t xml:space="preserve">COPE PLASTICS, INC.</t>
        </is>
      </c>
      <c r="G297" s="0" t="inlineStr">
        <is>
          <t xml:space="preserve">KHMVPKYKSKY9</t>
        </is>
      </c>
      <c r="H297" s="4">
        <v>0.06977072</v>
      </c>
      <c r="I297" s="0" t="inlineStr">
        <is>
          <t xml:space="preserve">2021-10-15</t>
        </is>
      </c>
      <c r="J297" s="0" t="inlineStr">
        <is>
          <t xml:space="preserve">propulsion_power</t>
        </is>
      </c>
      <c r="K297" s="4">
        <v>0.8</v>
      </c>
      <c r="L297" s="0" t="inlineStr">
        <is>
          <t xml:space="preserve">Engineering materials</t>
        </is>
      </c>
    </row>
    <row r="298">
      <c r="B298" s="0" t="inlineStr">
        <is>
          <t xml:space="preserve">N0002417C4103</t>
        </is>
      </c>
      <c r="C298" s="0" t="inlineStr">
        <is>
          <t xml:space="preserve">HUNTINGTON INGALLS INC</t>
        </is>
      </c>
      <c r="D298" s="0" t="inlineStr">
        <is>
          <t xml:space="preserve">WMXDDH6HJNA5</t>
        </is>
      </c>
      <c r="E298" s="0" t="inlineStr">
        <is>
          <t xml:space="preserve">URUVKGK3FTV1</t>
        </is>
      </c>
      <c r="F298" s="0" t="inlineStr">
        <is>
          <t xml:space="preserve">WILLIAMS SCOTSMAN INC</t>
        </is>
      </c>
      <c r="G298" s="0" t="inlineStr">
        <is>
          <t xml:space="preserve">URUVKGK3FTV1</t>
        </is>
      </c>
      <c r="H298" s="4">
        <v>0.06914809</v>
      </c>
      <c r="I298" s="0" t="inlineStr">
        <is>
          <t xml:space="preserve">2020-11-13</t>
        </is>
      </c>
      <c r="J298" s="0" t="inlineStr">
        <is>
          <t xml:space="preserve">other_unclassified</t>
        </is>
      </c>
      <c r="K298" s="4">
        <v>53.3</v>
      </c>
      <c r="L298" s="0" t="inlineStr">
        <is>
          <t xml:space="preserve">Lease Conex Boxes, PO item #1</t>
        </is>
      </c>
    </row>
    <row r="299">
      <c r="B299" s="0" t="inlineStr">
        <is>
          <t xml:space="preserve">N6660418F3022</t>
        </is>
      </c>
      <c r="C299" s="0" t="inlineStr">
        <is>
          <t xml:space="preserve">SERCO-IPS CORPORATION</t>
        </is>
      </c>
      <c r="D299" s="0" t="inlineStr">
        <is>
          <t xml:space="preserve">RGEBPDP8RV96</t>
        </is>
      </c>
      <c r="E299" s="0" t="inlineStr">
        <is>
          <t xml:space="preserve">PZGKKRM4AK23</t>
        </is>
      </c>
      <c r="F299" s="0" t="inlineStr">
        <is>
          <t xml:space="preserve">PURVIS SYSTEMS INCORPORATED</t>
        </is>
      </c>
      <c r="G299" s="0" t="inlineStr">
        <is>
          <t xml:space="preserve">XM6AWNS3GKW9</t>
        </is>
      </c>
      <c r="H299" s="4">
        <v>0.06910079</v>
      </c>
      <c r="I299" s="0" t="inlineStr">
        <is>
          <t xml:space="preserve">2019-12-18</t>
        </is>
      </c>
      <c r="J299" s="0" t="inlineStr">
        <is>
          <t xml:space="preserve">other_unclassified</t>
        </is>
      </c>
      <c r="K299" s="4">
        <v>46.5</v>
      </c>
      <c r="L299" s="0" t="inlineStr">
        <is>
          <t xml:space="preserve">Services</t>
        </is>
      </c>
    </row>
    <row r="300">
      <c r="B300" s="0" t="inlineStr">
        <is>
          <t xml:space="preserve">N0002419C6402</t>
        </is>
      </c>
      <c r="C300" s="0" t="inlineStr">
        <is>
          <t xml:space="preserve">TELEDYNE BROWN ENGINEERING, INC.</t>
        </is>
      </c>
      <c r="D300" s="0" t="inlineStr">
        <is>
          <t xml:space="preserve">FBRSJB6V4LW8</t>
        </is>
      </c>
      <c r="E300" s="0" t="inlineStr">
        <is>
          <t xml:space="preserve">XNHRXR2HTXA8</t>
        </is>
      </c>
      <c r="F300" s="0" t="inlineStr">
        <is>
          <t xml:space="preserve">BEAUFORT COMPOSITE TECHNOLOGIES, INC.</t>
        </is>
      </c>
      <c r="G300" s="0" t="inlineStr">
        <is>
          <t xml:space="preserve">XNHRXR2HTXA8</t>
        </is>
      </c>
      <c r="H300" s="4">
        <v>0.0688</v>
      </c>
      <c r="I300" s="0" t="inlineStr">
        <is>
          <t xml:space="preserve">2025-06-19</t>
        </is>
      </c>
      <c r="J300" s="0" t="inlineStr">
        <is>
          <t xml:space="preserve">platform_hull</t>
        </is>
      </c>
      <c r="K300" s="4">
        <v>1.3</v>
      </c>
      <c r="L300" s="0" t="inlineStr">
        <is>
          <t xml:space="preserve">Engineering Services/Materials</t>
        </is>
      </c>
    </row>
    <row r="301">
      <c r="B301" s="0" t="inlineStr">
        <is>
          <t xml:space="preserve">N0001418C2006</t>
        </is>
      </c>
      <c r="C301" s="0" t="inlineStr">
        <is>
          <t xml:space="preserve">LEIDOS, INC.</t>
        </is>
      </c>
      <c r="D301" s="0" t="inlineStr">
        <is>
          <t xml:space="preserve">KTMAJCY6JXM3</t>
        </is>
      </c>
      <c r="E301" s="0" t="inlineStr">
        <is>
          <t xml:space="preserve">NEY4CGCE9N95</t>
        </is>
      </c>
      <c r="F301" s="0" t="inlineStr">
        <is>
          <t xml:space="preserve">FURUNO U.S.A., INC.</t>
        </is>
      </c>
      <c r="G301" s="0" t="inlineStr">
        <is>
          <t xml:space="preserve">WMM8X7ZN1PN1</t>
        </is>
      </c>
      <c r="H301" s="4">
        <v>0.06858575</v>
      </c>
      <c r="I301" s="0" t="inlineStr">
        <is>
          <t xml:space="preserve">2019-06-05</t>
        </is>
      </c>
      <c r="J301" s="0" t="inlineStr">
        <is>
          <t xml:space="preserve">other_unclassified</t>
        </is>
      </c>
      <c r="K301" s="4">
        <v>1.4</v>
      </c>
      <c r="L301" s="0" t="inlineStr">
        <is>
          <t xml:space="preserve">PROCUREMENTS BETWEEN 6/1/2019-6/30/2019 IN SUPPORT OF CONTRACT SOW.</t>
        </is>
      </c>
    </row>
    <row r="302">
      <c r="B302" s="0" t="inlineStr">
        <is>
          <t xml:space="preserve">N0002417C4103</t>
        </is>
      </c>
      <c r="C302" s="0" t="inlineStr">
        <is>
          <t xml:space="preserve">HUNTINGTON INGALLS INC</t>
        </is>
      </c>
      <c r="D302" s="0" t="inlineStr">
        <is>
          <t xml:space="preserve">WMXDDH6HJNA5</t>
        </is>
      </c>
      <c r="E302" s="0" t="inlineStr">
        <is>
          <t xml:space="preserve">H4ZMPGLLZ8D9</t>
        </is>
      </c>
      <c r="F302" s="0" t="inlineStr">
        <is>
          <t xml:space="preserve">ARTCRAFT FABRICATORS, INC.</t>
        </is>
      </c>
      <c r="G302" s="0" t="inlineStr">
        <is>
          <t xml:space="preserve">H4ZMPGLLZ8D9</t>
        </is>
      </c>
      <c r="H302" s="4">
        <v>0.06802</v>
      </c>
      <c r="I302" s="0" t="inlineStr">
        <is>
          <t xml:space="preserve">2018-11-02</t>
        </is>
      </c>
      <c r="J302" s="0" t="inlineStr">
        <is>
          <t xml:space="preserve">platform_hull</t>
        </is>
      </c>
      <c r="K302" s="4">
        <v>2.1</v>
      </c>
      <c r="L302" s="0" t="inlineStr">
        <is>
          <t xml:space="preserve">SEA CHEST,NICU,16.000 NOM,DISCHARGE; ITEM #1</t>
        </is>
      </c>
    </row>
    <row r="303">
      <c r="B303" s="0" t="inlineStr">
        <is>
          <t xml:space="preserve">N0002417C4103</t>
        </is>
      </c>
      <c r="C303" s="0" t="inlineStr">
        <is>
          <t xml:space="preserve">HUNTINGTON INGALLS INC</t>
        </is>
      </c>
      <c r="D303" s="0" t="inlineStr">
        <is>
          <t xml:space="preserve">WMXDDH6HJNA5</t>
        </is>
      </c>
      <c r="E303" s="0" t="inlineStr">
        <is>
          <t xml:space="preserve">H4ZMPGLLZ8D9</t>
        </is>
      </c>
      <c r="F303" s="0" t="inlineStr">
        <is>
          <t xml:space="preserve">ARTCRAFT FABRICATORS, INC.</t>
        </is>
      </c>
      <c r="G303" s="0" t="inlineStr">
        <is>
          <t xml:space="preserve">H4ZMPGLLZ8D9</t>
        </is>
      </c>
      <c r="H303" s="4">
        <v>0.06802</v>
      </c>
      <c r="I303" s="0" t="inlineStr">
        <is>
          <t xml:space="preserve">2018-11-02</t>
        </is>
      </c>
      <c r="J303" s="0" t="inlineStr">
        <is>
          <t xml:space="preserve">platform_hull</t>
        </is>
      </c>
      <c r="K303" s="4">
        <v>2.1</v>
      </c>
      <c r="L303" s="0" t="inlineStr">
        <is>
          <t xml:space="preserve">SEA CHEST,NICU,16.000 NOM,DISCHARGE; ITEM #1</t>
        </is>
      </c>
    </row>
    <row r="304">
      <c r="B304" s="0" t="inlineStr">
        <is>
          <t xml:space="preserve">N0002417C4103</t>
        </is>
      </c>
      <c r="C304" s="0" t="inlineStr">
        <is>
          <t xml:space="preserve">HUNTINGTON INGALLS INC</t>
        </is>
      </c>
      <c r="D304" s="0" t="inlineStr">
        <is>
          <t xml:space="preserve">WMXDDH6HJNA5</t>
        </is>
      </c>
      <c r="E304" s="0" t="inlineStr">
        <is>
          <t xml:space="preserve">H4ZMPGLLZ8D9</t>
        </is>
      </c>
      <c r="F304" s="0" t="inlineStr">
        <is>
          <t xml:space="preserve">ARTCRAFT FABRICATORS, INC.</t>
        </is>
      </c>
      <c r="G304" s="0" t="inlineStr">
        <is>
          <t xml:space="preserve">H4ZMPGLLZ8D9</t>
        </is>
      </c>
      <c r="H304" s="4">
        <v>0.06802</v>
      </c>
      <c r="I304" s="0" t="inlineStr">
        <is>
          <t xml:space="preserve">2018-11-02</t>
        </is>
      </c>
      <c r="J304" s="0" t="inlineStr">
        <is>
          <t xml:space="preserve">platform_hull</t>
        </is>
      </c>
      <c r="K304" s="4">
        <v>2.1</v>
      </c>
      <c r="L304" s="0" t="inlineStr">
        <is>
          <t xml:space="preserve">SEA CHEST,NICU,16.000 NOM,DISCHARGE; ITEM #1</t>
        </is>
      </c>
    </row>
    <row r="305">
      <c r="B305" s="0" t="inlineStr">
        <is>
          <t xml:space="preserve">N6660418F3022</t>
        </is>
      </c>
      <c r="C305" s="0" t="inlineStr">
        <is>
          <t xml:space="preserve">SERCO-IPS CORPORATION</t>
        </is>
      </c>
      <c r="D305" s="0" t="inlineStr">
        <is>
          <t xml:space="preserve">RGEBPDP8RV96</t>
        </is>
      </c>
      <c r="E305" s="0" t="inlineStr">
        <is>
          <t xml:space="preserve">M3WTFLL92KZ3</t>
        </is>
      </c>
      <c r="F305" s="0" t="inlineStr">
        <is>
          <t xml:space="preserve">DBV TECHNOLOGY, LLC</t>
        </is>
      </c>
      <c r="G305" s="0" t="inlineStr">
        <is>
          <t xml:space="preserve">M3WTFLL92KZ3</t>
        </is>
      </c>
      <c r="H305" s="4">
        <v>0.067814</v>
      </c>
      <c r="I305" s="0" t="inlineStr">
        <is>
          <t xml:space="preserve">2024-11-21</t>
        </is>
      </c>
      <c r="J305" s="0" t="inlineStr">
        <is>
          <t xml:space="preserve">other_unclassified</t>
        </is>
      </c>
      <c r="K305" s="4">
        <v>0.9</v>
      </c>
      <c r="L305" s="0" t="inlineStr">
        <is>
          <t xml:space="preserve">services</t>
        </is>
      </c>
    </row>
    <row r="306">
      <c r="B306" s="0" t="inlineStr">
        <is>
          <t xml:space="preserve">N0002417C4103</t>
        </is>
      </c>
      <c r="C306" s="0" t="inlineStr">
        <is>
          <t xml:space="preserve">HUNTINGTON INGALLS INC</t>
        </is>
      </c>
      <c r="D306" s="0" t="inlineStr">
        <is>
          <t xml:space="preserve">WMXDDH6HJNA5</t>
        </is>
      </c>
      <c r="E306" s="0" t="inlineStr">
        <is>
          <t xml:space="preserve">CL4ZKLFK5DR3</t>
        </is>
      </c>
      <c r="F306" s="0" t="inlineStr">
        <is>
          <t xml:space="preserve">L'AIR LIQUIDE SOCIETE ANONYME POUR L'ETUDE ET L'EXPLOITATION DES PROCEDES GEORGES CLAUDE</t>
        </is>
      </c>
      <c r="G306" s="0" t="inlineStr">
        <is>
          <t xml:space="preserve">KN5KTZ7VX9S9</t>
        </is>
      </c>
      <c r="H306" s="4">
        <v>0.0678</v>
      </c>
      <c r="I306" s="0" t="inlineStr">
        <is>
          <t xml:space="preserve">2021-07-12</t>
        </is>
      </c>
      <c r="J306" s="0" t="inlineStr">
        <is>
          <t xml:space="preserve">autonomy_software</t>
        </is>
      </c>
      <c r="K306" s="4">
        <v>1.6</v>
      </c>
      <c r="L306" s="0" t="inlineStr">
        <is>
          <t xml:space="preserve">PO Item No. 5 - Airgas Material &amp; Service - Tank</t>
        </is>
      </c>
    </row>
    <row r="307">
      <c r="B307" s="0" t="inlineStr">
        <is>
          <t xml:space="preserve">N0002419C6402</t>
        </is>
      </c>
      <c r="C307" s="0" t="inlineStr">
        <is>
          <t xml:space="preserve">TELEDYNE BROWN ENGINEERING, INC.</t>
        </is>
      </c>
      <c r="D307" s="0" t="inlineStr">
        <is>
          <t xml:space="preserve">FBRSJB6V4LW8</t>
        </is>
      </c>
      <c r="E307" s="0" t="inlineStr">
        <is>
          <t xml:space="preserve">NTB7JEPAZY79</t>
        </is>
      </c>
      <c r="F307" s="0" t="inlineStr">
        <is>
          <t xml:space="preserve">BOKAM ENGINEERING INC</t>
        </is>
      </c>
      <c r="G307" s="0" t="inlineStr">
        <is>
          <t xml:space="preserve">NTB7JEPAZY79</t>
        </is>
      </c>
      <c r="H307" s="4">
        <v>0.067785</v>
      </c>
      <c r="I307" s="0" t="inlineStr">
        <is>
          <t xml:space="preserve">2025-11-06</t>
        </is>
      </c>
      <c r="J307" s="0" t="inlineStr">
        <is>
          <t xml:space="preserve">propulsion_power</t>
        </is>
      </c>
      <c r="K307" s="4">
        <v>1.8</v>
      </c>
      <c r="L307" s="0" t="inlineStr">
        <is>
          <t xml:space="preserve">Engineering Services/Materials</t>
        </is>
      </c>
    </row>
    <row r="308">
      <c r="B308" s="0" t="inlineStr">
        <is>
          <t xml:space="preserve">N0002419C6402</t>
        </is>
      </c>
      <c r="C308" s="0" t="inlineStr">
        <is>
          <t xml:space="preserve">TELEDYNE BROWN ENGINEERING, INC.</t>
        </is>
      </c>
      <c r="D308" s="0" t="inlineStr">
        <is>
          <t xml:space="preserve">FBRSJB6V4LW8</t>
        </is>
      </c>
      <c r="E308" s="0" t="inlineStr">
        <is>
          <t xml:space="preserve">D7MWCT6JFG49</t>
        </is>
      </c>
      <c r="F308" s="0" t="inlineStr">
        <is>
          <t xml:space="preserve">BRADSHAW ENGINEERING AND TECHNICAL SERVICES, LLC</t>
        </is>
      </c>
      <c r="G308" s="0" t="inlineStr">
        <is>
          <t xml:space="preserve">D7MWCT6JFG49</t>
        </is>
      </c>
      <c r="H308" s="4">
        <v>0.06758571000000001</v>
      </c>
      <c r="I308" s="0" t="inlineStr">
        <is>
          <t xml:space="preserve">2024-01-11</t>
        </is>
      </c>
      <c r="J308" s="0" t="inlineStr">
        <is>
          <t xml:space="preserve">propulsion_power</t>
        </is>
      </c>
      <c r="K308" s="4">
        <v>1.3</v>
      </c>
      <c r="L308" s="0" t="inlineStr">
        <is>
          <t xml:space="preserve">Engineering services and materials</t>
        </is>
      </c>
    </row>
    <row r="309">
      <c r="B309" s="0" t="inlineStr">
        <is>
          <t xml:space="preserve">N0002419C6402</t>
        </is>
      </c>
      <c r="C309" s="0" t="inlineStr">
        <is>
          <t xml:space="preserve">TELEDYNE BROWN ENGINEERING, INC.</t>
        </is>
      </c>
      <c r="D309" s="0" t="inlineStr">
        <is>
          <t xml:space="preserve">FBRSJB6V4LW8</t>
        </is>
      </c>
      <c r="E309" s="0" t="inlineStr">
        <is>
          <t xml:space="preserve">SQ2DSCE69F15</t>
        </is>
      </c>
      <c r="F309" s="0" t="inlineStr">
        <is>
          <t xml:space="preserve">TELEDYNE TECHNOLOGIES INCORPORATED</t>
        </is>
      </c>
      <c r="G309" s="0" t="inlineStr">
        <is>
          <t xml:space="preserve">PAH8M4BJACA5</t>
        </is>
      </c>
      <c r="H309" s="4">
        <v>0.066138</v>
      </c>
      <c r="I309" s="0" t="inlineStr">
        <is>
          <t xml:space="preserve">2021-06-30</t>
        </is>
      </c>
      <c r="J309" s="0" t="inlineStr">
        <is>
          <t xml:space="preserve">propulsion_power</t>
        </is>
      </c>
      <c r="K309" s="4">
        <v>0.3</v>
      </c>
      <c r="L309" s="0" t="inlineStr">
        <is>
          <t xml:space="preserve">Engineering services/materials</t>
        </is>
      </c>
    </row>
    <row r="310">
      <c r="B310" s="0" t="inlineStr">
        <is>
          <t xml:space="preserve">N6600120F0254</t>
        </is>
      </c>
      <c r="C310" s="0" t="inlineStr">
        <is>
          <t xml:space="preserve">OASIS SYSTEMS, LLC</t>
        </is>
      </c>
      <c r="D310" s="0" t="inlineStr">
        <is>
          <t xml:space="preserve">MST2Z1EG1HV7</t>
        </is>
      </c>
      <c r="E310" s="0" t="inlineStr">
        <is>
          <t xml:space="preserve">ZRBPR96JCE93</t>
        </is>
      </c>
      <c r="F310" s="0" t="inlineStr">
        <is>
          <t xml:space="preserve">PACIFIC MARITIME GROUP, INC.</t>
        </is>
      </c>
      <c r="G310" s="0" t="inlineStr">
        <is>
          <t xml:space="preserve">ZRBPR96JCE93</t>
        </is>
      </c>
      <c r="H310" s="4">
        <v>0.066</v>
      </c>
      <c r="I310" s="0" t="inlineStr">
        <is>
          <t xml:space="preserve">2020-04-15</t>
        </is>
      </c>
      <c r="J310" s="0" t="inlineStr">
        <is>
          <t xml:space="preserve">platform_hull</t>
        </is>
      </c>
      <c r="K310" s="4">
        <v>0.9</v>
      </c>
      <c r="L310" s="0" t="inlineStr">
        <is>
          <t xml:space="preserve">Test craft support</t>
        </is>
      </c>
    </row>
    <row r="311">
      <c r="B311" s="0" t="inlineStr">
        <is>
          <t xml:space="preserve">N6660418F3022</t>
        </is>
      </c>
      <c r="C311" s="0" t="inlineStr">
        <is>
          <t xml:space="preserve">SERCO-IPS CORPORATION</t>
        </is>
      </c>
      <c r="D311" s="0" t="inlineStr">
        <is>
          <t xml:space="preserve">RGEBPDP8RV96</t>
        </is>
      </c>
      <c r="E311" s="0" t="inlineStr">
        <is>
          <t xml:space="preserve">HTHFAYHMJWT4</t>
        </is>
      </c>
      <c r="F311" s="0" t="inlineStr">
        <is>
          <t xml:space="preserve">HEILIND ELECTRONICS, INC</t>
        </is>
      </c>
      <c r="G311" s="0" t="inlineStr">
        <is>
          <t xml:space="preserve">ZVKEBJ4HQHB8</t>
        </is>
      </c>
      <c r="H311" s="4">
        <v>0.06582347</v>
      </c>
      <c r="I311" s="0" t="inlineStr">
        <is>
          <t xml:space="preserve">2021-02-25</t>
        </is>
      </c>
      <c r="J311" s="0" t="inlineStr">
        <is>
          <t xml:space="preserve">other_unclassified</t>
        </is>
      </c>
      <c r="K311" s="4">
        <v>32.2</v>
      </c>
      <c r="L311" s="0" t="inlineStr">
        <is>
          <t xml:space="preserve">Goods</t>
        </is>
      </c>
    </row>
    <row r="312">
      <c r="B312" s="0" t="inlineStr">
        <is>
          <t xml:space="preserve">N0002417C4103</t>
        </is>
      </c>
      <c r="C312" s="0" t="inlineStr">
        <is>
          <t xml:space="preserve">HUNTINGTON INGALLS INC</t>
        </is>
      </c>
      <c r="D312" s="0" t="inlineStr">
        <is>
          <t xml:space="preserve">WMXDDH6HJNA5</t>
        </is>
      </c>
      <c r="E312" s="0" t="inlineStr">
        <is>
          <t xml:space="preserve">YQ9EQZJ8PKM6</t>
        </is>
      </c>
      <c r="F312" s="0" t="inlineStr">
        <is>
          <t xml:space="preserve">AUXILIARY SYSTEMS, INC.</t>
        </is>
      </c>
      <c r="G312" s="0" t="inlineStr">
        <is>
          <t xml:space="preserve">YQ9EQZJ8PKM6</t>
        </is>
      </c>
      <c r="H312" s="4">
        <v>0.06576</v>
      </c>
      <c r="I312" s="0" t="inlineStr">
        <is>
          <t xml:space="preserve">2020-08-05</t>
        </is>
      </c>
      <c r="J312" s="0" t="inlineStr">
        <is>
          <t xml:space="preserve">other_unclassified</t>
        </is>
      </c>
      <c r="K312" s="4">
        <v>1.8</v>
      </c>
      <c r="L312" s="0" t="inlineStr">
        <is>
          <t xml:space="preserve">#2 Reboiler Tube InstallPO item #2</t>
        </is>
      </c>
    </row>
    <row r="313">
      <c r="B313" s="0" t="inlineStr">
        <is>
          <t xml:space="preserve">N0002423F8046</t>
        </is>
      </c>
      <c r="C313" s="0" t="inlineStr">
        <is>
          <t xml:space="preserve">THE JOHNS HOPKINS UNIVERSITY APPLIED PHYSICS LABORATORY LLC</t>
        </is>
      </c>
      <c r="D313" s="0" t="inlineStr">
        <is>
          <t xml:space="preserve">C1HBCJ9RMBV3</t>
        </is>
      </c>
      <c r="E313" s="0" t="inlineStr">
        <is>
          <t xml:space="preserve">GFKFBWG2TV98</t>
        </is>
      </c>
      <c r="F313" s="0" t="inlineStr">
        <is>
          <t xml:space="preserve">WOODS HOLE OCEANOGRAPHIC INSTITUTION</t>
        </is>
      </c>
      <c r="G313" s="0" t="inlineStr">
        <is>
          <t xml:space="preserve">GFKFBWG2TV98</t>
        </is>
      </c>
      <c r="H313" s="4">
        <v>0.065622</v>
      </c>
      <c r="I313" s="0" t="inlineStr">
        <is>
          <t xml:space="preserve">2023-04-07</t>
        </is>
      </c>
      <c r="J313" s="0" t="inlineStr">
        <is>
          <t xml:space="preserve">other_unclassified</t>
        </is>
      </c>
      <c r="K313" s="4">
        <v>1.5</v>
      </c>
      <c r="L313" s="0" t="inlineStr">
        <is>
          <t xml:space="preserve">Subcontract Funding</t>
        </is>
      </c>
    </row>
    <row r="314">
      <c r="B314" s="0" t="inlineStr">
        <is>
          <t xml:space="preserve">N0002419C6402</t>
        </is>
      </c>
      <c r="C314" s="0" t="inlineStr">
        <is>
          <t xml:space="preserve">TELEDYNE BROWN ENGINEERING, INC.</t>
        </is>
      </c>
      <c r="D314" s="0" t="inlineStr">
        <is>
          <t xml:space="preserve">FBRSJB6V4LW8</t>
        </is>
      </c>
      <c r="E314" s="0" t="inlineStr">
        <is>
          <t xml:space="preserve">TSFCTZ42Y8L1</t>
        </is>
      </c>
      <c r="F314" s="0" t="inlineStr">
        <is>
          <t xml:space="preserve">Qar Industries, Inc.</t>
        </is>
      </c>
      <c r="G314" s="0" t="inlineStr">
        <is>
          <t xml:space="preserve">E65NWNLNERQ5</t>
        </is>
      </c>
      <c r="H314" s="4">
        <v>0.06508446</v>
      </c>
      <c r="I314" s="0" t="inlineStr">
        <is>
          <t xml:space="preserve">2021-04-13</t>
        </is>
      </c>
      <c r="J314" s="0" t="inlineStr">
        <is>
          <t xml:space="preserve">propulsion_power</t>
        </is>
      </c>
      <c r="K314" s="4">
        <v>0.7</v>
      </c>
      <c r="L314" s="0" t="inlineStr">
        <is>
          <t xml:space="preserve">Engineering services/materials</t>
        </is>
      </c>
    </row>
    <row r="315">
      <c r="B315" s="0" t="inlineStr">
        <is>
          <t xml:space="preserve">N0002419C6402</t>
        </is>
      </c>
      <c r="C315" s="0" t="inlineStr">
        <is>
          <t xml:space="preserve">TELEDYNE BROWN ENGINEERING, INC.</t>
        </is>
      </c>
      <c r="D315" s="0" t="inlineStr">
        <is>
          <t xml:space="preserve">FBRSJB6V4LW8</t>
        </is>
      </c>
      <c r="E315" s="0" t="inlineStr">
        <is>
          <t xml:space="preserve">CJGFRMQ3CDM4</t>
        </is>
      </c>
      <c r="F315" s="0" t="inlineStr">
        <is>
          <t xml:space="preserve">APEX SPECIALTY METALS INC</t>
        </is>
      </c>
      <c r="G315" s="0" t="inlineStr">
        <is>
          <t xml:space="preserve">CJGFRMQ3CDM4</t>
        </is>
      </c>
      <c r="H315" s="4">
        <v>0.064752</v>
      </c>
      <c r="I315" s="0" t="inlineStr">
        <is>
          <t xml:space="preserve">2023-03-07</t>
        </is>
      </c>
      <c r="J315" s="0" t="inlineStr">
        <is>
          <t xml:space="preserve">propulsion_power</t>
        </is>
      </c>
      <c r="K315" s="4">
        <v>1.0</v>
      </c>
      <c r="L315" s="0" t="inlineStr">
        <is>
          <t xml:space="preserve">Engineering services/materials</t>
        </is>
      </c>
    </row>
    <row r="316">
      <c r="B316" s="0" t="inlineStr">
        <is>
          <t xml:space="preserve">N0002419C6402</t>
        </is>
      </c>
      <c r="C316" s="0" t="inlineStr">
        <is>
          <t xml:space="preserve">TELEDYNE BROWN ENGINEERING, INC.</t>
        </is>
      </c>
      <c r="D316" s="0" t="inlineStr">
        <is>
          <t xml:space="preserve">FBRSJB6V4LW8</t>
        </is>
      </c>
      <c r="E316" s="0" t="inlineStr">
        <is>
          <t xml:space="preserve">XNHRXR2HTXA8</t>
        </is>
      </c>
      <c r="F316" s="0" t="inlineStr">
        <is>
          <t xml:space="preserve">BEAUFORT COMPOSITE TECHNOLOGIES, INC</t>
        </is>
      </c>
      <c r="G316" s="0" t="inlineStr">
        <is>
          <t xml:space="preserve">XNHRXR2HTXA8</t>
        </is>
      </c>
      <c r="H316" s="4">
        <v>0.06473999999999999</v>
      </c>
      <c r="I316" s="0" t="inlineStr">
        <is>
          <t xml:space="preserve">2020-08-20</t>
        </is>
      </c>
      <c r="J316" s="0" t="inlineStr">
        <is>
          <t xml:space="preserve">platform_hull</t>
        </is>
      </c>
      <c r="K316" s="4">
        <v>0.5</v>
      </c>
      <c r="L316" s="0" t="inlineStr">
        <is>
          <t xml:space="preserve">Engineering services/materials</t>
        </is>
      </c>
    </row>
    <row r="317">
      <c r="B317" s="0" t="inlineStr">
        <is>
          <t xml:space="preserve">N0002419C6402</t>
        </is>
      </c>
      <c r="C317" s="0" t="inlineStr">
        <is>
          <t xml:space="preserve">TELEDYNE BROWN ENGINEERING, INC.</t>
        </is>
      </c>
      <c r="D317" s="0" t="inlineStr">
        <is>
          <t xml:space="preserve">FBRSJB6V4LW8</t>
        </is>
      </c>
      <c r="E317" s="0" t="inlineStr">
        <is>
          <t xml:space="preserve">CJGFRMQ3CDM4</t>
        </is>
      </c>
      <c r="F317" s="0" t="inlineStr">
        <is>
          <t xml:space="preserve">APEX SPECIALTY METALS, INC.</t>
        </is>
      </c>
      <c r="G317" s="0" t="inlineStr">
        <is>
          <t xml:space="preserve">CJGFRMQ3CDM4</t>
        </is>
      </c>
      <c r="H317" s="4">
        <v>0.064224</v>
      </c>
      <c r="I317" s="0" t="inlineStr">
        <is>
          <t xml:space="preserve">2024-02-27</t>
        </is>
      </c>
      <c r="J317" s="0" t="inlineStr">
        <is>
          <t xml:space="preserve">propulsion_power</t>
        </is>
      </c>
      <c r="K317" s="4">
        <v>1.6</v>
      </c>
      <c r="L317" s="0" t="inlineStr">
        <is>
          <t xml:space="preserve">Engineering services/materials</t>
        </is>
      </c>
    </row>
    <row r="318">
      <c r="B318" s="0" t="inlineStr">
        <is>
          <t xml:space="preserve">N6660418F3022</t>
        </is>
      </c>
      <c r="C318" s="0" t="inlineStr">
        <is>
          <t xml:space="preserve">SERCO-IPS CORPORATION</t>
        </is>
      </c>
      <c r="D318" s="0" t="inlineStr">
        <is>
          <t xml:space="preserve">RGEBPDP8RV96</t>
        </is>
      </c>
      <c r="E318" s="0" t="inlineStr">
        <is>
          <t xml:space="preserve">PZGKKRM4AK23</t>
        </is>
      </c>
      <c r="F318" s="0" t="inlineStr">
        <is>
          <t xml:space="preserve">PURVIS SYSTEMS INCORPORATED</t>
        </is>
      </c>
      <c r="G318" s="0" t="inlineStr">
        <is>
          <t xml:space="preserve">XM6AWNS3GKW9</t>
        </is>
      </c>
      <c r="H318" s="4">
        <v>0.06411752</v>
      </c>
      <c r="I318" s="0" t="inlineStr">
        <is>
          <t xml:space="preserve">2019-01-21</t>
        </is>
      </c>
      <c r="J318" s="0" t="inlineStr">
        <is>
          <t xml:space="preserve">other_unclassified</t>
        </is>
      </c>
      <c r="K318" s="4">
        <v>57.4</v>
      </c>
      <c r="L318" s="0" t="inlineStr">
        <is>
          <t xml:space="preserve">Services</t>
        </is>
      </c>
    </row>
    <row r="319">
      <c r="B319" s="0" t="inlineStr">
        <is>
          <t xml:space="preserve">N0002419C6402</t>
        </is>
      </c>
      <c r="C319" s="0" t="inlineStr">
        <is>
          <t xml:space="preserve">TELEDYNE BROWN ENGINEERING, INC.</t>
        </is>
      </c>
      <c r="D319" s="0" t="inlineStr">
        <is>
          <t xml:space="preserve">FBRSJB6V4LW8</t>
        </is>
      </c>
      <c r="E319" s="0" t="inlineStr">
        <is>
          <t xml:space="preserve">F45YC9HJFN65</t>
        </is>
      </c>
      <c r="F319" s="0" t="inlineStr">
        <is>
          <t xml:space="preserve">LEGACY COMPONENTS LLC</t>
        </is>
      </c>
      <c r="G319" s="0" t="inlineStr">
        <is>
          <t xml:space="preserve">F45YC9HJFN65</t>
        </is>
      </c>
      <c r="H319" s="4">
        <v>0.063096</v>
      </c>
      <c r="I319" s="0" t="inlineStr">
        <is>
          <t xml:space="preserve">2021-06-04</t>
        </is>
      </c>
      <c r="J319" s="0" t="inlineStr">
        <is>
          <t xml:space="preserve">propulsion_power</t>
        </is>
      </c>
      <c r="K319" s="4">
        <v>1.1</v>
      </c>
      <c r="L319" s="0" t="inlineStr">
        <is>
          <t xml:space="preserve">Engineering services/materials</t>
        </is>
      </c>
    </row>
    <row r="320">
      <c r="B320" s="0" t="inlineStr">
        <is>
          <t xml:space="preserve">N0002423F8046</t>
        </is>
      </c>
      <c r="C320" s="0" t="inlineStr">
        <is>
          <t xml:space="preserve">THE JOHNS HOPKINS UNIVERSITY APPLIED PHYSICS LABORATORY LLC</t>
        </is>
      </c>
      <c r="D320" s="0" t="inlineStr">
        <is>
          <t xml:space="preserve">C1HBCJ9RMBV3</t>
        </is>
      </c>
      <c r="E320" s="0" t="inlineStr">
        <is>
          <t xml:space="preserve">X6KEFGLHSJX7</t>
        </is>
      </c>
      <c r="F320" s="0" t="inlineStr">
        <is>
          <t xml:space="preserve">VIRGINIA POLYTECHNIC INSTITUTE &amp; STATE UNIVERSITY</t>
        </is>
      </c>
      <c r="G320" s="0" t="inlineStr">
        <is>
          <t xml:space="preserve">QDE5UHE5XD16</t>
        </is>
      </c>
      <c r="H320" s="4">
        <v>0.062952</v>
      </c>
      <c r="I320" s="0" t="inlineStr">
        <is>
          <t xml:space="preserve">2023-10-30</t>
        </is>
      </c>
      <c r="J320" s="0" t="inlineStr">
        <is>
          <t xml:space="preserve">other_unclassified</t>
        </is>
      </c>
      <c r="K320" s="4">
        <v>0.9</v>
      </c>
      <c r="L320" s="0" t="inlineStr">
        <is>
          <t xml:space="preserve">Subcontract Funding</t>
        </is>
      </c>
    </row>
    <row r="321">
      <c r="B321" s="0" t="inlineStr">
        <is>
          <t xml:space="preserve">N0002419C6402</t>
        </is>
      </c>
      <c r="C321" s="0" t="inlineStr">
        <is>
          <t xml:space="preserve">TELEDYNE BROWN ENGINEERING, INC.</t>
        </is>
      </c>
      <c r="D321" s="0" t="inlineStr">
        <is>
          <t xml:space="preserve">FBRSJB6V4LW8</t>
        </is>
      </c>
      <c r="E321" s="0" t="inlineStr">
        <is>
          <t xml:space="preserve">WSC2LAM3F749</t>
        </is>
      </c>
      <c r="F321" s="0" t="inlineStr">
        <is>
          <t xml:space="preserve">HILLPRO LLC</t>
        </is>
      </c>
      <c r="G321" s="0" t="inlineStr">
        <is>
          <t xml:space="preserve">CHKUMRQFRMT8</t>
        </is>
      </c>
      <c r="H321" s="4">
        <v>0.0627841</v>
      </c>
      <c r="I321" s="0" t="inlineStr">
        <is>
          <t xml:space="preserve">2025-08-11</t>
        </is>
      </c>
      <c r="J321" s="0" t="inlineStr">
        <is>
          <t xml:space="preserve">propulsion_power</t>
        </is>
      </c>
      <c r="K321" s="4">
        <v>1.6</v>
      </c>
      <c r="L321" s="0" t="inlineStr">
        <is>
          <t xml:space="preserve">Engineering Services/Materials</t>
        </is>
      </c>
    </row>
    <row r="322">
      <c r="B322" s="0" t="inlineStr">
        <is>
          <t xml:space="preserve">N6660418F3022</t>
        </is>
      </c>
      <c r="C322" s="0" t="inlineStr">
        <is>
          <t xml:space="preserve">SERCO-IPS CORPORATION</t>
        </is>
      </c>
      <c r="D322" s="0" t="inlineStr">
        <is>
          <t xml:space="preserve">RGEBPDP8RV96</t>
        </is>
      </c>
      <c r="E322" s="0" t="inlineStr">
        <is>
          <t xml:space="preserve">TMFVUXPLMKZ5</t>
        </is>
      </c>
      <c r="F322" s="0" t="inlineStr">
        <is>
          <t xml:space="preserve">PRIMARY FLOW SIGNAL, INC.</t>
        </is>
      </c>
      <c r="G322" s="0" t="inlineStr">
        <is>
          <t xml:space="preserve">TMFVUXPLMKZ5</t>
        </is>
      </c>
      <c r="H322" s="4">
        <v>0.06263214</v>
      </c>
      <c r="I322" s="0" t="inlineStr">
        <is>
          <t xml:space="preserve">2022-04-20</t>
        </is>
      </c>
      <c r="J322" s="0" t="inlineStr">
        <is>
          <t xml:space="preserve">other_unclassified</t>
        </is>
      </c>
      <c r="K322" s="4">
        <v>18.4</v>
      </c>
      <c r="L322" s="0" t="inlineStr">
        <is>
          <t xml:space="preserve">Goods</t>
        </is>
      </c>
    </row>
    <row r="323">
      <c r="B323" s="0" t="inlineStr">
        <is>
          <t xml:space="preserve">N0002419C6402</t>
        </is>
      </c>
      <c r="C323" s="0" t="inlineStr">
        <is>
          <t xml:space="preserve">TELEDYNE BROWN ENGINEERING, INC.</t>
        </is>
      </c>
      <c r="D323" s="0" t="inlineStr">
        <is>
          <t xml:space="preserve">FBRSJB6V4LW8</t>
        </is>
      </c>
      <c r="E323" s="0" t="inlineStr">
        <is>
          <t xml:space="preserve">KGQBGYN7A911</t>
        </is>
      </c>
      <c r="F323" s="0" t="inlineStr">
        <is>
          <t xml:space="preserve">VECTORNAV TECHNOLOGIES, LLC</t>
        </is>
      </c>
      <c r="G323" s="0" t="inlineStr">
        <is>
          <t xml:space="preserve">KGQBGYN7A911</t>
        </is>
      </c>
      <c r="H323" s="4">
        <v>0.0625</v>
      </c>
      <c r="I323" s="0" t="inlineStr">
        <is>
          <t xml:space="preserve">2020-12-14</t>
        </is>
      </c>
      <c r="J323" s="0" t="inlineStr">
        <is>
          <t xml:space="preserve">propulsion_power</t>
        </is>
      </c>
      <c r="K323" s="4">
        <v>0.8</v>
      </c>
      <c r="L323" s="0" t="inlineStr">
        <is>
          <t xml:space="preserve">Engineering materials</t>
        </is>
      </c>
    </row>
    <row r="324">
      <c r="B324" s="0" t="inlineStr">
        <is>
          <t xml:space="preserve">N0002419C6402</t>
        </is>
      </c>
      <c r="C324" s="0" t="inlineStr">
        <is>
          <t xml:space="preserve">TELEDYNE BROWN ENGINEERING, INC.</t>
        </is>
      </c>
      <c r="D324" s="0" t="inlineStr">
        <is>
          <t xml:space="preserve">FBRSJB6V4LW8</t>
        </is>
      </c>
      <c r="E324" s="0" t="inlineStr">
        <is>
          <t xml:space="preserve">GNF1HLLEJDK3</t>
        </is>
      </c>
      <c r="F324" s="0" t="inlineStr">
        <is>
          <t xml:space="preserve">CKS TECHNOLOGIES, LLC</t>
        </is>
      </c>
      <c r="G324" s="0" t="inlineStr">
        <is>
          <t xml:space="preserve">GNF1HLLEJDK3</t>
        </is>
      </c>
      <c r="H324" s="4">
        <v>0.062</v>
      </c>
      <c r="I324" s="0" t="inlineStr">
        <is>
          <t xml:space="preserve">2020-01-13</t>
        </is>
      </c>
      <c r="J324" s="0" t="inlineStr">
        <is>
          <t xml:space="preserve">propulsion_power</t>
        </is>
      </c>
      <c r="K324" s="4">
        <v>0.7</v>
      </c>
      <c r="L324" s="0" t="inlineStr">
        <is>
          <t xml:space="preserve">Engineering services</t>
        </is>
      </c>
    </row>
    <row r="325">
      <c r="B325" s="0" t="inlineStr">
        <is>
          <t xml:space="preserve">N0002419C6402</t>
        </is>
      </c>
      <c r="C325" s="0" t="inlineStr">
        <is>
          <t xml:space="preserve">TELEDYNE BROWN ENGINEERING, INC.</t>
        </is>
      </c>
      <c r="D325" s="0" t="inlineStr">
        <is>
          <t xml:space="preserve">FBRSJB6V4LW8</t>
        </is>
      </c>
      <c r="E325" s="0" t="inlineStr">
        <is>
          <t xml:space="preserve">XNHRXR2HTXA8</t>
        </is>
      </c>
      <c r="F325" s="0" t="inlineStr">
        <is>
          <t xml:space="preserve">BEAUFORT COMPOSITE TECHNOLOGIES, INC.</t>
        </is>
      </c>
      <c r="G325" s="0" t="inlineStr">
        <is>
          <t xml:space="preserve">XNHRXR2HTXA8</t>
        </is>
      </c>
      <c r="H325" s="4">
        <v>0.06198</v>
      </c>
      <c r="I325" s="0" t="inlineStr">
        <is>
          <t xml:space="preserve">2024-10-09</t>
        </is>
      </c>
      <c r="J325" s="0" t="inlineStr">
        <is>
          <t xml:space="preserve">platform_hull</t>
        </is>
      </c>
      <c r="K325" s="4">
        <v>1.0</v>
      </c>
      <c r="L325" s="0" t="inlineStr">
        <is>
          <t xml:space="preserve">Engineering services/materials</t>
        </is>
      </c>
    </row>
    <row r="326">
      <c r="B326" s="0" t="inlineStr">
        <is>
          <t xml:space="preserve">N0002417C4103</t>
        </is>
      </c>
      <c r="C326" s="0" t="inlineStr">
        <is>
          <t xml:space="preserve">HUNTINGTON INGALLS INC</t>
        </is>
      </c>
      <c r="D326" s="0" t="inlineStr">
        <is>
          <t xml:space="preserve">WMXDDH6HJNA5</t>
        </is>
      </c>
      <c r="E326" s="0" t="inlineStr">
        <is>
          <t xml:space="preserve">U45EH8WMNF55</t>
        </is>
      </c>
      <c r="F326" s="0" t="inlineStr">
        <is>
          <t xml:space="preserve">Circor International, Inc.</t>
        </is>
      </c>
      <c r="G326" s="0" t="inlineStr">
        <is>
          <t xml:space="preserve">K574V7KEQUC8</t>
        </is>
      </c>
      <c r="H326" s="4">
        <v>0.061926449999999994</v>
      </c>
      <c r="I326" s="0" t="inlineStr">
        <is>
          <t xml:space="preserve">2019-01-29</t>
        </is>
      </c>
      <c r="J326" s="0" t="inlineStr">
        <is>
          <t xml:space="preserve">other_unclassified</t>
        </is>
      </c>
      <c r="K326" s="4">
        <v>0.5</v>
      </c>
      <c r="L326" s="0" t="inlineStr">
        <is>
          <t xml:space="preserve">REGULATOR,BRZ,0.500,PRESSURE; Item #1</t>
        </is>
      </c>
    </row>
    <row r="327">
      <c r="B327" s="0" t="inlineStr">
        <is>
          <t xml:space="preserve">N6660418F3022</t>
        </is>
      </c>
      <c r="C327" s="0" t="inlineStr">
        <is>
          <t xml:space="preserve">SERCO-IPS CORPORATION</t>
        </is>
      </c>
      <c r="D327" s="0" t="inlineStr">
        <is>
          <t xml:space="preserve">RGEBPDP8RV96</t>
        </is>
      </c>
      <c r="E327" s="0" t="inlineStr">
        <is>
          <t xml:space="preserve">M3WTFLL92KZ3</t>
        </is>
      </c>
      <c r="F327" s="0" t="inlineStr">
        <is>
          <t xml:space="preserve">DBV TECHNOLOGY, LLC</t>
        </is>
      </c>
      <c r="G327" s="0" t="inlineStr">
        <is>
          <t xml:space="preserve">M3WTFLL92KZ3</t>
        </is>
      </c>
      <c r="H327" s="4">
        <v>0.0616715</v>
      </c>
      <c r="I327" s="0" t="inlineStr">
        <is>
          <t xml:space="preserve">2020-02-19</t>
        </is>
      </c>
      <c r="J327" s="0" t="inlineStr">
        <is>
          <t xml:space="preserve">other_unclassified</t>
        </is>
      </c>
      <c r="K327" s="4">
        <v>44.4</v>
      </c>
      <c r="L327" s="0" t="inlineStr">
        <is>
          <t xml:space="preserve">Services</t>
        </is>
      </c>
    </row>
    <row r="328">
      <c r="B328" s="0" t="inlineStr">
        <is>
          <t xml:space="preserve">N0002417C4103</t>
        </is>
      </c>
      <c r="C328" s="0" t="inlineStr">
        <is>
          <t xml:space="preserve">HUNTINGTON INGALLS INC</t>
        </is>
      </c>
      <c r="D328" s="0" t="inlineStr">
        <is>
          <t xml:space="preserve">WMXDDH6HJNA5</t>
        </is>
      </c>
      <c r="E328" s="0" t="inlineStr">
        <is>
          <t xml:space="preserve">JZSHR7DX1MQ9</t>
        </is>
      </c>
      <c r="F328" s="0" t="inlineStr">
        <is>
          <t xml:space="preserve">CARTER MACHINERY COMPANY, INCORPORATED</t>
        </is>
      </c>
      <c r="G328" s="0" t="inlineStr">
        <is>
          <t xml:space="preserve">M25KW7YJBAK3</t>
        </is>
      </c>
      <c r="H328" s="4">
        <v>0.061</v>
      </c>
      <c r="I328" s="0" t="inlineStr">
        <is>
          <t xml:space="preserve">2020-03-05</t>
        </is>
      </c>
      <c r="J328" s="0" t="inlineStr">
        <is>
          <t xml:space="preserve">other_unclassified</t>
        </is>
      </c>
      <c r="K328" s="4">
        <v>3.7</v>
      </c>
      <c r="L328" s="0" t="inlineStr">
        <is>
          <t xml:space="preserve">CVN77 Dry Down  4/23/19 - 8/22/19;item num#1</t>
        </is>
      </c>
    </row>
    <row r="329">
      <c r="B329" s="0" t="inlineStr">
        <is>
          <t xml:space="preserve">N0002419C6402</t>
        </is>
      </c>
      <c r="C329" s="0" t="inlineStr">
        <is>
          <t xml:space="preserve">TELEDYNE BROWN ENGINEERING, INC.</t>
        </is>
      </c>
      <c r="D329" s="0" t="inlineStr">
        <is>
          <t xml:space="preserve">FBRSJB6V4LW8</t>
        </is>
      </c>
      <c r="E329" s="0" t="inlineStr">
        <is>
          <t xml:space="preserve">GNF1HLLEJDK3</t>
        </is>
      </c>
      <c r="F329" s="0" t="inlineStr">
        <is>
          <t xml:space="preserve">CKS TECHNOLOGIES, LLC</t>
        </is>
      </c>
      <c r="G329" s="0" t="inlineStr">
        <is>
          <t xml:space="preserve">GNF1HLLEJDK3</t>
        </is>
      </c>
      <c r="H329" s="4">
        <v>0.06037</v>
      </c>
      <c r="I329" s="0" t="inlineStr">
        <is>
          <t xml:space="preserve">2020-12-08</t>
        </is>
      </c>
      <c r="J329" s="0" t="inlineStr">
        <is>
          <t xml:space="preserve">propulsion_power</t>
        </is>
      </c>
      <c r="K329" s="4">
        <v>1.0</v>
      </c>
      <c r="L329" s="0" t="inlineStr">
        <is>
          <t xml:space="preserve">Engineering services</t>
        </is>
      </c>
    </row>
    <row r="330">
      <c r="B330" s="0" t="inlineStr">
        <is>
          <t xml:space="preserve">N0002419C6402</t>
        </is>
      </c>
      <c r="C330" s="0" t="inlineStr">
        <is>
          <t xml:space="preserve">TELEDYNE BROWN ENGINEERING, INC.</t>
        </is>
      </c>
      <c r="D330" s="0" t="inlineStr">
        <is>
          <t xml:space="preserve">FBRSJB6V4LW8</t>
        </is>
      </c>
      <c r="E330" s="0" t="inlineStr">
        <is>
          <t xml:space="preserve">RPLNSRFLMJ47</t>
        </is>
      </c>
      <c r="F330" s="0" t="inlineStr">
        <is>
          <t xml:space="preserve">Delay Holdings, LLC</t>
        </is>
      </c>
      <c r="G330" s="0" t="inlineStr">
        <is>
          <t xml:space="preserve">K8XBC9JAPCJ3</t>
        </is>
      </c>
      <c r="H330" s="4">
        <v>0.06014</v>
      </c>
      <c r="I330" s="0" t="inlineStr">
        <is>
          <t xml:space="preserve">2020-12-02</t>
        </is>
      </c>
      <c r="J330" s="0" t="inlineStr">
        <is>
          <t xml:space="preserve">propulsion_power</t>
        </is>
      </c>
      <c r="K330" s="4">
        <v>1.2</v>
      </c>
      <c r="L330" s="0" t="inlineStr">
        <is>
          <t xml:space="preserve">Engineering materials</t>
        </is>
      </c>
    </row>
    <row r="331">
      <c r="B331" s="0" t="inlineStr">
        <is>
          <t xml:space="preserve">N0002419C6402</t>
        </is>
      </c>
      <c r="C331" s="0" t="inlineStr">
        <is>
          <t xml:space="preserve">TELEDYNE BROWN ENGINEERING, INC.</t>
        </is>
      </c>
      <c r="D331" s="0" t="inlineStr">
        <is>
          <t xml:space="preserve">FBRSJB6V4LW8</t>
        </is>
      </c>
      <c r="E331" s="0" t="inlineStr">
        <is>
          <t xml:space="preserve">WNKMDMALLWS1</t>
        </is>
      </c>
      <c r="F331" s="0" t="inlineStr">
        <is>
          <t xml:space="preserve">CREATION TECHNOLOGIES INC</t>
        </is>
      </c>
      <c r="G331" s="0" t="inlineStr">
        <is>
          <t xml:space="preserve">EHYSH7TAMJL3</t>
        </is>
      </c>
      <c r="H331" s="4">
        <v>0.06</v>
      </c>
      <c r="I331" s="0" t="inlineStr">
        <is>
          <t xml:space="preserve">2022-11-03</t>
        </is>
      </c>
      <c r="J331" s="0" t="inlineStr">
        <is>
          <t xml:space="preserve">propulsion_power</t>
        </is>
      </c>
      <c r="K331" s="4">
        <v>2.0</v>
      </c>
      <c r="L331" s="0" t="inlineStr">
        <is>
          <t xml:space="preserve">Engineering Services</t>
        </is>
      </c>
    </row>
    <row r="332">
      <c r="B332" s="0" t="inlineStr">
        <is>
          <t xml:space="preserve">N0002419C6402</t>
        </is>
      </c>
      <c r="C332" s="0" t="inlineStr">
        <is>
          <t xml:space="preserve">TELEDYNE BROWN ENGINEERING, INC.</t>
        </is>
      </c>
      <c r="D332" s="0" t="inlineStr">
        <is>
          <t xml:space="preserve">FBRSJB6V4LW8</t>
        </is>
      </c>
      <c r="E332" s="0" t="inlineStr">
        <is>
          <t xml:space="preserve">CJGFRMQ3CDM4</t>
        </is>
      </c>
      <c r="F332" s="0" t="inlineStr">
        <is>
          <t xml:space="preserve">APEX SPECIALTY METALS, INC.</t>
        </is>
      </c>
      <c r="G332" s="0" t="inlineStr">
        <is>
          <t xml:space="preserve">CJGFRMQ3CDM4</t>
        </is>
      </c>
      <c r="H332" s="4">
        <v>0.059996999999999995</v>
      </c>
      <c r="I332" s="0" t="inlineStr">
        <is>
          <t xml:space="preserve">2020-11-11</t>
        </is>
      </c>
      <c r="J332" s="0" t="inlineStr">
        <is>
          <t xml:space="preserve">propulsion_power</t>
        </is>
      </c>
      <c r="K332" s="4">
        <v>0.9</v>
      </c>
      <c r="L332" s="0" t="inlineStr">
        <is>
          <t xml:space="preserve">Engineering materials</t>
        </is>
      </c>
    </row>
    <row r="333">
      <c r="B333" s="0" t="inlineStr">
        <is>
          <t xml:space="preserve">N0002417C4103</t>
        </is>
      </c>
      <c r="C333" s="0" t="inlineStr">
        <is>
          <t xml:space="preserve">HUNTINGTON INGALLS INC</t>
        </is>
      </c>
      <c r="D333" s="0" t="inlineStr">
        <is>
          <t xml:space="preserve">WMXDDH6HJNA5</t>
        </is>
      </c>
      <c r="E333" s="0" t="inlineStr">
        <is>
          <t xml:space="preserve">CL4ZKLFK5DR3</t>
        </is>
      </c>
      <c r="F333" s="0" t="inlineStr">
        <is>
          <t xml:space="preserve">L'AIR LIQUIDE SOCIETE ANONYME POUR L'ETUDE ET L'EXPLOITATION DES PROCEDES GEORGES CLAUDE</t>
        </is>
      </c>
      <c r="G333" s="0" t="inlineStr">
        <is>
          <t xml:space="preserve">KN5KTZ7VX9S9</t>
        </is>
      </c>
      <c r="H333" s="4">
        <v>0.059939589999999994</v>
      </c>
      <c r="I333" s="0" t="inlineStr">
        <is>
          <t xml:space="preserve">2020-09-01</t>
        </is>
      </c>
      <c r="J333" s="0" t="inlineStr">
        <is>
          <t xml:space="preserve">autonomy_software</t>
        </is>
      </c>
      <c r="K333" s="4">
        <v>1.9</v>
      </c>
      <c r="L333" s="0" t="inlineStr">
        <is>
          <t xml:space="preserve">Airgas Material &amp; Service - Argon,PO item #6</t>
        </is>
      </c>
    </row>
    <row r="334">
      <c r="B334" s="0" t="inlineStr">
        <is>
          <t xml:space="preserve">N0002419C6402</t>
        </is>
      </c>
      <c r="C334" s="0" t="inlineStr">
        <is>
          <t xml:space="preserve">TELEDYNE BROWN ENGINEERING, INC.</t>
        </is>
      </c>
      <c r="D334" s="0" t="inlineStr">
        <is>
          <t xml:space="preserve">FBRSJB6V4LW8</t>
        </is>
      </c>
      <c r="E334" s="0" t="inlineStr">
        <is>
          <t xml:space="preserve">CJGFRMQ3CDM4</t>
        </is>
      </c>
      <c r="F334" s="0" t="inlineStr">
        <is>
          <t xml:space="preserve">APEX SPECIALTY METALS, INC.</t>
        </is>
      </c>
      <c r="G334" s="0" t="inlineStr">
        <is>
          <t xml:space="preserve">CJGFRMQ3CDM4</t>
        </is>
      </c>
      <c r="H334" s="4">
        <v>0.059904</v>
      </c>
      <c r="I334" s="0" t="inlineStr">
        <is>
          <t xml:space="preserve">2022-03-21</t>
        </is>
      </c>
      <c r="J334" s="0" t="inlineStr">
        <is>
          <t xml:space="preserve">propulsion_power</t>
        </is>
      </c>
      <c r="K334" s="4">
        <v>0.5</v>
      </c>
      <c r="L334" s="0" t="inlineStr">
        <is>
          <t xml:space="preserve">Engineering materials/services</t>
        </is>
      </c>
    </row>
    <row r="335">
      <c r="B335" s="0" t="inlineStr">
        <is>
          <t xml:space="preserve">N0002419C6402</t>
        </is>
      </c>
      <c r="C335" s="0" t="inlineStr">
        <is>
          <t xml:space="preserve">TELEDYNE BROWN ENGINEERING, INC.</t>
        </is>
      </c>
      <c r="D335" s="0" t="inlineStr">
        <is>
          <t xml:space="preserve">FBRSJB6V4LW8</t>
        </is>
      </c>
      <c r="E335" s="0" t="inlineStr">
        <is>
          <t xml:space="preserve">XNHRXR2HTXA8</t>
        </is>
      </c>
      <c r="F335" s="0" t="inlineStr">
        <is>
          <t xml:space="preserve">BEAUFORT COMPOSITE TECHNOLOGIES, INC</t>
        </is>
      </c>
      <c r="G335" s="0" t="inlineStr">
        <is>
          <t xml:space="preserve">XNHRXR2HTXA8</t>
        </is>
      </c>
      <c r="H335" s="4">
        <v>0.059379999999999995</v>
      </c>
      <c r="I335" s="0" t="inlineStr">
        <is>
          <t xml:space="preserve">2021-11-03</t>
        </is>
      </c>
      <c r="J335" s="0" t="inlineStr">
        <is>
          <t xml:space="preserve">platform_hull</t>
        </is>
      </c>
      <c r="K335" s="4">
        <v>0.9</v>
      </c>
      <c r="L335" s="0" t="inlineStr">
        <is>
          <t xml:space="preserve">Engineering services/materials</t>
        </is>
      </c>
    </row>
    <row r="336">
      <c r="B336" s="0" t="inlineStr">
        <is>
          <t xml:space="preserve">N0003921F2173</t>
        </is>
      </c>
      <c r="C336" s="0" t="inlineStr">
        <is>
          <t xml:space="preserve">TELEDYNE BROWN ENGINEERING, INC.</t>
        </is>
      </c>
      <c r="D336" s="0" t="inlineStr">
        <is>
          <t xml:space="preserve">FBRSJB6V4LW8</t>
        </is>
      </c>
      <c r="E336" s="0" t="inlineStr">
        <is>
          <t xml:space="preserve">GN84UHWZJMR8</t>
        </is>
      </c>
      <c r="F336" s="0" t="inlineStr">
        <is>
          <t xml:space="preserve">DAYTON T. BROWN, INC.</t>
        </is>
      </c>
      <c r="G336" s="0" t="inlineStr">
        <is>
          <t xml:space="preserve">GN84UHWZJMR8</t>
        </is>
      </c>
      <c r="H336" s="4">
        <v>0.059289999999999995</v>
      </c>
      <c r="I336" s="0" t="inlineStr">
        <is>
          <t xml:space="preserve">2021-10-15</t>
        </is>
      </c>
      <c r="J336" s="0" t="inlineStr">
        <is>
          <t xml:space="preserve">propulsion_power</t>
        </is>
      </c>
      <c r="K336" s="4">
        <v>0.6</v>
      </c>
      <c r="L336" s="0" t="inlineStr">
        <is>
          <t xml:space="preserve">Engineering services</t>
        </is>
      </c>
    </row>
    <row r="337">
      <c r="B337" s="0" t="inlineStr">
        <is>
          <t xml:space="preserve">N6133120F3009</t>
        </is>
      </c>
      <c r="C337" s="0" t="inlineStr">
        <is>
          <t xml:space="preserve">AVIAN, LLC</t>
        </is>
      </c>
      <c r="D337" s="0" t="inlineStr">
        <is>
          <t xml:space="preserve">D82NUFL39FE3</t>
        </is>
      </c>
      <c r="E337" s="0" t="inlineStr">
        <is>
          <t xml:space="preserve">MBPHTU7Y9S65</t>
        </is>
      </c>
      <c r="F337" s="0" t="inlineStr">
        <is>
          <t xml:space="preserve">BOOZ ALLEN HAMILTON HOLDING CORPORATION</t>
        </is>
      </c>
      <c r="G337" s="0" t="inlineStr">
        <is>
          <t xml:space="preserve">JCBMLGPE6Z71</t>
        </is>
      </c>
      <c r="H337" s="4">
        <v>0.05881955999999999</v>
      </c>
      <c r="I337" s="0" t="inlineStr">
        <is>
          <t xml:space="preserve">2021-04-08</t>
        </is>
      </c>
      <c r="J337" s="0" t="inlineStr">
        <is>
          <t xml:space="preserve">autonomy_software</t>
        </is>
      </c>
      <c r="K337" s="4">
        <v>18.1</v>
      </c>
      <c r="L337" s="0" t="inlineStr">
        <is>
          <t xml:space="preserve">Support of Unmanned Maritime Systems Program.</t>
        </is>
      </c>
    </row>
    <row r="338">
      <c r="B338" s="0" t="inlineStr">
        <is>
          <t xml:space="preserve">N6600124F1105</t>
        </is>
      </c>
      <c r="C338" s="0" t="inlineStr">
        <is>
          <t xml:space="preserve">SCIENCE APPLICATIONS INTERNATIONAL CORPORATION</t>
        </is>
      </c>
      <c r="D338" s="0" t="inlineStr">
        <is>
          <t xml:space="preserve">MMLKPW9JLX64</t>
        </is>
      </c>
      <c r="E338" s="0" t="inlineStr">
        <is>
          <t xml:space="preserve">PHZDZ8SJ5CM1</t>
        </is>
      </c>
      <c r="F338" s="0" t="inlineStr">
        <is>
          <t xml:space="preserve">CDW Government LLC</t>
        </is>
      </c>
      <c r="G338" s="0" t="inlineStr">
        <is>
          <t xml:space="preserve">PHZDZ8SJ5CM1</t>
        </is>
      </c>
      <c r="H338" s="4">
        <v>0.05847288</v>
      </c>
      <c r="I338" s="0" t="inlineStr">
        <is>
          <t xml:space="preserve">2025-07-31</t>
        </is>
      </c>
      <c r="J338" s="0" t="inlineStr">
        <is>
          <t xml:space="preserve">c2_comms</t>
        </is>
      </c>
      <c r="K338" s="4">
        <v>0.3</v>
      </c>
      <c r="L338" s="0" t="inlineStr">
        <is>
          <t xml:space="preserve">Dell Servers for the Naval Information Warfare Center Pacific</t>
        </is>
      </c>
    </row>
    <row r="339">
      <c r="B339" s="0" t="inlineStr">
        <is>
          <t xml:space="preserve">N0002419C6402</t>
        </is>
      </c>
      <c r="C339" s="0" t="inlineStr">
        <is>
          <t xml:space="preserve">TELEDYNE BROWN ENGINEERING, INC.</t>
        </is>
      </c>
      <c r="D339" s="0" t="inlineStr">
        <is>
          <t xml:space="preserve">FBRSJB6V4LW8</t>
        </is>
      </c>
      <c r="E339" s="0" t="inlineStr">
        <is>
          <t xml:space="preserve">XNHRXR2HTXA8</t>
        </is>
      </c>
      <c r="F339" s="0" t="inlineStr">
        <is>
          <t xml:space="preserve">BEAUFORT COMPOSITE TECHNOLOGIES, INC</t>
        </is>
      </c>
      <c r="G339" s="0" t="inlineStr">
        <is>
          <t xml:space="preserve">XNHRXR2HTXA8</t>
        </is>
      </c>
      <c r="H339" s="4">
        <v>0.05806</v>
      </c>
      <c r="I339" s="0" t="inlineStr">
        <is>
          <t xml:space="preserve">2021-11-14</t>
        </is>
      </c>
      <c r="J339" s="0" t="inlineStr">
        <is>
          <t xml:space="preserve">platform_hull</t>
        </is>
      </c>
      <c r="K339" s="4">
        <v>0.6</v>
      </c>
      <c r="L339" s="0" t="inlineStr">
        <is>
          <t xml:space="preserve">Engineering services/materials</t>
        </is>
      </c>
    </row>
    <row r="340">
      <c r="B340" s="0" t="inlineStr">
        <is>
          <t xml:space="preserve">N0002417C4103</t>
        </is>
      </c>
      <c r="C340" s="0" t="inlineStr">
        <is>
          <t xml:space="preserve">HUNTINGTON INGALLS INC</t>
        </is>
      </c>
      <c r="D340" s="0" t="inlineStr">
        <is>
          <t xml:space="preserve">WMXDDH6HJNA5</t>
        </is>
      </c>
      <c r="E340" s="0" t="inlineStr">
        <is>
          <t xml:space="preserve">L1VLXE4HBX13</t>
        </is>
      </c>
      <c r="F340" s="0" t="inlineStr">
        <is>
          <t xml:space="preserve">GIBSON INDUSTRIAL, INC.</t>
        </is>
      </c>
      <c r="G340" s="0" t="inlineStr">
        <is>
          <t xml:space="preserve">L1VLXE4HBX13</t>
        </is>
      </c>
      <c r="H340" s="4">
        <v>0.058018999999999994</v>
      </c>
      <c r="I340" s="0" t="inlineStr">
        <is>
          <t xml:space="preserve">2018-09-07</t>
        </is>
      </c>
      <c r="J340" s="0" t="inlineStr">
        <is>
          <t xml:space="preserve">other_unclassified</t>
        </is>
      </c>
      <c r="K340" s="4">
        <v>3.9</v>
      </c>
      <c r="L340" s="0" t="inlineStr">
        <is>
          <t xml:space="preserve">A&amp;B MACHINE PLATFORMS; ITEM #1</t>
        </is>
      </c>
    </row>
    <row r="341">
      <c r="B341" s="0" t="inlineStr">
        <is>
          <t xml:space="preserve">N0002417C4103</t>
        </is>
      </c>
      <c r="C341" s="0" t="inlineStr">
        <is>
          <t xml:space="preserve">HUNTINGTON INGALLS INC</t>
        </is>
      </c>
      <c r="D341" s="0" t="inlineStr">
        <is>
          <t xml:space="preserve">WMXDDH6HJNA5</t>
        </is>
      </c>
      <c r="E341" s="0" t="inlineStr">
        <is>
          <t xml:space="preserve">L1VLXE4HBX13</t>
        </is>
      </c>
      <c r="F341" s="0" t="inlineStr">
        <is>
          <t xml:space="preserve">GIBSON INDUSTRIAL, INC.</t>
        </is>
      </c>
      <c r="G341" s="0" t="inlineStr">
        <is>
          <t xml:space="preserve">L1VLXE4HBX13</t>
        </is>
      </c>
      <c r="H341" s="4">
        <v>0.058018999999999994</v>
      </c>
      <c r="I341" s="0" t="inlineStr">
        <is>
          <t xml:space="preserve">2018-09-07</t>
        </is>
      </c>
      <c r="J341" s="0" t="inlineStr">
        <is>
          <t xml:space="preserve">other_unclassified</t>
        </is>
      </c>
      <c r="K341" s="4">
        <v>3.9</v>
      </c>
      <c r="L341" s="0" t="inlineStr">
        <is>
          <t xml:space="preserve">A&amp;B MACHINE PLATFORMS; ITEM #1</t>
        </is>
      </c>
    </row>
    <row r="342">
      <c r="B342" s="0" t="inlineStr">
        <is>
          <t xml:space="preserve">N0002417C4103</t>
        </is>
      </c>
      <c r="C342" s="0" t="inlineStr">
        <is>
          <t xml:space="preserve">HUNTINGTON INGALLS INC</t>
        </is>
      </c>
      <c r="D342" s="0" t="inlineStr">
        <is>
          <t xml:space="preserve">WMXDDH6HJNA5</t>
        </is>
      </c>
      <c r="E342" s="0" t="inlineStr">
        <is>
          <t xml:space="preserve">L1VLXE4HBX13</t>
        </is>
      </c>
      <c r="F342" s="0" t="inlineStr">
        <is>
          <t xml:space="preserve">GIBSON INDUSTRIAL, INC.</t>
        </is>
      </c>
      <c r="G342" s="0" t="inlineStr">
        <is>
          <t xml:space="preserve">L1VLXE4HBX13</t>
        </is>
      </c>
      <c r="H342" s="4">
        <v>0.058018999999999994</v>
      </c>
      <c r="I342" s="0" t="inlineStr">
        <is>
          <t xml:space="preserve">2018-09-07</t>
        </is>
      </c>
      <c r="J342" s="0" t="inlineStr">
        <is>
          <t xml:space="preserve">other_unclassified</t>
        </is>
      </c>
      <c r="K342" s="4">
        <v>3.9</v>
      </c>
      <c r="L342" s="0" t="inlineStr">
        <is>
          <t xml:space="preserve">A&amp;B MACHINE PLATFORMS; ITEM #1</t>
        </is>
      </c>
    </row>
    <row r="343">
      <c r="B343" s="0" t="inlineStr">
        <is>
          <t xml:space="preserve">N0002417C4103</t>
        </is>
      </c>
      <c r="C343" s="0" t="inlineStr">
        <is>
          <t xml:space="preserve">HUNTINGTON INGALLS INC</t>
        </is>
      </c>
      <c r="D343" s="0" t="inlineStr">
        <is>
          <t xml:space="preserve">WMXDDH6HJNA5</t>
        </is>
      </c>
      <c r="E343" s="0" t="inlineStr">
        <is>
          <t xml:space="preserve">L1VLXE4HBX13</t>
        </is>
      </c>
      <c r="F343" s="0" t="inlineStr">
        <is>
          <t xml:space="preserve">GIBSON INDUSTRIAL, INC.</t>
        </is>
      </c>
      <c r="G343" s="0" t="inlineStr">
        <is>
          <t xml:space="preserve">L1VLXE4HBX13</t>
        </is>
      </c>
      <c r="H343" s="4">
        <v>0.058018999999999994</v>
      </c>
      <c r="I343" s="0" t="inlineStr">
        <is>
          <t xml:space="preserve">2018-09-07</t>
        </is>
      </c>
      <c r="J343" s="0" t="inlineStr">
        <is>
          <t xml:space="preserve">other_unclassified</t>
        </is>
      </c>
      <c r="K343" s="4">
        <v>3.9</v>
      </c>
      <c r="L343" s="0" t="inlineStr">
        <is>
          <t xml:space="preserve">A&amp;B MACHINE PLATFORMS; ITEM #1</t>
        </is>
      </c>
    </row>
    <row r="344">
      <c r="B344" s="0" t="inlineStr">
        <is>
          <t xml:space="preserve">N0002417C4103</t>
        </is>
      </c>
      <c r="C344" s="0" t="inlineStr">
        <is>
          <t xml:space="preserve">HUNTINGTON INGALLS INC</t>
        </is>
      </c>
      <c r="D344" s="0" t="inlineStr">
        <is>
          <t xml:space="preserve">WMXDDH6HJNA5</t>
        </is>
      </c>
      <c r="E344" s="0" t="inlineStr">
        <is>
          <t xml:space="preserve">L1VLXE4HBX13</t>
        </is>
      </c>
      <c r="F344" s="0" t="inlineStr">
        <is>
          <t xml:space="preserve">GIBSON INDUSTRIAL, INC.</t>
        </is>
      </c>
      <c r="G344" s="0" t="inlineStr">
        <is>
          <t xml:space="preserve">L1VLXE4HBX13</t>
        </is>
      </c>
      <c r="H344" s="4">
        <v>0.058018999999999994</v>
      </c>
      <c r="I344" s="0" t="inlineStr">
        <is>
          <t xml:space="preserve">2018-09-07</t>
        </is>
      </c>
      <c r="J344" s="0" t="inlineStr">
        <is>
          <t xml:space="preserve">other_unclassified</t>
        </is>
      </c>
      <c r="K344" s="4">
        <v>3.9</v>
      </c>
      <c r="L344" s="0" t="inlineStr">
        <is>
          <t xml:space="preserve">A&amp;B MACHINE PLATFORMS; ITEM #1</t>
        </is>
      </c>
    </row>
    <row r="345">
      <c r="B345" s="0" t="inlineStr">
        <is>
          <t xml:space="preserve">N0002417C4103</t>
        </is>
      </c>
      <c r="C345" s="0" t="inlineStr">
        <is>
          <t xml:space="preserve">HUNTINGTON INGALLS INC</t>
        </is>
      </c>
      <c r="D345" s="0" t="inlineStr">
        <is>
          <t xml:space="preserve">WMXDDH6HJNA5</t>
        </is>
      </c>
      <c r="E345" s="0" t="inlineStr">
        <is>
          <t xml:space="preserve">L1VLXE4HBX13</t>
        </is>
      </c>
      <c r="F345" s="0" t="inlineStr">
        <is>
          <t xml:space="preserve">GIBSON INDUSTRIAL, INC.</t>
        </is>
      </c>
      <c r="G345" s="0" t="inlineStr">
        <is>
          <t xml:space="preserve">L1VLXE4HBX13</t>
        </is>
      </c>
      <c r="H345" s="4">
        <v>0.058018999999999994</v>
      </c>
      <c r="I345" s="0" t="inlineStr">
        <is>
          <t xml:space="preserve">2018-09-07</t>
        </is>
      </c>
      <c r="J345" s="0" t="inlineStr">
        <is>
          <t xml:space="preserve">other_unclassified</t>
        </is>
      </c>
      <c r="K345" s="4">
        <v>3.9</v>
      </c>
      <c r="L345" s="0" t="inlineStr">
        <is>
          <t xml:space="preserve">A&amp;B MACHINE PLATFORMS; ITEM #1</t>
        </is>
      </c>
    </row>
    <row r="346">
      <c r="B346" s="0" t="inlineStr">
        <is>
          <t xml:space="preserve">N0002419C6402</t>
        </is>
      </c>
      <c r="C346" s="0" t="inlineStr">
        <is>
          <t xml:space="preserve">TELEDYNE BROWN ENGINEERING, INC.</t>
        </is>
      </c>
      <c r="D346" s="0" t="inlineStr">
        <is>
          <t xml:space="preserve">FBRSJB6V4LW8</t>
        </is>
      </c>
      <c r="E346" s="0" t="inlineStr">
        <is>
          <t xml:space="preserve">WA6MBG28BUQ5</t>
        </is>
      </c>
      <c r="F346" s="0" t="inlineStr">
        <is>
          <t xml:space="preserve">PPG INDUSTRIES, INC</t>
        </is>
      </c>
      <c r="G346" s="0" t="inlineStr">
        <is>
          <t xml:space="preserve">WA6MBG28BUQ5</t>
        </is>
      </c>
      <c r="H346" s="4">
        <v>0.05753</v>
      </c>
      <c r="I346" s="0" t="inlineStr">
        <is>
          <t xml:space="preserve">2025-11-06</t>
        </is>
      </c>
      <c r="J346" s="0" t="inlineStr">
        <is>
          <t xml:space="preserve">propulsion_power</t>
        </is>
      </c>
      <c r="K346" s="4">
        <v>1.8</v>
      </c>
      <c r="L346" s="0" t="inlineStr">
        <is>
          <t xml:space="preserve">Engineering Services/materials</t>
        </is>
      </c>
    </row>
    <row r="347">
      <c r="B347" s="0" t="inlineStr">
        <is>
          <t xml:space="preserve">N0002421F8089</t>
        </is>
      </c>
      <c r="C347" s="0" t="inlineStr">
        <is>
          <t xml:space="preserve">THE JOHNS HOPKINS UNIVERSITY APPLIED PHYSICS LABORATORY LLC</t>
        </is>
      </c>
      <c r="D347" s="0" t="inlineStr">
        <is>
          <t xml:space="preserve">C1HBCJ9RMBV3</t>
        </is>
      </c>
      <c r="E347" s="0" t="inlineStr">
        <is>
          <t xml:space="preserve">H293LTV8R2U3</t>
        </is>
      </c>
      <c r="F347" s="0" t="inlineStr">
        <is>
          <t xml:space="preserve">REAL-TIME INNOVATIONS INC</t>
        </is>
      </c>
      <c r="G347" s="0" t="inlineStr">
        <is>
          <t xml:space="preserve">H293LTV8R2U3</t>
        </is>
      </c>
      <c r="H347" s="4">
        <v>0.0572</v>
      </c>
      <c r="I347" s="0" t="inlineStr">
        <is>
          <t xml:space="preserve">2023-01-03</t>
        </is>
      </c>
      <c r="J347" s="0" t="inlineStr">
        <is>
          <t xml:space="preserve">autonomy_software</t>
        </is>
      </c>
      <c r="K347" s="4">
        <v>1.6</v>
      </c>
      <c r="L347" s="0" t="inlineStr">
        <is>
          <t xml:space="preserve">Software License</t>
        </is>
      </c>
    </row>
    <row r="348">
      <c r="B348" s="0" t="inlineStr">
        <is>
          <t xml:space="preserve">N0002419C6402</t>
        </is>
      </c>
      <c r="C348" s="0" t="inlineStr">
        <is>
          <t xml:space="preserve">TELEDYNE BROWN ENGINEERING, INC.</t>
        </is>
      </c>
      <c r="D348" s="0" t="inlineStr">
        <is>
          <t xml:space="preserve">FBRSJB6V4LW8</t>
        </is>
      </c>
      <c r="E348" s="0" t="inlineStr">
        <is>
          <t xml:space="preserve">GNF1HLLEJDK3</t>
        </is>
      </c>
      <c r="F348" s="0" t="inlineStr">
        <is>
          <t xml:space="preserve">CKS TECHNOLOGIES, LLC</t>
        </is>
      </c>
      <c r="G348" s="0" t="inlineStr">
        <is>
          <t xml:space="preserve">GNF1HLLEJDK3</t>
        </is>
      </c>
      <c r="H348" s="4">
        <v>0.0566</v>
      </c>
      <c r="I348" s="0" t="inlineStr">
        <is>
          <t xml:space="preserve">2020-02-14</t>
        </is>
      </c>
      <c r="J348" s="0" t="inlineStr">
        <is>
          <t xml:space="preserve">propulsion_power</t>
        </is>
      </c>
      <c r="K348" s="4">
        <v>0.6</v>
      </c>
      <c r="L348" s="0" t="inlineStr">
        <is>
          <t xml:space="preserve">Engineering services</t>
        </is>
      </c>
    </row>
    <row r="349">
      <c r="B349" s="0" t="inlineStr">
        <is>
          <t xml:space="preserve">N0002419C6402</t>
        </is>
      </c>
      <c r="C349" s="0" t="inlineStr">
        <is>
          <t xml:space="preserve">TELEDYNE BROWN ENGINEERING, INC.</t>
        </is>
      </c>
      <c r="D349" s="0" t="inlineStr">
        <is>
          <t xml:space="preserve">FBRSJB6V4LW8</t>
        </is>
      </c>
      <c r="E349" s="0" t="inlineStr">
        <is>
          <t xml:space="preserve">CJGFRMQ3CDM4</t>
        </is>
      </c>
      <c r="F349" s="0" t="inlineStr">
        <is>
          <t xml:space="preserve">APEX SPECIALTY METALS, INC.</t>
        </is>
      </c>
      <c r="G349" s="0" t="inlineStr">
        <is>
          <t xml:space="preserve">CJGFRMQ3CDM4</t>
        </is>
      </c>
      <c r="H349" s="4">
        <v>0.056591999999999996</v>
      </c>
      <c r="I349" s="0" t="inlineStr">
        <is>
          <t xml:space="preserve">2021-10-04</t>
        </is>
      </c>
      <c r="J349" s="0" t="inlineStr">
        <is>
          <t xml:space="preserve">propulsion_power</t>
        </is>
      </c>
      <c r="K349" s="4">
        <v>1.2</v>
      </c>
      <c r="L349" s="0" t="inlineStr">
        <is>
          <t xml:space="preserve">Engineering materials</t>
        </is>
      </c>
    </row>
    <row r="350">
      <c r="B350" s="0" t="inlineStr">
        <is>
          <t xml:space="preserve">N6600120F0254</t>
        </is>
      </c>
      <c r="C350" s="0" t="inlineStr">
        <is>
          <t xml:space="preserve">OASIS SYSTEMS, LLC</t>
        </is>
      </c>
      <c r="D350" s="0" t="inlineStr">
        <is>
          <t xml:space="preserve">MST2Z1EG1HV7</t>
        </is>
      </c>
      <c r="E350" s="0" t="inlineStr">
        <is>
          <t xml:space="preserve">TJCDPVN6RNP7</t>
        </is>
      </c>
      <c r="F350" s="0" t="inlineStr">
        <is>
          <t xml:space="preserve">Dell Technologies Inc.</t>
        </is>
      </c>
      <c r="G350" s="0" t="inlineStr">
        <is>
          <t xml:space="preserve">N1C5QLNPJLS4</t>
        </is>
      </c>
      <c r="H350" s="4">
        <v>0.056580359999999996</v>
      </c>
      <c r="I350" s="0" t="inlineStr">
        <is>
          <t xml:space="preserve">2021-04-29</t>
        </is>
      </c>
      <c r="J350" s="0" t="inlineStr">
        <is>
          <t xml:space="preserve">other_unclassified</t>
        </is>
      </c>
      <c r="K350" s="4">
        <v>0.2</v>
      </c>
      <c r="L350" s="0" t="inlineStr">
        <is>
          <t xml:space="preserve">Support of the SeaHunter program.</t>
        </is>
      </c>
    </row>
    <row r="351">
      <c r="B351" s="0" t="inlineStr">
        <is>
          <t xml:space="preserve">N0002419C6402</t>
        </is>
      </c>
      <c r="C351" s="0" t="inlineStr">
        <is>
          <t xml:space="preserve">TELEDYNE BROWN ENGINEERING, INC.</t>
        </is>
      </c>
      <c r="D351" s="0" t="inlineStr">
        <is>
          <t xml:space="preserve">FBRSJB6V4LW8</t>
        </is>
      </c>
      <c r="E351" s="0" t="inlineStr">
        <is>
          <t xml:space="preserve">HCJET1PHKSZ1</t>
        </is>
      </c>
      <c r="F351" s="0" t="inlineStr">
        <is>
          <t xml:space="preserve">KVH INDUSTRIES, INC.</t>
        </is>
      </c>
      <c r="G351" s="0" t="inlineStr">
        <is>
          <t xml:space="preserve">HCJET1PHKSZ1</t>
        </is>
      </c>
      <c r="H351" s="4">
        <v>0.056549999999999996</v>
      </c>
      <c r="I351" s="0" t="inlineStr">
        <is>
          <t xml:space="preserve">2021-11-03</t>
        </is>
      </c>
      <c r="J351" s="0" t="inlineStr">
        <is>
          <t xml:space="preserve">propulsion_power</t>
        </is>
      </c>
      <c r="K351" s="4">
        <v>0.9</v>
      </c>
      <c r="L351" s="0" t="inlineStr">
        <is>
          <t xml:space="preserve">Engineering services/materials</t>
        </is>
      </c>
    </row>
    <row r="352">
      <c r="B352" s="0" t="inlineStr">
        <is>
          <t xml:space="preserve">N0002419C6402</t>
        </is>
      </c>
      <c r="C352" s="0" t="inlineStr">
        <is>
          <t xml:space="preserve">TELEDYNE BROWN ENGINEERING, INC.</t>
        </is>
      </c>
      <c r="D352" s="0" t="inlineStr">
        <is>
          <t xml:space="preserve">FBRSJB6V4LW8</t>
        </is>
      </c>
      <c r="E352" s="0" t="inlineStr">
        <is>
          <t xml:space="preserve">XNHRXR2HTXA8</t>
        </is>
      </c>
      <c r="F352" s="0" t="inlineStr">
        <is>
          <t xml:space="preserve">BEAUFORT COMPOSITE TECHNOLOGIES, INC</t>
        </is>
      </c>
      <c r="G352" s="0" t="inlineStr">
        <is>
          <t xml:space="preserve">XNHRXR2HTXA8</t>
        </is>
      </c>
      <c r="H352" s="4">
        <v>0.05574</v>
      </c>
      <c r="I352" s="0" t="inlineStr">
        <is>
          <t xml:space="preserve">2020-08-20</t>
        </is>
      </c>
      <c r="J352" s="0" t="inlineStr">
        <is>
          <t xml:space="preserve">platform_hull</t>
        </is>
      </c>
      <c r="K352" s="4">
        <v>0.5</v>
      </c>
      <c r="L352" s="0" t="inlineStr">
        <is>
          <t xml:space="preserve">Engineering services/materials</t>
        </is>
      </c>
    </row>
    <row r="353">
      <c r="B353" s="0" t="inlineStr">
        <is>
          <t xml:space="preserve">H9240520F0022</t>
        </is>
      </c>
      <c r="C353" s="0" t="inlineStr">
        <is>
          <t xml:space="preserve">VIGOR WORKS LLC</t>
        </is>
      </c>
      <c r="D353" s="0" t="inlineStr">
        <is>
          <t xml:space="preserve">NJ2RRT5BMCX1</t>
        </is>
      </c>
      <c r="E353" s="0" t="inlineStr">
        <is>
          <t xml:space="preserve">FKSEU2SA3NC7</t>
        </is>
      </c>
      <c r="F353" s="0" t="inlineStr">
        <is>
          <t xml:space="preserve">VANGUARD DELTA LLC</t>
        </is>
      </c>
      <c r="G353" s="0" t="inlineStr">
        <is>
          <t xml:space="preserve">FKSEU2SA3NC7</t>
        </is>
      </c>
      <c r="H353" s="4">
        <v>0.0554</v>
      </c>
      <c r="I353" s="0" t="inlineStr">
        <is>
          <t xml:space="preserve">2026-02-11</t>
        </is>
      </c>
      <c r="J353" s="0" t="inlineStr">
        <is>
          <t xml:space="preserve">autonomy_software</t>
        </is>
      </c>
      <c r="K353" s="4">
        <v>0.6</v>
      </c>
      <c r="L353" s="0" t="inlineStr">
        <is>
          <t xml:space="preserve">PO for engineering, engineering management, and detailing services through Vanguard LLC (the consultant) for CCM UK ECP</t>
        </is>
      </c>
    </row>
    <row r="354">
      <c r="B354" s="0" t="inlineStr">
        <is>
          <t xml:space="preserve">N0001421C1009</t>
        </is>
      </c>
      <c r="C354" s="0" t="inlineStr">
        <is>
          <t xml:space="preserve">RAYTHEON COMPANY</t>
        </is>
      </c>
      <c r="D354" s="0" t="inlineStr">
        <is>
          <t xml:space="preserve">VTEWM5QSE598</t>
        </is>
      </c>
      <c r="E354" s="0" t="inlineStr">
        <is>
          <t xml:space="preserve">LV12LKK92Z99</t>
        </is>
      </c>
      <c r="F354" s="0" t="inlineStr">
        <is>
          <t xml:space="preserve">ABRAMS AIRBORNE MANUFACTURING, INC.</t>
        </is>
      </c>
      <c r="G354" s="0" t="inlineStr">
        <is>
          <t xml:space="preserve">LV12LKK92Z99</t>
        </is>
      </c>
      <c r="H354" s="4">
        <v>0.055032</v>
      </c>
      <c r="I354" s="0" t="inlineStr">
        <is>
          <t xml:space="preserve">2021-09-22</t>
        </is>
      </c>
      <c r="J354" s="0" t="inlineStr">
        <is>
          <t xml:space="preserve">autonomy_software</t>
        </is>
      </c>
      <c r="K354" s="4">
        <v>0.6</v>
      </c>
      <c r="L354" s="0" t="inlineStr">
        <is>
          <t xml:space="preserve">NRE - Other.</t>
        </is>
      </c>
    </row>
    <row r="355">
      <c r="B355" s="0" t="inlineStr">
        <is>
          <t xml:space="preserve">N0002419C6402</t>
        </is>
      </c>
      <c r="C355" s="0" t="inlineStr">
        <is>
          <t xml:space="preserve">TELEDYNE BROWN ENGINEERING, INC.</t>
        </is>
      </c>
      <c r="D355" s="0" t="inlineStr">
        <is>
          <t xml:space="preserve">FBRSJB6V4LW8</t>
        </is>
      </c>
      <c r="E355" s="0" t="inlineStr">
        <is>
          <t xml:space="preserve">GMEQMTFR93K3</t>
        </is>
      </c>
      <c r="F355" s="0" t="inlineStr">
        <is>
          <t xml:space="preserve">PRC - DESOTO INTERNATIONAL, INC</t>
        </is>
      </c>
      <c r="G355" s="0" t="inlineStr">
        <is>
          <t xml:space="preserve">GMEQMTFR93K3</t>
        </is>
      </c>
      <c r="H355" s="4">
        <v>0.05479</v>
      </c>
      <c r="I355" s="0" t="inlineStr">
        <is>
          <t xml:space="preserve">2024-10-03</t>
        </is>
      </c>
      <c r="J355" s="0" t="inlineStr">
        <is>
          <t xml:space="preserve">propulsion_power</t>
        </is>
      </c>
      <c r="K355" s="4">
        <v>1.2</v>
      </c>
      <c r="L355" s="0" t="inlineStr">
        <is>
          <t xml:space="preserve">Engineering services/materials</t>
        </is>
      </c>
    </row>
    <row r="356">
      <c r="B356" s="0" t="inlineStr">
        <is>
          <t xml:space="preserve">H9240520F0022</t>
        </is>
      </c>
      <c r="C356" s="0" t="inlineStr">
        <is>
          <t xml:space="preserve">VIGOR WORKS LLC</t>
        </is>
      </c>
      <c r="D356" s="0" t="inlineStr">
        <is>
          <t xml:space="preserve">NJ2RRT5BMCX1</t>
        </is>
      </c>
      <c r="E356" s="0" t="inlineStr">
        <is>
          <t xml:space="preserve">U6F2GHCNNH47</t>
        </is>
      </c>
      <c r="F356" s="0" t="inlineStr">
        <is>
          <t xml:space="preserve">HEXCEL CORP</t>
        </is>
      </c>
      <c r="G356" s="0" t="inlineStr">
        <is>
          <t xml:space="preserve">F98TZC6J5XV1</t>
        </is>
      </c>
      <c r="H356" s="4">
        <v>0.05449979</v>
      </c>
      <c r="I356" s="0" t="inlineStr">
        <is>
          <t xml:space="preserve">2026-04-30</t>
        </is>
      </c>
      <c r="J356" s="0" t="inlineStr">
        <is>
          <t xml:space="preserve">materials_components</t>
        </is>
      </c>
      <c r="K356" s="4">
        <v>0.4</v>
      </c>
      <c r="L356" s="0" t="inlineStr">
        <is>
          <t xml:space="preserve">SHEET, MATERIAL "A", 24x48x1.375, LIGHT GRAY HYPALON BASED TOP, REFLECTIVITY -15dB@2.5-4.5GHz, -22dB@3-4GHz, -22dB@9-10G</t>
        </is>
      </c>
    </row>
    <row r="357">
      <c r="B357" s="0" t="inlineStr">
        <is>
          <t xml:space="preserve">N0002419C6402</t>
        </is>
      </c>
      <c r="C357" s="0" t="inlineStr">
        <is>
          <t xml:space="preserve">TELEDYNE BROWN ENGINEERING, INC.</t>
        </is>
      </c>
      <c r="D357" s="0" t="inlineStr">
        <is>
          <t xml:space="preserve">FBRSJB6V4LW8</t>
        </is>
      </c>
      <c r="E357" s="0" t="inlineStr">
        <is>
          <t xml:space="preserve">M2XAYNY2P889</t>
        </is>
      </c>
      <c r="F357" s="0" t="inlineStr">
        <is>
          <t xml:space="preserve">POWELL ELECTRONICS INC.</t>
        </is>
      </c>
      <c r="G357" s="0" t="inlineStr">
        <is>
          <t xml:space="preserve">M2XAYNY2P889</t>
        </is>
      </c>
      <c r="H357" s="4">
        <v>0.054065999999999996</v>
      </c>
      <c r="I357" s="0" t="inlineStr">
        <is>
          <t xml:space="preserve">2021-06-30</t>
        </is>
      </c>
      <c r="J357" s="0" t="inlineStr">
        <is>
          <t xml:space="preserve">propulsion_power</t>
        </is>
      </c>
      <c r="K357" s="4">
        <v>0.3</v>
      </c>
      <c r="L357" s="0" t="inlineStr">
        <is>
          <t xml:space="preserve">Engineering services/materials</t>
        </is>
      </c>
    </row>
    <row r="358">
      <c r="B358" s="0" t="inlineStr">
        <is>
          <t xml:space="preserve">N6660418F3022</t>
        </is>
      </c>
      <c r="C358" s="0" t="inlineStr">
        <is>
          <t xml:space="preserve">SERCO-IPS CORPORATION</t>
        </is>
      </c>
      <c r="D358" s="0" t="inlineStr">
        <is>
          <t xml:space="preserve">RGEBPDP8RV96</t>
        </is>
      </c>
      <c r="E358" s="0" t="inlineStr">
        <is>
          <t xml:space="preserve">U6NDHNBRRXZ1</t>
        </is>
      </c>
      <c r="F358" s="0" t="inlineStr">
        <is>
          <t xml:space="preserve">Engineered Syntactic Systems, LLC</t>
        </is>
      </c>
      <c r="G358" s="0" t="inlineStr">
        <is>
          <t xml:space="preserve">U6NDHNBRRXZ1</t>
        </is>
      </c>
      <c r="H358" s="4">
        <v>0.05351479</v>
      </c>
      <c r="I358" s="0" t="inlineStr">
        <is>
          <t xml:space="preserve">2025-11-10</t>
        </is>
      </c>
      <c r="J358" s="0" t="inlineStr">
        <is>
          <t xml:space="preserve">propulsion_power</t>
        </is>
      </c>
      <c r="K358" s="4">
        <v>1.2</v>
      </c>
      <c r="L358" s="0" t="inlineStr">
        <is>
          <t xml:space="preserve">Goods</t>
        </is>
      </c>
    </row>
    <row r="359">
      <c r="B359" s="0" t="inlineStr">
        <is>
          <t xml:space="preserve">N0002419C6402</t>
        </is>
      </c>
      <c r="C359" s="0" t="inlineStr">
        <is>
          <t xml:space="preserve">TELEDYNE BROWN ENGINEERING, INC.</t>
        </is>
      </c>
      <c r="D359" s="0" t="inlineStr">
        <is>
          <t xml:space="preserve">FBRSJB6V4LW8</t>
        </is>
      </c>
      <c r="E359" s="0" t="inlineStr">
        <is>
          <t xml:space="preserve">ZL9LGKYJWJD8</t>
        </is>
      </c>
      <c r="F359" s="0" t="inlineStr">
        <is>
          <t xml:space="preserve">CURBELL, INC.</t>
        </is>
      </c>
      <c r="G359" s="0" t="inlineStr">
        <is>
          <t xml:space="preserve">U66LSMLUCW63</t>
        </is>
      </c>
      <c r="H359" s="4">
        <v>0.05316108</v>
      </c>
      <c r="I359" s="0" t="inlineStr">
        <is>
          <t xml:space="preserve">2021-08-02</t>
        </is>
      </c>
      <c r="J359" s="0" t="inlineStr">
        <is>
          <t xml:space="preserve">propulsion_power</t>
        </is>
      </c>
      <c r="K359" s="4">
        <v>1.0</v>
      </c>
      <c r="L359" s="0" t="inlineStr">
        <is>
          <t xml:space="preserve">Engineering services/materials</t>
        </is>
      </c>
    </row>
    <row r="360">
      <c r="B360" s="0" t="inlineStr">
        <is>
          <t xml:space="preserve">N6660425F3019</t>
        </is>
      </c>
      <c r="C360" s="0" t="inlineStr">
        <is>
          <t xml:space="preserve">SERCO INC</t>
        </is>
      </c>
      <c r="D360" s="0" t="inlineStr">
        <is>
          <t xml:space="preserve">DKJ1R5ABCN48</t>
        </is>
      </c>
      <c r="E360" s="0" t="inlineStr">
        <is>
          <t xml:space="preserve">ZQ7JL84XKHS3</t>
        </is>
      </c>
      <c r="F360" s="0" t="inlineStr">
        <is>
          <t xml:space="preserve">KMS SOLUTIONS, LLC</t>
        </is>
      </c>
      <c r="G360" s="0" t="inlineStr">
        <is>
          <t xml:space="preserve">ZQ7JL84XKHS3</t>
        </is>
      </c>
      <c r="H360" s="4">
        <v>0.05301408</v>
      </c>
      <c r="I360" s="0" t="inlineStr">
        <is>
          <t xml:space="preserve">2026-01-07</t>
        </is>
      </c>
      <c r="J360" s="0" t="inlineStr">
        <is>
          <t xml:space="preserve">other_unclassified</t>
        </is>
      </c>
      <c r="K360" s="4">
        <v>1.2</v>
      </c>
      <c r="L360" s="0" t="inlineStr">
        <is>
          <t xml:space="preserve">Services</t>
        </is>
      </c>
    </row>
    <row r="361">
      <c r="B361" s="0" t="inlineStr">
        <is>
          <t xml:space="preserve">N0002419C6402</t>
        </is>
      </c>
      <c r="C361" s="0" t="inlineStr">
        <is>
          <t xml:space="preserve">TELEDYNE BROWN ENGINEERING, INC.</t>
        </is>
      </c>
      <c r="D361" s="0" t="inlineStr">
        <is>
          <t xml:space="preserve">FBRSJB6V4LW8</t>
        </is>
      </c>
      <c r="E361" s="0" t="inlineStr">
        <is>
          <t xml:space="preserve">XNHRXR2HTXA8</t>
        </is>
      </c>
      <c r="F361" s="0" t="inlineStr">
        <is>
          <t xml:space="preserve">BEAUFORT COMPOSITE TECHNOLOGIES, INC</t>
        </is>
      </c>
      <c r="G361" s="0" t="inlineStr">
        <is>
          <t xml:space="preserve">XNHRXR2HTXA8</t>
        </is>
      </c>
      <c r="H361" s="4">
        <v>0.05244</v>
      </c>
      <c r="I361" s="0" t="inlineStr">
        <is>
          <t xml:space="preserve">2021-10-20</t>
        </is>
      </c>
      <c r="J361" s="0" t="inlineStr">
        <is>
          <t xml:space="preserve">platform_hull</t>
        </is>
      </c>
      <c r="K361" s="4">
        <v>0.6</v>
      </c>
      <c r="L361" s="0" t="inlineStr">
        <is>
          <t xml:space="preserve">Engineering materials</t>
        </is>
      </c>
    </row>
    <row r="362">
      <c r="B362" s="0" t="inlineStr">
        <is>
          <t xml:space="preserve">N0002419C6402</t>
        </is>
      </c>
      <c r="C362" s="0" t="inlineStr">
        <is>
          <t xml:space="preserve">TELEDYNE BROWN ENGINEERING, INC.</t>
        </is>
      </c>
      <c r="D362" s="0" t="inlineStr">
        <is>
          <t xml:space="preserve">FBRSJB6V4LW8</t>
        </is>
      </c>
      <c r="E362" s="0" t="inlineStr">
        <is>
          <t xml:space="preserve">FKSAD5W3F296</t>
        </is>
      </c>
      <c r="F362" s="0" t="inlineStr">
        <is>
          <t xml:space="preserve">SAMTECH LLC</t>
        </is>
      </c>
      <c r="G362" s="0" t="inlineStr">
        <is>
          <t xml:space="preserve">FKSAD5W3F296</t>
        </is>
      </c>
      <c r="H362" s="4">
        <v>0.05241054</v>
      </c>
      <c r="I362" s="0" t="inlineStr">
        <is>
          <t xml:space="preserve">2020-02-06</t>
        </is>
      </c>
      <c r="J362" s="0" t="inlineStr">
        <is>
          <t xml:space="preserve">propulsion_power</t>
        </is>
      </c>
      <c r="K362" s="4">
        <v>0.8</v>
      </c>
      <c r="L362" s="0" t="inlineStr">
        <is>
          <t xml:space="preserve">Engineering materials</t>
        </is>
      </c>
    </row>
    <row r="363">
      <c r="B363" s="0" t="inlineStr">
        <is>
          <t xml:space="preserve">N0002419C6402</t>
        </is>
      </c>
      <c r="C363" s="0" t="inlineStr">
        <is>
          <t xml:space="preserve">TELEDYNE BROWN ENGINEERING, INC.</t>
        </is>
      </c>
      <c r="D363" s="0" t="inlineStr">
        <is>
          <t xml:space="preserve">FBRSJB6V4LW8</t>
        </is>
      </c>
      <c r="E363" s="0" t="inlineStr">
        <is>
          <t xml:space="preserve">CLH8D5KDN9D6</t>
        </is>
      </c>
      <c r="F363" s="0" t="inlineStr">
        <is>
          <t xml:space="preserve">HYDRAULICS INTERNATIONAL, INC.</t>
        </is>
      </c>
      <c r="G363" s="0" t="inlineStr">
        <is>
          <t xml:space="preserve">CLH8D5KDN9D6</t>
        </is>
      </c>
      <c r="H363" s="4">
        <v>0.051986</v>
      </c>
      <c r="I363" s="0" t="inlineStr">
        <is>
          <t xml:space="preserve">2020-08-25</t>
        </is>
      </c>
      <c r="J363" s="0" t="inlineStr">
        <is>
          <t xml:space="preserve">propulsion_power</t>
        </is>
      </c>
      <c r="K363" s="4">
        <v>0.3</v>
      </c>
      <c r="L363" s="0" t="inlineStr">
        <is>
          <t xml:space="preserve">Engineering materials/services</t>
        </is>
      </c>
    </row>
    <row r="364">
      <c r="B364" s="0" t="inlineStr">
        <is>
          <t xml:space="preserve">N0002419C6402</t>
        </is>
      </c>
      <c r="C364" s="0" t="inlineStr">
        <is>
          <t xml:space="preserve">TELEDYNE BROWN ENGINEERING, INC.</t>
        </is>
      </c>
      <c r="D364" s="0" t="inlineStr">
        <is>
          <t xml:space="preserve">FBRSJB6V4LW8</t>
        </is>
      </c>
      <c r="E364" s="0" t="inlineStr">
        <is>
          <t xml:space="preserve">U6JRN865H4E3</t>
        </is>
      </c>
      <c r="F364" s="0" t="inlineStr">
        <is>
          <t xml:space="preserve">TTI INC.</t>
        </is>
      </c>
      <c r="G364" s="0" t="inlineStr">
        <is>
          <t xml:space="preserve">U6JRN865H4E3</t>
        </is>
      </c>
      <c r="H364" s="4">
        <v>0.05186378</v>
      </c>
      <c r="I364" s="0" t="inlineStr">
        <is>
          <t xml:space="preserve">2024-03-25</t>
        </is>
      </c>
      <c r="J364" s="0" t="inlineStr">
        <is>
          <t xml:space="preserve">propulsion_power</t>
        </is>
      </c>
      <c r="K364" s="4">
        <v>0.8</v>
      </c>
      <c r="L364" s="0" t="inlineStr">
        <is>
          <t xml:space="preserve">Engineering services/materials</t>
        </is>
      </c>
    </row>
    <row r="365">
      <c r="B365" s="0" t="inlineStr">
        <is>
          <t xml:space="preserve">N0002417C4103</t>
        </is>
      </c>
      <c r="C365" s="0" t="inlineStr">
        <is>
          <t xml:space="preserve">HUNTINGTON INGALLS INC</t>
        </is>
      </c>
      <c r="D365" s="0" t="inlineStr">
        <is>
          <t xml:space="preserve">WMXDDH6HJNA5</t>
        </is>
      </c>
      <c r="E365" s="0" t="inlineStr">
        <is>
          <t xml:space="preserve">CL4ZKLFK5DR3</t>
        </is>
      </c>
      <c r="F365" s="0" t="inlineStr">
        <is>
          <t xml:space="preserve">L'AIR LIQUIDE SOCIETE ANONYME POUR L'ETUDE ET L'EXPLOITATION DES PROCEDES GEORGES CLAUDE</t>
        </is>
      </c>
      <c r="G365" s="0" t="inlineStr">
        <is>
          <t xml:space="preserve">KN5KTZ7VX9S9</t>
        </is>
      </c>
      <c r="H365" s="4">
        <v>0.05179007</v>
      </c>
      <c r="I365" s="0" t="inlineStr">
        <is>
          <t xml:space="preserve">2021-07-12</t>
        </is>
      </c>
      <c r="J365" s="0" t="inlineStr">
        <is>
          <t xml:space="preserve">autonomy_software</t>
        </is>
      </c>
      <c r="K365" s="4">
        <v>1.6</v>
      </c>
      <c r="L365" s="0" t="inlineStr">
        <is>
          <t xml:space="preserve">PO Item No. 6 - Airgas Material &amp; Service - Argon</t>
        </is>
      </c>
    </row>
    <row r="366">
      <c r="B366" s="0" t="inlineStr">
        <is>
          <t xml:space="preserve">N0002419C6402</t>
        </is>
      </c>
      <c r="C366" s="0" t="inlineStr">
        <is>
          <t xml:space="preserve">TELEDYNE BROWN ENGINEERING, INC.</t>
        </is>
      </c>
      <c r="D366" s="0" t="inlineStr">
        <is>
          <t xml:space="preserve">FBRSJB6V4LW8</t>
        </is>
      </c>
      <c r="E366" s="0" t="inlineStr">
        <is>
          <t xml:space="preserve">USNGPAZNVLM3</t>
        </is>
      </c>
      <c r="F366" s="0" t="inlineStr">
        <is>
          <t xml:space="preserve">ONEAL INDUSTRIES INC</t>
        </is>
      </c>
      <c r="G366" s="0" t="inlineStr">
        <is>
          <t xml:space="preserve">MJ8SE2HCMLQ5</t>
        </is>
      </c>
      <c r="H366" s="4">
        <v>0.0511675</v>
      </c>
      <c r="I366" s="0" t="inlineStr">
        <is>
          <t xml:space="preserve">2025-07-30</t>
        </is>
      </c>
      <c r="J366" s="0" t="inlineStr">
        <is>
          <t xml:space="preserve">propulsion_power</t>
        </is>
      </c>
      <c r="K366" s="4">
        <v>1.2</v>
      </c>
      <c r="L366" s="0" t="inlineStr">
        <is>
          <t xml:space="preserve">Engineering Services/Materials</t>
        </is>
      </c>
    </row>
    <row r="367">
      <c r="B367" s="0" t="inlineStr">
        <is>
          <t xml:space="preserve">N0002419C6402</t>
        </is>
      </c>
      <c r="C367" s="0" t="inlineStr">
        <is>
          <t xml:space="preserve">TELEDYNE BROWN ENGINEERING, INC.</t>
        </is>
      </c>
      <c r="D367" s="0" t="inlineStr">
        <is>
          <t xml:space="preserve">FBRSJB6V4LW8</t>
        </is>
      </c>
      <c r="E367" s="0" t="inlineStr">
        <is>
          <t xml:space="preserve">F3S7R7XULVR8</t>
        </is>
      </c>
      <c r="F367" s="0" t="inlineStr">
        <is>
          <t xml:space="preserve">PIERCE ALUMINUM CO INC</t>
        </is>
      </c>
      <c r="G367" s="0" t="inlineStr">
        <is>
          <t xml:space="preserve">F3S7R7XULVR8</t>
        </is>
      </c>
      <c r="H367" s="4">
        <v>0.0511446</v>
      </c>
      <c r="I367" s="0" t="inlineStr">
        <is>
          <t xml:space="preserve">2023-03-06</t>
        </is>
      </c>
      <c r="J367" s="0" t="inlineStr">
        <is>
          <t xml:space="preserve">platform_hull</t>
        </is>
      </c>
      <c r="K367" s="4">
        <v>1.0</v>
      </c>
      <c r="L367" s="0" t="inlineStr">
        <is>
          <t xml:space="preserve">Engineering services/materials</t>
        </is>
      </c>
    </row>
    <row r="368">
      <c r="B368" s="0" t="inlineStr">
        <is>
          <t xml:space="preserve">N0001421C1009</t>
        </is>
      </c>
      <c r="C368" s="0" t="inlineStr">
        <is>
          <t xml:space="preserve">RAYTHEON COMPANY</t>
        </is>
      </c>
      <c r="D368" s="0" t="inlineStr">
        <is>
          <t xml:space="preserve">VTEWM5QSE598</t>
        </is>
      </c>
      <c r="E368" s="0" t="inlineStr">
        <is>
          <t xml:space="preserve">ME2BVJ4KGAM1</t>
        </is>
      </c>
      <c r="F368" s="0" t="inlineStr">
        <is>
          <t xml:space="preserve">SYSTIMA TECHNOLOGIES, INC.</t>
        </is>
      </c>
      <c r="G368" s="0" t="inlineStr">
        <is>
          <t xml:space="preserve">ME2BVJ4KGAM1</t>
        </is>
      </c>
      <c r="H368" s="4">
        <v>0.050862</v>
      </c>
      <c r="I368" s="0" t="inlineStr">
        <is>
          <t xml:space="preserve">2022-02-16</t>
        </is>
      </c>
      <c r="J368" s="0" t="inlineStr">
        <is>
          <t xml:space="preserve">propulsion_power</t>
        </is>
      </c>
      <c r="K368" s="4">
        <v>6.4</v>
      </c>
      <c r="L368" s="0" t="inlineStr">
        <is>
          <t xml:space="preserve">GasGenerator&amp;Bottles, NRE - Other.</t>
        </is>
      </c>
    </row>
    <row r="369">
      <c r="B369" s="0" t="inlineStr">
        <is>
          <t xml:space="preserve">N0001421C1009</t>
        </is>
      </c>
      <c r="C369" s="0" t="inlineStr">
        <is>
          <t xml:space="preserve">RAYTHEON COMPANY</t>
        </is>
      </c>
      <c r="D369" s="0" t="inlineStr">
        <is>
          <t xml:space="preserve">VTEWM5QSE598</t>
        </is>
      </c>
      <c r="E369" s="0" t="inlineStr">
        <is>
          <t xml:space="preserve">ME2BVJ4KGAM1</t>
        </is>
      </c>
      <c r="F369" s="0" t="inlineStr">
        <is>
          <t xml:space="preserve">SYSTIMA TECHNOLOGIES INC</t>
        </is>
      </c>
      <c r="G369" s="0" t="inlineStr">
        <is>
          <t xml:space="preserve">ME2BVJ4KGAM1</t>
        </is>
      </c>
      <c r="H369" s="4">
        <v>0.050862</v>
      </c>
      <c r="I369" s="0" t="inlineStr">
        <is>
          <t xml:space="preserve">2022-02-16</t>
        </is>
      </c>
      <c r="J369" s="0" t="inlineStr">
        <is>
          <t xml:space="preserve">propulsion_power</t>
        </is>
      </c>
      <c r="K369" s="4">
        <v>26.2</v>
      </c>
      <c r="L369" s="0" t="inlineStr">
        <is>
          <t xml:space="preserve">GasGenerator&amp;Bottles, NRE - All.</t>
        </is>
      </c>
    </row>
    <row r="370">
      <c r="B370" s="0" t="inlineStr">
        <is>
          <t xml:space="preserve">N0001421C1009</t>
        </is>
      </c>
      <c r="C370" s="0" t="inlineStr">
        <is>
          <t xml:space="preserve">RAYTHEON COMPANY</t>
        </is>
      </c>
      <c r="D370" s="0" t="inlineStr">
        <is>
          <t xml:space="preserve">VTEWM5QSE598</t>
        </is>
      </c>
      <c r="E370" s="0" t="inlineStr">
        <is>
          <t xml:space="preserve">ME2BVJ4KGAM1</t>
        </is>
      </c>
      <c r="F370" s="0" t="inlineStr">
        <is>
          <t xml:space="preserve">SYSTIMA TECHNOLOGIES INC</t>
        </is>
      </c>
      <c r="G370" s="0" t="inlineStr">
        <is>
          <t xml:space="preserve">ME2BVJ4KGAM1</t>
        </is>
      </c>
      <c r="H370" s="4">
        <v>0.050862</v>
      </c>
      <c r="I370" s="0" t="inlineStr">
        <is>
          <t xml:space="preserve">2022-02-16</t>
        </is>
      </c>
      <c r="J370" s="0" t="inlineStr">
        <is>
          <t xml:space="preserve">propulsion_power</t>
        </is>
      </c>
      <c r="K370" s="4">
        <v>13.8</v>
      </c>
      <c r="L370" s="0" t="inlineStr">
        <is>
          <t xml:space="preserve">GasGenerator&amp;Bottles, NRE - Other.</t>
        </is>
      </c>
    </row>
    <row r="371">
      <c r="B371" s="0" t="inlineStr">
        <is>
          <t xml:space="preserve">N0002417C4103</t>
        </is>
      </c>
      <c r="C371" s="0" t="inlineStr">
        <is>
          <t xml:space="preserve">HUNTINGTON INGALLS INC</t>
        </is>
      </c>
      <c r="D371" s="0" t="inlineStr">
        <is>
          <t xml:space="preserve">WMXDDH6HJNA5</t>
        </is>
      </c>
      <c r="E371" s="0" t="inlineStr">
        <is>
          <t xml:space="preserve">PM5WJ7WYPX53</t>
        </is>
      </c>
      <c r="F371" s="0" t="inlineStr">
        <is>
          <t xml:space="preserve">AGGREKO PLC</t>
        </is>
      </c>
      <c r="G371" s="0" t="inlineStr">
        <is>
          <t xml:space="preserve">MC9KZKMUD8F8</t>
        </is>
      </c>
      <c r="H371" s="4">
        <v>0.050688</v>
      </c>
      <c r="I371" s="0" t="inlineStr">
        <is>
          <t xml:space="preserve">2020-11-13</t>
        </is>
      </c>
      <c r="J371" s="0" t="inlineStr">
        <is>
          <t xml:space="preserve">other_unclassified</t>
        </is>
      </c>
      <c r="K371" s="4">
        <v>1.8</v>
      </c>
      <c r="L371" s="0" t="inlineStr">
        <is>
          <t xml:space="preserve">(4) DH 600 12/11/19 - 7/21/20, PO item #5</t>
        </is>
      </c>
    </row>
    <row r="372">
      <c r="B372" s="0" t="inlineStr">
        <is>
          <t xml:space="preserve">N0002417C4103</t>
        </is>
      </c>
      <c r="C372" s="0" t="inlineStr">
        <is>
          <t xml:space="preserve">HUNTINGTON INGALLS INC</t>
        </is>
      </c>
      <c r="D372" s="0" t="inlineStr">
        <is>
          <t xml:space="preserve">WMXDDH6HJNA5</t>
        </is>
      </c>
      <c r="E372" s="0" t="inlineStr">
        <is>
          <t xml:space="preserve">PM5WJ7WYPX53</t>
        </is>
      </c>
      <c r="F372" s="0" t="inlineStr">
        <is>
          <t xml:space="preserve">AGGREKO PLC</t>
        </is>
      </c>
      <c r="G372" s="0" t="inlineStr">
        <is>
          <t xml:space="preserve">MC9KZKMUD8F8</t>
        </is>
      </c>
      <c r="H372" s="4">
        <v>0.050688</v>
      </c>
      <c r="I372" s="0" t="inlineStr">
        <is>
          <t xml:space="preserve">2020-09-03</t>
        </is>
      </c>
      <c r="J372" s="0" t="inlineStr">
        <is>
          <t xml:space="preserve">other_unclassified</t>
        </is>
      </c>
      <c r="K372" s="4">
        <v>1.8</v>
      </c>
      <c r="L372" s="0" t="inlineStr">
        <is>
          <t xml:space="preserve">(4) DH 600 12/11/19 - 7/21/20,PO item #5</t>
        </is>
      </c>
    </row>
    <row r="373">
      <c r="B373" s="0" t="inlineStr">
        <is>
          <t xml:space="preserve">N0002417C4103</t>
        </is>
      </c>
      <c r="C373" s="0" t="inlineStr">
        <is>
          <t xml:space="preserve">HUNTINGTON INGALLS INC</t>
        </is>
      </c>
      <c r="D373" s="0" t="inlineStr">
        <is>
          <t xml:space="preserve">WMXDDH6HJNA5</t>
        </is>
      </c>
      <c r="E373" s="0" t="inlineStr">
        <is>
          <t xml:space="preserve">PM5WJ7WYPX53</t>
        </is>
      </c>
      <c r="F373" s="0" t="inlineStr">
        <is>
          <t xml:space="preserve">AGGREKO PLC</t>
        </is>
      </c>
      <c r="G373" s="0" t="inlineStr">
        <is>
          <t xml:space="preserve">MC9KZKMUD8F8</t>
        </is>
      </c>
      <c r="H373" s="4">
        <v>0.050688</v>
      </c>
      <c r="I373" s="0" t="inlineStr">
        <is>
          <t xml:space="preserve">2020-05-06</t>
        </is>
      </c>
      <c r="J373" s="0" t="inlineStr">
        <is>
          <t xml:space="preserve">other_unclassified</t>
        </is>
      </c>
      <c r="K373" s="4">
        <v>1.7</v>
      </c>
      <c r="L373" s="0" t="inlineStr">
        <is>
          <t xml:space="preserve">(4) DH 600 12/11/19 - 7/20/20;PO Item#5</t>
        </is>
      </c>
    </row>
    <row r="374">
      <c r="B374" s="0" t="inlineStr">
        <is>
          <t xml:space="preserve">N0002419C6402</t>
        </is>
      </c>
      <c r="C374" s="0" t="inlineStr">
        <is>
          <t xml:space="preserve">TELEDYNE BROWN ENGINEERING, INC.</t>
        </is>
      </c>
      <c r="D374" s="0" t="inlineStr">
        <is>
          <t xml:space="preserve">FBRSJB6V4LW8</t>
        </is>
      </c>
      <c r="E374" s="0" t="inlineStr">
        <is>
          <t xml:space="preserve">PAH8M4BJACA5</t>
        </is>
      </c>
      <c r="F374" s="0" t="inlineStr">
        <is>
          <t xml:space="preserve">TELEDYNE INSTRUMENTS INC</t>
        </is>
      </c>
      <c r="G374" s="0" t="inlineStr">
        <is>
          <t xml:space="preserve">PAH8M4BJACA5</t>
        </is>
      </c>
      <c r="H374" s="4">
        <v>0.05067</v>
      </c>
      <c r="I374" s="0" t="inlineStr">
        <is>
          <t xml:space="preserve">2025-01-22</t>
        </is>
      </c>
      <c r="J374" s="0" t="inlineStr">
        <is>
          <t xml:space="preserve">propulsion_power</t>
        </is>
      </c>
      <c r="K374" s="4">
        <v>1.2</v>
      </c>
      <c r="L374" s="0" t="inlineStr">
        <is>
          <t xml:space="preserve">Engineering Services/materials</t>
        </is>
      </c>
    </row>
    <row r="375">
      <c r="B375" s="0" t="inlineStr">
        <is>
          <t xml:space="preserve">N0002419C6402</t>
        </is>
      </c>
      <c r="C375" s="0" t="inlineStr">
        <is>
          <t xml:space="preserve">TELEDYNE BROWN ENGINEERING, INC.</t>
        </is>
      </c>
      <c r="D375" s="0" t="inlineStr">
        <is>
          <t xml:space="preserve">FBRSJB6V4LW8</t>
        </is>
      </c>
      <c r="E375" s="0" t="inlineStr">
        <is>
          <t xml:space="preserve">MTNWQNAC4W27</t>
        </is>
      </c>
      <c r="F375" s="0" t="inlineStr">
        <is>
          <t xml:space="preserve">MEASUTRONICS CORPORATION</t>
        </is>
      </c>
      <c r="G375" s="0" t="inlineStr">
        <is>
          <t xml:space="preserve">MTNWQNAC4W27</t>
        </is>
      </c>
      <c r="H375" s="4">
        <v>0.0500305</v>
      </c>
      <c r="I375" s="0" t="inlineStr">
        <is>
          <t xml:space="preserve">2025-11-05</t>
        </is>
      </c>
      <c r="J375" s="0" t="inlineStr">
        <is>
          <t xml:space="preserve">propulsion_power</t>
        </is>
      </c>
      <c r="K375" s="4">
        <v>1.8</v>
      </c>
      <c r="L375" s="0" t="inlineStr">
        <is>
          <t xml:space="preserve">Engineering services/materials</t>
        </is>
      </c>
    </row>
    <row r="376">
      <c r="B376" s="0" t="inlineStr">
        <is>
          <t xml:space="preserve">N0001419C1020</t>
        </is>
      </c>
      <c r="C376" s="0" t="inlineStr">
        <is>
          <t xml:space="preserve">LEIDOS, INC.</t>
        </is>
      </c>
      <c r="D376" s="0" t="inlineStr">
        <is>
          <t xml:space="preserve">KTMAJCY6JXM3</t>
        </is>
      </c>
      <c r="E376" s="0" t="inlineStr">
        <is>
          <t xml:space="preserve">JXUMFLGNSMP8</t>
        </is>
      </c>
      <c r="F376" s="0" t="inlineStr">
        <is>
          <t xml:space="preserve">UNITED STATES MARINE, INC.</t>
        </is>
      </c>
      <c r="G376" s="0" t="inlineStr">
        <is>
          <t xml:space="preserve">JXUMFLGNSMP8</t>
        </is>
      </c>
      <c r="H376" s="4">
        <v>0.049999999999999996</v>
      </c>
      <c r="I376" s="0" t="inlineStr">
        <is>
          <t xml:space="preserve">2019-04-17</t>
        </is>
      </c>
      <c r="J376" s="0" t="inlineStr">
        <is>
          <t xml:space="preserve">other_unclassified</t>
        </is>
      </c>
      <c r="K376" s="4">
        <v>23.0</v>
      </c>
      <c r="L376" s="0" t="inlineStr">
        <is>
          <t xml:space="preserve">PROCURED SERVICES BETWEEN 2/1/2021-2/28/2021 IN SUPPORT OF CONTRACT SOW.</t>
        </is>
      </c>
    </row>
    <row r="377">
      <c r="B377" s="0" t="inlineStr">
        <is>
          <t xml:space="preserve">N0002419C6402</t>
        </is>
      </c>
      <c r="C377" s="0" t="inlineStr">
        <is>
          <t xml:space="preserve">TELEDYNE BROWN ENGINEERING, INC.</t>
        </is>
      </c>
      <c r="D377" s="0" t="inlineStr">
        <is>
          <t xml:space="preserve">FBRSJB6V4LW8</t>
        </is>
      </c>
      <c r="E377" s="0" t="inlineStr">
        <is>
          <t xml:space="preserve">KFP1XYK24DZ8</t>
        </is>
      </c>
      <c r="F377" s="0" t="inlineStr">
        <is>
          <t xml:space="preserve">EPSILON C5I INC</t>
        </is>
      </c>
      <c r="G377" s="0" t="inlineStr">
        <is>
          <t xml:space="preserve">MYJHF1S2HGV5</t>
        </is>
      </c>
      <c r="H377" s="4">
        <v>0.049999999999999996</v>
      </c>
      <c r="I377" s="0" t="inlineStr">
        <is>
          <t xml:space="preserve">2026-03-06</t>
        </is>
      </c>
      <c r="J377" s="0" t="inlineStr">
        <is>
          <t xml:space="preserve">propulsion_power</t>
        </is>
      </c>
      <c r="K377" s="4">
        <v>1.7</v>
      </c>
      <c r="L377" s="0" t="inlineStr">
        <is>
          <t xml:space="preserve">Engineering materials</t>
        </is>
      </c>
    </row>
    <row r="378">
      <c r="B378" s="0" t="inlineStr">
        <is>
          <t xml:space="preserve">N6600120F0254</t>
        </is>
      </c>
      <c r="C378" s="0" t="inlineStr">
        <is>
          <t xml:space="preserve">OASIS SYSTEMS, LLC</t>
        </is>
      </c>
      <c r="D378" s="0" t="inlineStr">
        <is>
          <t xml:space="preserve">MST2Z1EG1HV7</t>
        </is>
      </c>
      <c r="E378" s="0" t="inlineStr">
        <is>
          <t xml:space="preserve">PMX1NCADWBU9</t>
        </is>
      </c>
      <c r="F378" s="0" t="inlineStr">
        <is>
          <t xml:space="preserve">GLENN MACHINE WORKS, INC.</t>
        </is>
      </c>
      <c r="G378" s="0" t="inlineStr">
        <is>
          <t xml:space="preserve">PMX1NCADWBU9</t>
        </is>
      </c>
      <c r="H378" s="4">
        <v>0.049925</v>
      </c>
      <c r="I378" s="0" t="inlineStr">
        <is>
          <t xml:space="preserve">2021-02-26</t>
        </is>
      </c>
      <c r="J378" s="0" t="inlineStr">
        <is>
          <t xml:space="preserve">other_unclassified</t>
        </is>
      </c>
      <c r="K378" s="4">
        <v>0.2</v>
      </c>
      <c r="L378" s="0" t="inlineStr">
        <is>
          <t xml:space="preserve">Support of the SeaHunter program.</t>
        </is>
      </c>
    </row>
    <row r="379">
      <c r="B379" s="0" t="inlineStr">
        <is>
          <t xml:space="preserve">N6660418F3022</t>
        </is>
      </c>
      <c r="C379" s="0" t="inlineStr">
        <is>
          <t xml:space="preserve">SERCO-IPS CORPORATION</t>
        </is>
      </c>
      <c r="D379" s="0" t="inlineStr">
        <is>
          <t xml:space="preserve">RGEBPDP8RV96</t>
        </is>
      </c>
      <c r="E379" s="0" t="inlineStr">
        <is>
          <t xml:space="preserve">F8Z3EH848VJ1</t>
        </is>
      </c>
      <c r="F379" s="0" t="inlineStr">
        <is>
          <t xml:space="preserve">FATHOM RESOURCES LLC</t>
        </is>
      </c>
      <c r="G379" s="0" t="inlineStr">
        <is>
          <t xml:space="preserve">F8Z3EH848VJ1</t>
        </is>
      </c>
      <c r="H379" s="4">
        <v>0.049706</v>
      </c>
      <c r="I379" s="0" t="inlineStr">
        <is>
          <t xml:space="preserve">2022-05-04</t>
        </is>
      </c>
      <c r="J379" s="0" t="inlineStr">
        <is>
          <t xml:space="preserve">other_unclassified</t>
        </is>
      </c>
      <c r="K379" s="4">
        <v>23.9</v>
      </c>
      <c r="L379" s="0" t="inlineStr">
        <is>
          <t xml:space="preserve">Services</t>
        </is>
      </c>
    </row>
    <row r="380">
      <c r="B380" s="0" t="inlineStr">
        <is>
          <t xml:space="preserve">N0001421C1009</t>
        </is>
      </c>
      <c r="C380" s="0" t="inlineStr">
        <is>
          <t xml:space="preserve">RAYTHEON COMPANY</t>
        </is>
      </c>
      <c r="D380" s="0" t="inlineStr">
        <is>
          <t xml:space="preserve">VTEWM5QSE598</t>
        </is>
      </c>
      <c r="E380" s="0" t="inlineStr">
        <is>
          <t xml:space="preserve">HXDVZG1NZU21</t>
        </is>
      </c>
      <c r="F380" s="0" t="inlineStr">
        <is>
          <t xml:space="preserve">SCORPION TECHNOLOGIES LLC</t>
        </is>
      </c>
      <c r="G380" s="0" t="inlineStr">
        <is>
          <t xml:space="preserve">HXDVZG1NZU21</t>
        </is>
      </c>
      <c r="H380" s="4">
        <v>0.0492</v>
      </c>
      <c r="I380" s="0" t="inlineStr">
        <is>
          <t xml:space="preserve">2021-07-22</t>
        </is>
      </c>
      <c r="J380" s="0" t="inlineStr">
        <is>
          <t xml:space="preserve">integration_eng_svcs</t>
        </is>
      </c>
      <c r="K380" s="4">
        <v>33.1</v>
      </c>
      <c r="L380" s="0" t="inlineStr">
        <is>
          <t xml:space="preserve">Electronic Test Sys, Fuses &amp; Fuseholders, NRE - All.</t>
        </is>
      </c>
    </row>
    <row r="381">
      <c r="B381" s="0" t="inlineStr">
        <is>
          <t xml:space="preserve">N0001421C1009</t>
        </is>
      </c>
      <c r="C381" s="0" t="inlineStr">
        <is>
          <t xml:space="preserve">RAYTHEON COMPANY</t>
        </is>
      </c>
      <c r="D381" s="0" t="inlineStr">
        <is>
          <t xml:space="preserve">VTEWM5QSE598</t>
        </is>
      </c>
      <c r="E381" s="0" t="inlineStr">
        <is>
          <t xml:space="preserve">HXDVZG1NZU21</t>
        </is>
      </c>
      <c r="F381" s="0" t="inlineStr">
        <is>
          <t xml:space="preserve">SCORPION TECHNOLOGIES LLC</t>
        </is>
      </c>
      <c r="G381" s="0" t="inlineStr">
        <is>
          <t xml:space="preserve">HXDVZG1NZU21</t>
        </is>
      </c>
      <c r="H381" s="4">
        <v>0.0492</v>
      </c>
      <c r="I381" s="0" t="inlineStr">
        <is>
          <t xml:space="preserve">2021-07-22</t>
        </is>
      </c>
      <c r="J381" s="0" t="inlineStr">
        <is>
          <t xml:space="preserve">integration_eng_svcs</t>
        </is>
      </c>
      <c r="K381" s="4">
        <v>20.7</v>
      </c>
      <c r="L381" s="0" t="inlineStr">
        <is>
          <t xml:space="preserve">Electronic Test Sys, Fuses &amp; Fuseholders, NRE - Other.</t>
        </is>
      </c>
    </row>
    <row r="382">
      <c r="B382" s="0" t="inlineStr">
        <is>
          <t xml:space="preserve">N0001421C1009</t>
        </is>
      </c>
      <c r="C382" s="0" t="inlineStr">
        <is>
          <t xml:space="preserve">RAYTHEON COMPANY</t>
        </is>
      </c>
      <c r="D382" s="0" t="inlineStr">
        <is>
          <t xml:space="preserve">VTEWM5QSE598</t>
        </is>
      </c>
      <c r="E382" s="0" t="inlineStr">
        <is>
          <t xml:space="preserve">HXDVZG1NZU21</t>
        </is>
      </c>
      <c r="F382" s="0" t="inlineStr">
        <is>
          <t xml:space="preserve">SCORPION TECHNOLOGIES LLC</t>
        </is>
      </c>
      <c r="G382" s="0" t="inlineStr">
        <is>
          <t xml:space="preserve">HXDVZG1NZU21</t>
        </is>
      </c>
      <c r="H382" s="4">
        <v>0.0492</v>
      </c>
      <c r="I382" s="0" t="inlineStr">
        <is>
          <t xml:space="preserve">2021-07-22</t>
        </is>
      </c>
      <c r="J382" s="0" t="inlineStr">
        <is>
          <t xml:space="preserve">integration_eng_svcs</t>
        </is>
      </c>
      <c r="K382" s="4">
        <v>13.3</v>
      </c>
      <c r="L382" s="0" t="inlineStr">
        <is>
          <t xml:space="preserve">Electronic Test Sys, Fuses &amp; Fuseholders, NRE - Other.</t>
        </is>
      </c>
    </row>
    <row r="383">
      <c r="B383" s="0" t="inlineStr">
        <is>
          <t xml:space="preserve">N0001421C1009</t>
        </is>
      </c>
      <c r="C383" s="0" t="inlineStr">
        <is>
          <t xml:space="preserve">RAYTHEON COMPANY</t>
        </is>
      </c>
      <c r="D383" s="0" t="inlineStr">
        <is>
          <t xml:space="preserve">VTEWM5QSE598</t>
        </is>
      </c>
      <c r="E383" s="0" t="inlineStr">
        <is>
          <t xml:space="preserve">HXDVZG1NZU21</t>
        </is>
      </c>
      <c r="F383" s="0" t="inlineStr">
        <is>
          <t xml:space="preserve">SCORPION TECHNOLOGIES LLC</t>
        </is>
      </c>
      <c r="G383" s="0" t="inlineStr">
        <is>
          <t xml:space="preserve">HXDVZG1NZU21</t>
        </is>
      </c>
      <c r="H383" s="4">
        <v>0.0492</v>
      </c>
      <c r="I383" s="0" t="inlineStr">
        <is>
          <t xml:space="preserve">2021-07-22</t>
        </is>
      </c>
      <c r="J383" s="0" t="inlineStr">
        <is>
          <t xml:space="preserve">integration_eng_svcs</t>
        </is>
      </c>
      <c r="K383" s="4">
        <v>0.6</v>
      </c>
      <c r="L383" s="0" t="inlineStr">
        <is>
          <t xml:space="preserve">Electronic Test Sys, NRE - Other.</t>
        </is>
      </c>
    </row>
    <row r="384">
      <c r="B384" s="0" t="inlineStr">
        <is>
          <t xml:space="preserve">N0002419C6402</t>
        </is>
      </c>
      <c r="C384" s="0" t="inlineStr">
        <is>
          <t xml:space="preserve">TELEDYNE BROWN ENGINEERING, INC.</t>
        </is>
      </c>
      <c r="D384" s="0" t="inlineStr">
        <is>
          <t xml:space="preserve">FBRSJB6V4LW8</t>
        </is>
      </c>
      <c r="E384" s="0" t="inlineStr">
        <is>
          <t xml:space="preserve">G68SW8U2WVM4</t>
        </is>
      </c>
      <c r="F384" s="0" t="inlineStr">
        <is>
          <t xml:space="preserve">MOTION CONTROL SYSTEMS, INC.</t>
        </is>
      </c>
      <c r="G384" s="0" t="inlineStr">
        <is>
          <t xml:space="preserve">G68SW8U2WVM4</t>
        </is>
      </c>
      <c r="H384" s="4">
        <v>0.048813999999999996</v>
      </c>
      <c r="I384" s="0" t="inlineStr">
        <is>
          <t xml:space="preserve">2020-01-23</t>
        </is>
      </c>
      <c r="J384" s="0" t="inlineStr">
        <is>
          <t xml:space="preserve">propulsion_power</t>
        </is>
      </c>
      <c r="K384" s="4">
        <v>0.4</v>
      </c>
      <c r="L384" s="0" t="inlineStr">
        <is>
          <t xml:space="preserve">Engineering materials</t>
        </is>
      </c>
    </row>
    <row r="385">
      <c r="B385" s="0" t="inlineStr">
        <is>
          <t xml:space="preserve">N0002419C6402</t>
        </is>
      </c>
      <c r="C385" s="0" t="inlineStr">
        <is>
          <t xml:space="preserve">TELEDYNE BROWN ENGINEERING, INC.</t>
        </is>
      </c>
      <c r="D385" s="0" t="inlineStr">
        <is>
          <t xml:space="preserve">FBRSJB6V4LW8</t>
        </is>
      </c>
      <c r="E385" s="0" t="inlineStr">
        <is>
          <t xml:space="preserve">PAH8M4BJACA5</t>
        </is>
      </c>
      <c r="F385" s="0" t="inlineStr">
        <is>
          <t xml:space="preserve">TELEDYNE INSTRUMENTS INC</t>
        </is>
      </c>
      <c r="G385" s="0" t="inlineStr">
        <is>
          <t xml:space="preserve">PAH8M4BJACA5</t>
        </is>
      </c>
      <c r="H385" s="4">
        <v>0.048749999999999995</v>
      </c>
      <c r="I385" s="0" t="inlineStr">
        <is>
          <t xml:space="preserve">2023-03-17</t>
        </is>
      </c>
      <c r="J385" s="0" t="inlineStr">
        <is>
          <t xml:space="preserve">propulsion_power</t>
        </is>
      </c>
      <c r="K385" s="4">
        <v>0.7</v>
      </c>
      <c r="L385" s="0" t="inlineStr">
        <is>
          <t xml:space="preserve">Engineering services/materials</t>
        </is>
      </c>
    </row>
    <row r="386">
      <c r="B386" s="0" t="inlineStr">
        <is>
          <t xml:space="preserve">N0001419C1020</t>
        </is>
      </c>
      <c r="C386" s="0" t="inlineStr">
        <is>
          <t xml:space="preserve">LEIDOS, INC.</t>
        </is>
      </c>
      <c r="D386" s="0" t="inlineStr">
        <is>
          <t xml:space="preserve">KTMAJCY6JXM3</t>
        </is>
      </c>
      <c r="E386" s="0" t="inlineStr">
        <is>
          <t xml:space="preserve">TJCDPVN6RNP7</t>
        </is>
      </c>
      <c r="F386" s="0" t="inlineStr">
        <is>
          <t xml:space="preserve">Dell Technologies Inc.</t>
        </is>
      </c>
      <c r="G386" s="0" t="inlineStr">
        <is>
          <t xml:space="preserve">VPS2ENNHG5Q5</t>
        </is>
      </c>
      <c r="H386" s="4">
        <v>0.048496069999999995</v>
      </c>
      <c r="I386" s="0" t="inlineStr">
        <is>
          <t xml:space="preserve">2020-01-09</t>
        </is>
      </c>
      <c r="J386" s="0" t="inlineStr">
        <is>
          <t xml:space="preserve">other_unclassified</t>
        </is>
      </c>
      <c r="K386" s="4">
        <v>1.1</v>
      </c>
      <c r="L386" s="0" t="inlineStr">
        <is>
          <t xml:space="preserve">PROCURED GOODS BETWEEN 1/1/2020-1/31/2020 IN SUPPORT OF CONTRACT SOW.</t>
        </is>
      </c>
    </row>
    <row r="387">
      <c r="B387" s="0" t="inlineStr">
        <is>
          <t xml:space="preserve">N0001421C1009</t>
        </is>
      </c>
      <c r="C387" s="0" t="inlineStr">
        <is>
          <t xml:space="preserve">RAYTHEON COMPANY</t>
        </is>
      </c>
      <c r="D387" s="0" t="inlineStr">
        <is>
          <t xml:space="preserve">VTEWM5QSE598</t>
        </is>
      </c>
      <c r="E387" s="0" t="inlineStr">
        <is>
          <t xml:space="preserve">RB1NHMLR5BX9</t>
        </is>
      </c>
      <c r="F387" s="0" t="inlineStr">
        <is>
          <t xml:space="preserve">LABARGE ACQUISITION COMPANY, INC.</t>
        </is>
      </c>
      <c r="G387" s="0" t="inlineStr">
        <is>
          <t xml:space="preserve">YLJCHWJP8GU4</t>
        </is>
      </c>
      <c r="H387" s="4">
        <v>0.04827</v>
      </c>
      <c r="I387" s="0" t="inlineStr">
        <is>
          <t xml:space="preserve">2021-04-20</t>
        </is>
      </c>
      <c r="J387" s="0" t="inlineStr">
        <is>
          <t xml:space="preserve">other_unclassified</t>
        </is>
      </c>
      <c r="K387" s="4">
        <v>23.8</v>
      </c>
      <c r="L387" s="0" t="inlineStr">
        <is>
          <t xml:space="preserve">Custom CCA's.</t>
        </is>
      </c>
    </row>
    <row r="388">
      <c r="B388" s="0" t="inlineStr">
        <is>
          <t xml:space="preserve">N0001421C1009</t>
        </is>
      </c>
      <c r="C388" s="0" t="inlineStr">
        <is>
          <t xml:space="preserve">RAYTHEON COMPANY</t>
        </is>
      </c>
      <c r="D388" s="0" t="inlineStr">
        <is>
          <t xml:space="preserve">VTEWM5QSE598</t>
        </is>
      </c>
      <c r="E388" s="0" t="inlineStr">
        <is>
          <t xml:space="preserve">RB1NHMLR5BX9</t>
        </is>
      </c>
      <c r="F388" s="0" t="inlineStr">
        <is>
          <t xml:space="preserve">LABARGE ACQUISITION COMPANY, INC.</t>
        </is>
      </c>
      <c r="G388" s="0" t="inlineStr">
        <is>
          <t xml:space="preserve">YLJCHWJP8GU4</t>
        </is>
      </c>
      <c r="H388" s="4">
        <v>0.04827</v>
      </c>
      <c r="I388" s="0" t="inlineStr">
        <is>
          <t xml:space="preserve">2021-04-20</t>
        </is>
      </c>
      <c r="J388" s="0" t="inlineStr">
        <is>
          <t xml:space="preserve">other_unclassified</t>
        </is>
      </c>
      <c r="K388" s="4">
        <v>16.4</v>
      </c>
      <c r="L388" s="0" t="inlineStr">
        <is>
          <t xml:space="preserve">Custom CCA's.</t>
        </is>
      </c>
    </row>
    <row r="389">
      <c r="B389" s="0" t="inlineStr">
        <is>
          <t xml:space="preserve">N0001421C1009</t>
        </is>
      </c>
      <c r="C389" s="0" t="inlineStr">
        <is>
          <t xml:space="preserve">RAYTHEON COMPANY</t>
        </is>
      </c>
      <c r="D389" s="0" t="inlineStr">
        <is>
          <t xml:space="preserve">VTEWM5QSE598</t>
        </is>
      </c>
      <c r="E389" s="0" t="inlineStr">
        <is>
          <t xml:space="preserve">RB1NHMLR5BX9</t>
        </is>
      </c>
      <c r="F389" s="0" t="inlineStr">
        <is>
          <t xml:space="preserve">LABARGE ACQUISITION COMPANY, INC</t>
        </is>
      </c>
      <c r="G389" s="0" t="inlineStr">
        <is>
          <t xml:space="preserve">YLJCHWJP8GU4</t>
        </is>
      </c>
      <c r="H389" s="4">
        <v>0.04827</v>
      </c>
      <c r="I389" s="0" t="inlineStr">
        <is>
          <t xml:space="preserve">2021-04-20</t>
        </is>
      </c>
      <c r="J389" s="0" t="inlineStr">
        <is>
          <t xml:space="preserve">other_unclassified</t>
        </is>
      </c>
      <c r="K389" s="4">
        <v>36.1</v>
      </c>
      <c r="L389" s="0" t="inlineStr">
        <is>
          <t xml:space="preserve">Custom CCA's.</t>
        </is>
      </c>
    </row>
    <row r="390">
      <c r="B390" s="0" t="inlineStr">
        <is>
          <t xml:space="preserve">N0002417C4103</t>
        </is>
      </c>
      <c r="C390" s="0" t="inlineStr">
        <is>
          <t xml:space="preserve">HUNTINGTON INGALLS INC</t>
        </is>
      </c>
      <c r="D390" s="0" t="inlineStr">
        <is>
          <t xml:space="preserve">WMXDDH6HJNA5</t>
        </is>
      </c>
      <c r="E390" s="0" t="inlineStr">
        <is>
          <t xml:space="preserve">E3YNKWRANZ18</t>
        </is>
      </c>
      <c r="F390" s="0" t="inlineStr">
        <is>
          <t xml:space="preserve">AQUA-CHEM, INC.</t>
        </is>
      </c>
      <c r="G390" s="0" t="inlineStr">
        <is>
          <t xml:space="preserve">E3YNKWRANZ18</t>
        </is>
      </c>
      <c r="H390" s="4">
        <v>0.0482542</v>
      </c>
      <c r="I390" s="0" t="inlineStr">
        <is>
          <t xml:space="preserve">2018-12-21</t>
        </is>
      </c>
      <c r="J390" s="0" t="inlineStr">
        <is>
          <t xml:space="preserve">other_unclassified</t>
        </is>
      </c>
      <c r="K390" s="4">
        <v>0.6</v>
      </c>
      <c r="L390" s="0" t="inlineStr">
        <is>
          <t xml:space="preserve">HEAT EXCHANGER,CUNI,14370000 BTU/HR; ITEM #1</t>
        </is>
      </c>
    </row>
    <row r="391">
      <c r="B391" s="0" t="inlineStr">
        <is>
          <t xml:space="preserve">N0002417C4103</t>
        </is>
      </c>
      <c r="C391" s="0" t="inlineStr">
        <is>
          <t xml:space="preserve">HUNTINGTON INGALLS INC</t>
        </is>
      </c>
      <c r="D391" s="0" t="inlineStr">
        <is>
          <t xml:space="preserve">WMXDDH6HJNA5</t>
        </is>
      </c>
      <c r="E391" s="0" t="inlineStr">
        <is>
          <t xml:space="preserve">E3YNKWRANZ18</t>
        </is>
      </c>
      <c r="F391" s="0" t="inlineStr">
        <is>
          <t xml:space="preserve">AQUA-CHEM, INC.</t>
        </is>
      </c>
      <c r="G391" s="0" t="inlineStr">
        <is>
          <t xml:space="preserve">E3YNKWRANZ18</t>
        </is>
      </c>
      <c r="H391" s="4">
        <v>0.0482542</v>
      </c>
      <c r="I391" s="0" t="inlineStr">
        <is>
          <t xml:space="preserve">2018-12-21</t>
        </is>
      </c>
      <c r="J391" s="0" t="inlineStr">
        <is>
          <t xml:space="preserve">other_unclassified</t>
        </is>
      </c>
      <c r="K391" s="4">
        <v>0.6</v>
      </c>
      <c r="L391" s="0" t="inlineStr">
        <is>
          <t xml:space="preserve">HEAT EXCHANGER,CUNI,14370000 BTU/HR; ITEM #1</t>
        </is>
      </c>
    </row>
    <row r="392">
      <c r="B392" s="0" t="inlineStr">
        <is>
          <t xml:space="preserve">N0002417C4103</t>
        </is>
      </c>
      <c r="C392" s="0" t="inlineStr">
        <is>
          <t xml:space="preserve">HUNTINGTON INGALLS INC</t>
        </is>
      </c>
      <c r="D392" s="0" t="inlineStr">
        <is>
          <t xml:space="preserve">WMXDDH6HJNA5</t>
        </is>
      </c>
      <c r="E392" s="0" t="inlineStr">
        <is>
          <t xml:space="preserve">E3YNKWRANZ18</t>
        </is>
      </c>
      <c r="F392" s="0" t="inlineStr">
        <is>
          <t xml:space="preserve">AQUA-CHEM, INC.</t>
        </is>
      </c>
      <c r="G392" s="0" t="inlineStr">
        <is>
          <t xml:space="preserve">E3YNKWRANZ18</t>
        </is>
      </c>
      <c r="H392" s="4">
        <v>0.0482542</v>
      </c>
      <c r="I392" s="0" t="inlineStr">
        <is>
          <t xml:space="preserve">2018-12-21</t>
        </is>
      </c>
      <c r="J392" s="0" t="inlineStr">
        <is>
          <t xml:space="preserve">other_unclassified</t>
        </is>
      </c>
      <c r="K392" s="4">
        <v>0.6</v>
      </c>
      <c r="L392" s="0" t="inlineStr">
        <is>
          <t xml:space="preserve">HEAT EXCHANGER,CUNI,14370000 BTU/HR; ITEM #1</t>
        </is>
      </c>
    </row>
    <row r="393">
      <c r="B393" s="0" t="inlineStr">
        <is>
          <t xml:space="preserve">N0002417C4103</t>
        </is>
      </c>
      <c r="C393" s="0" t="inlineStr">
        <is>
          <t xml:space="preserve">HUNTINGTON INGALLS INC</t>
        </is>
      </c>
      <c r="D393" s="0" t="inlineStr">
        <is>
          <t xml:space="preserve">WMXDDH6HJNA5</t>
        </is>
      </c>
      <c r="E393" s="0" t="inlineStr">
        <is>
          <t xml:space="preserve">E3YNKWRANZ18</t>
        </is>
      </c>
      <c r="F393" s="0" t="inlineStr">
        <is>
          <t xml:space="preserve">AQUA-CHEM, INC.</t>
        </is>
      </c>
      <c r="G393" s="0" t="inlineStr">
        <is>
          <t xml:space="preserve">E3YNKWRANZ18</t>
        </is>
      </c>
      <c r="H393" s="4">
        <v>0.0482542</v>
      </c>
      <c r="I393" s="0" t="inlineStr">
        <is>
          <t xml:space="preserve">2018-12-21</t>
        </is>
      </c>
      <c r="J393" s="0" t="inlineStr">
        <is>
          <t xml:space="preserve">other_unclassified</t>
        </is>
      </c>
      <c r="K393" s="4">
        <v>0.6</v>
      </c>
      <c r="L393" s="0" t="inlineStr">
        <is>
          <t xml:space="preserve">HEAT EXCHANGER,CUNI,14370000 BTU/HR; ITEM #1</t>
        </is>
      </c>
    </row>
    <row r="394">
      <c r="B394" s="0" t="inlineStr">
        <is>
          <t xml:space="preserve">N0002419C6402</t>
        </is>
      </c>
      <c r="C394" s="0" t="inlineStr">
        <is>
          <t xml:space="preserve">TELEDYNE BROWN ENGINEERING, INC.</t>
        </is>
      </c>
      <c r="D394" s="0" t="inlineStr">
        <is>
          <t xml:space="preserve">FBRSJB6V4LW8</t>
        </is>
      </c>
      <c r="E394" s="0" t="inlineStr">
        <is>
          <t xml:space="preserve">U9EMJNLJY354</t>
        </is>
      </c>
      <c r="F394" s="0" t="inlineStr">
        <is>
          <t xml:space="preserve">DELA TECHNOLOGY CORPORATION</t>
        </is>
      </c>
      <c r="G394" s="0" t="inlineStr">
        <is>
          <t xml:space="preserve">U9EMJNLJY354</t>
        </is>
      </c>
      <c r="H394" s="4">
        <v>0.047944999999999995</v>
      </c>
      <c r="I394" s="0" t="inlineStr">
        <is>
          <t xml:space="preserve">2025-10-06</t>
        </is>
      </c>
      <c r="J394" s="0" t="inlineStr">
        <is>
          <t xml:space="preserve">propulsion_power</t>
        </is>
      </c>
      <c r="K394" s="4">
        <v>1.7</v>
      </c>
      <c r="L394" s="0" t="inlineStr">
        <is>
          <t xml:space="preserve">Engineering materials</t>
        </is>
      </c>
    </row>
    <row r="395">
      <c r="B395" s="0" t="inlineStr">
        <is>
          <t xml:space="preserve">N0002419C6402</t>
        </is>
      </c>
      <c r="C395" s="0" t="inlineStr">
        <is>
          <t xml:space="preserve">TELEDYNE BROWN ENGINEERING, INC.</t>
        </is>
      </c>
      <c r="D395" s="0" t="inlineStr">
        <is>
          <t xml:space="preserve">FBRSJB6V4LW8</t>
        </is>
      </c>
      <c r="E395" s="0" t="inlineStr">
        <is>
          <t xml:space="preserve">VT5KKT7WLRE7</t>
        </is>
      </c>
      <c r="F395" s="0" t="inlineStr">
        <is>
          <t xml:space="preserve">G P 50 NEW YORK, LTD.</t>
        </is>
      </c>
      <c r="G395" s="0" t="inlineStr">
        <is>
          <t xml:space="preserve">VT5KKT7WLRE7</t>
        </is>
      </c>
      <c r="H395" s="4">
        <v>0.0477</v>
      </c>
      <c r="I395" s="0" t="inlineStr">
        <is>
          <t xml:space="preserve">2024-09-05</t>
        </is>
      </c>
      <c r="J395" s="0" t="inlineStr">
        <is>
          <t xml:space="preserve">propulsion_power</t>
        </is>
      </c>
      <c r="K395" s="4">
        <v>2.0</v>
      </c>
      <c r="L395" s="0" t="inlineStr">
        <is>
          <t xml:space="preserve">Engineering services/materials</t>
        </is>
      </c>
    </row>
    <row r="396">
      <c r="B396" s="0" t="inlineStr">
        <is>
          <t xml:space="preserve">N0002419C6402</t>
        </is>
      </c>
      <c r="C396" s="0" t="inlineStr">
        <is>
          <t xml:space="preserve">TELEDYNE BROWN ENGINEERING, INC.</t>
        </is>
      </c>
      <c r="D396" s="0" t="inlineStr">
        <is>
          <t xml:space="preserve">FBRSJB6V4LW8</t>
        </is>
      </c>
      <c r="E396" s="0" t="inlineStr">
        <is>
          <t xml:space="preserve">G1UFCBLM51D1</t>
        </is>
      </c>
      <c r="F396" s="0" t="inlineStr">
        <is>
          <t xml:space="preserve">ASSESSMENT AND TRAINING SOLUTIONS CONSULTING CORP.</t>
        </is>
      </c>
      <c r="G396" s="0" t="inlineStr">
        <is>
          <t xml:space="preserve">G1UFCBLM51D1</t>
        </is>
      </c>
      <c r="H396" s="4">
        <v>0.047599999999999996</v>
      </c>
      <c r="I396" s="0" t="inlineStr">
        <is>
          <t xml:space="preserve">2020-09-14</t>
        </is>
      </c>
      <c r="J396" s="0" t="inlineStr">
        <is>
          <t xml:space="preserve">autonomy_software</t>
        </is>
      </c>
      <c r="K396" s="4">
        <v>0.6</v>
      </c>
      <c r="L396" s="0" t="inlineStr">
        <is>
          <t xml:space="preserve">Engineering materials/services</t>
        </is>
      </c>
    </row>
    <row r="397">
      <c r="B397" s="0" t="inlineStr">
        <is>
          <t xml:space="preserve">N0002419C6402</t>
        </is>
      </c>
      <c r="C397" s="0" t="inlineStr">
        <is>
          <t xml:space="preserve">TELEDYNE BROWN ENGINEERING, INC.</t>
        </is>
      </c>
      <c r="D397" s="0" t="inlineStr">
        <is>
          <t xml:space="preserve">FBRSJB6V4LW8</t>
        </is>
      </c>
      <c r="E397" s="0" t="inlineStr">
        <is>
          <t xml:space="preserve">XNHRXR2HTXA8</t>
        </is>
      </c>
      <c r="F397" s="0" t="inlineStr">
        <is>
          <t xml:space="preserve">BEAUFORT COMPOSITE TECHNOLOGIES, INC.</t>
        </is>
      </c>
      <c r="G397" s="0" t="inlineStr">
        <is>
          <t xml:space="preserve">XNHRXR2HTXA8</t>
        </is>
      </c>
      <c r="H397" s="4">
        <v>0.047549999999999995</v>
      </c>
      <c r="I397" s="0" t="inlineStr">
        <is>
          <t xml:space="preserve">2025-06-19</t>
        </is>
      </c>
      <c r="J397" s="0" t="inlineStr">
        <is>
          <t xml:space="preserve">platform_hull</t>
        </is>
      </c>
      <c r="K397" s="4">
        <v>1.3</v>
      </c>
      <c r="L397" s="0" t="inlineStr">
        <is>
          <t xml:space="preserve">Engineering Services/ Materials</t>
        </is>
      </c>
    </row>
    <row r="398">
      <c r="B398" s="0" t="inlineStr">
        <is>
          <t xml:space="preserve">N0002419C6402</t>
        </is>
      </c>
      <c r="C398" s="0" t="inlineStr">
        <is>
          <t xml:space="preserve">TELEDYNE BROWN ENGINEERING, INC.</t>
        </is>
      </c>
      <c r="D398" s="0" t="inlineStr">
        <is>
          <t xml:space="preserve">FBRSJB6V4LW8</t>
        </is>
      </c>
      <c r="E398" s="0" t="inlineStr">
        <is>
          <t xml:space="preserve">WSC2LAM3F749</t>
        </is>
      </c>
      <c r="F398" s="0" t="inlineStr">
        <is>
          <t xml:space="preserve">HILLPRO LLC</t>
        </is>
      </c>
      <c r="G398" s="0" t="inlineStr">
        <is>
          <t xml:space="preserve">CHKUMRQFRMT8</t>
        </is>
      </c>
      <c r="H398" s="4">
        <v>0.0474756</v>
      </c>
      <c r="I398" s="0" t="inlineStr">
        <is>
          <t xml:space="preserve">2025-10-29</t>
        </is>
      </c>
      <c r="J398" s="0" t="inlineStr">
        <is>
          <t xml:space="preserve">propulsion_power</t>
        </is>
      </c>
      <c r="K398" s="4">
        <v>0.9</v>
      </c>
      <c r="L398" s="0" t="inlineStr">
        <is>
          <t xml:space="preserve">Engineering materials</t>
        </is>
      </c>
    </row>
    <row r="399">
      <c r="B399" s="0" t="inlineStr">
        <is>
          <t xml:space="preserve">N6660418F3022</t>
        </is>
      </c>
      <c r="C399" s="0" t="inlineStr">
        <is>
          <t xml:space="preserve">SERCO-IPS CORPORATION</t>
        </is>
      </c>
      <c r="D399" s="0" t="inlineStr">
        <is>
          <t xml:space="preserve">RGEBPDP8RV96</t>
        </is>
      </c>
      <c r="E399" s="0" t="inlineStr">
        <is>
          <t xml:space="preserve">DLHKWC7ZCJR9</t>
        </is>
      </c>
      <c r="F399" s="0" t="inlineStr">
        <is>
          <t xml:space="preserve">IMPERATORE STEEL ERECTORS, INC.</t>
        </is>
      </c>
      <c r="G399" s="0" t="inlineStr">
        <is>
          <t xml:space="preserve">DLHKWC7ZCJR9</t>
        </is>
      </c>
      <c r="H399" s="4">
        <v>0.046929</v>
      </c>
      <c r="I399" s="0" t="inlineStr">
        <is>
          <t xml:space="preserve">2022-01-25</t>
        </is>
      </c>
      <c r="J399" s="0" t="inlineStr">
        <is>
          <t xml:space="preserve">materials_components</t>
        </is>
      </c>
      <c r="K399" s="4">
        <v>21.2</v>
      </c>
      <c r="L399" s="0" t="inlineStr">
        <is>
          <t xml:space="preserve">Services</t>
        </is>
      </c>
    </row>
    <row r="400">
      <c r="B400" s="0" t="inlineStr">
        <is>
          <t xml:space="preserve">N6660421FC832</t>
        </is>
      </c>
      <c r="C400" s="0" t="inlineStr">
        <is>
          <t xml:space="preserve">SERCO INC</t>
        </is>
      </c>
      <c r="D400" s="0" t="inlineStr">
        <is>
          <t xml:space="preserve">DKJ1R5ABCN48</t>
        </is>
      </c>
      <c r="E400" s="0" t="inlineStr">
        <is>
          <t xml:space="preserve">ENCZXR189JF7</t>
        </is>
      </c>
      <c r="F400" s="0" t="inlineStr">
        <is>
          <t xml:space="preserve">A. G. Miller Company, Inc.</t>
        </is>
      </c>
      <c r="G400" s="0" t="inlineStr">
        <is>
          <t xml:space="preserve">ENCZXR189JF7</t>
        </is>
      </c>
      <c r="H400" s="4">
        <v>0.0469284</v>
      </c>
      <c r="I400" s="0" t="inlineStr">
        <is>
          <t xml:space="preserve">2021-02-26</t>
        </is>
      </c>
      <c r="J400" s="0" t="inlineStr">
        <is>
          <t xml:space="preserve">materials_components</t>
        </is>
      </c>
      <c r="K400" s="4">
        <v>7.1</v>
      </c>
      <c r="L400" s="0" t="inlineStr">
        <is>
          <t xml:space="preserve">MATERIAL</t>
        </is>
      </c>
    </row>
    <row r="401">
      <c r="B401" s="0" t="inlineStr">
        <is>
          <t xml:space="preserve">N0002419C6402</t>
        </is>
      </c>
      <c r="C401" s="0" t="inlineStr">
        <is>
          <t xml:space="preserve">TELEDYNE BROWN ENGINEERING, INC.</t>
        </is>
      </c>
      <c r="D401" s="0" t="inlineStr">
        <is>
          <t xml:space="preserve">FBRSJB6V4LW8</t>
        </is>
      </c>
      <c r="E401" s="0" t="inlineStr">
        <is>
          <t xml:space="preserve">F55KDRSNXK95</t>
        </is>
      </c>
      <c r="F401" s="0" t="inlineStr">
        <is>
          <t xml:space="preserve">THYSSENKRUPP MATERIALS, LLC</t>
        </is>
      </c>
      <c r="G401" s="0" t="inlineStr">
        <is>
          <t xml:space="preserve">JMR4L9MJW7G3</t>
        </is>
      </c>
      <c r="H401" s="4">
        <v>0.04689369</v>
      </c>
      <c r="I401" s="0" t="inlineStr">
        <is>
          <t xml:space="preserve">2025-04-10</t>
        </is>
      </c>
      <c r="J401" s="0" t="inlineStr">
        <is>
          <t xml:space="preserve">propulsion_power</t>
        </is>
      </c>
      <c r="K401" s="4">
        <v>1.7</v>
      </c>
      <c r="L401" s="0" t="inlineStr">
        <is>
          <t xml:space="preserve">Engineering Services/ Materials</t>
        </is>
      </c>
    </row>
    <row r="402">
      <c r="B402" s="0" t="inlineStr">
        <is>
          <t xml:space="preserve">N0002419C6402</t>
        </is>
      </c>
      <c r="C402" s="0" t="inlineStr">
        <is>
          <t xml:space="preserve">TELEDYNE BROWN ENGINEERING, INC.</t>
        </is>
      </c>
      <c r="D402" s="0" t="inlineStr">
        <is>
          <t xml:space="preserve">FBRSJB6V4LW8</t>
        </is>
      </c>
      <c r="E402" s="0" t="inlineStr">
        <is>
          <t xml:space="preserve">MYQWSYQJJ9G7</t>
        </is>
      </c>
      <c r="F402" s="0" t="inlineStr">
        <is>
          <t xml:space="preserve">NORGEM, INC.</t>
        </is>
      </c>
      <c r="G402" s="0" t="inlineStr">
        <is>
          <t xml:space="preserve">MYQWSYQJJ9G7</t>
        </is>
      </c>
      <c r="H402" s="4">
        <v>0.0467075</v>
      </c>
      <c r="I402" s="0" t="inlineStr">
        <is>
          <t xml:space="preserve">2022-07-26</t>
        </is>
      </c>
      <c r="J402" s="0" t="inlineStr">
        <is>
          <t xml:space="preserve">propulsion_power</t>
        </is>
      </c>
      <c r="K402" s="4">
        <v>0.2</v>
      </c>
      <c r="L402" s="0" t="inlineStr">
        <is>
          <t xml:space="preserve">Engineering services/materials</t>
        </is>
      </c>
    </row>
    <row r="403">
      <c r="B403" s="0" t="inlineStr">
        <is>
          <t xml:space="preserve">N0002419C6402</t>
        </is>
      </c>
      <c r="C403" s="0" t="inlineStr">
        <is>
          <t xml:space="preserve">TELEDYNE BROWN ENGINEERING, INC.</t>
        </is>
      </c>
      <c r="D403" s="0" t="inlineStr">
        <is>
          <t xml:space="preserve">FBRSJB6V4LW8</t>
        </is>
      </c>
      <c r="E403" s="0" t="inlineStr">
        <is>
          <t xml:space="preserve">UAC2KLJM4XY1</t>
        </is>
      </c>
      <c r="F403" s="0" t="inlineStr">
        <is>
          <t xml:space="preserve">Transdigm Group Incorporated</t>
        </is>
      </c>
      <c r="G403" s="0" t="inlineStr">
        <is>
          <t xml:space="preserve">KLN3SMHBL368</t>
        </is>
      </c>
      <c r="H403" s="4">
        <v>0.046404</v>
      </c>
      <c r="I403" s="0" t="inlineStr">
        <is>
          <t xml:space="preserve">2021-04-07</t>
        </is>
      </c>
      <c r="J403" s="0" t="inlineStr">
        <is>
          <t xml:space="preserve">propulsion_power</t>
        </is>
      </c>
      <c r="K403" s="4">
        <v>0.9</v>
      </c>
      <c r="L403" s="0" t="inlineStr">
        <is>
          <t xml:space="preserve">Engineering services/materials</t>
        </is>
      </c>
    </row>
    <row r="404">
      <c r="B404" s="0" t="inlineStr">
        <is>
          <t xml:space="preserve">N0002419C6402</t>
        </is>
      </c>
      <c r="C404" s="0" t="inlineStr">
        <is>
          <t xml:space="preserve">TELEDYNE BROWN ENGINEERING, INC.</t>
        </is>
      </c>
      <c r="D404" s="0" t="inlineStr">
        <is>
          <t xml:space="preserve">FBRSJB6V4LW8</t>
        </is>
      </c>
      <c r="E404" s="0" t="inlineStr">
        <is>
          <t xml:space="preserve">PAH8M4BJACA5</t>
        </is>
      </c>
      <c r="F404" s="0" t="inlineStr">
        <is>
          <t xml:space="preserve">TELEDYNE INSTRUMENTS INC</t>
        </is>
      </c>
      <c r="G404" s="0" t="inlineStr">
        <is>
          <t xml:space="preserve">PAH8M4BJACA5</t>
        </is>
      </c>
      <c r="H404" s="4">
        <v>0.045825</v>
      </c>
      <c r="I404" s="0" t="inlineStr">
        <is>
          <t xml:space="preserve">2025-08-03</t>
        </is>
      </c>
      <c r="J404" s="0" t="inlineStr">
        <is>
          <t xml:space="preserve">propulsion_power</t>
        </is>
      </c>
      <c r="K404" s="4">
        <v>1.9</v>
      </c>
      <c r="L404" s="0" t="inlineStr">
        <is>
          <t xml:space="preserve">Engineering services/materials</t>
        </is>
      </c>
    </row>
    <row r="405">
      <c r="B405" s="0" t="inlineStr">
        <is>
          <t xml:space="preserve">N0002416C4112</t>
        </is>
      </c>
      <c r="C405" s="0" t="inlineStr">
        <is>
          <t xml:space="preserve">HUNTINGTON INGALLS INC</t>
        </is>
      </c>
      <c r="D405" s="0" t="inlineStr">
        <is>
          <t xml:space="preserve">WMXDDH6HJNA5</t>
        </is>
      </c>
      <c r="E405" s="0" t="inlineStr">
        <is>
          <t xml:space="preserve">YQ9EQZJ8PKM6</t>
        </is>
      </c>
      <c r="F405" s="0" t="inlineStr">
        <is>
          <t xml:space="preserve">AUXILIARY SYSTEMS, INC.</t>
        </is>
      </c>
      <c r="G405" s="0" t="inlineStr">
        <is>
          <t xml:space="preserve">YQ9EQZJ8PKM6</t>
        </is>
      </c>
      <c r="H405" s="4">
        <v>0.045454999999999995</v>
      </c>
      <c r="I405" s="0" t="inlineStr">
        <is>
          <t xml:space="preserve">2017-08-14</t>
        </is>
      </c>
      <c r="J405" s="0" t="inlineStr">
        <is>
          <t xml:space="preserve">other_unclassified</t>
        </is>
      </c>
      <c r="K405" s="4">
        <v>4.2</v>
      </c>
      <c r="L405" s="0" t="inlineStr">
        <is>
          <t xml:space="preserve">Early Start Reboiler Work ASI; ITEM #1</t>
        </is>
      </c>
    </row>
    <row r="406">
      <c r="B406" s="0" t="inlineStr">
        <is>
          <t xml:space="preserve">N0002419C6402</t>
        </is>
      </c>
      <c r="C406" s="0" t="inlineStr">
        <is>
          <t xml:space="preserve">TELEDYNE BROWN ENGINEERING, INC.</t>
        </is>
      </c>
      <c r="D406" s="0" t="inlineStr">
        <is>
          <t xml:space="preserve">FBRSJB6V4LW8</t>
        </is>
      </c>
      <c r="E406" s="0" t="inlineStr">
        <is>
          <t xml:space="preserve">XNHRXR2HTXA8</t>
        </is>
      </c>
      <c r="F406" s="0" t="inlineStr">
        <is>
          <t xml:space="preserve">BEAUFORT COMPOSITE TECHNOLOGIES, INC</t>
        </is>
      </c>
      <c r="G406" s="0" t="inlineStr">
        <is>
          <t xml:space="preserve">XNHRXR2HTXA8</t>
        </is>
      </c>
      <c r="H406" s="4">
        <v>0.04494</v>
      </c>
      <c r="I406" s="0" t="inlineStr">
        <is>
          <t xml:space="preserve">2021-04-13</t>
        </is>
      </c>
      <c r="J406" s="0" t="inlineStr">
        <is>
          <t xml:space="preserve">platform_hull</t>
        </is>
      </c>
      <c r="K406" s="4">
        <v>0.7</v>
      </c>
      <c r="L406" s="0" t="inlineStr">
        <is>
          <t xml:space="preserve">Engineering services/materials</t>
        </is>
      </c>
    </row>
    <row r="407">
      <c r="B407" s="0" t="inlineStr">
        <is>
          <t xml:space="preserve">N0002419C6402</t>
        </is>
      </c>
      <c r="C407" s="0" t="inlineStr">
        <is>
          <t xml:space="preserve">TELEDYNE BROWN ENGINEERING, INC.</t>
        </is>
      </c>
      <c r="D407" s="0" t="inlineStr">
        <is>
          <t xml:space="preserve">FBRSJB6V4LW8</t>
        </is>
      </c>
      <c r="E407" s="0" t="inlineStr">
        <is>
          <t xml:space="preserve">XNHRXR2HTXA8</t>
        </is>
      </c>
      <c r="F407" s="0" t="inlineStr">
        <is>
          <t xml:space="preserve">BEAUFORT COMPOSITE TECHNOLOGIES, INC</t>
        </is>
      </c>
      <c r="G407" s="0" t="inlineStr">
        <is>
          <t xml:space="preserve">XNHRXR2HTXA8</t>
        </is>
      </c>
      <c r="H407" s="4">
        <v>0.04494</v>
      </c>
      <c r="I407" s="0" t="inlineStr">
        <is>
          <t xml:space="preserve">2020-02-06</t>
        </is>
      </c>
      <c r="J407" s="0" t="inlineStr">
        <is>
          <t xml:space="preserve">platform_hull</t>
        </is>
      </c>
      <c r="K407" s="4">
        <v>0.8</v>
      </c>
      <c r="L407" s="0" t="inlineStr">
        <is>
          <t xml:space="preserve">Engineering materials</t>
        </is>
      </c>
    </row>
    <row r="408">
      <c r="B408" s="0" t="inlineStr">
        <is>
          <t xml:space="preserve">N0002419C6402</t>
        </is>
      </c>
      <c r="C408" s="0" t="inlineStr">
        <is>
          <t xml:space="preserve">TELEDYNE BROWN ENGINEERING, INC.</t>
        </is>
      </c>
      <c r="D408" s="0" t="inlineStr">
        <is>
          <t xml:space="preserve">FBRSJB6V4LW8</t>
        </is>
      </c>
      <c r="E408" s="0" t="inlineStr">
        <is>
          <t xml:space="preserve">T6FJQXNNZ5L8</t>
        </is>
      </c>
      <c r="F408" s="0" t="inlineStr">
        <is>
          <t xml:space="preserve">EMCORE CHICAGO INERTIAL CORPORATION</t>
        </is>
      </c>
      <c r="G408" s="0" t="inlineStr">
        <is>
          <t xml:space="preserve">T6FJQXNNZ5L8</t>
        </is>
      </c>
      <c r="H408" s="4">
        <v>0.04459633999999999</v>
      </c>
      <c r="I408" s="0" t="inlineStr">
        <is>
          <t xml:space="preserve">2024-08-28</t>
        </is>
      </c>
      <c r="J408" s="0" t="inlineStr">
        <is>
          <t xml:space="preserve">propulsion_power</t>
        </is>
      </c>
      <c r="K408" s="4">
        <v>2.3</v>
      </c>
      <c r="L408" s="0" t="inlineStr">
        <is>
          <t xml:space="preserve">Engineering services/materials</t>
        </is>
      </c>
    </row>
    <row r="409">
      <c r="B409" s="0" t="inlineStr">
        <is>
          <t xml:space="preserve">N0002419C6402</t>
        </is>
      </c>
      <c r="C409" s="0" t="inlineStr">
        <is>
          <t xml:space="preserve">TELEDYNE BROWN ENGINEERING, INC.</t>
        </is>
      </c>
      <c r="D409" s="0" t="inlineStr">
        <is>
          <t xml:space="preserve">FBRSJB6V4LW8</t>
        </is>
      </c>
      <c r="E409" s="0" t="inlineStr">
        <is>
          <t xml:space="preserve">WSC2LAM3F749</t>
        </is>
      </c>
      <c r="F409" s="0" t="inlineStr">
        <is>
          <t xml:space="preserve">HILLPRO LLC</t>
        </is>
      </c>
      <c r="G409" s="0" t="inlineStr">
        <is>
          <t xml:space="preserve">CHKUMRQFRMT8</t>
        </is>
      </c>
      <c r="H409" s="4">
        <v>0.0445375</v>
      </c>
      <c r="I409" s="0" t="inlineStr">
        <is>
          <t xml:space="preserve">2025-10-22</t>
        </is>
      </c>
      <c r="J409" s="0" t="inlineStr">
        <is>
          <t xml:space="preserve">propulsion_power</t>
        </is>
      </c>
      <c r="K409" s="4">
        <v>1.2</v>
      </c>
      <c r="L409" s="0" t="inlineStr">
        <is>
          <t xml:space="preserve">Engineering services / materials</t>
        </is>
      </c>
    </row>
    <row r="410">
      <c r="B410" s="0" t="inlineStr">
        <is>
          <t xml:space="preserve">N0002419C6402</t>
        </is>
      </c>
      <c r="C410" s="0" t="inlineStr">
        <is>
          <t xml:space="preserve">TELEDYNE BROWN ENGINEERING, INC.</t>
        </is>
      </c>
      <c r="D410" s="0" t="inlineStr">
        <is>
          <t xml:space="preserve">FBRSJB6V4LW8</t>
        </is>
      </c>
      <c r="E410" s="0" t="inlineStr">
        <is>
          <t xml:space="preserve">RU42J22YFWW5</t>
        </is>
      </c>
      <c r="F410" s="0" t="inlineStr">
        <is>
          <t xml:space="preserve">STS OPERATING, INC.</t>
        </is>
      </c>
      <c r="G410" s="0" t="inlineStr">
        <is>
          <t xml:space="preserve">GEZPNX8Q2RM3</t>
        </is>
      </c>
      <c r="H410" s="4">
        <v>0.04439637999999999</v>
      </c>
      <c r="I410" s="0" t="inlineStr">
        <is>
          <t xml:space="preserve">2021-12-14</t>
        </is>
      </c>
      <c r="J410" s="0" t="inlineStr">
        <is>
          <t xml:space="preserve">propulsion_power</t>
        </is>
      </c>
      <c r="K410" s="4">
        <v>0.7</v>
      </c>
      <c r="L410" s="0" t="inlineStr">
        <is>
          <t xml:space="preserve">Engineering services/materials</t>
        </is>
      </c>
    </row>
    <row r="411">
      <c r="B411" s="0" t="inlineStr">
        <is>
          <t xml:space="preserve">N0002419C6402</t>
        </is>
      </c>
      <c r="C411" s="0" t="inlineStr">
        <is>
          <t xml:space="preserve">TELEDYNE BROWN ENGINEERING, INC.</t>
        </is>
      </c>
      <c r="D411" s="0" t="inlineStr">
        <is>
          <t xml:space="preserve">FBRSJB6V4LW8</t>
        </is>
      </c>
      <c r="E411" s="0" t="inlineStr">
        <is>
          <t xml:space="preserve">F3S7R7XULVR8</t>
        </is>
      </c>
      <c r="F411" s="0" t="inlineStr">
        <is>
          <t xml:space="preserve">PIERCE ALUMINUM CO INC</t>
        </is>
      </c>
      <c r="G411" s="0" t="inlineStr">
        <is>
          <t xml:space="preserve">F3S7R7XULVR8</t>
        </is>
      </c>
      <c r="H411" s="4">
        <v>0.043962669999999995</v>
      </c>
      <c r="I411" s="0" t="inlineStr">
        <is>
          <t xml:space="preserve">2024-03-01</t>
        </is>
      </c>
      <c r="J411" s="0" t="inlineStr">
        <is>
          <t xml:space="preserve">platform_hull</t>
        </is>
      </c>
      <c r="K411" s="4">
        <v>1.5</v>
      </c>
      <c r="L411" s="0" t="inlineStr">
        <is>
          <t xml:space="preserve">Engineering services/materials</t>
        </is>
      </c>
    </row>
    <row r="412">
      <c r="B412" s="0" t="inlineStr">
        <is>
          <t xml:space="preserve">N0001418C2006</t>
        </is>
      </c>
      <c r="C412" s="0" t="inlineStr">
        <is>
          <t xml:space="preserve">LEIDOS, INC.</t>
        </is>
      </c>
      <c r="D412" s="0" t="inlineStr">
        <is>
          <t xml:space="preserve">KTMAJCY6JXM3</t>
        </is>
      </c>
      <c r="E412" s="0" t="inlineStr">
        <is>
          <t xml:space="preserve">J3DRM4537TG4</t>
        </is>
      </c>
      <c r="F412" s="0" t="inlineStr">
        <is>
          <t xml:space="preserve">SOCIETE DE NEGOCE ET DE PARTICIPATION</t>
        </is>
      </c>
      <c r="G412" s="0" t="inlineStr">
        <is>
          <t xml:space="preserve">WRL1UPCK3N35</t>
        </is>
      </c>
      <c r="H412" s="4">
        <v>0.043558629999999994</v>
      </c>
      <c r="I412" s="0" t="inlineStr">
        <is>
          <t xml:space="preserve">2019-07-29</t>
        </is>
      </c>
      <c r="J412" s="0" t="inlineStr">
        <is>
          <t xml:space="preserve">other_unclassified</t>
        </is>
      </c>
      <c r="K412" s="4">
        <v>0.8</v>
      </c>
      <c r="L412" s="0" t="inlineStr">
        <is>
          <t xml:space="preserve">PROCUREMENTS BETWEEN 7/1/2019-7/30/2019 IN SUPPORT OF CONTRACT SOW.</t>
        </is>
      </c>
    </row>
    <row r="413">
      <c r="B413" s="0" t="inlineStr">
        <is>
          <t xml:space="preserve">N0001418C2006</t>
        </is>
      </c>
      <c r="C413" s="0" t="inlineStr">
        <is>
          <t xml:space="preserve">LEIDOS, INC.</t>
        </is>
      </c>
      <c r="D413" s="0" t="inlineStr">
        <is>
          <t xml:space="preserve">KTMAJCY6JXM3</t>
        </is>
      </c>
      <c r="E413" s="0" t="inlineStr">
        <is>
          <t xml:space="preserve">J3DRM4537TG4</t>
        </is>
      </c>
      <c r="F413" s="0" t="inlineStr">
        <is>
          <t xml:space="preserve">SOCIETE DE NEGOCE ET DE PARTICIPATION</t>
        </is>
      </c>
      <c r="G413" s="0" t="inlineStr">
        <is>
          <t xml:space="preserve">WRL1UPCK3N35</t>
        </is>
      </c>
      <c r="H413" s="4">
        <v>0.043558629999999994</v>
      </c>
      <c r="I413" s="0" t="inlineStr">
        <is>
          <t xml:space="preserve">2019-07-29</t>
        </is>
      </c>
      <c r="J413" s="0" t="inlineStr">
        <is>
          <t xml:space="preserve">other_unclassified</t>
        </is>
      </c>
      <c r="K413" s="4">
        <v>0.8</v>
      </c>
      <c r="L413" s="0" t="inlineStr">
        <is>
          <t xml:space="preserve">PROCUREMENTS BETWEEN 7/1/2019-7/30/2019 IN SUPPORT OF CONTRACT SOW.</t>
        </is>
      </c>
    </row>
    <row r="414">
      <c r="B414" s="0" t="inlineStr">
        <is>
          <t xml:space="preserve">N0002416C4112</t>
        </is>
      </c>
      <c r="C414" s="0" t="inlineStr">
        <is>
          <t xml:space="preserve">HUNTINGTON INGALLS INC</t>
        </is>
      </c>
      <c r="D414" s="0" t="inlineStr">
        <is>
          <t xml:space="preserve">WMXDDH6HJNA5</t>
        </is>
      </c>
      <c r="E414" s="0" t="inlineStr">
        <is>
          <t xml:space="preserve">E3YNKWRANZ18</t>
        </is>
      </c>
      <c r="F414" s="0" t="inlineStr">
        <is>
          <t xml:space="preserve">AQUA-CHEM, INC.</t>
        </is>
      </c>
      <c r="G414" s="0" t="inlineStr">
        <is>
          <t xml:space="preserve">E3YNKWRANZ18</t>
        </is>
      </c>
      <c r="H414" s="4">
        <v>0.04348962</v>
      </c>
      <c r="I414" s="0" t="inlineStr">
        <is>
          <t xml:space="preserve">2017-08-09</t>
        </is>
      </c>
      <c r="J414" s="0" t="inlineStr">
        <is>
          <t xml:space="preserve">other_unclassified</t>
        </is>
      </c>
      <c r="K414" s="4">
        <v>4.4</v>
      </c>
      <c r="L414" s="0" t="inlineStr">
        <is>
          <t xml:space="preserve">CONDENSER, VARIOUS; ITEM #1</t>
        </is>
      </c>
    </row>
    <row r="415">
      <c r="B415" s="0" t="inlineStr">
        <is>
          <t xml:space="preserve">N0002419C6402</t>
        </is>
      </c>
      <c r="C415" s="0" t="inlineStr">
        <is>
          <t xml:space="preserve">TELEDYNE BROWN ENGINEERING, INC.</t>
        </is>
      </c>
      <c r="D415" s="0" t="inlineStr">
        <is>
          <t xml:space="preserve">FBRSJB6V4LW8</t>
        </is>
      </c>
      <c r="E415" s="0" t="inlineStr">
        <is>
          <t xml:space="preserve">M34VC7UDBDE6</t>
        </is>
      </c>
      <c r="F415" s="0" t="inlineStr">
        <is>
          <t xml:space="preserve">ADL EMBEDDED SOLUTIONS, INC.</t>
        </is>
      </c>
      <c r="G415" s="0" t="inlineStr">
        <is>
          <t xml:space="preserve">M34VC7UDBDE6</t>
        </is>
      </c>
      <c r="H415" s="4">
        <v>0.04326</v>
      </c>
      <c r="I415" s="0" t="inlineStr">
        <is>
          <t xml:space="preserve">2021-02-03</t>
        </is>
      </c>
      <c r="J415" s="0" t="inlineStr">
        <is>
          <t xml:space="preserve">propulsion_power</t>
        </is>
      </c>
      <c r="K415" s="4">
        <v>1.1</v>
      </c>
      <c r="L415" s="0" t="inlineStr">
        <is>
          <t xml:space="preserve">Engineering materials/services</t>
        </is>
      </c>
    </row>
    <row r="416">
      <c r="B416" s="0" t="inlineStr">
        <is>
          <t xml:space="preserve">N0002419C6402</t>
        </is>
      </c>
      <c r="C416" s="0" t="inlineStr">
        <is>
          <t xml:space="preserve">TELEDYNE BROWN ENGINEERING, INC.</t>
        </is>
      </c>
      <c r="D416" s="0" t="inlineStr">
        <is>
          <t xml:space="preserve">FBRSJB6V4LW8</t>
        </is>
      </c>
      <c r="E416" s="0" t="inlineStr">
        <is>
          <t xml:space="preserve">CJGFRMQ3CDM4</t>
        </is>
      </c>
      <c r="F416" s="0" t="inlineStr">
        <is>
          <t xml:space="preserve">APEX SPECIALTY METALS, INC.</t>
        </is>
      </c>
      <c r="G416" s="0" t="inlineStr">
        <is>
          <t xml:space="preserve">CJGFRMQ3CDM4</t>
        </is>
      </c>
      <c r="H416" s="4">
        <v>0.043039999999999995</v>
      </c>
      <c r="I416" s="0" t="inlineStr">
        <is>
          <t xml:space="preserve">2025-11-10</t>
        </is>
      </c>
      <c r="J416" s="0" t="inlineStr">
        <is>
          <t xml:space="preserve">propulsion_power</t>
        </is>
      </c>
      <c r="K416" s="4">
        <v>1.7</v>
      </c>
      <c r="L416" s="0" t="inlineStr">
        <is>
          <t xml:space="preserve">Engineering Services/ Materials</t>
        </is>
      </c>
    </row>
    <row r="417">
      <c r="B417" s="0" t="inlineStr">
        <is>
          <t xml:space="preserve">N0001421C1009</t>
        </is>
      </c>
      <c r="C417" s="0" t="inlineStr">
        <is>
          <t xml:space="preserve">RAYTHEON COMPANY</t>
        </is>
      </c>
      <c r="D417" s="0" t="inlineStr">
        <is>
          <t xml:space="preserve">VTEWM5QSE598</t>
        </is>
      </c>
      <c r="E417" s="0" t="inlineStr">
        <is>
          <t xml:space="preserve">FH7ML8E9EWJ7</t>
        </is>
      </c>
      <c r="F417" s="0" t="inlineStr">
        <is>
          <t xml:space="preserve">DYNETICS, INC.</t>
        </is>
      </c>
      <c r="G417" s="0" t="inlineStr">
        <is>
          <t xml:space="preserve">FH7ML8E9EWJ7</t>
        </is>
      </c>
      <c r="H417" s="4">
        <v>0.042720999999999995</v>
      </c>
      <c r="I417" s="0" t="inlineStr">
        <is>
          <t xml:space="preserve">2019-12-12</t>
        </is>
      </c>
      <c r="J417" s="0" t="inlineStr">
        <is>
          <t xml:space="preserve">other_unclassified</t>
        </is>
      </c>
      <c r="K417" s="4">
        <v>52.4</v>
      </c>
      <c r="L417" s="0" t="inlineStr">
        <is>
          <t xml:space="preserve">Integrtd Electr Assy, NRE - All.</t>
        </is>
      </c>
    </row>
    <row r="418">
      <c r="B418" s="0" t="inlineStr">
        <is>
          <t xml:space="preserve">N0001421C1009</t>
        </is>
      </c>
      <c r="C418" s="0" t="inlineStr">
        <is>
          <t xml:space="preserve">RAYTHEON COMPANY</t>
        </is>
      </c>
      <c r="D418" s="0" t="inlineStr">
        <is>
          <t xml:space="preserve">VTEWM5QSE598</t>
        </is>
      </c>
      <c r="E418" s="0" t="inlineStr">
        <is>
          <t xml:space="preserve">FH7ML8E9EWJ7</t>
        </is>
      </c>
      <c r="F418" s="0" t="inlineStr">
        <is>
          <t xml:space="preserve">DYNETICS, INC.</t>
        </is>
      </c>
      <c r="G418" s="0" t="inlineStr">
        <is>
          <t xml:space="preserve">FH7ML8E9EWJ7</t>
        </is>
      </c>
      <c r="H418" s="4">
        <v>0.042720999999999995</v>
      </c>
      <c r="I418" s="0" t="inlineStr">
        <is>
          <t xml:space="preserve">2019-12-12</t>
        </is>
      </c>
      <c r="J418" s="0" t="inlineStr">
        <is>
          <t xml:space="preserve">other_unclassified</t>
        </is>
      </c>
      <c r="K418" s="4">
        <v>40.0</v>
      </c>
      <c r="L418" s="0" t="inlineStr">
        <is>
          <t xml:space="preserve">Integrtd Electr Assy, NRE - Other.</t>
        </is>
      </c>
    </row>
    <row r="419">
      <c r="B419" s="0" t="inlineStr">
        <is>
          <t xml:space="preserve">N0002419C6402</t>
        </is>
      </c>
      <c r="C419" s="0" t="inlineStr">
        <is>
          <t xml:space="preserve">TELEDYNE BROWN ENGINEERING, INC.</t>
        </is>
      </c>
      <c r="D419" s="0" t="inlineStr">
        <is>
          <t xml:space="preserve">FBRSJB6V4LW8</t>
        </is>
      </c>
      <c r="E419" s="0" t="inlineStr">
        <is>
          <t xml:space="preserve">UPV2EK5XFBJ6</t>
        </is>
      </c>
      <c r="F419" s="0" t="inlineStr">
        <is>
          <t xml:space="preserve">ANTENNA PRODUCTS CORPORATION</t>
        </is>
      </c>
      <c r="G419" s="0" t="inlineStr">
        <is>
          <t xml:space="preserve">E65NWNLNERQ5</t>
        </is>
      </c>
      <c r="H419" s="4">
        <v>0.042517679999999995</v>
      </c>
      <c r="I419" s="0" t="inlineStr">
        <is>
          <t xml:space="preserve">2024-05-06</t>
        </is>
      </c>
      <c r="J419" s="0" t="inlineStr">
        <is>
          <t xml:space="preserve">sensors_payload</t>
        </is>
      </c>
      <c r="K419" s="4">
        <v>6.0</v>
      </c>
      <c r="L419" s="0" t="inlineStr">
        <is>
          <t xml:space="preserve">Engineering services/materials</t>
        </is>
      </c>
    </row>
    <row r="420">
      <c r="B420" s="0" t="inlineStr">
        <is>
          <t xml:space="preserve">N0002419C6402</t>
        </is>
      </c>
      <c r="C420" s="0" t="inlineStr">
        <is>
          <t xml:space="preserve">TELEDYNE BROWN ENGINEERING, INC.</t>
        </is>
      </c>
      <c r="D420" s="0" t="inlineStr">
        <is>
          <t xml:space="preserve">FBRSJB6V4LW8</t>
        </is>
      </c>
      <c r="E420" s="0" t="inlineStr">
        <is>
          <t xml:space="preserve">M2XAYNY2P889</t>
        </is>
      </c>
      <c r="F420" s="0" t="inlineStr">
        <is>
          <t xml:space="preserve">POWELL ELECTRONICS INC.</t>
        </is>
      </c>
      <c r="G420" s="0" t="inlineStr">
        <is>
          <t xml:space="preserve">LPZ7Z82M1KS6</t>
        </is>
      </c>
      <c r="H420" s="4">
        <v>0.04203087999999999</v>
      </c>
      <c r="I420" s="0" t="inlineStr">
        <is>
          <t xml:space="preserve">2021-04-16</t>
        </is>
      </c>
      <c r="J420" s="0" t="inlineStr">
        <is>
          <t xml:space="preserve">propulsion_power</t>
        </is>
      </c>
      <c r="K420" s="4">
        <v>0.6</v>
      </c>
      <c r="L420" s="0" t="inlineStr">
        <is>
          <t xml:space="preserve">Engineering services/materials</t>
        </is>
      </c>
    </row>
    <row r="421">
      <c r="B421" s="0" t="inlineStr">
        <is>
          <t xml:space="preserve">N0002419C6402</t>
        </is>
      </c>
      <c r="C421" s="0" t="inlineStr">
        <is>
          <t xml:space="preserve">TELEDYNE BROWN ENGINEERING, INC.</t>
        </is>
      </c>
      <c r="D421" s="0" t="inlineStr">
        <is>
          <t xml:space="preserve">FBRSJB6V4LW8</t>
        </is>
      </c>
      <c r="E421" s="0" t="inlineStr">
        <is>
          <t xml:space="preserve">GHK7AHB4W543</t>
        </is>
      </c>
      <c r="F421" s="0" t="inlineStr">
        <is>
          <t xml:space="preserve">HYDRACON COMPANY, INC</t>
        </is>
      </c>
      <c r="G421" s="0" t="inlineStr">
        <is>
          <t xml:space="preserve">GHK7AHB4W543</t>
        </is>
      </c>
      <c r="H421" s="4">
        <v>0.041999999999999996</v>
      </c>
      <c r="I421" s="0" t="inlineStr">
        <is>
          <t xml:space="preserve">2025-11-13</t>
        </is>
      </c>
      <c r="J421" s="0" t="inlineStr">
        <is>
          <t xml:space="preserve">propulsion_power</t>
        </is>
      </c>
      <c r="K421" s="4">
        <v>1.6</v>
      </c>
      <c r="L421" s="0" t="inlineStr">
        <is>
          <t xml:space="preserve">Engineering Services/Materials</t>
        </is>
      </c>
    </row>
    <row r="422">
      <c r="B422" s="0" t="inlineStr">
        <is>
          <t xml:space="preserve">N0001419C1020</t>
        </is>
      </c>
      <c r="C422" s="0" t="inlineStr">
        <is>
          <t xml:space="preserve">LEIDOS, INC.</t>
        </is>
      </c>
      <c r="D422" s="0" t="inlineStr">
        <is>
          <t xml:space="preserve">KTMAJCY6JXM3</t>
        </is>
      </c>
      <c r="E422" s="0" t="inlineStr">
        <is>
          <t xml:space="preserve">FMHAF7KDLFD5</t>
        </is>
      </c>
      <c r="F422" s="0" t="inlineStr">
        <is>
          <t xml:space="preserve">SYSTEL, INC.</t>
        </is>
      </c>
      <c r="G422" s="0" t="inlineStr">
        <is>
          <t xml:space="preserve">FMHAF7KDLFD5</t>
        </is>
      </c>
      <c r="H422" s="4">
        <v>0.041985</v>
      </c>
      <c r="I422" s="0" t="inlineStr">
        <is>
          <t xml:space="preserve">2019-11-15</t>
        </is>
      </c>
      <c r="J422" s="0" t="inlineStr">
        <is>
          <t xml:space="preserve">other_unclassified</t>
        </is>
      </c>
      <c r="K422" s="4">
        <v>2.4</v>
      </c>
      <c r="L422" s="0" t="inlineStr">
        <is>
          <t xml:space="preserve">PROCUREMENTS BETWEEN 12/1/2019-12/31/2019 IN SUPPORT OF CONTRACT SOW.</t>
        </is>
      </c>
    </row>
    <row r="423">
      <c r="B423" s="0" t="inlineStr">
        <is>
          <t xml:space="preserve">N0001419C1020</t>
        </is>
      </c>
      <c r="C423" s="0" t="inlineStr">
        <is>
          <t xml:space="preserve">LEIDOS, INC.</t>
        </is>
      </c>
      <c r="D423" s="0" t="inlineStr">
        <is>
          <t xml:space="preserve">KTMAJCY6JXM3</t>
        </is>
      </c>
      <c r="E423" s="0" t="inlineStr">
        <is>
          <t xml:space="preserve">FMHAF7KDLFD5</t>
        </is>
      </c>
      <c r="F423" s="0" t="inlineStr">
        <is>
          <t xml:space="preserve">SYSTEL, INC.</t>
        </is>
      </c>
      <c r="G423" s="0" t="inlineStr">
        <is>
          <t xml:space="preserve">FMHAF7KDLFD5</t>
        </is>
      </c>
      <c r="H423" s="4">
        <v>0.041985</v>
      </c>
      <c r="I423" s="0" t="inlineStr">
        <is>
          <t xml:space="preserve">2019-11-15</t>
        </is>
      </c>
      <c r="J423" s="0" t="inlineStr">
        <is>
          <t xml:space="preserve">other_unclassified</t>
        </is>
      </c>
      <c r="K423" s="4">
        <v>1.1</v>
      </c>
      <c r="L423" s="0" t="inlineStr">
        <is>
          <t xml:space="preserve">PROCURED GOODS BETWEEN 11/1/2019-11/30/2019 IN SUPPORT OF CONTRACT SOW.</t>
        </is>
      </c>
    </row>
    <row r="424">
      <c r="B424" s="0" t="inlineStr">
        <is>
          <t xml:space="preserve">N6660421FC832</t>
        </is>
      </c>
      <c r="C424" s="0" t="inlineStr">
        <is>
          <t xml:space="preserve">SERCO INC</t>
        </is>
      </c>
      <c r="D424" s="0" t="inlineStr">
        <is>
          <t xml:space="preserve">DKJ1R5ABCN48</t>
        </is>
      </c>
      <c r="E424" s="0" t="inlineStr">
        <is>
          <t xml:space="preserve">LPNKDLXMN8E3</t>
        </is>
      </c>
      <c r="F424" s="0" t="inlineStr">
        <is>
          <t xml:space="preserve">WHALLEY PRECISION INC</t>
        </is>
      </c>
      <c r="G424" s="0" t="inlineStr">
        <is>
          <t xml:space="preserve">LPNKDLXMN8E3</t>
        </is>
      </c>
      <c r="H424" s="4">
        <v>0.041936</v>
      </c>
      <c r="I424" s="0" t="inlineStr">
        <is>
          <t xml:space="preserve">2021-08-11</t>
        </is>
      </c>
      <c r="J424" s="0" t="inlineStr">
        <is>
          <t xml:space="preserve">materials_components</t>
        </is>
      </c>
      <c r="K424" s="4">
        <v>1.6</v>
      </c>
      <c r="L424" s="0" t="inlineStr">
        <is>
          <t xml:space="preserve">MATERIAL/SERVICE</t>
        </is>
      </c>
    </row>
    <row r="425">
      <c r="B425" s="0" t="inlineStr">
        <is>
          <t xml:space="preserve">N0002419C6402</t>
        </is>
      </c>
      <c r="C425" s="0" t="inlineStr">
        <is>
          <t xml:space="preserve">TELEDYNE BROWN ENGINEERING, INC.</t>
        </is>
      </c>
      <c r="D425" s="0" t="inlineStr">
        <is>
          <t xml:space="preserve">FBRSJB6V4LW8</t>
        </is>
      </c>
      <c r="E425" s="0" t="inlineStr">
        <is>
          <t xml:space="preserve">HQMJUQW8CQF8</t>
        </is>
      </c>
      <c r="F425" s="0" t="inlineStr">
        <is>
          <t xml:space="preserve">BK MANUFACTURING CO INC</t>
        </is>
      </c>
      <c r="G425" s="0" t="inlineStr">
        <is>
          <t xml:space="preserve">HQMJUQW8CQF8</t>
        </is>
      </c>
      <c r="H425" s="4">
        <v>0.041769</v>
      </c>
      <c r="I425" s="0" t="inlineStr">
        <is>
          <t xml:space="preserve">2026-03-05</t>
        </is>
      </c>
      <c r="J425" s="0" t="inlineStr">
        <is>
          <t xml:space="preserve">propulsion_power</t>
        </is>
      </c>
      <c r="K425" s="4">
        <v>1.6</v>
      </c>
      <c r="L425" s="0" t="inlineStr">
        <is>
          <t xml:space="preserve">Engineering Materials</t>
        </is>
      </c>
    </row>
    <row r="426">
      <c r="B426" s="0" t="inlineStr">
        <is>
          <t xml:space="preserve">N6600120F0254</t>
        </is>
      </c>
      <c r="C426" s="0" t="inlineStr">
        <is>
          <t xml:space="preserve">OASIS SYSTEMS, LLC</t>
        </is>
      </c>
      <c r="D426" s="0" t="inlineStr">
        <is>
          <t xml:space="preserve">MST2Z1EG1HV7</t>
        </is>
      </c>
      <c r="E426" s="0" t="inlineStr">
        <is>
          <t xml:space="preserve">TJCDPVN6RNP7</t>
        </is>
      </c>
      <c r="F426" s="0" t="inlineStr">
        <is>
          <t xml:space="preserve">Dell Technologies Inc.</t>
        </is>
      </c>
      <c r="G426" s="0" t="inlineStr">
        <is>
          <t xml:space="preserve">N1C5QLNPJLS4</t>
        </is>
      </c>
      <c r="H426" s="4">
        <v>0.04167024</v>
      </c>
      <c r="I426" s="0" t="inlineStr">
        <is>
          <t xml:space="preserve">2020-06-17</t>
        </is>
      </c>
      <c r="J426" s="0" t="inlineStr">
        <is>
          <t xml:space="preserve">other_unclassified</t>
        </is>
      </c>
      <c r="K426" s="4">
        <v>0.7</v>
      </c>
      <c r="L426" s="0" t="inlineStr">
        <is>
          <t xml:space="preserve">Support for the UMSS program</t>
        </is>
      </c>
    </row>
    <row r="427">
      <c r="B427" s="0" t="inlineStr">
        <is>
          <t xml:space="preserve">N0002419C6402</t>
        </is>
      </c>
      <c r="C427" s="0" t="inlineStr">
        <is>
          <t xml:space="preserve">TELEDYNE BROWN ENGINEERING, INC.</t>
        </is>
      </c>
      <c r="D427" s="0" t="inlineStr">
        <is>
          <t xml:space="preserve">FBRSJB6V4LW8</t>
        </is>
      </c>
      <c r="E427" s="0" t="inlineStr">
        <is>
          <t xml:space="preserve">WWXGWQMGPUL3</t>
        </is>
      </c>
      <c r="F427" s="0" t="inlineStr">
        <is>
          <t xml:space="preserve">HANWHA CIMARRON LLC</t>
        </is>
      </c>
      <c r="G427" s="0" t="inlineStr">
        <is>
          <t xml:space="preserve">WWXGWQMGPUL3</t>
        </is>
      </c>
      <c r="H427" s="4">
        <v>0.04148144</v>
      </c>
      <c r="I427" s="0" t="inlineStr">
        <is>
          <t xml:space="preserve">2025-11-06</t>
        </is>
      </c>
      <c r="J427" s="0" t="inlineStr">
        <is>
          <t xml:space="preserve">propulsion_power</t>
        </is>
      </c>
      <c r="K427" s="4">
        <v>1.8</v>
      </c>
      <c r="L427" s="0" t="inlineStr">
        <is>
          <t xml:space="preserve">Engineering Services/Materials</t>
        </is>
      </c>
    </row>
    <row r="428">
      <c r="B428" s="0" t="inlineStr">
        <is>
          <t xml:space="preserve">N0002419C6402</t>
        </is>
      </c>
      <c r="C428" s="0" t="inlineStr">
        <is>
          <t xml:space="preserve">TELEDYNE BROWN ENGINEERING, INC.</t>
        </is>
      </c>
      <c r="D428" s="0" t="inlineStr">
        <is>
          <t xml:space="preserve">FBRSJB6V4LW8</t>
        </is>
      </c>
      <c r="E428" s="0" t="inlineStr">
        <is>
          <t xml:space="preserve">PJRYS7EFXQD9</t>
        </is>
      </c>
      <c r="F428" s="0" t="inlineStr">
        <is>
          <t xml:space="preserve">B.N.L. INDUSTRIES, INC.</t>
        </is>
      </c>
      <c r="G428" s="0" t="inlineStr">
        <is>
          <t xml:space="preserve">PJRYS7EFXQD9</t>
        </is>
      </c>
      <c r="H428" s="4">
        <v>0.041131999999999995</v>
      </c>
      <c r="I428" s="0" t="inlineStr">
        <is>
          <t xml:space="preserve">2019-12-23</t>
        </is>
      </c>
      <c r="J428" s="0" t="inlineStr">
        <is>
          <t xml:space="preserve">propulsion_power</t>
        </is>
      </c>
      <c r="K428" s="4">
        <v>0.5</v>
      </c>
      <c r="L428" s="0" t="inlineStr">
        <is>
          <t xml:space="preserve">Engineering materials</t>
        </is>
      </c>
    </row>
    <row r="429">
      <c r="B429" s="0" t="inlineStr">
        <is>
          <t xml:space="preserve">N0002416C4112</t>
        </is>
      </c>
      <c r="C429" s="0" t="inlineStr">
        <is>
          <t xml:space="preserve">HUNTINGTON INGALLS INC</t>
        </is>
      </c>
      <c r="D429" s="0" t="inlineStr">
        <is>
          <t xml:space="preserve">WMXDDH6HJNA5</t>
        </is>
      </c>
      <c r="E429" s="0" t="inlineStr">
        <is>
          <t xml:space="preserve">PJL5QPGCM184</t>
        </is>
      </c>
      <c r="F429" s="0" t="inlineStr">
        <is>
          <t xml:space="preserve">ARACOM REBUILDERS, INC.</t>
        </is>
      </c>
      <c r="G429" s="0" t="inlineStr">
        <is>
          <t xml:space="preserve">PJL5QPGCM184</t>
        </is>
      </c>
      <c r="H429" s="4">
        <v>0.040800529999999995</v>
      </c>
      <c r="I429" s="0" t="inlineStr">
        <is>
          <t xml:space="preserve">2017-09-14</t>
        </is>
      </c>
      <c r="J429" s="0" t="inlineStr">
        <is>
          <t xml:space="preserve">other_unclassified</t>
        </is>
      </c>
      <c r="K429" s="4">
        <v>3.6</v>
      </c>
      <c r="L429" s="0" t="inlineStr">
        <is>
          <t xml:space="preserve">ARACOM; SCRAPING WORK IR N2527-O87-117-A; ITEM #1</t>
        </is>
      </c>
    </row>
    <row r="430">
      <c r="B430" s="0" t="inlineStr">
        <is>
          <t xml:space="preserve">N0002419C6402</t>
        </is>
      </c>
      <c r="C430" s="0" t="inlineStr">
        <is>
          <t xml:space="preserve">TELEDYNE BROWN ENGINEERING, INC.</t>
        </is>
      </c>
      <c r="D430" s="0" t="inlineStr">
        <is>
          <t xml:space="preserve">FBRSJB6V4LW8</t>
        </is>
      </c>
      <c r="E430" s="0" t="inlineStr">
        <is>
          <t xml:space="preserve">TF2HVUYPRMV1</t>
        </is>
      </c>
      <c r="F430" s="0" t="inlineStr">
        <is>
          <t xml:space="preserve">Chase Supply, Inc.</t>
        </is>
      </c>
      <c r="G430" s="0" t="inlineStr">
        <is>
          <t xml:space="preserve">TF2HVUYPRMV1</t>
        </is>
      </c>
      <c r="H430" s="4">
        <v>0.0407</v>
      </c>
      <c r="I430" s="0" t="inlineStr">
        <is>
          <t xml:space="preserve">2026-03-03</t>
        </is>
      </c>
      <c r="J430" s="0" t="inlineStr">
        <is>
          <t xml:space="preserve">propulsion_power</t>
        </is>
      </c>
      <c r="K430" s="4">
        <v>1.8</v>
      </c>
      <c r="L430" s="0" t="inlineStr">
        <is>
          <t xml:space="preserve">Engineering Materials</t>
        </is>
      </c>
    </row>
    <row r="431">
      <c r="B431" s="0" t="inlineStr">
        <is>
          <t xml:space="preserve">N0002424C2204</t>
        </is>
      </c>
      <c r="C431" s="0" t="inlineStr">
        <is>
          <t xml:space="preserve">SAAB, INC</t>
        </is>
      </c>
      <c r="D431" s="0" t="inlineStr">
        <is>
          <t xml:space="preserve">H5FMLSGM29L1</t>
        </is>
      </c>
      <c r="E431" s="0" t="inlineStr">
        <is>
          <t xml:space="preserve">NQEMKX3MRBV6</t>
        </is>
      </c>
      <c r="F431" s="0" t="inlineStr">
        <is>
          <t xml:space="preserve">SAAB DYNAMICS AKTIEBOLAG</t>
        </is>
      </c>
      <c r="G431" s="0" t="inlineStr">
        <is>
          <t xml:space="preserve">NQEMKX3MRBV6</t>
        </is>
      </c>
      <c r="H431" s="4">
        <v>0.040623919999999994</v>
      </c>
      <c r="I431" s="0" t="inlineStr">
        <is>
          <t xml:space="preserve">2025-03-03</t>
        </is>
      </c>
      <c r="J431" s="0" t="inlineStr">
        <is>
          <t xml:space="preserve">c2_comms</t>
        </is>
      </c>
      <c r="K431" s="4">
        <v>0.6</v>
      </c>
      <c r="L431" s="0" t="inlineStr">
        <is>
          <t xml:space="preserve">Surface Control Unit for our underwater program</t>
        </is>
      </c>
    </row>
    <row r="432">
      <c r="B432" s="0" t="inlineStr">
        <is>
          <t xml:space="preserve">N0002419C6402</t>
        </is>
      </c>
      <c r="C432" s="0" t="inlineStr">
        <is>
          <t xml:space="preserve">TELEDYNE BROWN ENGINEERING, INC.</t>
        </is>
      </c>
      <c r="D432" s="0" t="inlineStr">
        <is>
          <t xml:space="preserve">FBRSJB6V4LW8</t>
        </is>
      </c>
      <c r="E432" s="0" t="inlineStr">
        <is>
          <t xml:space="preserve">U1PHZ8JUHL21</t>
        </is>
      </c>
      <c r="F432" s="0" t="inlineStr">
        <is>
          <t xml:space="preserve">RTD EMBEDDED TECHNOLOGIES INC</t>
        </is>
      </c>
      <c r="G432" s="0" t="inlineStr">
        <is>
          <t xml:space="preserve">U1PHZ8JUHL21</t>
        </is>
      </c>
      <c r="H432" s="4">
        <v>0.04059</v>
      </c>
      <c r="I432" s="0" t="inlineStr">
        <is>
          <t xml:space="preserve">2021-05-10</t>
        </is>
      </c>
      <c r="J432" s="0" t="inlineStr">
        <is>
          <t xml:space="preserve">propulsion_power</t>
        </is>
      </c>
      <c r="K432" s="4">
        <v>0.8</v>
      </c>
      <c r="L432" s="0" t="inlineStr">
        <is>
          <t xml:space="preserve">Engineering services/materials</t>
        </is>
      </c>
    </row>
    <row r="433">
      <c r="B433" s="0" t="inlineStr">
        <is>
          <t xml:space="preserve">N0002419C6402</t>
        </is>
      </c>
      <c r="C433" s="0" t="inlineStr">
        <is>
          <t xml:space="preserve">TELEDYNE BROWN ENGINEERING, INC.</t>
        </is>
      </c>
      <c r="D433" s="0" t="inlineStr">
        <is>
          <t xml:space="preserve">FBRSJB6V4LW8</t>
        </is>
      </c>
      <c r="E433" s="0" t="inlineStr">
        <is>
          <t xml:space="preserve">CJGFRMQ3CDM4</t>
        </is>
      </c>
      <c r="F433" s="0" t="inlineStr">
        <is>
          <t xml:space="preserve">APEX SPECIALTY METALS, INC.</t>
        </is>
      </c>
      <c r="G433" s="0" t="inlineStr">
        <is>
          <t xml:space="preserve">CJGFRMQ3CDM4</t>
        </is>
      </c>
      <c r="H433" s="4">
        <v>0.040416</v>
      </c>
      <c r="I433" s="0" t="inlineStr">
        <is>
          <t xml:space="preserve">2023-10-05</t>
        </is>
      </c>
      <c r="J433" s="0" t="inlineStr">
        <is>
          <t xml:space="preserve">propulsion_power</t>
        </is>
      </c>
      <c r="K433" s="4">
        <v>2.0</v>
      </c>
      <c r="L433" s="0" t="inlineStr">
        <is>
          <t xml:space="preserve">Engineering services/materials</t>
        </is>
      </c>
    </row>
    <row r="434">
      <c r="B434" s="0" t="inlineStr">
        <is>
          <t xml:space="preserve">N0002419C6402</t>
        </is>
      </c>
      <c r="C434" s="0" t="inlineStr">
        <is>
          <t xml:space="preserve">TELEDYNE BROWN ENGINEERING, INC.</t>
        </is>
      </c>
      <c r="D434" s="0" t="inlineStr">
        <is>
          <t xml:space="preserve">FBRSJB6V4LW8</t>
        </is>
      </c>
      <c r="E434" s="0" t="inlineStr">
        <is>
          <t xml:space="preserve">XNHRXR2HTXA8</t>
        </is>
      </c>
      <c r="F434" s="0" t="inlineStr">
        <is>
          <t xml:space="preserve">BEAUFORT COMPOSITE TECHNOLOGIES, INC</t>
        </is>
      </c>
      <c r="G434" s="0" t="inlineStr">
        <is>
          <t xml:space="preserve">XNHRXR2HTXA8</t>
        </is>
      </c>
      <c r="H434" s="4">
        <v>0.040279999999999996</v>
      </c>
      <c r="I434" s="0" t="inlineStr">
        <is>
          <t xml:space="preserve">2020-11-13</t>
        </is>
      </c>
      <c r="J434" s="0" t="inlineStr">
        <is>
          <t xml:space="preserve">platform_hull</t>
        </is>
      </c>
      <c r="K434" s="4">
        <v>0.8</v>
      </c>
      <c r="L434" s="0" t="inlineStr">
        <is>
          <t xml:space="preserve">Engineering services/materials</t>
        </is>
      </c>
    </row>
    <row r="435">
      <c r="B435" s="0" t="inlineStr">
        <is>
          <t xml:space="preserve">N0002419C6402</t>
        </is>
      </c>
      <c r="C435" s="0" t="inlineStr">
        <is>
          <t xml:space="preserve">TELEDYNE BROWN ENGINEERING, INC.</t>
        </is>
      </c>
      <c r="D435" s="0" t="inlineStr">
        <is>
          <t xml:space="preserve">FBRSJB6V4LW8</t>
        </is>
      </c>
      <c r="E435" s="0" t="inlineStr">
        <is>
          <t xml:space="preserve">M34VC7UDBDE6</t>
        </is>
      </c>
      <c r="F435" s="0" t="inlineStr">
        <is>
          <t xml:space="preserve">ADL EMBEDDED SOLUTIONS, INC.</t>
        </is>
      </c>
      <c r="G435" s="0" t="inlineStr">
        <is>
          <t xml:space="preserve">M34VC7UDBDE6</t>
        </is>
      </c>
      <c r="H435" s="4">
        <v>0.040152</v>
      </c>
      <c r="I435" s="0" t="inlineStr">
        <is>
          <t xml:space="preserve">2022-04-22</t>
        </is>
      </c>
      <c r="J435" s="0" t="inlineStr">
        <is>
          <t xml:space="preserve">propulsion_power</t>
        </is>
      </c>
      <c r="K435" s="4">
        <v>0.4</v>
      </c>
      <c r="L435" s="0" t="inlineStr">
        <is>
          <t xml:space="preserve">Engineering services/materials</t>
        </is>
      </c>
    </row>
    <row r="436">
      <c r="B436" s="0" t="inlineStr">
        <is>
          <t xml:space="preserve">N0002417C4103</t>
        </is>
      </c>
      <c r="C436" s="0" t="inlineStr">
        <is>
          <t xml:space="preserve">HUNTINGTON INGALLS INC</t>
        </is>
      </c>
      <c r="D436" s="0" t="inlineStr">
        <is>
          <t xml:space="preserve">WMXDDH6HJNA5</t>
        </is>
      </c>
      <c r="E436" s="0" t="inlineStr">
        <is>
          <t xml:space="preserve">DK14KTLXA9M5</t>
        </is>
      </c>
      <c r="F436" s="0" t="inlineStr">
        <is>
          <t xml:space="preserve">KME AMERICA MARINE TUBE &amp; FITTING, LLC</t>
        </is>
      </c>
      <c r="G436" s="0" t="inlineStr">
        <is>
          <t xml:space="preserve">DK14KTLXA9M5</t>
        </is>
      </c>
      <c r="H436" s="4">
        <v>0.040139999999999995</v>
      </c>
      <c r="I436" s="0" t="inlineStr">
        <is>
          <t xml:space="preserve">2019-01-22</t>
        </is>
      </c>
      <c r="J436" s="0" t="inlineStr">
        <is>
          <t xml:space="preserve">other_unclassified</t>
        </is>
      </c>
      <c r="K436" s="4">
        <v>0.8</v>
      </c>
      <c r="L436" s="0" t="inlineStr">
        <is>
          <t xml:space="preserve">FLANGE,CUNI 70:30,12.000 NOM,FLAT FACE; Item #3</t>
        </is>
      </c>
    </row>
    <row r="437">
      <c r="B437" s="0" t="inlineStr">
        <is>
          <t xml:space="preserve">N0002417C4103</t>
        </is>
      </c>
      <c r="C437" s="0" t="inlineStr">
        <is>
          <t xml:space="preserve">HUNTINGTON INGALLS INC</t>
        </is>
      </c>
      <c r="D437" s="0" t="inlineStr">
        <is>
          <t xml:space="preserve">WMXDDH6HJNA5</t>
        </is>
      </c>
      <c r="E437" s="0" t="inlineStr">
        <is>
          <t xml:space="preserve">DK14KTLXA9M5</t>
        </is>
      </c>
      <c r="F437" s="0" t="inlineStr">
        <is>
          <t xml:space="preserve">KME AMERICA MARINE TUBE &amp; FITTING, LLC</t>
        </is>
      </c>
      <c r="G437" s="0" t="inlineStr">
        <is>
          <t xml:space="preserve">DK14KTLXA9M5</t>
        </is>
      </c>
      <c r="H437" s="4">
        <v>0.040139999999999995</v>
      </c>
      <c r="I437" s="0" t="inlineStr">
        <is>
          <t xml:space="preserve">2019-01-22</t>
        </is>
      </c>
      <c r="J437" s="0" t="inlineStr">
        <is>
          <t xml:space="preserve">other_unclassified</t>
        </is>
      </c>
      <c r="K437" s="4">
        <v>0.8</v>
      </c>
      <c r="L437" s="0" t="inlineStr">
        <is>
          <t xml:space="preserve">FLANGE,CUNI 70:30,12.000 NOM,FLAT FACE; Item #3</t>
        </is>
      </c>
    </row>
    <row r="438">
      <c r="B438" s="0" t="inlineStr">
        <is>
          <t xml:space="preserve">N0001421C1009</t>
        </is>
      </c>
      <c r="C438" s="0" t="inlineStr">
        <is>
          <t xml:space="preserve">RAYTHEON COMPANY</t>
        </is>
      </c>
      <c r="D438" s="0" t="inlineStr">
        <is>
          <t xml:space="preserve">VTEWM5QSE598</t>
        </is>
      </c>
      <c r="E438" s="0" t="inlineStr">
        <is>
          <t xml:space="preserve">N9FKSNHGHMM9</t>
        </is>
      </c>
      <c r="F438" s="0" t="inlineStr">
        <is>
          <t xml:space="preserve">QUANTUM IMAGING INC.</t>
        </is>
      </c>
      <c r="G438" s="0" t="inlineStr">
        <is>
          <t xml:space="preserve">N9FKSNHGHMM9</t>
        </is>
      </c>
      <c r="H438" s="4">
        <v>0.03999</v>
      </c>
      <c r="I438" s="0" t="inlineStr">
        <is>
          <t xml:space="preserve">2023-03-04</t>
        </is>
      </c>
      <c r="J438" s="0" t="inlineStr">
        <is>
          <t xml:space="preserve">sensors_payload</t>
        </is>
      </c>
      <c r="K438" s="4">
        <v>13.7</v>
      </c>
      <c r="L438" s="0" t="inlineStr">
        <is>
          <t xml:space="preserve">CCD Cameras.</t>
        </is>
      </c>
    </row>
    <row r="439">
      <c r="B439" s="0" t="inlineStr">
        <is>
          <t xml:space="preserve">N0001421C1009</t>
        </is>
      </c>
      <c r="C439" s="0" t="inlineStr">
        <is>
          <t xml:space="preserve">RAYTHEON COMPANY</t>
        </is>
      </c>
      <c r="D439" s="0" t="inlineStr">
        <is>
          <t xml:space="preserve">VTEWM5QSE598</t>
        </is>
      </c>
      <c r="E439" s="0" t="inlineStr">
        <is>
          <t xml:space="preserve">N9FKSNHGHMM9</t>
        </is>
      </c>
      <c r="F439" s="0" t="inlineStr">
        <is>
          <t xml:space="preserve">QUANTUM IMAGING INC.</t>
        </is>
      </c>
      <c r="G439" s="0" t="inlineStr">
        <is>
          <t xml:space="preserve">N9FKSNHGHMM9</t>
        </is>
      </c>
      <c r="H439" s="4">
        <v>0.03999</v>
      </c>
      <c r="I439" s="0" t="inlineStr">
        <is>
          <t xml:space="preserve">2023-03-04</t>
        </is>
      </c>
      <c r="J439" s="0" t="inlineStr">
        <is>
          <t xml:space="preserve">sensors_payload</t>
        </is>
      </c>
      <c r="K439" s="4">
        <v>1.3</v>
      </c>
      <c r="L439" s="0" t="inlineStr">
        <is>
          <t xml:space="preserve">CCD Cameras.</t>
        </is>
      </c>
    </row>
    <row r="440">
      <c r="B440" s="0" t="inlineStr">
        <is>
          <t xml:space="preserve">N0001421C1009</t>
        </is>
      </c>
      <c r="C440" s="0" t="inlineStr">
        <is>
          <t xml:space="preserve">RAYTHEON COMPANY</t>
        </is>
      </c>
      <c r="D440" s="0" t="inlineStr">
        <is>
          <t xml:space="preserve">VTEWM5QSE598</t>
        </is>
      </c>
      <c r="E440" s="0" t="inlineStr">
        <is>
          <t xml:space="preserve">N9FKSNHGHMM9</t>
        </is>
      </c>
      <c r="F440" s="0" t="inlineStr">
        <is>
          <t xml:space="preserve">QUANTUM IMAGING INC.</t>
        </is>
      </c>
      <c r="G440" s="0" t="inlineStr">
        <is>
          <t xml:space="preserve">N9FKSNHGHMM9</t>
        </is>
      </c>
      <c r="H440" s="4">
        <v>0.03999</v>
      </c>
      <c r="I440" s="0" t="inlineStr">
        <is>
          <t xml:space="preserve">2023-03-04</t>
        </is>
      </c>
      <c r="J440" s="0" t="inlineStr">
        <is>
          <t xml:space="preserve">sensors_payload</t>
        </is>
      </c>
      <c r="K440" s="4">
        <v>1.3</v>
      </c>
      <c r="L440" s="0" t="inlineStr">
        <is>
          <t xml:space="preserve">CCD Cameras.</t>
        </is>
      </c>
    </row>
    <row r="441">
      <c r="B441" s="0" t="inlineStr">
        <is>
          <t xml:space="preserve">N0002419C6402</t>
        </is>
      </c>
      <c r="C441" s="0" t="inlineStr">
        <is>
          <t xml:space="preserve">TELEDYNE BROWN ENGINEERING, INC.</t>
        </is>
      </c>
      <c r="D441" s="0" t="inlineStr">
        <is>
          <t xml:space="preserve">FBRSJB6V4LW8</t>
        </is>
      </c>
      <c r="E441" s="0" t="inlineStr">
        <is>
          <t xml:space="preserve">XNHRXR2HTXA8</t>
        </is>
      </c>
      <c r="F441" s="0" t="inlineStr">
        <is>
          <t xml:space="preserve">BEAUFORT COMPOSITE TECHNOLOGIES, INC</t>
        </is>
      </c>
      <c r="G441" s="0" t="inlineStr">
        <is>
          <t xml:space="preserve">XNHRXR2HTXA8</t>
        </is>
      </c>
      <c r="H441" s="4">
        <v>0.03992</v>
      </c>
      <c r="I441" s="0" t="inlineStr">
        <is>
          <t xml:space="preserve">2022-01-17</t>
        </is>
      </c>
      <c r="J441" s="0" t="inlineStr">
        <is>
          <t xml:space="preserve">platform_hull</t>
        </is>
      </c>
      <c r="K441" s="4">
        <v>0.5</v>
      </c>
      <c r="L441" s="0" t="inlineStr">
        <is>
          <t xml:space="preserve">Engineering materials/services</t>
        </is>
      </c>
    </row>
    <row r="442">
      <c r="B442" s="0" t="inlineStr">
        <is>
          <t xml:space="preserve">N0002417C4103</t>
        </is>
      </c>
      <c r="C442" s="0" t="inlineStr">
        <is>
          <t xml:space="preserve">HUNTINGTON INGALLS INC</t>
        </is>
      </c>
      <c r="D442" s="0" t="inlineStr">
        <is>
          <t xml:space="preserve">WMXDDH6HJNA5</t>
        </is>
      </c>
      <c r="E442" s="0" t="inlineStr">
        <is>
          <t xml:space="preserve">H155K6KXDE64</t>
        </is>
      </c>
      <c r="F442" s="0" t="inlineStr">
        <is>
          <t xml:space="preserve">CONCO SERVICES CORPORATION</t>
        </is>
      </c>
      <c r="G442" s="0" t="inlineStr">
        <is>
          <t xml:space="preserve">H155K6KXDE64</t>
        </is>
      </c>
      <c r="H442" s="4">
        <v>0.0399</v>
      </c>
      <c r="I442" s="0" t="inlineStr">
        <is>
          <t xml:space="preserve">2019-02-01</t>
        </is>
      </c>
      <c r="J442" s="0" t="inlineStr">
        <is>
          <t xml:space="preserve">integration_eng_svcs</t>
        </is>
      </c>
      <c r="K442" s="4">
        <v>1.5</v>
      </c>
      <c r="L442" s="0" t="inlineStr">
        <is>
          <t xml:space="preserve">#2 REBOILER PRE-INSTL EDDY CURRENT TEST; Item #2</t>
        </is>
      </c>
    </row>
    <row r="443">
      <c r="B443" s="0" t="inlineStr">
        <is>
          <t xml:space="preserve">N0002419C6402</t>
        </is>
      </c>
      <c r="C443" s="0" t="inlineStr">
        <is>
          <t xml:space="preserve">TELEDYNE BROWN ENGINEERING, INC.</t>
        </is>
      </c>
      <c r="D443" s="0" t="inlineStr">
        <is>
          <t xml:space="preserve">FBRSJB6V4LW8</t>
        </is>
      </c>
      <c r="E443" s="0" t="inlineStr">
        <is>
          <t xml:space="preserve">XNHRXR2HTXA8</t>
        </is>
      </c>
      <c r="F443" s="0" t="inlineStr">
        <is>
          <t xml:space="preserve">BEAUFORT COMPOSITE TECHNOLOGIES, INC.</t>
        </is>
      </c>
      <c r="G443" s="0" t="inlineStr">
        <is>
          <t xml:space="preserve">XNHRXR2HTXA8</t>
        </is>
      </c>
      <c r="H443" s="4">
        <v>0.039889999999999995</v>
      </c>
      <c r="I443" s="0" t="inlineStr">
        <is>
          <t xml:space="preserve">2025-02-13</t>
        </is>
      </c>
      <c r="J443" s="0" t="inlineStr">
        <is>
          <t xml:space="preserve">platform_hull</t>
        </is>
      </c>
      <c r="K443" s="4">
        <v>1.5</v>
      </c>
      <c r="L443" s="0" t="inlineStr">
        <is>
          <t xml:space="preserve">Engineering Service/Materials</t>
        </is>
      </c>
    </row>
    <row r="444">
      <c r="B444" s="0" t="inlineStr">
        <is>
          <t xml:space="preserve">N0002423C6308</t>
        </is>
      </c>
      <c r="C444" s="0" t="inlineStr">
        <is>
          <t xml:space="preserve">HII UNMANNED SYSTEMS, INC</t>
        </is>
      </c>
      <c r="D444" s="0" t="inlineStr">
        <is>
          <t xml:space="preserve">WN18KN7KQLG9</t>
        </is>
      </c>
      <c r="E444" s="0" t="inlineStr">
        <is>
          <t xml:space="preserve">LHVGM3RFA281</t>
        </is>
      </c>
      <c r="F444" s="0" t="inlineStr">
        <is>
          <t xml:space="preserve">FALMOUTH SCIENTIFIC INC</t>
        </is>
      </c>
      <c r="G444" s="0" t="inlineStr">
        <is>
          <t xml:space="preserve">LHVGM3RFA281</t>
        </is>
      </c>
      <c r="H444" s="4">
        <v>0.03965</v>
      </c>
      <c r="I444" s="0" t="inlineStr">
        <is>
          <t xml:space="preserve">2025-05-14</t>
        </is>
      </c>
      <c r="J444" s="0" t="inlineStr">
        <is>
          <t xml:space="preserve">other_unclassified</t>
        </is>
      </c>
      <c r="K444" s="4">
        <v>1.1</v>
      </c>
      <c r="L444" s="0" t="inlineStr">
        <is>
          <t xml:space="preserve">overall purpose and expected outcomes, OR results of the contract, including significant deliverables and, if appropriat</t>
        </is>
      </c>
    </row>
    <row r="445">
      <c r="B445" s="0" t="inlineStr">
        <is>
          <t xml:space="preserve">N0002419C6402</t>
        </is>
      </c>
      <c r="C445" s="0" t="inlineStr">
        <is>
          <t xml:space="preserve">TELEDYNE BROWN ENGINEERING, INC.</t>
        </is>
      </c>
      <c r="D445" s="0" t="inlineStr">
        <is>
          <t xml:space="preserve">FBRSJB6V4LW8</t>
        </is>
      </c>
      <c r="E445" s="0" t="inlineStr">
        <is>
          <t xml:space="preserve">NTB7JEPAZY79</t>
        </is>
      </c>
      <c r="F445" s="0" t="inlineStr">
        <is>
          <t xml:space="preserve">BOKAM ENGINEERING INC.</t>
        </is>
      </c>
      <c r="G445" s="0" t="inlineStr">
        <is>
          <t xml:space="preserve">NTB7JEPAZY79</t>
        </is>
      </c>
      <c r="H445" s="4">
        <v>0.03915207</v>
      </c>
      <c r="I445" s="0" t="inlineStr">
        <is>
          <t xml:space="preserve">2021-04-07</t>
        </is>
      </c>
      <c r="J445" s="0" t="inlineStr">
        <is>
          <t xml:space="preserve">propulsion_power</t>
        </is>
      </c>
      <c r="K445" s="4">
        <v>0.9</v>
      </c>
      <c r="L445" s="0" t="inlineStr">
        <is>
          <t xml:space="preserve">Engineering services/materials</t>
        </is>
      </c>
    </row>
    <row r="446">
      <c r="B446" s="0" t="inlineStr">
        <is>
          <t xml:space="preserve">N0002419C6402</t>
        </is>
      </c>
      <c r="C446" s="0" t="inlineStr">
        <is>
          <t xml:space="preserve">TELEDYNE BROWN ENGINEERING, INC.</t>
        </is>
      </c>
      <c r="D446" s="0" t="inlineStr">
        <is>
          <t xml:space="preserve">FBRSJB6V4LW8</t>
        </is>
      </c>
      <c r="E446" s="0" t="inlineStr">
        <is>
          <t xml:space="preserve">SQ2DSCE69F15</t>
        </is>
      </c>
      <c r="F446" s="0" t="inlineStr">
        <is>
          <t xml:space="preserve">TELEDYNE TECHNOLOGIES INCORPORATED</t>
        </is>
      </c>
      <c r="G446" s="0" t="inlineStr">
        <is>
          <t xml:space="preserve">K3MRSBC1CYT4</t>
        </is>
      </c>
      <c r="H446" s="4">
        <v>0.03903475</v>
      </c>
      <c r="I446" s="0" t="inlineStr">
        <is>
          <t xml:space="preserve">2020-04-01</t>
        </is>
      </c>
      <c r="J446" s="0" t="inlineStr">
        <is>
          <t xml:space="preserve">propulsion_power</t>
        </is>
      </c>
      <c r="K446" s="4">
        <v>9.6</v>
      </c>
      <c r="L446" s="0" t="inlineStr">
        <is>
          <t xml:space="preserve">Engineering materials/services</t>
        </is>
      </c>
    </row>
    <row r="447">
      <c r="B447" s="0" t="inlineStr">
        <is>
          <t xml:space="preserve">N0002419C6402</t>
        </is>
      </c>
      <c r="C447" s="0" t="inlineStr">
        <is>
          <t xml:space="preserve">TELEDYNE BROWN ENGINEERING, INC.</t>
        </is>
      </c>
      <c r="D447" s="0" t="inlineStr">
        <is>
          <t xml:space="preserve">FBRSJB6V4LW8</t>
        </is>
      </c>
      <c r="E447" s="0" t="inlineStr">
        <is>
          <t xml:space="preserve">KGQBGYN7A911</t>
        </is>
      </c>
      <c r="F447" s="0" t="inlineStr">
        <is>
          <t xml:space="preserve">VECTORNAV TECHNOLOGIES, LLC</t>
        </is>
      </c>
      <c r="G447" s="0" t="inlineStr">
        <is>
          <t xml:space="preserve">KGQBGYN7A911</t>
        </is>
      </c>
      <c r="H447" s="4">
        <v>0.039</v>
      </c>
      <c r="I447" s="0" t="inlineStr">
        <is>
          <t xml:space="preserve">2021-11-03</t>
        </is>
      </c>
      <c r="J447" s="0" t="inlineStr">
        <is>
          <t xml:space="preserve">propulsion_power</t>
        </is>
      </c>
      <c r="K447" s="4">
        <v>0.9</v>
      </c>
      <c r="L447" s="0" t="inlineStr">
        <is>
          <t xml:space="preserve">Engineering services/materials</t>
        </is>
      </c>
    </row>
    <row r="448">
      <c r="B448" s="0" t="inlineStr">
        <is>
          <t xml:space="preserve">N0002417C4103</t>
        </is>
      </c>
      <c r="C448" s="0" t="inlineStr">
        <is>
          <t xml:space="preserve">HUNTINGTON INGALLS INC</t>
        </is>
      </c>
      <c r="D448" s="0" t="inlineStr">
        <is>
          <t xml:space="preserve">WMXDDH6HJNA5</t>
        </is>
      </c>
      <c r="E448" s="0" t="inlineStr">
        <is>
          <t xml:space="preserve">TWBUHJW83E77</t>
        </is>
      </c>
      <c r="F448" s="0" t="inlineStr">
        <is>
          <t xml:space="preserve">LEE-TELECOM, INC.</t>
        </is>
      </c>
      <c r="G448" s="0" t="inlineStr">
        <is>
          <t xml:space="preserve">TWBUHJW83E77</t>
        </is>
      </c>
      <c r="H448" s="4">
        <v>0.03895</v>
      </c>
      <c r="I448" s="0" t="inlineStr">
        <is>
          <t xml:space="preserve">2020-06-11</t>
        </is>
      </c>
      <c r="J448" s="0" t="inlineStr">
        <is>
          <t xml:space="preserve">autonomy_software</t>
        </is>
      </c>
      <c r="K448" s="4">
        <v>1.5</v>
      </c>
      <c r="L448" s="0" t="inlineStr">
        <is>
          <t xml:space="preserve">CVN77 - Trailer Setup to support PIA; item #1</t>
        </is>
      </c>
    </row>
    <row r="449">
      <c r="B449" s="0" t="inlineStr">
        <is>
          <t xml:space="preserve">N0002417C4103</t>
        </is>
      </c>
      <c r="C449" s="0" t="inlineStr">
        <is>
          <t xml:space="preserve">HUNTINGTON INGALLS INC</t>
        </is>
      </c>
      <c r="D449" s="0" t="inlineStr">
        <is>
          <t xml:space="preserve">WMXDDH6HJNA5</t>
        </is>
      </c>
      <c r="E449" s="0" t="inlineStr">
        <is>
          <t xml:space="preserve">TWBUHJW83E77</t>
        </is>
      </c>
      <c r="F449" s="0" t="inlineStr">
        <is>
          <t xml:space="preserve">LEE-TELECOM, INC.</t>
        </is>
      </c>
      <c r="G449" s="0" t="inlineStr">
        <is>
          <t xml:space="preserve">TWBUHJW83E77</t>
        </is>
      </c>
      <c r="H449" s="4">
        <v>0.038915069999999996</v>
      </c>
      <c r="I449" s="0" t="inlineStr">
        <is>
          <t xml:space="preserve">2022-03-08</t>
        </is>
      </c>
      <c r="J449" s="0" t="inlineStr">
        <is>
          <t xml:space="preserve">autonomy_software</t>
        </is>
      </c>
      <c r="K449" s="4">
        <v>1.7</v>
      </c>
      <c r="L449" s="0" t="inlineStr">
        <is>
          <t xml:space="preserve">PO 4300381458 PO Item No. 1 - CVN77 - Trailer Setup to support PIA</t>
        </is>
      </c>
    </row>
    <row r="450">
      <c r="B450" s="0" t="inlineStr">
        <is>
          <t xml:space="preserve">N0002419C6402</t>
        </is>
      </c>
      <c r="C450" s="0" t="inlineStr">
        <is>
          <t xml:space="preserve">TELEDYNE BROWN ENGINEERING, INC.</t>
        </is>
      </c>
      <c r="D450" s="0" t="inlineStr">
        <is>
          <t xml:space="preserve">FBRSJB6V4LW8</t>
        </is>
      </c>
      <c r="E450" s="0" t="inlineStr">
        <is>
          <t xml:space="preserve">TF2HVUYPRMV1</t>
        </is>
      </c>
      <c r="F450" s="0" t="inlineStr">
        <is>
          <t xml:space="preserve">CHASE SUPPLY, INC.</t>
        </is>
      </c>
      <c r="G450" s="0" t="inlineStr">
        <is>
          <t xml:space="preserve">TF2HVUYPRMV1</t>
        </is>
      </c>
      <c r="H450" s="4">
        <v>0.03888</v>
      </c>
      <c r="I450" s="0" t="inlineStr">
        <is>
          <t xml:space="preserve">2021-05-25</t>
        </is>
      </c>
      <c r="J450" s="0" t="inlineStr">
        <is>
          <t xml:space="preserve">propulsion_power</t>
        </is>
      </c>
      <c r="K450" s="4">
        <v>0.3</v>
      </c>
      <c r="L450" s="0" t="inlineStr">
        <is>
          <t xml:space="preserve">Engineering services/materials</t>
        </is>
      </c>
    </row>
    <row r="451">
      <c r="B451" s="0" t="inlineStr">
        <is>
          <t xml:space="preserve">N0002419C6402</t>
        </is>
      </c>
      <c r="C451" s="0" t="inlineStr">
        <is>
          <t xml:space="preserve">TELEDYNE BROWN ENGINEERING, INC.</t>
        </is>
      </c>
      <c r="D451" s="0" t="inlineStr">
        <is>
          <t xml:space="preserve">FBRSJB6V4LW8</t>
        </is>
      </c>
      <c r="E451" s="0" t="inlineStr">
        <is>
          <t xml:space="preserve">CJGFRMQ3CDM4</t>
        </is>
      </c>
      <c r="F451" s="0" t="inlineStr">
        <is>
          <t xml:space="preserve">APEX SPECIALTY METALS, INC.</t>
        </is>
      </c>
      <c r="G451" s="0" t="inlineStr">
        <is>
          <t xml:space="preserve">CJGFRMQ3CDM4</t>
        </is>
      </c>
      <c r="H451" s="4">
        <v>0.038856</v>
      </c>
      <c r="I451" s="0" t="inlineStr">
        <is>
          <t xml:space="preserve">2024-11-20</t>
        </is>
      </c>
      <c r="J451" s="0" t="inlineStr">
        <is>
          <t xml:space="preserve">propulsion_power</t>
        </is>
      </c>
      <c r="K451" s="4">
        <v>2.3</v>
      </c>
      <c r="L451" s="0" t="inlineStr">
        <is>
          <t xml:space="preserve">Engineering Service/Materials</t>
        </is>
      </c>
    </row>
    <row r="452">
      <c r="B452" s="0" t="inlineStr">
        <is>
          <t xml:space="preserve">N0002419C6402</t>
        </is>
      </c>
      <c r="C452" s="0" t="inlineStr">
        <is>
          <t xml:space="preserve">TELEDYNE BROWN ENGINEERING, INC.</t>
        </is>
      </c>
      <c r="D452" s="0" t="inlineStr">
        <is>
          <t xml:space="preserve">FBRSJB6V4LW8</t>
        </is>
      </c>
      <c r="E452" s="0" t="inlineStr">
        <is>
          <t xml:space="preserve">PAH8M4BJACA5</t>
        </is>
      </c>
      <c r="F452" s="0" t="inlineStr">
        <is>
          <t xml:space="preserve">TELEDYNE INSTRUMENTS INC</t>
        </is>
      </c>
      <c r="G452" s="0" t="inlineStr">
        <is>
          <t xml:space="preserve">PAH8M4BJACA5</t>
        </is>
      </c>
      <c r="H452" s="4">
        <v>0.038675999999999995</v>
      </c>
      <c r="I452" s="0" t="inlineStr">
        <is>
          <t xml:space="preserve">2023-03-01</t>
        </is>
      </c>
      <c r="J452" s="0" t="inlineStr">
        <is>
          <t xml:space="preserve">propulsion_power</t>
        </is>
      </c>
      <c r="K452" s="4">
        <v>1.2</v>
      </c>
      <c r="L452" s="0" t="inlineStr">
        <is>
          <t xml:space="preserve">Engineering services/materials</t>
        </is>
      </c>
    </row>
    <row r="453">
      <c r="B453" s="0" t="inlineStr">
        <is>
          <t xml:space="preserve">N0002417C4103</t>
        </is>
      </c>
      <c r="C453" s="0" t="inlineStr">
        <is>
          <t xml:space="preserve">HUNTINGTON INGALLS INC</t>
        </is>
      </c>
      <c r="D453" s="0" t="inlineStr">
        <is>
          <t xml:space="preserve">WMXDDH6HJNA5</t>
        </is>
      </c>
      <c r="E453" s="0" t="inlineStr">
        <is>
          <t xml:space="preserve">H155K6KXDE64</t>
        </is>
      </c>
      <c r="F453" s="0" t="inlineStr">
        <is>
          <t xml:space="preserve">CONCO SERVICES CORPORATION</t>
        </is>
      </c>
      <c r="G453" s="0" t="inlineStr">
        <is>
          <t xml:space="preserve">H155K6KXDE64</t>
        </is>
      </c>
      <c r="H453" s="4">
        <v>0.0385</v>
      </c>
      <c r="I453" s="0" t="inlineStr">
        <is>
          <t xml:space="preserve">2019-02-01</t>
        </is>
      </c>
      <c r="J453" s="0" t="inlineStr">
        <is>
          <t xml:space="preserve">integration_eng_svcs</t>
        </is>
      </c>
      <c r="K453" s="4">
        <v>1.5</v>
      </c>
      <c r="L453" s="0" t="inlineStr">
        <is>
          <t xml:space="preserve">#2 REBOILER - EDDY CURRENT TEST; Item #1</t>
        </is>
      </c>
    </row>
    <row r="454">
      <c r="B454" s="0" t="inlineStr">
        <is>
          <t xml:space="preserve">N0002416C4112</t>
        </is>
      </c>
      <c r="C454" s="0" t="inlineStr">
        <is>
          <t xml:space="preserve">HUNTINGTON INGALLS INC</t>
        </is>
      </c>
      <c r="D454" s="0" t="inlineStr">
        <is>
          <t xml:space="preserve">WMXDDH6HJNA5</t>
        </is>
      </c>
      <c r="E454" s="0" t="inlineStr">
        <is>
          <t xml:space="preserve">MNDWMVCNEGC9</t>
        </is>
      </c>
      <c r="F454" s="0" t="inlineStr">
        <is>
          <t xml:space="preserve">PLASTOCOR, INC.</t>
        </is>
      </c>
      <c r="G454" s="0" t="inlineStr">
        <is>
          <t xml:space="preserve">MNDWMVCNEGC9</t>
        </is>
      </c>
      <c r="H454" s="4">
        <v>0.038454249999999995</v>
      </c>
      <c r="I454" s="0" t="inlineStr">
        <is>
          <t xml:space="preserve">2018-01-24</t>
        </is>
      </c>
      <c r="J454" s="0" t="inlineStr">
        <is>
          <t xml:space="preserve">other_unclassified</t>
        </is>
      </c>
      <c r="K454" s="4">
        <v>1.0</v>
      </c>
      <c r="L454" s="0" t="inlineStr">
        <is>
          <t xml:space="preserve">Plastocor #2 AGEC; ITEM #2</t>
        </is>
      </c>
    </row>
    <row r="455">
      <c r="B455" s="0" t="inlineStr">
        <is>
          <t xml:space="preserve">N0001421C1009</t>
        </is>
      </c>
      <c r="C455" s="0" t="inlineStr">
        <is>
          <t xml:space="preserve">RAYTHEON COMPANY</t>
        </is>
      </c>
      <c r="D455" s="0" t="inlineStr">
        <is>
          <t xml:space="preserve">VTEWM5QSE598</t>
        </is>
      </c>
      <c r="E455" s="0" t="inlineStr">
        <is>
          <t xml:space="preserve">HGFLCANUEGZ2</t>
        </is>
      </c>
      <c r="F455" s="0" t="inlineStr">
        <is>
          <t xml:space="preserve">?</t>
        </is>
      </c>
      <c r="G455" s="0" t="inlineStr">
        <is>
          <t xml:space="preserve">HGFLCANUEGZ2</t>
        </is>
      </c>
      <c r="H455" s="4">
        <v>0.038424</v>
      </c>
      <c r="I455" s="0" t="inlineStr">
        <is>
          <t xml:space="preserve">2021-09-08</t>
        </is>
      </c>
      <c r="J455" s="0" t="inlineStr">
        <is>
          <t xml:space="preserve">other_unclassified</t>
        </is>
      </c>
      <c r="K455" s="4">
        <v>11.7</v>
      </c>
      <c r="L455" s="0" t="inlineStr">
        <is>
          <t xml:space="preserve">NRE - Other.</t>
        </is>
      </c>
    </row>
    <row r="456">
      <c r="B456" s="0" t="inlineStr">
        <is>
          <t xml:space="preserve">N6660418F3022</t>
        </is>
      </c>
      <c r="C456" s="0" t="inlineStr">
        <is>
          <t xml:space="preserve">SERCO-IPS CORPORATION</t>
        </is>
      </c>
      <c r="D456" s="0" t="inlineStr">
        <is>
          <t xml:space="preserve">RGEBPDP8RV96</t>
        </is>
      </c>
      <c r="E456" s="0" t="inlineStr">
        <is>
          <t xml:space="preserve">UFAXCAT3NAR7</t>
        </is>
      </c>
      <c r="F456" s="0" t="inlineStr">
        <is>
          <t xml:space="preserve">MERLIN MARINE CORP</t>
        </is>
      </c>
      <c r="G456" s="0" t="inlineStr">
        <is>
          <t xml:space="preserve">UFAXCAT3NAR7</t>
        </is>
      </c>
      <c r="H456" s="4">
        <v>0.0382915</v>
      </c>
      <c r="I456" s="0" t="inlineStr">
        <is>
          <t xml:space="preserve">2021-08-26</t>
        </is>
      </c>
      <c r="J456" s="0" t="inlineStr">
        <is>
          <t xml:space="preserve">other_unclassified</t>
        </is>
      </c>
      <c r="K456" s="4">
        <v>26.2</v>
      </c>
      <c r="L456" s="0" t="inlineStr">
        <is>
          <t xml:space="preserve">Services</t>
        </is>
      </c>
    </row>
    <row r="457">
      <c r="B457" s="0" t="inlineStr">
        <is>
          <t xml:space="preserve">N0002419C6402</t>
        </is>
      </c>
      <c r="C457" s="0" t="inlineStr">
        <is>
          <t xml:space="preserve">TELEDYNE BROWN ENGINEERING, INC.</t>
        </is>
      </c>
      <c r="D457" s="0" t="inlineStr">
        <is>
          <t xml:space="preserve">FBRSJB6V4LW8</t>
        </is>
      </c>
      <c r="E457" s="0" t="inlineStr">
        <is>
          <t xml:space="preserve">KCW2X98GQRR9</t>
        </is>
      </c>
      <c r="F457" s="0" t="inlineStr">
        <is>
          <t xml:space="preserve">PTX DEFENSE LLC</t>
        </is>
      </c>
      <c r="G457" s="0" t="inlineStr">
        <is>
          <t xml:space="preserve">KCW2X98GQRR9</t>
        </is>
      </c>
      <c r="H457" s="4">
        <v>0.03825</v>
      </c>
      <c r="I457" s="0" t="inlineStr">
        <is>
          <t xml:space="preserve">2025-09-26</t>
        </is>
      </c>
      <c r="J457" s="0" t="inlineStr">
        <is>
          <t xml:space="preserve">propulsion_power</t>
        </is>
      </c>
      <c r="K457" s="4">
        <v>1.2</v>
      </c>
      <c r="L457" s="0" t="inlineStr">
        <is>
          <t xml:space="preserve">Engineering Services/ Materials</t>
        </is>
      </c>
    </row>
    <row r="458">
      <c r="B458" s="0" t="inlineStr">
        <is>
          <t xml:space="preserve">N0002419C6402</t>
        </is>
      </c>
      <c r="C458" s="0" t="inlineStr">
        <is>
          <t xml:space="preserve">TELEDYNE BROWN ENGINEERING, INC.</t>
        </is>
      </c>
      <c r="D458" s="0" t="inlineStr">
        <is>
          <t xml:space="preserve">FBRSJB6V4LW8</t>
        </is>
      </c>
      <c r="E458" s="0" t="inlineStr">
        <is>
          <t xml:space="preserve">CJGFRMQ3CDM4</t>
        </is>
      </c>
      <c r="F458" s="0" t="inlineStr">
        <is>
          <t xml:space="preserve">APEX SPECIALTY METALS, INC.</t>
        </is>
      </c>
      <c r="G458" s="0" t="inlineStr">
        <is>
          <t xml:space="preserve">CJGFRMQ3CDM4</t>
        </is>
      </c>
      <c r="H458" s="4">
        <v>0.038045999999999996</v>
      </c>
      <c r="I458" s="0" t="inlineStr">
        <is>
          <t xml:space="preserve">2021-08-06</t>
        </is>
      </c>
      <c r="J458" s="0" t="inlineStr">
        <is>
          <t xml:space="preserve">propulsion_power</t>
        </is>
      </c>
      <c r="K458" s="4">
        <v>0.9</v>
      </c>
      <c r="L458" s="0" t="inlineStr">
        <is>
          <t xml:space="preserve">Engineering materials</t>
        </is>
      </c>
    </row>
    <row r="459">
      <c r="B459" s="0" t="inlineStr">
        <is>
          <t xml:space="preserve">N0002417C4103</t>
        </is>
      </c>
      <c r="C459" s="0" t="inlineStr">
        <is>
          <t xml:space="preserve">HUNTINGTON INGALLS INC</t>
        </is>
      </c>
      <c r="D459" s="0" t="inlineStr">
        <is>
          <t xml:space="preserve">WMXDDH6HJNA5</t>
        </is>
      </c>
      <c r="E459" s="0" t="inlineStr">
        <is>
          <t xml:space="preserve">XH4EBNV66JW5</t>
        </is>
      </c>
      <c r="F459" s="0" t="inlineStr">
        <is>
          <t xml:space="preserve">W. O. GRUBB STEEL ERECTION INCORPORATED</t>
        </is>
      </c>
      <c r="G459" s="0" t="inlineStr">
        <is>
          <t xml:space="preserve">XH4EBNV66JW5</t>
        </is>
      </c>
      <c r="H459" s="4">
        <v>0.038</v>
      </c>
      <c r="I459" s="0" t="inlineStr">
        <is>
          <t xml:space="preserve">2018-06-08</t>
        </is>
      </c>
      <c r="J459" s="0" t="inlineStr">
        <is>
          <t xml:space="preserve">materials_components</t>
        </is>
      </c>
      <c r="K459" s="4">
        <v>1.8</v>
      </c>
      <c r="L459" s="0" t="inlineStr">
        <is>
          <t xml:space="preserve">W.O GRUBB CVN78; Item #1</t>
        </is>
      </c>
    </row>
    <row r="460">
      <c r="B460" s="0" t="inlineStr">
        <is>
          <t xml:space="preserve">N0002419C6402</t>
        </is>
      </c>
      <c r="C460" s="0" t="inlineStr">
        <is>
          <t xml:space="preserve">TELEDYNE BROWN ENGINEERING, INC.</t>
        </is>
      </c>
      <c r="D460" s="0" t="inlineStr">
        <is>
          <t xml:space="preserve">FBRSJB6V4LW8</t>
        </is>
      </c>
      <c r="E460" s="0" t="inlineStr">
        <is>
          <t xml:space="preserve">PJRYS7EFXQD9</t>
        </is>
      </c>
      <c r="F460" s="0" t="inlineStr">
        <is>
          <t xml:space="preserve">B.N.L. INDUSTRIES, INC.</t>
        </is>
      </c>
      <c r="G460" s="0" t="inlineStr">
        <is>
          <t xml:space="preserve">PJRYS7EFXQD9</t>
        </is>
      </c>
      <c r="H460" s="4">
        <v>0.037888</v>
      </c>
      <c r="I460" s="0" t="inlineStr">
        <is>
          <t xml:space="preserve">2021-06-17</t>
        </is>
      </c>
      <c r="J460" s="0" t="inlineStr">
        <is>
          <t xml:space="preserve">propulsion_power</t>
        </is>
      </c>
      <c r="K460" s="4">
        <v>0.7</v>
      </c>
      <c r="L460" s="0" t="inlineStr">
        <is>
          <t xml:space="preserve">Engineering services/materials</t>
        </is>
      </c>
    </row>
    <row r="461">
      <c r="B461" s="0" t="inlineStr">
        <is>
          <t xml:space="preserve">N6600120F0254</t>
        </is>
      </c>
      <c r="C461" s="0" t="inlineStr">
        <is>
          <t xml:space="preserve">OASIS SYSTEMS, LLC</t>
        </is>
      </c>
      <c r="D461" s="0" t="inlineStr">
        <is>
          <t xml:space="preserve">MST2Z1EG1HV7</t>
        </is>
      </c>
      <c r="E461" s="0" t="inlineStr">
        <is>
          <t xml:space="preserve">M1DFCE4G2PM8</t>
        </is>
      </c>
      <c r="F461" s="0" t="inlineStr">
        <is>
          <t xml:space="preserve">DEXTER APACHE HOLDINGS, INC.</t>
        </is>
      </c>
      <c r="G461" s="0" t="inlineStr">
        <is>
          <t xml:space="preserve">V73QNVKJWAJ9</t>
        </is>
      </c>
      <c r="H461" s="4">
        <v>0.03778</v>
      </c>
      <c r="I461" s="0" t="inlineStr">
        <is>
          <t xml:space="preserve">2020-06-17</t>
        </is>
      </c>
      <c r="J461" s="0" t="inlineStr">
        <is>
          <t xml:space="preserve">other_unclassified</t>
        </is>
      </c>
      <c r="K461" s="4">
        <v>0.7</v>
      </c>
      <c r="L461" s="0" t="inlineStr">
        <is>
          <t xml:space="preserve">Support for the UMSS program</t>
        </is>
      </c>
    </row>
    <row r="462">
      <c r="B462" s="0" t="inlineStr">
        <is>
          <t xml:space="preserve">N0002416C4112</t>
        </is>
      </c>
      <c r="C462" s="0" t="inlineStr">
        <is>
          <t xml:space="preserve">HUNTINGTON INGALLS INC</t>
        </is>
      </c>
      <c r="D462" s="0" t="inlineStr">
        <is>
          <t xml:space="preserve">WMXDDH6HJNA5</t>
        </is>
      </c>
      <c r="E462" s="0" t="inlineStr">
        <is>
          <t xml:space="preserve">G5K4NEGGRQQ1</t>
        </is>
      </c>
      <c r="F462" s="0" t="inlineStr">
        <is>
          <t xml:space="preserve">GREGORY POOLE EQUIPMENT COMPANY</t>
        </is>
      </c>
      <c r="G462" s="0" t="inlineStr">
        <is>
          <t xml:space="preserve">TRSJFMDLVK71</t>
        </is>
      </c>
      <c r="H462" s="4">
        <v>0.037718589999999996</v>
      </c>
      <c r="I462" s="0" t="inlineStr">
        <is>
          <t xml:space="preserve">2017-08-09</t>
        </is>
      </c>
      <c r="J462" s="0" t="inlineStr">
        <is>
          <t xml:space="preserve">other_unclassified</t>
        </is>
      </c>
      <c r="K462" s="4">
        <v>4.4</v>
      </c>
      <c r="L462" s="0" t="inlineStr">
        <is>
          <t xml:space="preserve">EXT 4500571531; ITEM #8</t>
        </is>
      </c>
    </row>
    <row r="463">
      <c r="B463" s="0" t="inlineStr">
        <is>
          <t xml:space="preserve">N0002419C6402</t>
        </is>
      </c>
      <c r="C463" s="0" t="inlineStr">
        <is>
          <t xml:space="preserve">TELEDYNE BROWN ENGINEERING, INC.</t>
        </is>
      </c>
      <c r="D463" s="0" t="inlineStr">
        <is>
          <t xml:space="preserve">FBRSJB6V4LW8</t>
        </is>
      </c>
      <c r="E463" s="0" t="inlineStr">
        <is>
          <t xml:space="preserve">HCJET1PHKSZ1</t>
        </is>
      </c>
      <c r="F463" s="0" t="inlineStr">
        <is>
          <t xml:space="preserve">KVH INDUSTRIES, INC.</t>
        </is>
      </c>
      <c r="G463" s="0" t="inlineStr">
        <is>
          <t xml:space="preserve">HCJET1PHKSZ1</t>
        </is>
      </c>
      <c r="H463" s="4">
        <v>0.0377</v>
      </c>
      <c r="I463" s="0" t="inlineStr">
        <is>
          <t xml:space="preserve">2021-10-06</t>
        </is>
      </c>
      <c r="J463" s="0" t="inlineStr">
        <is>
          <t xml:space="preserve">propulsion_power</t>
        </is>
      </c>
      <c r="K463" s="4">
        <v>1.1</v>
      </c>
      <c r="L463" s="0" t="inlineStr">
        <is>
          <t xml:space="preserve">Engineering materials</t>
        </is>
      </c>
    </row>
    <row r="464">
      <c r="B464" s="0" t="inlineStr">
        <is>
          <t xml:space="preserve">N0002419C6402</t>
        </is>
      </c>
      <c r="C464" s="0" t="inlineStr">
        <is>
          <t xml:space="preserve">TELEDYNE BROWN ENGINEERING, INC.</t>
        </is>
      </c>
      <c r="D464" s="0" t="inlineStr">
        <is>
          <t xml:space="preserve">FBRSJB6V4LW8</t>
        </is>
      </c>
      <c r="E464" s="0" t="inlineStr">
        <is>
          <t xml:space="preserve">CHKUMRQFRMT8</t>
        </is>
      </c>
      <c r="F464" s="0" t="inlineStr">
        <is>
          <t xml:space="preserve">HILLPRO, LLC</t>
        </is>
      </c>
      <c r="G464" s="0" t="inlineStr">
        <is>
          <t xml:space="preserve">CHKUMRQFRMT8</t>
        </is>
      </c>
      <c r="H464" s="4">
        <v>0.03750237</v>
      </c>
      <c r="I464" s="0" t="inlineStr">
        <is>
          <t xml:space="preserve">2021-04-27</t>
        </is>
      </c>
      <c r="J464" s="0" t="inlineStr">
        <is>
          <t xml:space="preserve">propulsion_power</t>
        </is>
      </c>
      <c r="K464" s="4">
        <v>0.2</v>
      </c>
      <c r="L464" s="0" t="inlineStr">
        <is>
          <t xml:space="preserve">Engineering services/materials</t>
        </is>
      </c>
    </row>
    <row r="465">
      <c r="B465" s="0" t="inlineStr">
        <is>
          <t xml:space="preserve">N0002419C6402</t>
        </is>
      </c>
      <c r="C465" s="0" t="inlineStr">
        <is>
          <t xml:space="preserve">TELEDYNE BROWN ENGINEERING, INC.</t>
        </is>
      </c>
      <c r="D465" s="0" t="inlineStr">
        <is>
          <t xml:space="preserve">FBRSJB6V4LW8</t>
        </is>
      </c>
      <c r="E465" s="0" t="inlineStr">
        <is>
          <t xml:space="preserve">KGQBGYN7A911</t>
        </is>
      </c>
      <c r="F465" s="0" t="inlineStr">
        <is>
          <t xml:space="preserve">VECTORNAV TECHNOLOGIES, LLC</t>
        </is>
      </c>
      <c r="G465" s="0" t="inlineStr">
        <is>
          <t xml:space="preserve">KGQBGYN7A911</t>
        </is>
      </c>
      <c r="H465" s="4">
        <v>0.0375</v>
      </c>
      <c r="I465" s="0" t="inlineStr">
        <is>
          <t xml:space="preserve">2020-12-14</t>
        </is>
      </c>
      <c r="J465" s="0" t="inlineStr">
        <is>
          <t xml:space="preserve">propulsion_power</t>
        </is>
      </c>
      <c r="K465" s="4">
        <v>0.8</v>
      </c>
      <c r="L465" s="0" t="inlineStr">
        <is>
          <t xml:space="preserve">Engineering materials</t>
        </is>
      </c>
    </row>
    <row r="466">
      <c r="B466" s="0" t="inlineStr">
        <is>
          <t xml:space="preserve">N6660418F3022</t>
        </is>
      </c>
      <c r="C466" s="0" t="inlineStr">
        <is>
          <t xml:space="preserve">SERCO-IPS CORPORATION</t>
        </is>
      </c>
      <c r="D466" s="0" t="inlineStr">
        <is>
          <t xml:space="preserve">RGEBPDP8RV96</t>
        </is>
      </c>
      <c r="E466" s="0" t="inlineStr">
        <is>
          <t xml:space="preserve">SQ2DSCE69F15</t>
        </is>
      </c>
      <c r="F466" s="0" t="inlineStr">
        <is>
          <t xml:space="preserve">TELEDYNE TECHNOLOGIES INCORPORATED</t>
        </is>
      </c>
      <c r="G466" s="0" t="inlineStr">
        <is>
          <t xml:space="preserve">VMLJT4VZGWC5</t>
        </is>
      </c>
      <c r="H466" s="4">
        <v>0.037374</v>
      </c>
      <c r="I466" s="0" t="inlineStr">
        <is>
          <t xml:space="preserve">2025-09-16</t>
        </is>
      </c>
      <c r="J466" s="0" t="inlineStr">
        <is>
          <t xml:space="preserve">other_unclassified</t>
        </is>
      </c>
      <c r="K466" s="4">
        <v>1.4</v>
      </c>
      <c r="L466" s="0" t="inlineStr">
        <is>
          <t xml:space="preserve">Goods</t>
        </is>
      </c>
    </row>
    <row r="467">
      <c r="B467" s="0" t="inlineStr">
        <is>
          <t xml:space="preserve">N0002419C6402</t>
        </is>
      </c>
      <c r="C467" s="0" t="inlineStr">
        <is>
          <t xml:space="preserve">TELEDYNE BROWN ENGINEERING, INC.</t>
        </is>
      </c>
      <c r="D467" s="0" t="inlineStr">
        <is>
          <t xml:space="preserve">FBRSJB6V4LW8</t>
        </is>
      </c>
      <c r="E467" s="0" t="inlineStr">
        <is>
          <t xml:space="preserve">RKXHNMJD8639</t>
        </is>
      </c>
      <c r="F467" s="0" t="inlineStr">
        <is>
          <t xml:space="preserve">WHITESBURG ELECTRONICS INC</t>
        </is>
      </c>
      <c r="G467" s="0" t="inlineStr">
        <is>
          <t xml:space="preserve">RKXHNMJD8639</t>
        </is>
      </c>
      <c r="H467" s="4">
        <v>0.03729854</v>
      </c>
      <c r="I467" s="0" t="inlineStr">
        <is>
          <t xml:space="preserve">2024-07-17</t>
        </is>
      </c>
      <c r="J467" s="0" t="inlineStr">
        <is>
          <t xml:space="preserve">propulsion_power</t>
        </is>
      </c>
      <c r="K467" s="4">
        <v>3.7</v>
      </c>
      <c r="L467" s="0" t="inlineStr">
        <is>
          <t xml:space="preserve">Engineering services/materials</t>
        </is>
      </c>
    </row>
    <row r="468">
      <c r="B468" s="0" t="inlineStr">
        <is>
          <t xml:space="preserve">N0002419C6402</t>
        </is>
      </c>
      <c r="C468" s="0" t="inlineStr">
        <is>
          <t xml:space="preserve">TELEDYNE BROWN ENGINEERING, INC.</t>
        </is>
      </c>
      <c r="D468" s="0" t="inlineStr">
        <is>
          <t xml:space="preserve">FBRSJB6V4LW8</t>
        </is>
      </c>
      <c r="E468" s="0" t="inlineStr">
        <is>
          <t xml:space="preserve">UU26FKF1MML6</t>
        </is>
      </c>
      <c r="F468" s="0" t="inlineStr">
        <is>
          <t xml:space="preserve">BERKSHIRE HATHAWAY INC.</t>
        </is>
      </c>
      <c r="G468" s="0" t="inlineStr">
        <is>
          <t xml:space="preserve">KNACWPW812J7</t>
        </is>
      </c>
      <c r="H468" s="4">
        <v>0.037236410000000005</v>
      </c>
      <c r="I468" s="0" t="inlineStr">
        <is>
          <t xml:space="preserve">2020-01-16</t>
        </is>
      </c>
      <c r="J468" s="0" t="inlineStr">
        <is>
          <t xml:space="preserve">propulsion_power</t>
        </is>
      </c>
      <c r="K468" s="4">
        <v>0.6</v>
      </c>
      <c r="L468" s="0" t="inlineStr">
        <is>
          <t xml:space="preserve">Engineering materials</t>
        </is>
      </c>
    </row>
    <row r="469">
      <c r="B469" s="0" t="inlineStr">
        <is>
          <t xml:space="preserve">N0002419C6402</t>
        </is>
      </c>
      <c r="C469" s="0" t="inlineStr">
        <is>
          <t xml:space="preserve">TELEDYNE BROWN ENGINEERING, INC.</t>
        </is>
      </c>
      <c r="D469" s="0" t="inlineStr">
        <is>
          <t xml:space="preserve">FBRSJB6V4LW8</t>
        </is>
      </c>
      <c r="E469" s="0" t="inlineStr">
        <is>
          <t xml:space="preserve">XNHRXR2HTXA8</t>
        </is>
      </c>
      <c r="F469" s="0" t="inlineStr">
        <is>
          <t xml:space="preserve">BEAUFORT COMPOSITE TECHNOLOGIES, INC</t>
        </is>
      </c>
      <c r="G469" s="0" t="inlineStr">
        <is>
          <t xml:space="preserve">XNHRXR2HTXA8</t>
        </is>
      </c>
      <c r="H469" s="4">
        <v>0.03716</v>
      </c>
      <c r="I469" s="0" t="inlineStr">
        <is>
          <t xml:space="preserve">2021-04-13</t>
        </is>
      </c>
      <c r="J469" s="0" t="inlineStr">
        <is>
          <t xml:space="preserve">platform_hull</t>
        </is>
      </c>
      <c r="K469" s="4">
        <v>0.7</v>
      </c>
      <c r="L469" s="0" t="inlineStr">
        <is>
          <t xml:space="preserve">Engineering services/materials</t>
        </is>
      </c>
    </row>
    <row r="470">
      <c r="B470" s="0" t="inlineStr">
        <is>
          <t xml:space="preserve">N0002419C6402</t>
        </is>
      </c>
      <c r="C470" s="0" t="inlineStr">
        <is>
          <t xml:space="preserve">TELEDYNE BROWN ENGINEERING, INC.</t>
        </is>
      </c>
      <c r="D470" s="0" t="inlineStr">
        <is>
          <t xml:space="preserve">FBRSJB6V4LW8</t>
        </is>
      </c>
      <c r="E470" s="0" t="inlineStr">
        <is>
          <t xml:space="preserve">TNSXP14JPJS3</t>
        </is>
      </c>
      <c r="F470" s="0" t="inlineStr">
        <is>
          <t xml:space="preserve">EPSILON SYSTEMS SOLUTIONS</t>
        </is>
      </c>
      <c r="G470" s="0" t="inlineStr">
        <is>
          <t xml:space="preserve">T1GVZ5Z6K5L4</t>
        </is>
      </c>
      <c r="H470" s="4">
        <v>0.037</v>
      </c>
      <c r="I470" s="0" t="inlineStr">
        <is>
          <t xml:space="preserve">2026-01-16</t>
        </is>
      </c>
      <c r="J470" s="0" t="inlineStr">
        <is>
          <t xml:space="preserve">propulsion_power</t>
        </is>
      </c>
      <c r="K470" s="4">
        <v>1.2</v>
      </c>
      <c r="L470" s="0" t="inlineStr">
        <is>
          <t xml:space="preserve">Engineered systems</t>
        </is>
      </c>
    </row>
    <row r="471">
      <c r="B471" s="0" t="inlineStr">
        <is>
          <t xml:space="preserve">N0002419C6402</t>
        </is>
      </c>
      <c r="C471" s="0" t="inlineStr">
        <is>
          <t xml:space="preserve">TELEDYNE BROWN ENGINEERING, INC.</t>
        </is>
      </c>
      <c r="D471" s="0" t="inlineStr">
        <is>
          <t xml:space="preserve">FBRSJB6V4LW8</t>
        </is>
      </c>
      <c r="E471" s="0" t="inlineStr">
        <is>
          <t xml:space="preserve">TNSXP14JPJS3</t>
        </is>
      </c>
      <c r="F471" s="0" t="inlineStr">
        <is>
          <t xml:space="preserve">EPSILON SYSTEMS SOLUTIONS</t>
        </is>
      </c>
      <c r="G471" s="0" t="inlineStr">
        <is>
          <t xml:space="preserve">T1GVZ5Z6K5L4</t>
        </is>
      </c>
      <c r="H471" s="4">
        <v>0.037</v>
      </c>
      <c r="I471" s="0" t="inlineStr">
        <is>
          <t xml:space="preserve">2026-01-16</t>
        </is>
      </c>
      <c r="J471" s="0" t="inlineStr">
        <is>
          <t xml:space="preserve">propulsion_power</t>
        </is>
      </c>
      <c r="K471" s="4">
        <v>1.2</v>
      </c>
      <c r="L471" s="0" t="inlineStr">
        <is>
          <t xml:space="preserve">Engineered Services</t>
        </is>
      </c>
    </row>
    <row r="472">
      <c r="B472" s="0" t="inlineStr">
        <is>
          <t xml:space="preserve">N0002419C6402</t>
        </is>
      </c>
      <c r="C472" s="0" t="inlineStr">
        <is>
          <t xml:space="preserve">TELEDYNE BROWN ENGINEERING, INC.</t>
        </is>
      </c>
      <c r="D472" s="0" t="inlineStr">
        <is>
          <t xml:space="preserve">FBRSJB6V4LW8</t>
        </is>
      </c>
      <c r="E472" s="0" t="inlineStr">
        <is>
          <t xml:space="preserve">CJGFRMQ3CDM4</t>
        </is>
      </c>
      <c r="F472" s="0" t="inlineStr">
        <is>
          <t xml:space="preserve">APEX SPECIALTY METALS, INC.</t>
        </is>
      </c>
      <c r="G472" s="0" t="inlineStr">
        <is>
          <t xml:space="preserve">CJGFRMQ3CDM4</t>
        </is>
      </c>
      <c r="H472" s="4">
        <v>0.03684</v>
      </c>
      <c r="I472" s="0" t="inlineStr">
        <is>
          <t xml:space="preserve">2021-04-19</t>
        </is>
      </c>
      <c r="J472" s="0" t="inlineStr">
        <is>
          <t xml:space="preserve">propulsion_power</t>
        </is>
      </c>
      <c r="K472" s="4">
        <v>0.5</v>
      </c>
      <c r="L472" s="0" t="inlineStr">
        <is>
          <t xml:space="preserve">Engineering services/materials</t>
        </is>
      </c>
    </row>
    <row r="473">
      <c r="B473" s="0" t="inlineStr">
        <is>
          <t xml:space="preserve">N0002419C6402</t>
        </is>
      </c>
      <c r="C473" s="0" t="inlineStr">
        <is>
          <t xml:space="preserve">TELEDYNE BROWN ENGINEERING, INC.</t>
        </is>
      </c>
      <c r="D473" s="0" t="inlineStr">
        <is>
          <t xml:space="preserve">FBRSJB6V4LW8</t>
        </is>
      </c>
      <c r="E473" s="0" t="inlineStr">
        <is>
          <t xml:space="preserve">K1HFNG3Z7639</t>
        </is>
      </c>
      <c r="F473" s="0" t="inlineStr">
        <is>
          <t xml:space="preserve">DAWSON ENTERPRISES, LLC</t>
        </is>
      </c>
      <c r="G473" s="0" t="inlineStr">
        <is>
          <t xml:space="preserve">K1HFNG3Z7639</t>
        </is>
      </c>
      <c r="H473" s="4">
        <v>0.0367559</v>
      </c>
      <c r="I473" s="0" t="inlineStr">
        <is>
          <t xml:space="preserve">2020-09-22</t>
        </is>
      </c>
      <c r="J473" s="0" t="inlineStr">
        <is>
          <t xml:space="preserve">propulsion_power</t>
        </is>
      </c>
      <c r="K473" s="4">
        <v>0.3</v>
      </c>
      <c r="L473" s="0" t="inlineStr">
        <is>
          <t xml:space="preserve">Engineering materials/services</t>
        </is>
      </c>
    </row>
    <row r="474">
      <c r="B474" s="0" t="inlineStr">
        <is>
          <t xml:space="preserve">N6660418F3022</t>
        </is>
      </c>
      <c r="C474" s="0" t="inlineStr">
        <is>
          <t xml:space="preserve">SERCO-IPS CORPORATION</t>
        </is>
      </c>
      <c r="D474" s="0" t="inlineStr">
        <is>
          <t xml:space="preserve">RGEBPDP8RV96</t>
        </is>
      </c>
      <c r="E474" s="0" t="inlineStr">
        <is>
          <t xml:space="preserve">YVBHN7GKLQ44</t>
        </is>
      </c>
      <c r="F474" s="0" t="inlineStr">
        <is>
          <t xml:space="preserve">GLENAIR, INC.</t>
        </is>
      </c>
      <c r="G474" s="0" t="inlineStr">
        <is>
          <t xml:space="preserve">YVBHN7GKLQ44</t>
        </is>
      </c>
      <c r="H474" s="4">
        <v>0.03654271</v>
      </c>
      <c r="I474" s="0" t="inlineStr">
        <is>
          <t xml:space="preserve">2021-04-30</t>
        </is>
      </c>
      <c r="J474" s="0" t="inlineStr">
        <is>
          <t xml:space="preserve">autonomy_software</t>
        </is>
      </c>
      <c r="K474" s="4">
        <v>36.1</v>
      </c>
      <c r="L474" s="0" t="inlineStr">
        <is>
          <t xml:space="preserve">Goods</t>
        </is>
      </c>
    </row>
    <row r="475">
      <c r="B475" s="0" t="inlineStr">
        <is>
          <t xml:space="preserve">N0002419C6402</t>
        </is>
      </c>
      <c r="C475" s="0" t="inlineStr">
        <is>
          <t xml:space="preserve">TELEDYNE BROWN ENGINEERING, INC.</t>
        </is>
      </c>
      <c r="D475" s="0" t="inlineStr">
        <is>
          <t xml:space="preserve">FBRSJB6V4LW8</t>
        </is>
      </c>
      <c r="E475" s="0" t="inlineStr">
        <is>
          <t xml:space="preserve">P5JCT91NAKK3</t>
        </is>
      </c>
      <c r="F475" s="0" t="inlineStr">
        <is>
          <t xml:space="preserve">GENERAL PRODUCTS LLC</t>
        </is>
      </c>
      <c r="G475" s="0" t="inlineStr">
        <is>
          <t xml:space="preserve">P5JCT91NAKK3</t>
        </is>
      </c>
      <c r="H475" s="4">
        <v>0.0365</v>
      </c>
      <c r="I475" s="0" t="inlineStr">
        <is>
          <t xml:space="preserve">2021-09-03</t>
        </is>
      </c>
      <c r="J475" s="0" t="inlineStr">
        <is>
          <t xml:space="preserve">propulsion_power</t>
        </is>
      </c>
      <c r="K475" s="4">
        <v>0.9</v>
      </c>
      <c r="L475" s="0" t="inlineStr">
        <is>
          <t xml:space="preserve">Engineering materials</t>
        </is>
      </c>
    </row>
    <row r="476">
      <c r="B476" s="0" t="inlineStr">
        <is>
          <t xml:space="preserve">N6660418F3022</t>
        </is>
      </c>
      <c r="C476" s="0" t="inlineStr">
        <is>
          <t xml:space="preserve">SERCO-IPS CORPORATION</t>
        </is>
      </c>
      <c r="D476" s="0" t="inlineStr">
        <is>
          <t xml:space="preserve">RGEBPDP8RV96</t>
        </is>
      </c>
      <c r="E476" s="0" t="inlineStr">
        <is>
          <t xml:space="preserve">M3WTFLL92KZ3</t>
        </is>
      </c>
      <c r="F476" s="0" t="inlineStr">
        <is>
          <t xml:space="preserve">DBV TECHNOLOGY, LLC</t>
        </is>
      </c>
      <c r="G476" s="0" t="inlineStr">
        <is>
          <t xml:space="preserve">M3WTFLL92KZ3</t>
        </is>
      </c>
      <c r="H476" s="4">
        <v>0.0365</v>
      </c>
      <c r="I476" s="0" t="inlineStr">
        <is>
          <t xml:space="preserve">2022-06-29</t>
        </is>
      </c>
      <c r="J476" s="0" t="inlineStr">
        <is>
          <t xml:space="preserve">other_unclassified</t>
        </is>
      </c>
      <c r="K476" s="4">
        <v>23.1</v>
      </c>
      <c r="L476" s="0" t="inlineStr">
        <is>
          <t xml:space="preserve">Services</t>
        </is>
      </c>
    </row>
    <row r="477">
      <c r="B477" s="0" t="inlineStr">
        <is>
          <t xml:space="preserve">N0002419C6402</t>
        </is>
      </c>
      <c r="C477" s="0" t="inlineStr">
        <is>
          <t xml:space="preserve">TELEDYNE BROWN ENGINEERING, INC.</t>
        </is>
      </c>
      <c r="D477" s="0" t="inlineStr">
        <is>
          <t xml:space="preserve">FBRSJB6V4LW8</t>
        </is>
      </c>
      <c r="E477" s="0" t="inlineStr">
        <is>
          <t xml:space="preserve">JNJDBJZLL2R7</t>
        </is>
      </c>
      <c r="F477" s="0" t="inlineStr">
        <is>
          <t xml:space="preserve">EDGEONE LLC</t>
        </is>
      </c>
      <c r="G477" s="0" t="inlineStr">
        <is>
          <t xml:space="preserve">JNJDBJZLL2R7</t>
        </is>
      </c>
      <c r="H477" s="4">
        <v>0.036492</v>
      </c>
      <c r="I477" s="0" t="inlineStr">
        <is>
          <t xml:space="preserve">2024-08-19</t>
        </is>
      </c>
      <c r="J477" s="0" t="inlineStr">
        <is>
          <t xml:space="preserve">propulsion_power</t>
        </is>
      </c>
      <c r="K477" s="4">
        <v>2.6</v>
      </c>
      <c r="L477" s="0" t="inlineStr">
        <is>
          <t xml:space="preserve">Engineering services/materials</t>
        </is>
      </c>
    </row>
    <row r="478">
      <c r="B478" s="0" t="inlineStr">
        <is>
          <t xml:space="preserve">N0002419C6402</t>
        </is>
      </c>
      <c r="C478" s="0" t="inlineStr">
        <is>
          <t xml:space="preserve">TELEDYNE BROWN ENGINEERING, INC.</t>
        </is>
      </c>
      <c r="D478" s="0" t="inlineStr">
        <is>
          <t xml:space="preserve">FBRSJB6V4LW8</t>
        </is>
      </c>
      <c r="E478" s="0" t="inlineStr">
        <is>
          <t xml:space="preserve">VNA7VMF85NL4</t>
        </is>
      </c>
      <c r="F478" s="0" t="inlineStr">
        <is>
          <t xml:space="preserve">MILITARY AIRLIFT EXPERTS LLC (MILAIRX LLC)</t>
        </is>
      </c>
      <c r="G478" s="0" t="inlineStr">
        <is>
          <t xml:space="preserve">VNA7VMF85NL4</t>
        </is>
      </c>
      <c r="H478" s="4">
        <v>0.036240999999999995</v>
      </c>
      <c r="I478" s="0" t="inlineStr">
        <is>
          <t xml:space="preserve">2021-05-20</t>
        </is>
      </c>
      <c r="J478" s="0" t="inlineStr">
        <is>
          <t xml:space="preserve">autonomy_software</t>
        </is>
      </c>
      <c r="K478" s="4">
        <v>0.5</v>
      </c>
      <c r="L478" s="0" t="inlineStr">
        <is>
          <t xml:space="preserve">Engineering services/materials</t>
        </is>
      </c>
    </row>
    <row r="479">
      <c r="B479" s="0" t="inlineStr">
        <is>
          <t xml:space="preserve">N6660418F3022</t>
        </is>
      </c>
      <c r="C479" s="0" t="inlineStr">
        <is>
          <t xml:space="preserve">SERCO-IPS CORPORATION</t>
        </is>
      </c>
      <c r="D479" s="0" t="inlineStr">
        <is>
          <t xml:space="preserve">RGEBPDP8RV96</t>
        </is>
      </c>
      <c r="E479" s="0" t="inlineStr">
        <is>
          <t xml:space="preserve">GFKFBWG2TV98</t>
        </is>
      </c>
      <c r="F479" s="0" t="inlineStr">
        <is>
          <t xml:space="preserve">WOODS HOLE OCEANOGRAPHIC INSTITUTION</t>
        </is>
      </c>
      <c r="G479" s="0" t="inlineStr">
        <is>
          <t xml:space="preserve">GFKFBWG2TV98</t>
        </is>
      </c>
      <c r="H479" s="4">
        <v>0.036234999999999996</v>
      </c>
      <c r="I479" s="0" t="inlineStr">
        <is>
          <t xml:space="preserve">2023-07-21</t>
        </is>
      </c>
      <c r="J479" s="0" t="inlineStr">
        <is>
          <t xml:space="preserve">other_unclassified</t>
        </is>
      </c>
      <c r="K479" s="4">
        <v>3.4</v>
      </c>
      <c r="L479" s="0" t="inlineStr">
        <is>
          <t xml:space="preserve">Goods</t>
        </is>
      </c>
    </row>
    <row r="480">
      <c r="B480" s="0" t="inlineStr">
        <is>
          <t xml:space="preserve">N0002419C6402</t>
        </is>
      </c>
      <c r="C480" s="0" t="inlineStr">
        <is>
          <t xml:space="preserve">TELEDYNE BROWN ENGINEERING, INC.</t>
        </is>
      </c>
      <c r="D480" s="0" t="inlineStr">
        <is>
          <t xml:space="preserve">FBRSJB6V4LW8</t>
        </is>
      </c>
      <c r="E480" s="0" t="inlineStr">
        <is>
          <t xml:space="preserve">J3DRM4537TG4</t>
        </is>
      </c>
      <c r="F480" s="0" t="inlineStr">
        <is>
          <t xml:space="preserve">SOCIETE DE NEGOCE ET DE PARTICIPATION</t>
        </is>
      </c>
      <c r="G480" s="0" t="inlineStr">
        <is>
          <t xml:space="preserve">NHJ3C4NG16E5</t>
        </is>
      </c>
      <c r="H480" s="4">
        <v>0.03600155</v>
      </c>
      <c r="I480" s="0" t="inlineStr">
        <is>
          <t xml:space="preserve">2022-01-14</t>
        </is>
      </c>
      <c r="J480" s="0" t="inlineStr">
        <is>
          <t xml:space="preserve">propulsion_power</t>
        </is>
      </c>
      <c r="K480" s="4">
        <v>0.6</v>
      </c>
      <c r="L480" s="0" t="inlineStr">
        <is>
          <t xml:space="preserve">Engineering services/materials</t>
        </is>
      </c>
    </row>
    <row r="481">
      <c r="B481" s="0" t="inlineStr">
        <is>
          <t xml:space="preserve">N0002417C4103</t>
        </is>
      </c>
      <c r="C481" s="0" t="inlineStr">
        <is>
          <t xml:space="preserve">HUNTINGTON INGALLS INC</t>
        </is>
      </c>
      <c r="D481" s="0" t="inlineStr">
        <is>
          <t xml:space="preserve">WMXDDH6HJNA5</t>
        </is>
      </c>
      <c r="E481" s="0" t="inlineStr">
        <is>
          <t xml:space="preserve">JZSHR7DX1MQ9</t>
        </is>
      </c>
      <c r="F481" s="0" t="inlineStr">
        <is>
          <t xml:space="preserve">CARTER MACHINERY COMPANY, INCORPORATED</t>
        </is>
      </c>
      <c r="G481" s="0" t="inlineStr">
        <is>
          <t xml:space="preserve">M25KW7YJBAK3</t>
        </is>
      </c>
      <c r="H481" s="4">
        <v>0.036</v>
      </c>
      <c r="I481" s="0" t="inlineStr">
        <is>
          <t xml:space="preserve">2020-04-06</t>
        </is>
      </c>
      <c r="J481" s="0" t="inlineStr">
        <is>
          <t xml:space="preserve">other_unclassified</t>
        </is>
      </c>
      <c r="K481" s="4">
        <v>1.7</v>
      </c>
      <c r="L481" s="0" t="inlineStr">
        <is>
          <t xml:space="preserve">Ext 4500597464 8/21/19 - 08/20/20; PO item #4</t>
        </is>
      </c>
    </row>
    <row r="482">
      <c r="B482" s="0" t="inlineStr">
        <is>
          <t xml:space="preserve">N0002419C6402</t>
        </is>
      </c>
      <c r="C482" s="0" t="inlineStr">
        <is>
          <t xml:space="preserve">TELEDYNE BROWN ENGINEERING, INC.</t>
        </is>
      </c>
      <c r="D482" s="0" t="inlineStr">
        <is>
          <t xml:space="preserve">FBRSJB6V4LW8</t>
        </is>
      </c>
      <c r="E482" s="0" t="inlineStr">
        <is>
          <t xml:space="preserve">VF58HFRNGEL8</t>
        </is>
      </c>
      <c r="F482" s="0" t="inlineStr">
        <is>
          <t xml:space="preserve">GENERAL DYNAMICS CORPORATION</t>
        </is>
      </c>
      <c r="G482" s="0" t="inlineStr">
        <is>
          <t xml:space="preserve">NH3LQKBA1SN3</t>
        </is>
      </c>
      <c r="H482" s="4">
        <v>0.0359</v>
      </c>
      <c r="I482" s="0" t="inlineStr">
        <is>
          <t xml:space="preserve">2021-11-17</t>
        </is>
      </c>
      <c r="J482" s="0" t="inlineStr">
        <is>
          <t xml:space="preserve">propulsion_power</t>
        </is>
      </c>
      <c r="K482" s="4">
        <v>0.5</v>
      </c>
      <c r="L482" s="0" t="inlineStr">
        <is>
          <t xml:space="preserve">Engineering services/materials</t>
        </is>
      </c>
    </row>
    <row r="483">
      <c r="B483" s="0" t="inlineStr">
        <is>
          <t xml:space="preserve">N0001421C1009</t>
        </is>
      </c>
      <c r="C483" s="0" t="inlineStr">
        <is>
          <t xml:space="preserve">RAYTHEON COMPANY</t>
        </is>
      </c>
      <c r="D483" s="0" t="inlineStr">
        <is>
          <t xml:space="preserve">VTEWM5QSE598</t>
        </is>
      </c>
      <c r="E483" s="0" t="inlineStr">
        <is>
          <t xml:space="preserve">LV12LKK92Z99</t>
        </is>
      </c>
      <c r="F483" s="0" t="inlineStr">
        <is>
          <t xml:space="preserve">ABRAMS AIRBORNE MANUFACTURING, INC.</t>
        </is>
      </c>
      <c r="G483" s="0" t="inlineStr">
        <is>
          <t xml:space="preserve">LV12LKK92Z99</t>
        </is>
      </c>
      <c r="H483" s="4">
        <v>0.035856</v>
      </c>
      <c r="I483" s="0" t="inlineStr">
        <is>
          <t xml:space="preserve">2021-09-22</t>
        </is>
      </c>
      <c r="J483" s="0" t="inlineStr">
        <is>
          <t xml:space="preserve">autonomy_software</t>
        </is>
      </c>
      <c r="K483" s="4">
        <v>11.3</v>
      </c>
      <c r="L483" s="0" t="inlineStr">
        <is>
          <t xml:space="preserve">NRE - Other.</t>
        </is>
      </c>
    </row>
    <row r="484">
      <c r="B484" s="0" t="inlineStr">
        <is>
          <t xml:space="preserve">N0001421C1009</t>
        </is>
      </c>
      <c r="C484" s="0" t="inlineStr">
        <is>
          <t xml:space="preserve">RAYTHEON COMPANY</t>
        </is>
      </c>
      <c r="D484" s="0" t="inlineStr">
        <is>
          <t xml:space="preserve">VTEWM5QSE598</t>
        </is>
      </c>
      <c r="E484" s="0" t="inlineStr">
        <is>
          <t xml:space="preserve">LV12LKK92Z99</t>
        </is>
      </c>
      <c r="F484" s="0" t="inlineStr">
        <is>
          <t xml:space="preserve">ABRAMS AIRBORNE MANUFACTURING INC</t>
        </is>
      </c>
      <c r="G484" s="0" t="inlineStr">
        <is>
          <t xml:space="preserve">LV12LKK92Z99</t>
        </is>
      </c>
      <c r="H484" s="4">
        <v>0.035856</v>
      </c>
      <c r="I484" s="0" t="inlineStr">
        <is>
          <t xml:space="preserve">2021-09-22</t>
        </is>
      </c>
      <c r="J484" s="0" t="inlineStr">
        <is>
          <t xml:space="preserve">autonomy_software</t>
        </is>
      </c>
      <c r="K484" s="4">
        <v>31.0</v>
      </c>
      <c r="L484" s="0" t="inlineStr">
        <is>
          <t xml:space="preserve">NRE - All.</t>
        </is>
      </c>
    </row>
    <row r="485">
      <c r="B485" s="0" t="inlineStr">
        <is>
          <t xml:space="preserve">N0001421C1009</t>
        </is>
      </c>
      <c r="C485" s="0" t="inlineStr">
        <is>
          <t xml:space="preserve">RAYTHEON COMPANY</t>
        </is>
      </c>
      <c r="D485" s="0" t="inlineStr">
        <is>
          <t xml:space="preserve">VTEWM5QSE598</t>
        </is>
      </c>
      <c r="E485" s="0" t="inlineStr">
        <is>
          <t xml:space="preserve">LV12LKK92Z99</t>
        </is>
      </c>
      <c r="F485" s="0" t="inlineStr">
        <is>
          <t xml:space="preserve">ABRAMS AIRBORNE MANUFACTURING INC</t>
        </is>
      </c>
      <c r="G485" s="0" t="inlineStr">
        <is>
          <t xml:space="preserve">LV12LKK92Z99</t>
        </is>
      </c>
      <c r="H485" s="4">
        <v>0.035856</v>
      </c>
      <c r="I485" s="0" t="inlineStr">
        <is>
          <t xml:space="preserve">2021-09-22</t>
        </is>
      </c>
      <c r="J485" s="0" t="inlineStr">
        <is>
          <t xml:space="preserve">autonomy_software</t>
        </is>
      </c>
      <c r="K485" s="4">
        <v>18.7</v>
      </c>
      <c r="L485" s="0" t="inlineStr">
        <is>
          <t xml:space="preserve">NRE - Other.</t>
        </is>
      </c>
    </row>
    <row r="486">
      <c r="B486" s="0" t="inlineStr">
        <is>
          <t xml:space="preserve">N0002419C6402</t>
        </is>
      </c>
      <c r="C486" s="0" t="inlineStr">
        <is>
          <t xml:space="preserve">TELEDYNE BROWN ENGINEERING, INC.</t>
        </is>
      </c>
      <c r="D486" s="0" t="inlineStr">
        <is>
          <t xml:space="preserve">FBRSJB6V4LW8</t>
        </is>
      </c>
      <c r="E486" s="0" t="inlineStr">
        <is>
          <t xml:space="preserve">CJGFRMQ3CDM4</t>
        </is>
      </c>
      <c r="F486" s="0" t="inlineStr">
        <is>
          <t xml:space="preserve">APEX SPECIALTY METALS, INC.</t>
        </is>
      </c>
      <c r="G486" s="0" t="inlineStr">
        <is>
          <t xml:space="preserve">CJGFRMQ3CDM4</t>
        </is>
      </c>
      <c r="H486" s="4">
        <v>0.03585315</v>
      </c>
      <c r="I486" s="0" t="inlineStr">
        <is>
          <t xml:space="preserve">2021-04-20</t>
        </is>
      </c>
      <c r="J486" s="0" t="inlineStr">
        <is>
          <t xml:space="preserve">propulsion_power</t>
        </is>
      </c>
      <c r="K486" s="4">
        <v>0.4</v>
      </c>
      <c r="L486" s="0" t="inlineStr">
        <is>
          <t xml:space="preserve">Engineering services/materials</t>
        </is>
      </c>
    </row>
    <row r="487">
      <c r="B487" s="0" t="inlineStr">
        <is>
          <t xml:space="preserve">N6660418F3022</t>
        </is>
      </c>
      <c r="C487" s="0" t="inlineStr">
        <is>
          <t xml:space="preserve">SERCO-IPS CORPORATION</t>
        </is>
      </c>
      <c r="D487" s="0" t="inlineStr">
        <is>
          <t xml:space="preserve">RGEBPDP8RV96</t>
        </is>
      </c>
      <c r="E487" s="0" t="inlineStr">
        <is>
          <t xml:space="preserve">PEG3VG9ABYU3</t>
        </is>
      </c>
      <c r="F487" s="0" t="inlineStr">
        <is>
          <t xml:space="preserve">ARNE AVIATION LLC</t>
        </is>
      </c>
      <c r="G487" s="0" t="inlineStr">
        <is>
          <t xml:space="preserve">J6N5K6JKWEU1</t>
        </is>
      </c>
      <c r="H487" s="4">
        <v>0.035699999999999996</v>
      </c>
      <c r="I487" s="0" t="inlineStr">
        <is>
          <t xml:space="preserve">2022-07-05</t>
        </is>
      </c>
      <c r="J487" s="0" t="inlineStr">
        <is>
          <t xml:space="preserve">other_unclassified</t>
        </is>
      </c>
      <c r="K487" s="4">
        <v>15.9</v>
      </c>
      <c r="L487" s="0" t="inlineStr">
        <is>
          <t xml:space="preserve">Services</t>
        </is>
      </c>
    </row>
    <row r="488">
      <c r="B488" s="0" t="inlineStr">
        <is>
          <t xml:space="preserve">N6660418F3022</t>
        </is>
      </c>
      <c r="C488" s="0" t="inlineStr">
        <is>
          <t xml:space="preserve">SERCO-IPS CORPORATION</t>
        </is>
      </c>
      <c r="D488" s="0" t="inlineStr">
        <is>
          <t xml:space="preserve">RGEBPDP8RV96</t>
        </is>
      </c>
      <c r="E488" s="0" t="inlineStr">
        <is>
          <t xml:space="preserve">PEG3VG9ABYU3</t>
        </is>
      </c>
      <c r="F488" s="0" t="inlineStr">
        <is>
          <t xml:space="preserve">ARNE AVIATION LLC</t>
        </is>
      </c>
      <c r="G488" s="0" t="inlineStr">
        <is>
          <t xml:space="preserve">J6N5K6JKWEU1</t>
        </is>
      </c>
      <c r="H488" s="4">
        <v>0.035699999999999996</v>
      </c>
      <c r="I488" s="0" t="inlineStr">
        <is>
          <t xml:space="preserve">2022-07-05</t>
        </is>
      </c>
      <c r="J488" s="0" t="inlineStr">
        <is>
          <t xml:space="preserve">other_unclassified</t>
        </is>
      </c>
      <c r="K488" s="4">
        <v>15.9</v>
      </c>
      <c r="L488" s="0" t="inlineStr">
        <is>
          <t xml:space="preserve">Services</t>
        </is>
      </c>
    </row>
    <row r="489">
      <c r="B489" s="0" t="inlineStr">
        <is>
          <t xml:space="preserve">N0002419C6402</t>
        </is>
      </c>
      <c r="C489" s="0" t="inlineStr">
        <is>
          <t xml:space="preserve">TELEDYNE BROWN ENGINEERING, INC.</t>
        </is>
      </c>
      <c r="D489" s="0" t="inlineStr">
        <is>
          <t xml:space="preserve">FBRSJB6V4LW8</t>
        </is>
      </c>
      <c r="E489" s="0" t="inlineStr">
        <is>
          <t xml:space="preserve">SQ2DSCE69F15</t>
        </is>
      </c>
      <c r="F489" s="0" t="inlineStr">
        <is>
          <t xml:space="preserve">TELEDYNE TECHNOLOGIES INCORPORATED</t>
        </is>
      </c>
      <c r="G489" s="0" t="inlineStr">
        <is>
          <t xml:space="preserve">PAH8M4BJACA5</t>
        </is>
      </c>
      <c r="H489" s="4">
        <v>0.0354</v>
      </c>
      <c r="I489" s="0" t="inlineStr">
        <is>
          <t xml:space="preserve">2021-04-01</t>
        </is>
      </c>
      <c r="J489" s="0" t="inlineStr">
        <is>
          <t xml:space="preserve">propulsion_power</t>
        </is>
      </c>
      <c r="K489" s="4">
        <v>1.1</v>
      </c>
      <c r="L489" s="0" t="inlineStr">
        <is>
          <t xml:space="preserve">Engineering services/materials</t>
        </is>
      </c>
    </row>
    <row r="490">
      <c r="B490" s="0" t="inlineStr">
        <is>
          <t xml:space="preserve">N0001421C1009</t>
        </is>
      </c>
      <c r="C490" s="0" t="inlineStr">
        <is>
          <t xml:space="preserve">RAYTHEON COMPANY</t>
        </is>
      </c>
      <c r="D490" s="0" t="inlineStr">
        <is>
          <t xml:space="preserve">VTEWM5QSE598</t>
        </is>
      </c>
      <c r="E490" s="0" t="inlineStr">
        <is>
          <t xml:space="preserve">ME2BVJ4KGAM1</t>
        </is>
      </c>
      <c r="F490" s="0" t="inlineStr">
        <is>
          <t xml:space="preserve">SYSTIMA TECHNOLOGIES, INC.</t>
        </is>
      </c>
      <c r="G490" s="0" t="inlineStr">
        <is>
          <t xml:space="preserve">ME2BVJ4KGAM1</t>
        </is>
      </c>
      <c r="H490" s="4">
        <v>0.035331999999999995</v>
      </c>
      <c r="I490" s="0" t="inlineStr">
        <is>
          <t xml:space="preserve">2021-06-02</t>
        </is>
      </c>
      <c r="J490" s="0" t="inlineStr">
        <is>
          <t xml:space="preserve">propulsion_power</t>
        </is>
      </c>
      <c r="K490" s="4">
        <v>1.8</v>
      </c>
      <c r="L490" s="0" t="inlineStr">
        <is>
          <t xml:space="preserve">GasGenerator&amp;Bottles, Pyrotechnic Devices.</t>
        </is>
      </c>
    </row>
    <row r="491">
      <c r="B491" s="0" t="inlineStr">
        <is>
          <t xml:space="preserve">N6660418F3022</t>
        </is>
      </c>
      <c r="C491" s="0" t="inlineStr">
        <is>
          <t xml:space="preserve">SERCO-IPS CORPORATION</t>
        </is>
      </c>
      <c r="D491" s="0" t="inlineStr">
        <is>
          <t xml:space="preserve">RGEBPDP8RV96</t>
        </is>
      </c>
      <c r="E491" s="0" t="inlineStr">
        <is>
          <t xml:space="preserve">RGD9DYZKCNT6</t>
        </is>
      </c>
      <c r="F491" s="0" t="inlineStr">
        <is>
          <t xml:space="preserve">RYAN MARINE INC</t>
        </is>
      </c>
      <c r="G491" s="0" t="inlineStr">
        <is>
          <t xml:space="preserve">RGD9DYZKCNT6</t>
        </is>
      </c>
      <c r="H491" s="4">
        <v>0.035283999999999996</v>
      </c>
      <c r="I491" s="0" t="inlineStr">
        <is>
          <t xml:space="preserve">2023-03-09</t>
        </is>
      </c>
      <c r="J491" s="0" t="inlineStr">
        <is>
          <t xml:space="preserve">other_unclassified</t>
        </is>
      </c>
      <c r="K491" s="4">
        <v>7.8</v>
      </c>
      <c r="L491" s="0" t="inlineStr">
        <is>
          <t xml:space="preserve">Services</t>
        </is>
      </c>
    </row>
    <row r="492">
      <c r="B492" s="0" t="inlineStr">
        <is>
          <t xml:space="preserve">N0002419C6402</t>
        </is>
      </c>
      <c r="C492" s="0" t="inlineStr">
        <is>
          <t xml:space="preserve">TELEDYNE BROWN ENGINEERING, INC.</t>
        </is>
      </c>
      <c r="D492" s="0" t="inlineStr">
        <is>
          <t xml:space="preserve">FBRSJB6V4LW8</t>
        </is>
      </c>
      <c r="E492" s="0" t="inlineStr">
        <is>
          <t xml:space="preserve">T1DJK3F8H6V5</t>
        </is>
      </c>
      <c r="F492" s="0" t="inlineStr">
        <is>
          <t xml:space="preserve">METROPOLE PRODUCTS, INC.</t>
        </is>
      </c>
      <c r="G492" s="0" t="inlineStr">
        <is>
          <t xml:space="preserve">T1DJK3F8H6V5</t>
        </is>
      </c>
      <c r="H492" s="4">
        <v>0.035234999999999995</v>
      </c>
      <c r="I492" s="0" t="inlineStr">
        <is>
          <t xml:space="preserve">2021-04-26</t>
        </is>
      </c>
      <c r="J492" s="0" t="inlineStr">
        <is>
          <t xml:space="preserve">propulsion_power</t>
        </is>
      </c>
      <c r="K492" s="4">
        <v>0.2</v>
      </c>
      <c r="L492" s="0" t="inlineStr">
        <is>
          <t xml:space="preserve">Engineering services/materials</t>
        </is>
      </c>
    </row>
    <row r="493">
      <c r="B493" s="0" t="inlineStr">
        <is>
          <t xml:space="preserve">N0001421C1009</t>
        </is>
      </c>
      <c r="C493" s="0" t="inlineStr">
        <is>
          <t xml:space="preserve">RAYTHEON COMPANY</t>
        </is>
      </c>
      <c r="D493" s="0" t="inlineStr">
        <is>
          <t xml:space="preserve">VTEWM5QSE598</t>
        </is>
      </c>
      <c r="E493" s="0" t="inlineStr">
        <is>
          <t xml:space="preserve">KZMKJTDQFM19</t>
        </is>
      </c>
      <c r="F493" s="0" t="inlineStr">
        <is>
          <t xml:space="preserve">UNMANNED SYSTEMS SOURCE LLC</t>
        </is>
      </c>
      <c r="G493" s="0" t="inlineStr">
        <is>
          <t xml:space="preserve">KZMKJTDQFM19</t>
        </is>
      </c>
      <c r="H493" s="4">
        <v>0.035199999999999995</v>
      </c>
      <c r="I493" s="0" t="inlineStr">
        <is>
          <t xml:space="preserve">2021-06-03</t>
        </is>
      </c>
      <c r="J493" s="0" t="inlineStr">
        <is>
          <t xml:space="preserve">autonomy_software</t>
        </is>
      </c>
      <c r="K493" s="4">
        <v>1.8</v>
      </c>
      <c r="L493" s="0" t="inlineStr">
        <is>
          <t xml:space="preserve">Accelerometers.</t>
        </is>
      </c>
    </row>
    <row r="494">
      <c r="B494" s="0" t="inlineStr">
        <is>
          <t xml:space="preserve">N6660418F3022</t>
        </is>
      </c>
      <c r="C494" s="0" t="inlineStr">
        <is>
          <t xml:space="preserve">SERCO-IPS CORPORATION</t>
        </is>
      </c>
      <c r="D494" s="0" t="inlineStr">
        <is>
          <t xml:space="preserve">RGEBPDP8RV96</t>
        </is>
      </c>
      <c r="E494" s="0" t="inlineStr">
        <is>
          <t xml:space="preserve">RGD9DYZKCNT6</t>
        </is>
      </c>
      <c r="F494" s="0" t="inlineStr">
        <is>
          <t xml:space="preserve">RYAN MARINE INC</t>
        </is>
      </c>
      <c r="G494" s="0" t="inlineStr">
        <is>
          <t xml:space="preserve">RGD9DYZKCNT6</t>
        </is>
      </c>
      <c r="H494" s="4">
        <v>0.035114980000000004</v>
      </c>
      <c r="I494" s="0" t="inlineStr">
        <is>
          <t xml:space="preserve">2024-02-15</t>
        </is>
      </c>
      <c r="J494" s="0" t="inlineStr">
        <is>
          <t xml:space="preserve">other_unclassified</t>
        </is>
      </c>
      <c r="K494" s="4">
        <v>1.4</v>
      </c>
      <c r="L494" s="0" t="inlineStr">
        <is>
          <t xml:space="preserve">Services</t>
        </is>
      </c>
    </row>
    <row r="495">
      <c r="B495" s="0" t="inlineStr">
        <is>
          <t xml:space="preserve">N0002419C6402</t>
        </is>
      </c>
      <c r="C495" s="0" t="inlineStr">
        <is>
          <t xml:space="preserve">TELEDYNE BROWN ENGINEERING, INC.</t>
        </is>
      </c>
      <c r="D495" s="0" t="inlineStr">
        <is>
          <t xml:space="preserve">FBRSJB6V4LW8</t>
        </is>
      </c>
      <c r="E495" s="0" t="inlineStr">
        <is>
          <t xml:space="preserve">UB85XFK12YE9</t>
        </is>
      </c>
      <c r="F495" s="0" t="inlineStr">
        <is>
          <t xml:space="preserve">ADAMS AIR &amp; HYDRAULICS INC</t>
        </is>
      </c>
      <c r="G495" s="0" t="inlineStr">
        <is>
          <t xml:space="preserve">MLNJUA8KC2C5</t>
        </is>
      </c>
      <c r="H495" s="4">
        <v>0.03499998</v>
      </c>
      <c r="I495" s="0" t="inlineStr">
        <is>
          <t xml:space="preserve">2024-08-09</t>
        </is>
      </c>
      <c r="J495" s="0" t="inlineStr">
        <is>
          <t xml:space="preserve">autonomy_software</t>
        </is>
      </c>
      <c r="K495" s="4">
        <v>2.9</v>
      </c>
      <c r="L495" s="0" t="inlineStr">
        <is>
          <t xml:space="preserve">Engineering services/materials</t>
        </is>
      </c>
    </row>
    <row r="496">
      <c r="B496" s="0" t="inlineStr">
        <is>
          <t xml:space="preserve">N0002419C6402</t>
        </is>
      </c>
      <c r="C496" s="0" t="inlineStr">
        <is>
          <t xml:space="preserve">TELEDYNE BROWN ENGINEERING, INC.</t>
        </is>
      </c>
      <c r="D496" s="0" t="inlineStr">
        <is>
          <t xml:space="preserve">FBRSJB6V4LW8</t>
        </is>
      </c>
      <c r="E496" s="0" t="inlineStr">
        <is>
          <t xml:space="preserve">NZLPJ3WBMDA8</t>
        </is>
      </c>
      <c r="F496" s="0" t="inlineStr">
        <is>
          <t xml:space="preserve">PNEU-DRAULICS, INCORPORATED</t>
        </is>
      </c>
      <c r="G496" s="0" t="inlineStr">
        <is>
          <t xml:space="preserve">NZLPJ3WBMDA8</t>
        </is>
      </c>
      <c r="H496" s="4">
        <v>0.034922</v>
      </c>
      <c r="I496" s="0" t="inlineStr">
        <is>
          <t xml:space="preserve">2022-08-10</t>
        </is>
      </c>
      <c r="J496" s="0" t="inlineStr">
        <is>
          <t xml:space="preserve">propulsion_power</t>
        </is>
      </c>
      <c r="K496" s="4">
        <v>1.0</v>
      </c>
      <c r="L496" s="0" t="inlineStr">
        <is>
          <t xml:space="preserve">Engineering Materials</t>
        </is>
      </c>
    </row>
    <row r="497">
      <c r="B497" s="0" t="inlineStr">
        <is>
          <t xml:space="preserve">N0002419C6402</t>
        </is>
      </c>
      <c r="C497" s="0" t="inlineStr">
        <is>
          <t xml:space="preserve">TELEDYNE BROWN ENGINEERING, INC.</t>
        </is>
      </c>
      <c r="D497" s="0" t="inlineStr">
        <is>
          <t xml:space="preserve">FBRSJB6V4LW8</t>
        </is>
      </c>
      <c r="E497" s="0" t="inlineStr">
        <is>
          <t xml:space="preserve">CZKYJKB7H9J7</t>
        </is>
      </c>
      <c r="F497" s="0" t="inlineStr">
        <is>
          <t xml:space="preserve">VEGAS FASTENER MANUFACTURING, LLC</t>
        </is>
      </c>
      <c r="G497" s="0" t="inlineStr">
        <is>
          <t xml:space="preserve">CZKYJKB7H9J7</t>
        </is>
      </c>
      <c r="H497" s="4">
        <v>0.034892679999999995</v>
      </c>
      <c r="I497" s="0" t="inlineStr">
        <is>
          <t xml:space="preserve">2023-10-24</t>
        </is>
      </c>
      <c r="J497" s="0" t="inlineStr">
        <is>
          <t xml:space="preserve">propulsion_power</t>
        </is>
      </c>
      <c r="K497" s="4">
        <v>1.3</v>
      </c>
      <c r="L497" s="0" t="inlineStr">
        <is>
          <t xml:space="preserve">Engineering services/materials</t>
        </is>
      </c>
    </row>
    <row r="498">
      <c r="B498" s="0" t="inlineStr">
        <is>
          <t xml:space="preserve">N0002419C6402</t>
        </is>
      </c>
      <c r="C498" s="0" t="inlineStr">
        <is>
          <t xml:space="preserve">TELEDYNE BROWN ENGINEERING, INC.</t>
        </is>
      </c>
      <c r="D498" s="0" t="inlineStr">
        <is>
          <t xml:space="preserve">FBRSJB6V4LW8</t>
        </is>
      </c>
      <c r="E498" s="0" t="inlineStr">
        <is>
          <t xml:space="preserve">RKXHNMJD8639</t>
        </is>
      </c>
      <c r="F498" s="0" t="inlineStr">
        <is>
          <t xml:space="preserve">WHITESBURG ELECTRONICS INC</t>
        </is>
      </c>
      <c r="G498" s="0" t="inlineStr">
        <is>
          <t xml:space="preserve">RKXHNMJD8639</t>
        </is>
      </c>
      <c r="H498" s="4">
        <v>0.034866</v>
      </c>
      <c r="I498" s="0" t="inlineStr">
        <is>
          <t xml:space="preserve">2025-02-24</t>
        </is>
      </c>
      <c r="J498" s="0" t="inlineStr">
        <is>
          <t xml:space="preserve">propulsion_power</t>
        </is>
      </c>
      <c r="K498" s="4">
        <v>1.2</v>
      </c>
      <c r="L498" s="0" t="inlineStr">
        <is>
          <t xml:space="preserve">Engineering Services and Materials</t>
        </is>
      </c>
    </row>
    <row r="499">
      <c r="B499" s="0" t="inlineStr">
        <is>
          <t xml:space="preserve">N0002419C6402</t>
        </is>
      </c>
      <c r="C499" s="0" t="inlineStr">
        <is>
          <t xml:space="preserve">TELEDYNE BROWN ENGINEERING, INC.</t>
        </is>
      </c>
      <c r="D499" s="0" t="inlineStr">
        <is>
          <t xml:space="preserve">FBRSJB6V4LW8</t>
        </is>
      </c>
      <c r="E499" s="0" t="inlineStr">
        <is>
          <t xml:space="preserve">RU42J22YFWW5</t>
        </is>
      </c>
      <c r="F499" s="0" t="inlineStr">
        <is>
          <t xml:space="preserve">STS OPERATING, INC.</t>
        </is>
      </c>
      <c r="G499" s="0" t="inlineStr">
        <is>
          <t xml:space="preserve">GEZPNX8Q2RM3</t>
        </is>
      </c>
      <c r="H499" s="4">
        <v>0.034784999999999996</v>
      </c>
      <c r="I499" s="0" t="inlineStr">
        <is>
          <t xml:space="preserve">2021-04-23</t>
        </is>
      </c>
      <c r="J499" s="0" t="inlineStr">
        <is>
          <t xml:space="preserve">propulsion_power</t>
        </is>
      </c>
      <c r="K499" s="4">
        <v>0.3</v>
      </c>
      <c r="L499" s="0" t="inlineStr">
        <is>
          <t xml:space="preserve">Engineering services/materials</t>
        </is>
      </c>
    </row>
    <row r="500">
      <c r="B500" s="0" t="inlineStr">
        <is>
          <t xml:space="preserve">N0002419C6402</t>
        </is>
      </c>
      <c r="C500" s="0" t="inlineStr">
        <is>
          <t xml:space="preserve">TELEDYNE BROWN ENGINEERING, INC.</t>
        </is>
      </c>
      <c r="D500" s="0" t="inlineStr">
        <is>
          <t xml:space="preserve">FBRSJB6V4LW8</t>
        </is>
      </c>
      <c r="E500" s="0" t="inlineStr">
        <is>
          <t xml:space="preserve">XNHRXR2HTXA8</t>
        </is>
      </c>
      <c r="F500" s="0" t="inlineStr">
        <is>
          <t xml:space="preserve">BEAUFORT COMPOSITE TECHNOLOGIES, INC.</t>
        </is>
      </c>
      <c r="G500" s="0" t="inlineStr">
        <is>
          <t xml:space="preserve">XNHRXR2HTXA8</t>
        </is>
      </c>
      <c r="H500" s="4">
        <v>0.03444</v>
      </c>
      <c r="I500" s="0" t="inlineStr">
        <is>
          <t xml:space="preserve">2024-10-01</t>
        </is>
      </c>
      <c r="J500" s="0" t="inlineStr">
        <is>
          <t xml:space="preserve">platform_hull</t>
        </is>
      </c>
      <c r="K500" s="4">
        <v>1.2</v>
      </c>
      <c r="L500" s="0" t="inlineStr">
        <is>
          <t xml:space="preserve">Engineering services/materials</t>
        </is>
      </c>
    </row>
    <row r="501">
      <c r="B501" s="0" t="inlineStr">
        <is>
          <t xml:space="preserve">N0002419C6402</t>
        </is>
      </c>
      <c r="C501" s="0" t="inlineStr">
        <is>
          <t xml:space="preserve">TELEDYNE BROWN ENGINEERING, INC.</t>
        </is>
      </c>
      <c r="D501" s="0" t="inlineStr">
        <is>
          <t xml:space="preserve">FBRSJB6V4LW8</t>
        </is>
      </c>
      <c r="E501" s="0" t="inlineStr">
        <is>
          <t xml:space="preserve">M34VC7UDBDE6</t>
        </is>
      </c>
      <c r="F501" s="0" t="inlineStr">
        <is>
          <t xml:space="preserve">ADL EMBEDDED SOLUTIONS INC</t>
        </is>
      </c>
      <c r="G501" s="0" t="inlineStr">
        <is>
          <t xml:space="preserve">M34VC7UDBDE6</t>
        </is>
      </c>
      <c r="H501" s="4">
        <v>0.034415999999999995</v>
      </c>
      <c r="I501" s="0" t="inlineStr">
        <is>
          <t xml:space="preserve">2023-02-27</t>
        </is>
      </c>
      <c r="J501" s="0" t="inlineStr">
        <is>
          <t xml:space="preserve">propulsion_power</t>
        </is>
      </c>
      <c r="K501" s="4">
        <v>0.2</v>
      </c>
      <c r="L501" s="0" t="inlineStr">
        <is>
          <t xml:space="preserve">Engineering services/materials</t>
        </is>
      </c>
    </row>
    <row r="502">
      <c r="B502" s="0" t="inlineStr">
        <is>
          <t xml:space="preserve">N0002419C6402</t>
        </is>
      </c>
      <c r="C502" s="0" t="inlineStr">
        <is>
          <t xml:space="preserve">TELEDYNE BROWN ENGINEERING, INC.</t>
        </is>
      </c>
      <c r="D502" s="0" t="inlineStr">
        <is>
          <t xml:space="preserve">FBRSJB6V4LW8</t>
        </is>
      </c>
      <c r="E502" s="0" t="inlineStr">
        <is>
          <t xml:space="preserve">XNHRXR2HTXA8</t>
        </is>
      </c>
      <c r="F502" s="0" t="inlineStr">
        <is>
          <t xml:space="preserve">BEAUFORT COMPOSITE TECHNOLOGIES, INC</t>
        </is>
      </c>
      <c r="G502" s="0" t="inlineStr">
        <is>
          <t xml:space="preserve">XNHRXR2HTXA8</t>
        </is>
      </c>
      <c r="H502" s="4">
        <v>0.034319999999999996</v>
      </c>
      <c r="I502" s="0" t="inlineStr">
        <is>
          <t xml:space="preserve">2021-08-04</t>
        </is>
      </c>
      <c r="J502" s="0" t="inlineStr">
        <is>
          <t xml:space="preserve">platform_hull</t>
        </is>
      </c>
      <c r="K502" s="4">
        <v>1.0</v>
      </c>
      <c r="L502" s="0" t="inlineStr">
        <is>
          <t xml:space="preserve">Engineering materials</t>
        </is>
      </c>
    </row>
    <row r="503">
      <c r="B503" s="0" t="inlineStr">
        <is>
          <t xml:space="preserve">N0001421C1009</t>
        </is>
      </c>
      <c r="C503" s="0" t="inlineStr">
        <is>
          <t xml:space="preserve">RAYTHEON COMPANY</t>
        </is>
      </c>
      <c r="D503" s="0" t="inlineStr">
        <is>
          <t xml:space="preserve">VTEWM5QSE598</t>
        </is>
      </c>
      <c r="E503" s="0" t="inlineStr">
        <is>
          <t xml:space="preserve">UZ6EFJJNEFT3</t>
        </is>
      </c>
      <c r="F503" s="0" t="inlineStr">
        <is>
          <t xml:space="preserve">EACO CORPORATION</t>
        </is>
      </c>
      <c r="G503" s="0" t="inlineStr">
        <is>
          <t xml:space="preserve">KEDSLQ7YAC95</t>
        </is>
      </c>
      <c r="H503" s="4">
        <v>0.0343</v>
      </c>
      <c r="I503" s="0" t="inlineStr">
        <is>
          <t xml:space="preserve">2021-11-01</t>
        </is>
      </c>
      <c r="J503" s="0" t="inlineStr">
        <is>
          <t xml:space="preserve">other_unclassified</t>
        </is>
      </c>
      <c r="K503" s="4">
        <v>29.7</v>
      </c>
      <c r="L503" s="0" t="inlineStr">
        <is>
          <t xml:space="preserve">Cylindricl Connector, Hermetic Connectors.</t>
        </is>
      </c>
    </row>
    <row r="504">
      <c r="B504" s="0" t="inlineStr">
        <is>
          <t xml:space="preserve">N0001421C1009</t>
        </is>
      </c>
      <c r="C504" s="0" t="inlineStr">
        <is>
          <t xml:space="preserve">RAYTHEON COMPANY</t>
        </is>
      </c>
      <c r="D504" s="0" t="inlineStr">
        <is>
          <t xml:space="preserve">VTEWM5QSE598</t>
        </is>
      </c>
      <c r="E504" s="0" t="inlineStr">
        <is>
          <t xml:space="preserve">UZ6EFJJNEFT3</t>
        </is>
      </c>
      <c r="F504" s="0" t="inlineStr">
        <is>
          <t xml:space="preserve">EACO CORPORATION</t>
        </is>
      </c>
      <c r="G504" s="0" t="inlineStr">
        <is>
          <t xml:space="preserve">KEDSLQ7YAC95</t>
        </is>
      </c>
      <c r="H504" s="4">
        <v>0.0343</v>
      </c>
      <c r="I504" s="0" t="inlineStr">
        <is>
          <t xml:space="preserve">2021-11-01</t>
        </is>
      </c>
      <c r="J504" s="0" t="inlineStr">
        <is>
          <t xml:space="preserve">other_unclassified</t>
        </is>
      </c>
      <c r="K504" s="4">
        <v>17.3</v>
      </c>
      <c r="L504" s="0" t="inlineStr">
        <is>
          <t xml:space="preserve">Cylindricl Connector, Hermetic Connectors.</t>
        </is>
      </c>
    </row>
    <row r="505">
      <c r="B505" s="0" t="inlineStr">
        <is>
          <t xml:space="preserve">N0001421C1009</t>
        </is>
      </c>
      <c r="C505" s="0" t="inlineStr">
        <is>
          <t xml:space="preserve">RAYTHEON COMPANY</t>
        </is>
      </c>
      <c r="D505" s="0" t="inlineStr">
        <is>
          <t xml:space="preserve">VTEWM5QSE598</t>
        </is>
      </c>
      <c r="E505" s="0" t="inlineStr">
        <is>
          <t xml:space="preserve">UZ6EFJJNEFT3</t>
        </is>
      </c>
      <c r="F505" s="0" t="inlineStr">
        <is>
          <t xml:space="preserve">EACO CORPORATION</t>
        </is>
      </c>
      <c r="G505" s="0" t="inlineStr">
        <is>
          <t xml:space="preserve">KEDSLQ7YAC95</t>
        </is>
      </c>
      <c r="H505" s="4">
        <v>0.0343</v>
      </c>
      <c r="I505" s="0" t="inlineStr">
        <is>
          <t xml:space="preserve">2021-11-01</t>
        </is>
      </c>
      <c r="J505" s="0" t="inlineStr">
        <is>
          <t xml:space="preserve">other_unclassified</t>
        </is>
      </c>
      <c r="K505" s="4">
        <v>10.0</v>
      </c>
      <c r="L505" s="0" t="inlineStr">
        <is>
          <t xml:space="preserve">Cylindricl Connector, Hermetic Connectors.</t>
        </is>
      </c>
    </row>
    <row r="506">
      <c r="B506" s="0" t="inlineStr">
        <is>
          <t xml:space="preserve">N0001421C1009</t>
        </is>
      </c>
      <c r="C506" s="0" t="inlineStr">
        <is>
          <t xml:space="preserve">RAYTHEON COMPANY</t>
        </is>
      </c>
      <c r="D506" s="0" t="inlineStr">
        <is>
          <t xml:space="preserve">VTEWM5QSE598</t>
        </is>
      </c>
      <c r="E506" s="0" t="inlineStr">
        <is>
          <t xml:space="preserve">UZ6EFJJNEFT3</t>
        </is>
      </c>
      <c r="F506" s="0" t="inlineStr">
        <is>
          <t xml:space="preserve">EACO CORPORATION</t>
        </is>
      </c>
      <c r="G506" s="0" t="inlineStr">
        <is>
          <t xml:space="preserve">KEDSLQ7YAC95</t>
        </is>
      </c>
      <c r="H506" s="4">
        <v>0.0343</v>
      </c>
      <c r="I506" s="0" t="inlineStr">
        <is>
          <t xml:space="preserve">2021-11-01</t>
        </is>
      </c>
      <c r="J506" s="0" t="inlineStr">
        <is>
          <t xml:space="preserve">other_unclassified</t>
        </is>
      </c>
      <c r="K506" s="4">
        <v>1.4</v>
      </c>
      <c r="L506" s="0" t="inlineStr">
        <is>
          <t xml:space="preserve">Cylindricl Connector, Hermetic Connectors.</t>
        </is>
      </c>
    </row>
    <row r="507">
      <c r="B507" s="0" t="inlineStr">
        <is>
          <t xml:space="preserve">N0002419C6402</t>
        </is>
      </c>
      <c r="C507" s="0" t="inlineStr">
        <is>
          <t xml:space="preserve">TELEDYNE BROWN ENGINEERING, INC.</t>
        </is>
      </c>
      <c r="D507" s="0" t="inlineStr">
        <is>
          <t xml:space="preserve">FBRSJB6V4LW8</t>
        </is>
      </c>
      <c r="E507" s="0" t="inlineStr">
        <is>
          <t xml:space="preserve">XNHRXR2HTXA8</t>
        </is>
      </c>
      <c r="F507" s="0" t="inlineStr">
        <is>
          <t xml:space="preserve">BEAUFORT COMPOSITE TECHNOLOGIES, INC</t>
        </is>
      </c>
      <c r="G507" s="0" t="inlineStr">
        <is>
          <t xml:space="preserve">XNHRXR2HTXA8</t>
        </is>
      </c>
      <c r="H507" s="4">
        <v>0.03427</v>
      </c>
      <c r="I507" s="0" t="inlineStr">
        <is>
          <t xml:space="preserve">2022-05-13</t>
        </is>
      </c>
      <c r="J507" s="0" t="inlineStr">
        <is>
          <t xml:space="preserve">platform_hull</t>
        </is>
      </c>
      <c r="K507" s="4">
        <v>0.7</v>
      </c>
      <c r="L507" s="0" t="inlineStr">
        <is>
          <t xml:space="preserve">Engineering services/materials</t>
        </is>
      </c>
    </row>
    <row r="508">
      <c r="B508" s="0" t="inlineStr">
        <is>
          <t xml:space="preserve">N0002416C4112</t>
        </is>
      </c>
      <c r="C508" s="0" t="inlineStr">
        <is>
          <t xml:space="preserve">HUNTINGTON INGALLS INC</t>
        </is>
      </c>
      <c r="D508" s="0" t="inlineStr">
        <is>
          <t xml:space="preserve">WMXDDH6HJNA5</t>
        </is>
      </c>
      <c r="E508" s="0" t="inlineStr">
        <is>
          <t xml:space="preserve">MNDWMVCNEGC9</t>
        </is>
      </c>
      <c r="F508" s="0" t="inlineStr">
        <is>
          <t xml:space="preserve">PLASTOCOR, INC.</t>
        </is>
      </c>
      <c r="G508" s="0" t="inlineStr">
        <is>
          <t xml:space="preserve">MNDWMVCNEGC9</t>
        </is>
      </c>
      <c r="H508" s="4">
        <v>0.034253889999999995</v>
      </c>
      <c r="I508" s="0" t="inlineStr">
        <is>
          <t xml:space="preserve">2018-01-24</t>
        </is>
      </c>
      <c r="J508" s="0" t="inlineStr">
        <is>
          <t xml:space="preserve">other_unclassified</t>
        </is>
      </c>
      <c r="K508" s="4">
        <v>1.0</v>
      </c>
      <c r="L508" s="0" t="inlineStr">
        <is>
          <t xml:space="preserve">Plastocor #1 AGEC; ITEM #1</t>
        </is>
      </c>
    </row>
    <row r="509">
      <c r="B509" s="0" t="inlineStr">
        <is>
          <t xml:space="preserve">N6660418F3022</t>
        </is>
      </c>
      <c r="C509" s="0" t="inlineStr">
        <is>
          <t xml:space="preserve">SERCO-IPS CORPORATION</t>
        </is>
      </c>
      <c r="D509" s="0" t="inlineStr">
        <is>
          <t xml:space="preserve">RGEBPDP8RV96</t>
        </is>
      </c>
      <c r="E509" s="0" t="inlineStr">
        <is>
          <t xml:space="preserve">RGD9DYZKCNT6</t>
        </is>
      </c>
      <c r="F509" s="0" t="inlineStr">
        <is>
          <t xml:space="preserve">RYAN MARINE INC</t>
        </is>
      </c>
      <c r="G509" s="0" t="inlineStr">
        <is>
          <t xml:space="preserve">RGD9DYZKCNT6</t>
        </is>
      </c>
      <c r="H509" s="4">
        <v>0.034132199999999994</v>
      </c>
      <c r="I509" s="0" t="inlineStr">
        <is>
          <t xml:space="preserve">2022-09-12</t>
        </is>
      </c>
      <c r="J509" s="0" t="inlineStr">
        <is>
          <t xml:space="preserve">other_unclassified</t>
        </is>
      </c>
      <c r="K509" s="4">
        <v>13.6</v>
      </c>
      <c r="L509" s="0" t="inlineStr">
        <is>
          <t xml:space="preserve">Services</t>
        </is>
      </c>
    </row>
    <row r="510">
      <c r="B510" s="0" t="inlineStr">
        <is>
          <t xml:space="preserve">N0002419C6402</t>
        </is>
      </c>
      <c r="C510" s="0" t="inlineStr">
        <is>
          <t xml:space="preserve">TELEDYNE BROWN ENGINEERING, INC.</t>
        </is>
      </c>
      <c r="D510" s="0" t="inlineStr">
        <is>
          <t xml:space="preserve">FBRSJB6V4LW8</t>
        </is>
      </c>
      <c r="E510" s="0" t="inlineStr">
        <is>
          <t xml:space="preserve">LWUJSY6EEMS5</t>
        </is>
      </c>
      <c r="F510" s="0" t="inlineStr">
        <is>
          <t xml:space="preserve">CITY ELECTRIC SUPPLY COMPANY</t>
        </is>
      </c>
      <c r="G510" s="0" t="inlineStr">
        <is>
          <t xml:space="preserve">KRAXBTD7QSS9</t>
        </is>
      </c>
      <c r="H510" s="4">
        <v>0.03383825</v>
      </c>
      <c r="I510" s="0" t="inlineStr">
        <is>
          <t xml:space="preserve">2025-07-31</t>
        </is>
      </c>
      <c r="J510" s="0" t="inlineStr">
        <is>
          <t xml:space="preserve">propulsion_power</t>
        </is>
      </c>
      <c r="K510" s="4">
        <v>1.2</v>
      </c>
      <c r="L510" s="0" t="inlineStr">
        <is>
          <t xml:space="preserve">Engineering Services/Materials</t>
        </is>
      </c>
    </row>
    <row r="511">
      <c r="B511" s="0" t="inlineStr">
        <is>
          <t xml:space="preserve">N0002419C6402</t>
        </is>
      </c>
      <c r="C511" s="0" t="inlineStr">
        <is>
          <t xml:space="preserve">TELEDYNE BROWN ENGINEERING, INC.</t>
        </is>
      </c>
      <c r="D511" s="0" t="inlineStr">
        <is>
          <t xml:space="preserve">FBRSJB6V4LW8</t>
        </is>
      </c>
      <c r="E511" s="0" t="inlineStr">
        <is>
          <t xml:space="preserve">XV7MNKF4D875</t>
        </is>
      </c>
      <c r="F511" s="0" t="inlineStr">
        <is>
          <t xml:space="preserve">VISHAY PRECISION GROUP, INC.</t>
        </is>
      </c>
      <c r="G511" s="0" t="inlineStr">
        <is>
          <t xml:space="preserve">Y73ZMJYHJTZ5</t>
        </is>
      </c>
      <c r="H511" s="4">
        <v>0.033749999999999995</v>
      </c>
      <c r="I511" s="0" t="inlineStr">
        <is>
          <t xml:space="preserve">2022-02-22</t>
        </is>
      </c>
      <c r="J511" s="0" t="inlineStr">
        <is>
          <t xml:space="preserve">propulsion_power</t>
        </is>
      </c>
      <c r="K511" s="4">
        <v>0.3</v>
      </c>
      <c r="L511" s="0" t="inlineStr">
        <is>
          <t xml:space="preserve">Engineering materials/services</t>
        </is>
      </c>
    </row>
    <row r="512">
      <c r="B512" s="0" t="inlineStr">
        <is>
          <t xml:space="preserve">N0003921F2173</t>
        </is>
      </c>
      <c r="C512" s="0" t="inlineStr">
        <is>
          <t xml:space="preserve">TELEDYNE BROWN ENGINEERING, INC.</t>
        </is>
      </c>
      <c r="D512" s="0" t="inlineStr">
        <is>
          <t xml:space="preserve">FBRSJB6V4LW8</t>
        </is>
      </c>
      <c r="E512" s="0" t="inlineStr">
        <is>
          <t xml:space="preserve">GNF1HLLEJDK3</t>
        </is>
      </c>
      <c r="F512" s="0" t="inlineStr">
        <is>
          <t xml:space="preserve">CKS TECHNOLOGIES, LLC</t>
        </is>
      </c>
      <c r="G512" s="0" t="inlineStr">
        <is>
          <t xml:space="preserve">GNF1HLLEJDK3</t>
        </is>
      </c>
      <c r="H512" s="4">
        <v>0.033749999999999995</v>
      </c>
      <c r="I512" s="0" t="inlineStr">
        <is>
          <t xml:space="preserve">2021-09-30</t>
        </is>
      </c>
      <c r="J512" s="0" t="inlineStr">
        <is>
          <t xml:space="preserve">propulsion_power</t>
        </is>
      </c>
      <c r="K512" s="4">
        <v>0.0</v>
      </c>
      <c r="L512" s="0" t="inlineStr">
        <is>
          <t xml:space="preserve">Engineering services</t>
        </is>
      </c>
    </row>
    <row r="513">
      <c r="B513" s="0" t="inlineStr">
        <is>
          <t xml:space="preserve">N6660418F3022</t>
        </is>
      </c>
      <c r="C513" s="0" t="inlineStr">
        <is>
          <t xml:space="preserve">SERCO-IPS CORPORATION</t>
        </is>
      </c>
      <c r="D513" s="0" t="inlineStr">
        <is>
          <t xml:space="preserve">RGEBPDP8RV96</t>
        </is>
      </c>
      <c r="E513" s="0" t="inlineStr">
        <is>
          <t xml:space="preserve">RGD9DYZKCNT6</t>
        </is>
      </c>
      <c r="F513" s="0" t="inlineStr">
        <is>
          <t xml:space="preserve">RYAN MARINE INC</t>
        </is>
      </c>
      <c r="G513" s="0" t="inlineStr">
        <is>
          <t xml:space="preserve">RGD9DYZKCNT6</t>
        </is>
      </c>
      <c r="H513" s="4">
        <v>0.033541999999999995</v>
      </c>
      <c r="I513" s="0" t="inlineStr">
        <is>
          <t xml:space="preserve">2023-04-25</t>
        </is>
      </c>
      <c r="J513" s="0" t="inlineStr">
        <is>
          <t xml:space="preserve">other_unclassified</t>
        </is>
      </c>
      <c r="K513" s="4">
        <v>13.2</v>
      </c>
      <c r="L513" s="0" t="inlineStr">
        <is>
          <t xml:space="preserve">Services</t>
        </is>
      </c>
    </row>
    <row r="514">
      <c r="B514" s="0" t="inlineStr">
        <is>
          <t xml:space="preserve">N0002419C6402</t>
        </is>
      </c>
      <c r="C514" s="0" t="inlineStr">
        <is>
          <t xml:space="preserve">TELEDYNE BROWN ENGINEERING, INC.</t>
        </is>
      </c>
      <c r="D514" s="0" t="inlineStr">
        <is>
          <t xml:space="preserve">FBRSJB6V4LW8</t>
        </is>
      </c>
      <c r="E514" s="0" t="inlineStr">
        <is>
          <t xml:space="preserve">XNHRXR2HTXA8</t>
        </is>
      </c>
      <c r="F514" s="0" t="inlineStr">
        <is>
          <t xml:space="preserve">BEAUFORT COMPOSITE TECHNOLOGIES, INC.</t>
        </is>
      </c>
      <c r="G514" s="0" t="inlineStr">
        <is>
          <t xml:space="preserve">XNHRXR2HTXA8</t>
        </is>
      </c>
      <c r="H514" s="4">
        <v>0.033499999999999995</v>
      </c>
      <c r="I514" s="0" t="inlineStr">
        <is>
          <t xml:space="preserve">2025-07-19</t>
        </is>
      </c>
      <c r="J514" s="0" t="inlineStr">
        <is>
          <t xml:space="preserve">platform_hull</t>
        </is>
      </c>
      <c r="K514" s="4">
        <v>0.3</v>
      </c>
      <c r="L514" s="0" t="inlineStr">
        <is>
          <t xml:space="preserve">Engineering Services/Materials</t>
        </is>
      </c>
    </row>
    <row r="515">
      <c r="B515" s="0" t="inlineStr">
        <is>
          <t xml:space="preserve">N0002419C6402</t>
        </is>
      </c>
      <c r="C515" s="0" t="inlineStr">
        <is>
          <t xml:space="preserve">TELEDYNE BROWN ENGINEERING, INC.</t>
        </is>
      </c>
      <c r="D515" s="0" t="inlineStr">
        <is>
          <t xml:space="preserve">FBRSJB6V4LW8</t>
        </is>
      </c>
      <c r="E515" s="0" t="inlineStr">
        <is>
          <t xml:space="preserve">WSC2LAM3F749</t>
        </is>
      </c>
      <c r="F515" s="0" t="inlineStr">
        <is>
          <t xml:space="preserve">HILLPRO LLC</t>
        </is>
      </c>
      <c r="G515" s="0" t="inlineStr">
        <is>
          <t xml:space="preserve">CHKUMRQFRMT8</t>
        </is>
      </c>
      <c r="H515" s="4">
        <v>0.033493</v>
      </c>
      <c r="I515" s="0" t="inlineStr">
        <is>
          <t xml:space="preserve">2023-06-15</t>
        </is>
      </c>
      <c r="J515" s="0" t="inlineStr">
        <is>
          <t xml:space="preserve">propulsion_power</t>
        </is>
      </c>
      <c r="K515" s="4">
        <v>1.5</v>
      </c>
      <c r="L515" s="0" t="inlineStr">
        <is>
          <t xml:space="preserve">Engineering services/materials</t>
        </is>
      </c>
    </row>
    <row r="516">
      <c r="B516" s="0" t="inlineStr">
        <is>
          <t xml:space="preserve">N0002419C6402</t>
        </is>
      </c>
      <c r="C516" s="0" t="inlineStr">
        <is>
          <t xml:space="preserve">TELEDYNE BROWN ENGINEERING, INC.</t>
        </is>
      </c>
      <c r="D516" s="0" t="inlineStr">
        <is>
          <t xml:space="preserve">FBRSJB6V4LW8</t>
        </is>
      </c>
      <c r="E516" s="0" t="inlineStr">
        <is>
          <t xml:space="preserve">XNHRXR2HTXA8</t>
        </is>
      </c>
      <c r="F516" s="0" t="inlineStr">
        <is>
          <t xml:space="preserve">BEAUFORT COMPOSITE TECHNOLOGIES, INC</t>
        </is>
      </c>
      <c r="G516" s="0" t="inlineStr">
        <is>
          <t xml:space="preserve">XNHRXR2HTXA8</t>
        </is>
      </c>
      <c r="H516" s="4">
        <v>0.03344</v>
      </c>
      <c r="I516" s="0" t="inlineStr">
        <is>
          <t xml:space="preserve">2021-10-04</t>
        </is>
      </c>
      <c r="J516" s="0" t="inlineStr">
        <is>
          <t xml:space="preserve">platform_hull</t>
        </is>
      </c>
      <c r="K516" s="4">
        <v>1.2</v>
      </c>
      <c r="L516" s="0" t="inlineStr">
        <is>
          <t xml:space="preserve">Engineering materials</t>
        </is>
      </c>
    </row>
    <row r="517">
      <c r="B517" s="0" t="inlineStr">
        <is>
          <t xml:space="preserve">N0002419C6402</t>
        </is>
      </c>
      <c r="C517" s="0" t="inlineStr">
        <is>
          <t xml:space="preserve">TELEDYNE BROWN ENGINEERING, INC.</t>
        </is>
      </c>
      <c r="D517" s="0" t="inlineStr">
        <is>
          <t xml:space="preserve">FBRSJB6V4LW8</t>
        </is>
      </c>
      <c r="E517" s="0" t="inlineStr">
        <is>
          <t xml:space="preserve">XNHRXR2HTXA8</t>
        </is>
      </c>
      <c r="F517" s="0" t="inlineStr">
        <is>
          <t xml:space="preserve">BEAUFORT COMPOSITE TECHNOLOGIES, INC</t>
        </is>
      </c>
      <c r="G517" s="0" t="inlineStr">
        <is>
          <t xml:space="preserve">XNHRXR2HTXA8</t>
        </is>
      </c>
      <c r="H517" s="4">
        <v>0.03344</v>
      </c>
      <c r="I517" s="0" t="inlineStr">
        <is>
          <t xml:space="preserve">2021-03-10</t>
        </is>
      </c>
      <c r="J517" s="0" t="inlineStr">
        <is>
          <t xml:space="preserve">platform_hull</t>
        </is>
      </c>
      <c r="K517" s="4">
        <v>0.9</v>
      </c>
      <c r="L517" s="0" t="inlineStr">
        <is>
          <t xml:space="preserve">Engineering services/materials</t>
        </is>
      </c>
    </row>
    <row r="518">
      <c r="B518" s="0" t="inlineStr">
        <is>
          <t xml:space="preserve">N0002419C6402</t>
        </is>
      </c>
      <c r="C518" s="0" t="inlineStr">
        <is>
          <t xml:space="preserve">TELEDYNE BROWN ENGINEERING, INC.</t>
        </is>
      </c>
      <c r="D518" s="0" t="inlineStr">
        <is>
          <t xml:space="preserve">FBRSJB6V4LW8</t>
        </is>
      </c>
      <c r="E518" s="0" t="inlineStr">
        <is>
          <t xml:space="preserve">TF2HVUYPRMV1</t>
        </is>
      </c>
      <c r="F518" s="0" t="inlineStr">
        <is>
          <t xml:space="preserve">CHASE SUPPLY, INC.</t>
        </is>
      </c>
      <c r="G518" s="0" t="inlineStr">
        <is>
          <t xml:space="preserve">TF2HVUYPRMV1</t>
        </is>
      </c>
      <c r="H518" s="4">
        <v>0.033435</v>
      </c>
      <c r="I518" s="0" t="inlineStr">
        <is>
          <t xml:space="preserve">2024-01-05</t>
        </is>
      </c>
      <c r="J518" s="0" t="inlineStr">
        <is>
          <t xml:space="preserve">propulsion_power</t>
        </is>
      </c>
      <c r="K518" s="4">
        <v>1.5</v>
      </c>
      <c r="L518" s="0" t="inlineStr">
        <is>
          <t xml:space="preserve">Engineering services and materials</t>
        </is>
      </c>
    </row>
    <row r="519">
      <c r="B519" s="0" t="inlineStr">
        <is>
          <t xml:space="preserve">N0002419C6402</t>
        </is>
      </c>
      <c r="C519" s="0" t="inlineStr">
        <is>
          <t xml:space="preserve">TELEDYNE BROWN ENGINEERING, INC.</t>
        </is>
      </c>
      <c r="D519" s="0" t="inlineStr">
        <is>
          <t xml:space="preserve">FBRSJB6V4LW8</t>
        </is>
      </c>
      <c r="E519" s="0" t="inlineStr">
        <is>
          <t xml:space="preserve">CJGFRMQ3CDM4</t>
        </is>
      </c>
      <c r="F519" s="0" t="inlineStr">
        <is>
          <t xml:space="preserve">APEX SPECIALTY METALS, INC.</t>
        </is>
      </c>
      <c r="G519" s="0" t="inlineStr">
        <is>
          <t xml:space="preserve">CJGFRMQ3CDM4</t>
        </is>
      </c>
      <c r="H519" s="4">
        <v>0.033271</v>
      </c>
      <c r="I519" s="0" t="inlineStr">
        <is>
          <t xml:space="preserve">2023-11-08</t>
        </is>
      </c>
      <c r="J519" s="0" t="inlineStr">
        <is>
          <t xml:space="preserve">propulsion_power</t>
        </is>
      </c>
      <c r="K519" s="4">
        <v>1.7</v>
      </c>
      <c r="L519" s="0" t="inlineStr">
        <is>
          <t xml:space="preserve">Engineering services/materials</t>
        </is>
      </c>
    </row>
    <row r="520">
      <c r="B520" s="0" t="inlineStr">
        <is>
          <t xml:space="preserve">N0002419C6402</t>
        </is>
      </c>
      <c r="C520" s="0" t="inlineStr">
        <is>
          <t xml:space="preserve">TELEDYNE BROWN ENGINEERING, INC.</t>
        </is>
      </c>
      <c r="D520" s="0" t="inlineStr">
        <is>
          <t xml:space="preserve">FBRSJB6V4LW8</t>
        </is>
      </c>
      <c r="E520" s="0" t="inlineStr">
        <is>
          <t xml:space="preserve">UZ6EFJJNEFT3</t>
        </is>
      </c>
      <c r="F520" s="0" t="inlineStr">
        <is>
          <t xml:space="preserve">EACO CORPORATION</t>
        </is>
      </c>
      <c r="G520" s="0" t="inlineStr">
        <is>
          <t xml:space="preserve">TAHNTWE2BVN1</t>
        </is>
      </c>
      <c r="H520" s="4">
        <v>0.0330095</v>
      </c>
      <c r="I520" s="0" t="inlineStr">
        <is>
          <t xml:space="preserve">2021-05-13</t>
        </is>
      </c>
      <c r="J520" s="0" t="inlineStr">
        <is>
          <t xml:space="preserve">propulsion_power</t>
        </is>
      </c>
      <c r="K520" s="4">
        <v>0.7</v>
      </c>
      <c r="L520" s="0" t="inlineStr">
        <is>
          <t xml:space="preserve">Engineering services/materials</t>
        </is>
      </c>
    </row>
    <row r="521">
      <c r="B521" s="0" t="inlineStr">
        <is>
          <t xml:space="preserve">N0002417C4103</t>
        </is>
      </c>
      <c r="C521" s="0" t="inlineStr">
        <is>
          <t xml:space="preserve">HUNTINGTON INGALLS INC</t>
        </is>
      </c>
      <c r="D521" s="0" t="inlineStr">
        <is>
          <t xml:space="preserve">WMXDDH6HJNA5</t>
        </is>
      </c>
      <c r="E521" s="0" t="inlineStr">
        <is>
          <t xml:space="preserve">YQ9EQZJ8PKM6</t>
        </is>
      </c>
      <c r="F521" s="0" t="inlineStr">
        <is>
          <t xml:space="preserve">AUXILIARY SYSTEMS, INC.</t>
        </is>
      </c>
      <c r="G521" s="0" t="inlineStr">
        <is>
          <t xml:space="preserve">YQ9EQZJ8PKM6</t>
        </is>
      </c>
      <c r="H521" s="4">
        <v>0.033</v>
      </c>
      <c r="I521" s="0" t="inlineStr">
        <is>
          <t xml:space="preserve">2019-02-14</t>
        </is>
      </c>
      <c r="J521" s="0" t="inlineStr">
        <is>
          <t xml:space="preserve">other_unclassified</t>
        </is>
      </c>
      <c r="K521" s="4">
        <v>1.1</v>
      </c>
      <c r="L521" s="0" t="inlineStr">
        <is>
          <t xml:space="preserve">#2 REBOILER TUBE INSTALL; Item #2</t>
        </is>
      </c>
    </row>
    <row r="522">
      <c r="B522" s="0" t="inlineStr">
        <is>
          <t xml:space="preserve">N6660418F3022</t>
        </is>
      </c>
      <c r="C522" s="0" t="inlineStr">
        <is>
          <t xml:space="preserve">SERCO-IPS CORPORATION</t>
        </is>
      </c>
      <c r="D522" s="0" t="inlineStr">
        <is>
          <t xml:space="preserve">RGEBPDP8RV96</t>
        </is>
      </c>
      <c r="E522" s="0" t="inlineStr">
        <is>
          <t xml:space="preserve">YVBHN7GKLQ44</t>
        </is>
      </c>
      <c r="F522" s="0" t="inlineStr">
        <is>
          <t xml:space="preserve">Glenair, Inc.</t>
        </is>
      </c>
      <c r="G522" s="0" t="inlineStr">
        <is>
          <t xml:space="preserve">YVBHN7GKLQ44</t>
        </is>
      </c>
      <c r="H522" s="4">
        <v>0.03293292</v>
      </c>
      <c r="I522" s="0" t="inlineStr">
        <is>
          <t xml:space="preserve">2025-05-29</t>
        </is>
      </c>
      <c r="J522" s="0" t="inlineStr">
        <is>
          <t xml:space="preserve">autonomy_software</t>
        </is>
      </c>
      <c r="K522" s="4">
        <v>0.9</v>
      </c>
      <c r="L522" s="0" t="inlineStr">
        <is>
          <t xml:space="preserve">Goods</t>
        </is>
      </c>
    </row>
    <row r="523">
      <c r="B523" s="0" t="inlineStr">
        <is>
          <t xml:space="preserve">N0002417C4103</t>
        </is>
      </c>
      <c r="C523" s="0" t="inlineStr">
        <is>
          <t xml:space="preserve">HUNTINGTON INGALLS INC</t>
        </is>
      </c>
      <c r="D523" s="0" t="inlineStr">
        <is>
          <t xml:space="preserve">WMXDDH6HJNA5</t>
        </is>
      </c>
      <c r="E523" s="0" t="inlineStr">
        <is>
          <t xml:space="preserve">MJ2VYYK18NC6</t>
        </is>
      </c>
      <c r="F523" s="0" t="inlineStr">
        <is>
          <t xml:space="preserve">WORLD FUEL SERVICES CORPORATION</t>
        </is>
      </c>
      <c r="G523" s="0" t="inlineStr">
        <is>
          <t xml:space="preserve">SWV8RMFTGRG9</t>
        </is>
      </c>
      <c r="H523" s="4">
        <v>0.03293184</v>
      </c>
      <c r="I523" s="0" t="inlineStr">
        <is>
          <t xml:space="preserve">2020-08-07</t>
        </is>
      </c>
      <c r="J523" s="0" t="inlineStr">
        <is>
          <t xml:space="preserve">propulsion_power</t>
        </is>
      </c>
      <c r="K523" s="4">
        <v>1.7</v>
      </c>
      <c r="L523" s="0" t="inlineStr">
        <is>
          <t xml:space="preserve">Consumable Fuel Service - CVN77PO item #5</t>
        </is>
      </c>
    </row>
    <row r="524">
      <c r="B524" s="0" t="inlineStr">
        <is>
          <t xml:space="preserve">N0002417C4103</t>
        </is>
      </c>
      <c r="C524" s="0" t="inlineStr">
        <is>
          <t xml:space="preserve">HUNTINGTON INGALLS INC</t>
        </is>
      </c>
      <c r="D524" s="0" t="inlineStr">
        <is>
          <t xml:space="preserve">WMXDDH6HJNA5</t>
        </is>
      </c>
      <c r="E524" s="0" t="inlineStr">
        <is>
          <t xml:space="preserve">MJ2VYYK18NC6</t>
        </is>
      </c>
      <c r="F524" s="0" t="inlineStr">
        <is>
          <t xml:space="preserve">WORLD FUEL SERVICES CORPORATION</t>
        </is>
      </c>
      <c r="G524" s="0" t="inlineStr">
        <is>
          <t xml:space="preserve">SWV8RMFTGRG9</t>
        </is>
      </c>
      <c r="H524" s="4">
        <v>0.03293184</v>
      </c>
      <c r="I524" s="0" t="inlineStr">
        <is>
          <t xml:space="preserve">2020-03-09</t>
        </is>
      </c>
      <c r="J524" s="0" t="inlineStr">
        <is>
          <t xml:space="preserve">propulsion_power</t>
        </is>
      </c>
      <c r="K524" s="4">
        <v>3.6</v>
      </c>
      <c r="L524" s="0" t="inlineStr">
        <is>
          <t xml:space="preserve">Consumable Fuel Service - CVN77;item num#5</t>
        </is>
      </c>
    </row>
    <row r="525">
      <c r="B525" s="0" t="inlineStr">
        <is>
          <t xml:space="preserve">N0002419C6402</t>
        </is>
      </c>
      <c r="C525" s="0" t="inlineStr">
        <is>
          <t xml:space="preserve">TELEDYNE BROWN ENGINEERING, INC.</t>
        </is>
      </c>
      <c r="D525" s="0" t="inlineStr">
        <is>
          <t xml:space="preserve">FBRSJB6V4LW8</t>
        </is>
      </c>
      <c r="E525" s="0" t="inlineStr">
        <is>
          <t xml:space="preserve">N5HGL94UC1D6</t>
        </is>
      </c>
      <c r="F525" s="0" t="inlineStr">
        <is>
          <t xml:space="preserve">PIERCE ALUMINUM CO INC</t>
        </is>
      </c>
      <c r="G525" s="0" t="inlineStr">
        <is>
          <t xml:space="preserve">N5HGL94UC1D6</t>
        </is>
      </c>
      <c r="H525" s="4">
        <v>0.03277525</v>
      </c>
      <c r="I525" s="0" t="inlineStr">
        <is>
          <t xml:space="preserve">2022-10-07</t>
        </is>
      </c>
      <c r="J525" s="0" t="inlineStr">
        <is>
          <t xml:space="preserve">platform_hull</t>
        </is>
      </c>
      <c r="K525" s="4">
        <v>1.1</v>
      </c>
      <c r="L525" s="0" t="inlineStr">
        <is>
          <t xml:space="preserve">Engineering Services</t>
        </is>
      </c>
    </row>
    <row r="526">
      <c r="B526" s="0" t="inlineStr">
        <is>
          <t xml:space="preserve">N0002417C4103</t>
        </is>
      </c>
      <c r="C526" s="0" t="inlineStr">
        <is>
          <t xml:space="preserve">HUNTINGTON INGALLS INC</t>
        </is>
      </c>
      <c r="D526" s="0" t="inlineStr">
        <is>
          <t xml:space="preserve">WMXDDH6HJNA5</t>
        </is>
      </c>
      <c r="E526" s="0" t="inlineStr">
        <is>
          <t xml:space="preserve">XLDGHJ7SJQK8</t>
        </is>
      </c>
      <c r="F526" s="0" t="inlineStr">
        <is>
          <t xml:space="preserve">MONARCH SUPPLY COMPANY, INC.</t>
        </is>
      </c>
      <c r="G526" s="0" t="inlineStr">
        <is>
          <t xml:space="preserve">XLDGHJ7SJQK8</t>
        </is>
      </c>
      <c r="H526" s="4">
        <v>0.03267</v>
      </c>
      <c r="I526" s="0" t="inlineStr">
        <is>
          <t xml:space="preserve">2019-02-13</t>
        </is>
      </c>
      <c r="J526" s="0" t="inlineStr">
        <is>
          <t xml:space="preserve">other_unclassified</t>
        </is>
      </c>
      <c r="K526" s="4">
        <v>1.2</v>
      </c>
      <c r="L526" s="0" t="inlineStr">
        <is>
          <t xml:space="preserve">JOINT,VARIOUS,1.250 HUB DIA.,UNIVERSAL; Item #1</t>
        </is>
      </c>
    </row>
    <row r="527">
      <c r="B527" s="0" t="inlineStr">
        <is>
          <t xml:space="preserve">N0002419C6402</t>
        </is>
      </c>
      <c r="C527" s="0" t="inlineStr">
        <is>
          <t xml:space="preserve">TELEDYNE BROWN ENGINEERING, INC.</t>
        </is>
      </c>
      <c r="D527" s="0" t="inlineStr">
        <is>
          <t xml:space="preserve">FBRSJB6V4LW8</t>
        </is>
      </c>
      <c r="E527" s="0" t="inlineStr">
        <is>
          <t xml:space="preserve">CJGFRMQ3CDM4</t>
        </is>
      </c>
      <c r="F527" s="0" t="inlineStr">
        <is>
          <t xml:space="preserve">APEX SPECIALTY METALS INC</t>
        </is>
      </c>
      <c r="G527" s="0" t="inlineStr">
        <is>
          <t xml:space="preserve">CJGFRMQ3CDM4</t>
        </is>
      </c>
      <c r="H527" s="4">
        <v>0.03251875</v>
      </c>
      <c r="I527" s="0" t="inlineStr">
        <is>
          <t xml:space="preserve">2023-02-28</t>
        </is>
      </c>
      <c r="J527" s="0" t="inlineStr">
        <is>
          <t xml:space="preserve">propulsion_power</t>
        </is>
      </c>
      <c r="K527" s="4">
        <v>0.2</v>
      </c>
      <c r="L527" s="0" t="inlineStr">
        <is>
          <t xml:space="preserve">Engineering services/materials</t>
        </is>
      </c>
    </row>
    <row r="528">
      <c r="B528" s="0" t="inlineStr">
        <is>
          <t xml:space="preserve">N0002419C6402</t>
        </is>
      </c>
      <c r="C528" s="0" t="inlineStr">
        <is>
          <t xml:space="preserve">TELEDYNE BROWN ENGINEERING, INC.</t>
        </is>
      </c>
      <c r="D528" s="0" t="inlineStr">
        <is>
          <t xml:space="preserve">FBRSJB6V4LW8</t>
        </is>
      </c>
      <c r="E528" s="0" t="inlineStr">
        <is>
          <t xml:space="preserve">WA6MBG28BUQ5</t>
        </is>
      </c>
      <c r="F528" s="0" t="inlineStr">
        <is>
          <t xml:space="preserve">PPG INDUSTRIES, INC.</t>
        </is>
      </c>
      <c r="G528" s="0" t="inlineStr">
        <is>
          <t xml:space="preserve">VDAPL9GBX7J4</t>
        </is>
      </c>
      <c r="H528" s="4">
        <v>0.032421</v>
      </c>
      <c r="I528" s="0" t="inlineStr">
        <is>
          <t xml:space="preserve">2020-12-01</t>
        </is>
      </c>
      <c r="J528" s="0" t="inlineStr">
        <is>
          <t xml:space="preserve">propulsion_power</t>
        </is>
      </c>
      <c r="K528" s="4">
        <v>1.2</v>
      </c>
      <c r="L528" s="0" t="inlineStr">
        <is>
          <t xml:space="preserve">Engineering materials</t>
        </is>
      </c>
    </row>
    <row r="529">
      <c r="B529" s="0" t="inlineStr">
        <is>
          <t xml:space="preserve">N0002419C6402</t>
        </is>
      </c>
      <c r="C529" s="0" t="inlineStr">
        <is>
          <t xml:space="preserve">TELEDYNE BROWN ENGINEERING, INC.</t>
        </is>
      </c>
      <c r="D529" s="0" t="inlineStr">
        <is>
          <t xml:space="preserve">FBRSJB6V4LW8</t>
        </is>
      </c>
      <c r="E529" s="0" t="inlineStr">
        <is>
          <t xml:space="preserve">WA6MBG28BUQ5</t>
        </is>
      </c>
      <c r="F529" s="0" t="inlineStr">
        <is>
          <t xml:space="preserve">PPG INDUSTRIES, INC.</t>
        </is>
      </c>
      <c r="G529" s="0" t="inlineStr">
        <is>
          <t xml:space="preserve">VDAPL9GBX7J4</t>
        </is>
      </c>
      <c r="H529" s="4">
        <v>0.032421</v>
      </c>
      <c r="I529" s="0" t="inlineStr">
        <is>
          <t xml:space="preserve">2020-09-21</t>
        </is>
      </c>
      <c r="J529" s="0" t="inlineStr">
        <is>
          <t xml:space="preserve">propulsion_power</t>
        </is>
      </c>
      <c r="K529" s="4">
        <v>0.3</v>
      </c>
      <c r="L529" s="0" t="inlineStr">
        <is>
          <t xml:space="preserve">Engineering materials/services</t>
        </is>
      </c>
    </row>
    <row r="530">
      <c r="B530" s="0" t="inlineStr">
        <is>
          <t xml:space="preserve">N0002419C6402</t>
        </is>
      </c>
      <c r="C530" s="0" t="inlineStr">
        <is>
          <t xml:space="preserve">TELEDYNE BROWN ENGINEERING, INC.</t>
        </is>
      </c>
      <c r="D530" s="0" t="inlineStr">
        <is>
          <t xml:space="preserve">FBRSJB6V4LW8</t>
        </is>
      </c>
      <c r="E530" s="0" t="inlineStr">
        <is>
          <t xml:space="preserve">G1UFCBLM51D1</t>
        </is>
      </c>
      <c r="F530" s="0" t="inlineStr">
        <is>
          <t xml:space="preserve">ASSESSMENT AND TRAINING SOLUTIONS CONSULTING CORP.</t>
        </is>
      </c>
      <c r="G530" s="0" t="inlineStr">
        <is>
          <t xml:space="preserve">G1UFCBLM51D1</t>
        </is>
      </c>
      <c r="H530" s="4">
        <v>0.03224</v>
      </c>
      <c r="I530" s="0" t="inlineStr">
        <is>
          <t xml:space="preserve">2024-11-08</t>
        </is>
      </c>
      <c r="J530" s="0" t="inlineStr">
        <is>
          <t xml:space="preserve">autonomy_software</t>
        </is>
      </c>
      <c r="K530" s="4">
        <v>2.7</v>
      </c>
      <c r="L530" s="0" t="inlineStr">
        <is>
          <t xml:space="preserve">Engineering Services/Materials</t>
        </is>
      </c>
    </row>
    <row r="531">
      <c r="B531" s="0" t="inlineStr">
        <is>
          <t xml:space="preserve">N0002417C4103</t>
        </is>
      </c>
      <c r="C531" s="0" t="inlineStr">
        <is>
          <t xml:space="preserve">HUNTINGTON INGALLS INC</t>
        </is>
      </c>
      <c r="D531" s="0" t="inlineStr">
        <is>
          <t xml:space="preserve">WMXDDH6HJNA5</t>
        </is>
      </c>
      <c r="E531" s="0" t="inlineStr">
        <is>
          <t xml:space="preserve">W8PTMRME1496</t>
        </is>
      </c>
      <c r="F531" s="0" t="inlineStr">
        <is>
          <t xml:space="preserve">LEONARDO SPA</t>
        </is>
      </c>
      <c r="G531" s="0" t="inlineStr">
        <is>
          <t xml:space="preserve">GXPHJRVG9MR7</t>
        </is>
      </c>
      <c r="H531" s="4">
        <v>0.03221568</v>
      </c>
      <c r="I531" s="0" t="inlineStr">
        <is>
          <t xml:space="preserve">2018-06-15</t>
        </is>
      </c>
      <c r="J531" s="0" t="inlineStr">
        <is>
          <t xml:space="preserve">other_unclassified</t>
        </is>
      </c>
      <c r="K531" s="4">
        <v>1.5</v>
      </c>
      <c r="L531" s="0" t="inlineStr">
        <is>
          <t xml:space="preserve">Vendor Service/ Lugs; Item #1</t>
        </is>
      </c>
    </row>
    <row r="532">
      <c r="B532" s="0" t="inlineStr">
        <is>
          <t xml:space="preserve">N0002417C4103</t>
        </is>
      </c>
      <c r="C532" s="0" t="inlineStr">
        <is>
          <t xml:space="preserve">HUNTINGTON INGALLS INC</t>
        </is>
      </c>
      <c r="D532" s="0" t="inlineStr">
        <is>
          <t xml:space="preserve">WMXDDH6HJNA5</t>
        </is>
      </c>
      <c r="E532" s="0" t="inlineStr">
        <is>
          <t xml:space="preserve">UZGNVGQVER16</t>
        </is>
      </c>
      <c r="F532" s="0" t="inlineStr">
        <is>
          <t xml:space="preserve">INTERNATIONAL FLOORING AND PROTECTIVE COATINGS, INC.</t>
        </is>
      </c>
      <c r="G532" s="0" t="inlineStr">
        <is>
          <t xml:space="preserve">UZGNVGQVER16</t>
        </is>
      </c>
      <c r="H532" s="4">
        <v>0.032215</v>
      </c>
      <c r="I532" s="0" t="inlineStr">
        <is>
          <t xml:space="preserve">2019-03-01</t>
        </is>
      </c>
      <c r="J532" s="0" t="inlineStr">
        <is>
          <t xml:space="preserve">other_unclassified</t>
        </is>
      </c>
      <c r="K532" s="4">
        <v>1.7</v>
      </c>
      <c r="L532" s="0" t="inlineStr">
        <is>
          <t xml:space="preserve">NON-SKID REMOVAL RCP; Item #1</t>
        </is>
      </c>
    </row>
    <row r="533">
      <c r="B533" s="0" t="inlineStr">
        <is>
          <t xml:space="preserve">N6660418F3022</t>
        </is>
      </c>
      <c r="C533" s="0" t="inlineStr">
        <is>
          <t xml:space="preserve">SERCO-IPS CORPORATION</t>
        </is>
      </c>
      <c r="D533" s="0" t="inlineStr">
        <is>
          <t xml:space="preserve">RGEBPDP8RV96</t>
        </is>
      </c>
      <c r="E533" s="0" t="inlineStr">
        <is>
          <t xml:space="preserve">SLF6QBVJAD25</t>
        </is>
      </c>
      <c r="F533" s="0" t="inlineStr">
        <is>
          <t xml:space="preserve">A A PRECISION MACHINE CO., INC.</t>
        </is>
      </c>
      <c r="G533" s="0" t="inlineStr">
        <is>
          <t xml:space="preserve">SLF6QBVJAD25</t>
        </is>
      </c>
      <c r="H533" s="4">
        <v>0.032165</v>
      </c>
      <c r="I533" s="0" t="inlineStr">
        <is>
          <t xml:space="preserve">2022-04-13</t>
        </is>
      </c>
      <c r="J533" s="0" t="inlineStr">
        <is>
          <t xml:space="preserve">other_unclassified</t>
        </is>
      </c>
      <c r="K533" s="4">
        <v>18.6</v>
      </c>
      <c r="L533" s="0" t="inlineStr">
        <is>
          <t xml:space="preserve">Goods</t>
        </is>
      </c>
    </row>
    <row r="534">
      <c r="B534" s="0" t="inlineStr">
        <is>
          <t xml:space="preserve">N0002419C6402</t>
        </is>
      </c>
      <c r="C534" s="0" t="inlineStr">
        <is>
          <t xml:space="preserve">TELEDYNE BROWN ENGINEERING, INC.</t>
        </is>
      </c>
      <c r="D534" s="0" t="inlineStr">
        <is>
          <t xml:space="preserve">FBRSJB6V4LW8</t>
        </is>
      </c>
      <c r="E534" s="0" t="inlineStr">
        <is>
          <t xml:space="preserve">XNHRXR2HTXA8</t>
        </is>
      </c>
      <c r="F534" s="0" t="inlineStr">
        <is>
          <t xml:space="preserve">BEAUFORT COMPOSITE TECHNOLOGIES, INC</t>
        </is>
      </c>
      <c r="G534" s="0" t="inlineStr">
        <is>
          <t xml:space="preserve">XNHRXR2HTXA8</t>
        </is>
      </c>
      <c r="H534" s="4">
        <v>0.03216</v>
      </c>
      <c r="I534" s="0" t="inlineStr">
        <is>
          <t xml:space="preserve">2021-11-02</t>
        </is>
      </c>
      <c r="J534" s="0" t="inlineStr">
        <is>
          <t xml:space="preserve">platform_hull</t>
        </is>
      </c>
      <c r="K534" s="4">
        <v>1.0</v>
      </c>
      <c r="L534" s="0" t="inlineStr">
        <is>
          <t xml:space="preserve">Engineering services/materials</t>
        </is>
      </c>
    </row>
    <row r="535">
      <c r="B535" s="0" t="inlineStr">
        <is>
          <t xml:space="preserve">N0002419C6402</t>
        </is>
      </c>
      <c r="C535" s="0" t="inlineStr">
        <is>
          <t xml:space="preserve">TELEDYNE BROWN ENGINEERING, INC.</t>
        </is>
      </c>
      <c r="D535" s="0" t="inlineStr">
        <is>
          <t xml:space="preserve">FBRSJB6V4LW8</t>
        </is>
      </c>
      <c r="E535" s="0" t="inlineStr">
        <is>
          <t xml:space="preserve">N5HGL94UC1D6</t>
        </is>
      </c>
      <c r="F535" s="0" t="inlineStr">
        <is>
          <t xml:space="preserve">PIERCE ALUMINUM COMPANY, INC.</t>
        </is>
      </c>
      <c r="G535" s="0" t="inlineStr">
        <is>
          <t xml:space="preserve">N5HGL94UC1D6</t>
        </is>
      </c>
      <c r="H535" s="4">
        <v>0.03213</v>
      </c>
      <c r="I535" s="0" t="inlineStr">
        <is>
          <t xml:space="preserve">2020-04-24</t>
        </is>
      </c>
      <c r="J535" s="0" t="inlineStr">
        <is>
          <t xml:space="preserve">platform_hull</t>
        </is>
      </c>
      <c r="K535" s="4">
        <v>8.9</v>
      </c>
      <c r="L535" s="0" t="inlineStr">
        <is>
          <t xml:space="preserve">Engineering materials</t>
        </is>
      </c>
    </row>
    <row r="536">
      <c r="B536" s="0" t="inlineStr">
        <is>
          <t xml:space="preserve">N0002419C6402</t>
        </is>
      </c>
      <c r="C536" s="0" t="inlineStr">
        <is>
          <t xml:space="preserve">TELEDYNE BROWN ENGINEERING, INC.</t>
        </is>
      </c>
      <c r="D536" s="0" t="inlineStr">
        <is>
          <t xml:space="preserve">FBRSJB6V4LW8</t>
        </is>
      </c>
      <c r="E536" s="0" t="inlineStr">
        <is>
          <t xml:space="preserve">SQ2DSCE69F15</t>
        </is>
      </c>
      <c r="F536" s="0" t="inlineStr">
        <is>
          <t xml:space="preserve">TELEDYNE TECHNOLOGIES INCORPORATED</t>
        </is>
      </c>
      <c r="G536" s="0" t="inlineStr">
        <is>
          <t xml:space="preserve">PAH8M4BJACA5</t>
        </is>
      </c>
      <c r="H536" s="4">
        <v>0.031742</v>
      </c>
      <c r="I536" s="0" t="inlineStr">
        <is>
          <t xml:space="preserve">2021-06-30</t>
        </is>
      </c>
      <c r="J536" s="0" t="inlineStr">
        <is>
          <t xml:space="preserve">propulsion_power</t>
        </is>
      </c>
      <c r="K536" s="4">
        <v>0.3</v>
      </c>
      <c r="L536" s="0" t="inlineStr">
        <is>
          <t xml:space="preserve">Engineering services/materials</t>
        </is>
      </c>
    </row>
    <row r="537">
      <c r="B537" s="0" t="inlineStr">
        <is>
          <t xml:space="preserve">N6660425F3019</t>
        </is>
      </c>
      <c r="C537" s="0" t="inlineStr">
        <is>
          <t xml:space="preserve">SERCO INC</t>
        </is>
      </c>
      <c r="D537" s="0" t="inlineStr">
        <is>
          <t xml:space="preserve">DKJ1R5ABCN48</t>
        </is>
      </c>
      <c r="E537" s="0" t="inlineStr">
        <is>
          <t xml:space="preserve">E4G7PDVYZS83</t>
        </is>
      </c>
      <c r="F537" s="0" t="inlineStr">
        <is>
          <t xml:space="preserve">PSI SYSTEMS, INC</t>
        </is>
      </c>
      <c r="G537" s="0" t="inlineStr">
        <is>
          <t xml:space="preserve">XM6AWNS3GKW9</t>
        </is>
      </c>
      <c r="H537" s="4">
        <v>0.031671189999999995</v>
      </c>
      <c r="I537" s="0" t="inlineStr">
        <is>
          <t xml:space="preserve">2025-12-04</t>
        </is>
      </c>
      <c r="J537" s="0" t="inlineStr">
        <is>
          <t xml:space="preserve">other_unclassified</t>
        </is>
      </c>
      <c r="K537" s="4">
        <v>1.5</v>
      </c>
      <c r="L537" s="0" t="inlineStr">
        <is>
          <t xml:space="preserve">Services</t>
        </is>
      </c>
    </row>
    <row r="538">
      <c r="B538" s="0" t="inlineStr">
        <is>
          <t xml:space="preserve">N0002419C6402</t>
        </is>
      </c>
      <c r="C538" s="0" t="inlineStr">
        <is>
          <t xml:space="preserve">TELEDYNE BROWN ENGINEERING, INC.</t>
        </is>
      </c>
      <c r="D538" s="0" t="inlineStr">
        <is>
          <t xml:space="preserve">FBRSJB6V4LW8</t>
        </is>
      </c>
      <c r="E538" s="0" t="inlineStr">
        <is>
          <t xml:space="preserve">FZLAJS2MPCF6</t>
        </is>
      </c>
      <c r="F538" s="0" t="inlineStr">
        <is>
          <t xml:space="preserve">AWC, INC.</t>
        </is>
      </c>
      <c r="G538" s="0" t="inlineStr">
        <is>
          <t xml:space="preserve">FZLAJS2MPCF6</t>
        </is>
      </c>
      <c r="H538" s="4">
        <v>0.031624799999999995</v>
      </c>
      <c r="I538" s="0" t="inlineStr">
        <is>
          <t xml:space="preserve">2025-10-27</t>
        </is>
      </c>
      <c r="J538" s="0" t="inlineStr">
        <is>
          <t xml:space="preserve">propulsion_power</t>
        </is>
      </c>
      <c r="K538" s="4">
        <v>1.0</v>
      </c>
      <c r="L538" s="0" t="inlineStr">
        <is>
          <t xml:space="preserve">Engineering materials</t>
        </is>
      </c>
    </row>
    <row r="539">
      <c r="B539" s="0" t="inlineStr">
        <is>
          <t xml:space="preserve">N0002419C6402</t>
        </is>
      </c>
      <c r="C539" s="0" t="inlineStr">
        <is>
          <t xml:space="preserve">TELEDYNE BROWN ENGINEERING, INC.</t>
        </is>
      </c>
      <c r="D539" s="0" t="inlineStr">
        <is>
          <t xml:space="preserve">FBRSJB6V4LW8</t>
        </is>
      </c>
      <c r="E539" s="0" t="inlineStr">
        <is>
          <t xml:space="preserve">C2X8XB6CJJQ8</t>
        </is>
      </c>
      <c r="F539" s="0" t="inlineStr">
        <is>
          <t xml:space="preserve">FASTENAL COMPANY</t>
        </is>
      </c>
      <c r="G539" s="0" t="inlineStr">
        <is>
          <t xml:space="preserve">C2X8XB6CJJQ8</t>
        </is>
      </c>
      <c r="H539" s="4">
        <v>0.031512</v>
      </c>
      <c r="I539" s="0" t="inlineStr">
        <is>
          <t xml:space="preserve">2021-05-11</t>
        </is>
      </c>
      <c r="J539" s="0" t="inlineStr">
        <is>
          <t xml:space="preserve">propulsion_power</t>
        </is>
      </c>
      <c r="K539" s="4">
        <v>0.8</v>
      </c>
      <c r="L539" s="0" t="inlineStr">
        <is>
          <t xml:space="preserve">Engineering services/materials</t>
        </is>
      </c>
    </row>
    <row r="540">
      <c r="B540" s="0" t="inlineStr">
        <is>
          <t xml:space="preserve">N6660418F3022</t>
        </is>
      </c>
      <c r="C540" s="0" t="inlineStr">
        <is>
          <t xml:space="preserve">SERCO-IPS CORPORATION</t>
        </is>
      </c>
      <c r="D540" s="0" t="inlineStr">
        <is>
          <t xml:space="preserve">RGEBPDP8RV96</t>
        </is>
      </c>
      <c r="E540" s="0" t="inlineStr">
        <is>
          <t xml:space="preserve">M3WTFLL92KZ3</t>
        </is>
      </c>
      <c r="F540" s="0" t="inlineStr">
        <is>
          <t xml:space="preserve">DBV TECHNOLOGY, LLC</t>
        </is>
      </c>
      <c r="G540" s="0" t="inlineStr">
        <is>
          <t xml:space="preserve">M3WTFLL92KZ3</t>
        </is>
      </c>
      <c r="H540" s="4">
        <v>0.0315</v>
      </c>
      <c r="I540" s="0" t="inlineStr">
        <is>
          <t xml:space="preserve">2018-12-28</t>
        </is>
      </c>
      <c r="J540" s="0" t="inlineStr">
        <is>
          <t xml:space="preserve">other_unclassified</t>
        </is>
      </c>
      <c r="K540" s="4">
        <v>64.1</v>
      </c>
      <c r="L540" s="0" t="inlineStr">
        <is>
          <t xml:space="preserve">Services</t>
        </is>
      </c>
    </row>
    <row r="541">
      <c r="B541" s="0" t="inlineStr">
        <is>
          <t xml:space="preserve">N0002419C6402</t>
        </is>
      </c>
      <c r="C541" s="0" t="inlineStr">
        <is>
          <t xml:space="preserve">TELEDYNE BROWN ENGINEERING, INC.</t>
        </is>
      </c>
      <c r="D541" s="0" t="inlineStr">
        <is>
          <t xml:space="preserve">FBRSJB6V4LW8</t>
        </is>
      </c>
      <c r="E541" s="0" t="inlineStr">
        <is>
          <t xml:space="preserve">DL6TM8X36D63</t>
        </is>
      </c>
      <c r="F541" s="0" t="inlineStr">
        <is>
          <t xml:space="preserve">HIGHSTAR INDUSTRIAL TECHNOLOGIES, INC.</t>
        </is>
      </c>
      <c r="G541" s="0" t="inlineStr">
        <is>
          <t xml:space="preserve">DL6TM8X36D63</t>
        </is>
      </c>
      <c r="H541" s="4">
        <v>0.031391999999999996</v>
      </c>
      <c r="I541" s="0" t="inlineStr">
        <is>
          <t xml:space="preserve">2024-09-19</t>
        </is>
      </c>
      <c r="J541" s="0" t="inlineStr">
        <is>
          <t xml:space="preserve">propulsion_power</t>
        </is>
      </c>
      <c r="K541" s="4">
        <v>1.6</v>
      </c>
      <c r="L541" s="0" t="inlineStr">
        <is>
          <t xml:space="preserve">Engineering services/materials</t>
        </is>
      </c>
    </row>
    <row r="542">
      <c r="B542" s="0" t="inlineStr">
        <is>
          <t xml:space="preserve">N0002419C6402</t>
        </is>
      </c>
      <c r="C542" s="0" t="inlineStr">
        <is>
          <t xml:space="preserve">TELEDYNE BROWN ENGINEERING, INC.</t>
        </is>
      </c>
      <c r="D542" s="0" t="inlineStr">
        <is>
          <t xml:space="preserve">FBRSJB6V4LW8</t>
        </is>
      </c>
      <c r="E542" s="0" t="inlineStr">
        <is>
          <t xml:space="preserve">XNHRXR2HTXA8</t>
        </is>
      </c>
      <c r="F542" s="0" t="inlineStr">
        <is>
          <t xml:space="preserve">BEAUFORT COMPOSITE TECHNOLOGIES, INC.</t>
        </is>
      </c>
      <c r="G542" s="0" t="inlineStr">
        <is>
          <t xml:space="preserve">XNHRXR2HTXA8</t>
        </is>
      </c>
      <c r="H542" s="4">
        <v>0.03132</v>
      </c>
      <c r="I542" s="0" t="inlineStr">
        <is>
          <t xml:space="preserve">2025-02-13</t>
        </is>
      </c>
      <c r="J542" s="0" t="inlineStr">
        <is>
          <t xml:space="preserve">platform_hull</t>
        </is>
      </c>
      <c r="K542" s="4">
        <v>1.5</v>
      </c>
      <c r="L542" s="0" t="inlineStr">
        <is>
          <t xml:space="preserve">Engineering Services/Materials</t>
        </is>
      </c>
    </row>
    <row r="543">
      <c r="B543" s="0" t="inlineStr">
        <is>
          <t xml:space="preserve">N0002423F8046</t>
        </is>
      </c>
      <c r="C543" s="0" t="inlineStr">
        <is>
          <t xml:space="preserve">THE JOHNS HOPKINS UNIVERSITY APPLIED PHYSICS LABORATORY LLC</t>
        </is>
      </c>
      <c r="D543" s="0" t="inlineStr">
        <is>
          <t xml:space="preserve">C1HBCJ9RMBV3</t>
        </is>
      </c>
      <c r="E543" s="0" t="inlineStr">
        <is>
          <t xml:space="preserve">GFKFBWG2TV98</t>
        </is>
      </c>
      <c r="F543" s="0" t="inlineStr">
        <is>
          <t xml:space="preserve">WOODS HOLE OCEANOGRAPHIC INSTITUTION</t>
        </is>
      </c>
      <c r="G543" s="0" t="inlineStr">
        <is>
          <t xml:space="preserve">GFKFBWG2TV98</t>
        </is>
      </c>
      <c r="H543" s="4">
        <v>0.031258</v>
      </c>
      <c r="I543" s="0" t="inlineStr">
        <is>
          <t xml:space="preserve">2023-10-19</t>
        </is>
      </c>
      <c r="J543" s="0" t="inlineStr">
        <is>
          <t xml:space="preserve">other_unclassified</t>
        </is>
      </c>
      <c r="K543" s="4">
        <v>1.3</v>
      </c>
      <c r="L543" s="0" t="inlineStr">
        <is>
          <t xml:space="preserve">Subcontract Funding</t>
        </is>
      </c>
    </row>
    <row r="544">
      <c r="B544" s="0" t="inlineStr">
        <is>
          <t xml:space="preserve">N0002419C6402</t>
        </is>
      </c>
      <c r="C544" s="0" t="inlineStr">
        <is>
          <t xml:space="preserve">TELEDYNE BROWN ENGINEERING, INC.</t>
        </is>
      </c>
      <c r="D544" s="0" t="inlineStr">
        <is>
          <t xml:space="preserve">FBRSJB6V4LW8</t>
        </is>
      </c>
      <c r="E544" s="0" t="inlineStr">
        <is>
          <t xml:space="preserve">HMX5FLZ22F92</t>
        </is>
      </c>
      <c r="F544" s="0" t="inlineStr">
        <is>
          <t xml:space="preserve">TGCI</t>
        </is>
      </c>
      <c r="G544" s="0" t="inlineStr">
        <is>
          <t xml:space="preserve">HMX5FLZ22F92</t>
        </is>
      </c>
      <c r="H544" s="4">
        <v>0.030900599999999997</v>
      </c>
      <c r="I544" s="0" t="inlineStr">
        <is>
          <t xml:space="preserve">2021-12-30</t>
        </is>
      </c>
      <c r="J544" s="0" t="inlineStr">
        <is>
          <t xml:space="preserve">propulsion_power</t>
        </is>
      </c>
      <c r="K544" s="4">
        <v>0.2</v>
      </c>
      <c r="L544" s="0" t="inlineStr">
        <is>
          <t xml:space="preserve">Engineering services/materials</t>
        </is>
      </c>
    </row>
    <row r="545">
      <c r="B545" s="0" t="inlineStr">
        <is>
          <t xml:space="preserve">N0002417C4103</t>
        </is>
      </c>
      <c r="C545" s="0" t="inlineStr">
        <is>
          <t xml:space="preserve">HUNTINGTON INGALLS INC</t>
        </is>
      </c>
      <c r="D545" s="0" t="inlineStr">
        <is>
          <t xml:space="preserve">WMXDDH6HJNA5</t>
        </is>
      </c>
      <c r="E545" s="0" t="inlineStr">
        <is>
          <t xml:space="preserve">PJRYS7EFXQD9</t>
        </is>
      </c>
      <c r="F545" s="0" t="inlineStr">
        <is>
          <t xml:space="preserve">B.N.L. INDUSTRIES, INC.</t>
        </is>
      </c>
      <c r="G545" s="0" t="inlineStr">
        <is>
          <t xml:space="preserve">PJRYS7EFXQD9</t>
        </is>
      </c>
      <c r="H545" s="4">
        <v>0.030809999999999997</v>
      </c>
      <c r="I545" s="0" t="inlineStr">
        <is>
          <t xml:space="preserve">2019-01-18</t>
        </is>
      </c>
      <c r="J545" s="0" t="inlineStr">
        <is>
          <t xml:space="preserve">other_unclassified</t>
        </is>
      </c>
      <c r="K545" s="4">
        <v>0.9</v>
      </c>
      <c r="L545" s="0" t="inlineStr">
        <is>
          <t xml:space="preserve">VLV,CUNI 70:30,3.000 NOM,BALL, 2-WAY, ST; Item #1</t>
        </is>
      </c>
    </row>
    <row r="546">
      <c r="B546" s="0" t="inlineStr">
        <is>
          <t xml:space="preserve">N0002417C4103</t>
        </is>
      </c>
      <c r="C546" s="0" t="inlineStr">
        <is>
          <t xml:space="preserve">HUNTINGTON INGALLS INC</t>
        </is>
      </c>
      <c r="D546" s="0" t="inlineStr">
        <is>
          <t xml:space="preserve">WMXDDH6HJNA5</t>
        </is>
      </c>
      <c r="E546" s="0" t="inlineStr">
        <is>
          <t xml:space="preserve">JZSHR7DX1MQ9</t>
        </is>
      </c>
      <c r="F546" s="0" t="inlineStr">
        <is>
          <t xml:space="preserve">CARTER MACHINERY COMPANY, INCORPORATED</t>
        </is>
      </c>
      <c r="G546" s="0" t="inlineStr">
        <is>
          <t xml:space="preserve">M25KW7YJBAK3</t>
        </is>
      </c>
      <c r="H546" s="4">
        <v>0.030799999999999998</v>
      </c>
      <c r="I546" s="0" t="inlineStr">
        <is>
          <t xml:space="preserve">2020-11-23</t>
        </is>
      </c>
      <c r="J546" s="0" t="inlineStr">
        <is>
          <t xml:space="preserve">autonomy_software</t>
        </is>
      </c>
      <c r="K546" s="4">
        <v>1.5</v>
      </c>
      <c r="L546" s="0" t="inlineStr">
        <is>
          <t xml:space="preserve">(2) Portable Air Comp. 8/21/19-9/16/20, PO item #5</t>
        </is>
      </c>
    </row>
    <row r="547">
      <c r="B547" s="0" t="inlineStr">
        <is>
          <t xml:space="preserve">N0002417C4103</t>
        </is>
      </c>
      <c r="C547" s="0" t="inlineStr">
        <is>
          <t xml:space="preserve">HUNTINGTON INGALLS INC</t>
        </is>
      </c>
      <c r="D547" s="0" t="inlineStr">
        <is>
          <t xml:space="preserve">WMXDDH6HJNA5</t>
        </is>
      </c>
      <c r="E547" s="0" t="inlineStr">
        <is>
          <t xml:space="preserve">JZSHR7DX1MQ9</t>
        </is>
      </c>
      <c r="F547" s="0" t="inlineStr">
        <is>
          <t xml:space="preserve">CARTER MACHINERY COMPANY, INCORPORATED</t>
        </is>
      </c>
      <c r="G547" s="0" t="inlineStr">
        <is>
          <t xml:space="preserve">M25KW7YJBAK3</t>
        </is>
      </c>
      <c r="H547" s="4">
        <v>0.030799999999999998</v>
      </c>
      <c r="I547" s="0" t="inlineStr">
        <is>
          <t xml:space="preserve">2020-05-05</t>
        </is>
      </c>
      <c r="J547" s="0" t="inlineStr">
        <is>
          <t xml:space="preserve">autonomy_software</t>
        </is>
      </c>
      <c r="K547" s="4">
        <v>1.7</v>
      </c>
      <c r="L547" s="0" t="inlineStr">
        <is>
          <t xml:space="preserve">(2) Portable Air Comp. 8/21/19-9/16/20;PO Item#5</t>
        </is>
      </c>
    </row>
    <row r="548">
      <c r="B548" s="0" t="inlineStr">
        <is>
          <t xml:space="preserve">N0002419C6402</t>
        </is>
      </c>
      <c r="C548" s="0" t="inlineStr">
        <is>
          <t xml:space="preserve">TELEDYNE BROWN ENGINEERING, INC.</t>
        </is>
      </c>
      <c r="D548" s="0" t="inlineStr">
        <is>
          <t xml:space="preserve">FBRSJB6V4LW8</t>
        </is>
      </c>
      <c r="E548" s="0" t="inlineStr">
        <is>
          <t xml:space="preserve">XNHRXR2HTXA8</t>
        </is>
      </c>
      <c r="F548" s="0" t="inlineStr">
        <is>
          <t xml:space="preserve">BEAUFORT COMPOSITE TECHNOLOGIES, INC</t>
        </is>
      </c>
      <c r="G548" s="0" t="inlineStr">
        <is>
          <t xml:space="preserve">XNHRXR2HTXA8</t>
        </is>
      </c>
      <c r="H548" s="4">
        <v>0.030719999999999997</v>
      </c>
      <c r="I548" s="0" t="inlineStr">
        <is>
          <t xml:space="preserve">2022-02-16</t>
        </is>
      </c>
      <c r="J548" s="0" t="inlineStr">
        <is>
          <t xml:space="preserve">platform_hull</t>
        </is>
      </c>
      <c r="K548" s="4">
        <v>0.5</v>
      </c>
      <c r="L548" s="0" t="inlineStr">
        <is>
          <t xml:space="preserve">Engineering materials/services</t>
        </is>
      </c>
    </row>
    <row r="549">
      <c r="B549" s="0" t="inlineStr">
        <is>
          <t xml:space="preserve">N0002417C4103</t>
        </is>
      </c>
      <c r="C549" s="0" t="inlineStr">
        <is>
          <t xml:space="preserve">HUNTINGTON INGALLS INC</t>
        </is>
      </c>
      <c r="D549" s="0" t="inlineStr">
        <is>
          <t xml:space="preserve">WMXDDH6HJNA5</t>
        </is>
      </c>
      <c r="E549" s="0" t="inlineStr">
        <is>
          <t xml:space="preserve">RLDUT4AS31N5</t>
        </is>
      </c>
      <c r="F549" s="0" t="inlineStr">
        <is>
          <t xml:space="preserve">MOBILEASE MODULAR SPACE, INC.</t>
        </is>
      </c>
      <c r="G549" s="0" t="inlineStr">
        <is>
          <t xml:space="preserve">RLDUT4AS31N5</t>
        </is>
      </c>
      <c r="H549" s="4">
        <v>0.030390729999999998</v>
      </c>
      <c r="I549" s="0" t="inlineStr">
        <is>
          <t xml:space="preserve">2020-08-10</t>
        </is>
      </c>
      <c r="J549" s="0" t="inlineStr">
        <is>
          <t xml:space="preserve">other_unclassified</t>
        </is>
      </c>
      <c r="K549" s="4">
        <v>1.6</v>
      </c>
      <c r="L549" s="0" t="inlineStr">
        <is>
          <t xml:space="preserve">PPT All UnitsPO item #3</t>
        </is>
      </c>
    </row>
    <row r="550">
      <c r="B550" s="0" t="inlineStr">
        <is>
          <t xml:space="preserve">N0002417C4103</t>
        </is>
      </c>
      <c r="C550" s="0" t="inlineStr">
        <is>
          <t xml:space="preserve">HUNTINGTON INGALLS INC</t>
        </is>
      </c>
      <c r="D550" s="0" t="inlineStr">
        <is>
          <t xml:space="preserve">WMXDDH6HJNA5</t>
        </is>
      </c>
      <c r="E550" s="0" t="inlineStr">
        <is>
          <t xml:space="preserve">RLDUT4AS31N5</t>
        </is>
      </c>
      <c r="F550" s="0" t="inlineStr">
        <is>
          <t xml:space="preserve">MOBILEASE MODULAR SPACE, INC.</t>
        </is>
      </c>
      <c r="G550" s="0" t="inlineStr">
        <is>
          <t xml:space="preserve">RLDUT4AS31N5</t>
        </is>
      </c>
      <c r="H550" s="4">
        <v>0.030390729999999998</v>
      </c>
      <c r="I550" s="0" t="inlineStr">
        <is>
          <t xml:space="preserve">2020-03-10</t>
        </is>
      </c>
      <c r="J550" s="0" t="inlineStr">
        <is>
          <t xml:space="preserve">other_unclassified</t>
        </is>
      </c>
      <c r="K550" s="4">
        <v>3.5</v>
      </c>
      <c r="L550" s="0" t="inlineStr">
        <is>
          <t xml:space="preserve">PPT All Units;item num#3</t>
        </is>
      </c>
    </row>
    <row r="551">
      <c r="B551" s="0" t="inlineStr">
        <is>
          <t xml:space="preserve">N0002417C4103</t>
        </is>
      </c>
      <c r="C551" s="0" t="inlineStr">
        <is>
          <t xml:space="preserve">HUNTINGTON INGALLS INC</t>
        </is>
      </c>
      <c r="D551" s="0" t="inlineStr">
        <is>
          <t xml:space="preserve">WMXDDH6HJNA5</t>
        </is>
      </c>
      <c r="E551" s="0" t="inlineStr">
        <is>
          <t xml:space="preserve">G5K4NEGGRQQ1</t>
        </is>
      </c>
      <c r="F551" s="0" t="inlineStr">
        <is>
          <t xml:space="preserve">Panther Summit Industries Inc</t>
        </is>
      </c>
      <c r="G551" s="0" t="inlineStr">
        <is>
          <t xml:space="preserve">TRSJFMDLVK71</t>
        </is>
      </c>
      <c r="H551" s="4">
        <v>0.03038871</v>
      </c>
      <c r="I551" s="0" t="inlineStr">
        <is>
          <t xml:space="preserve">2021-09-23</t>
        </is>
      </c>
      <c r="J551" s="0" t="inlineStr">
        <is>
          <t xml:space="preserve">other_unclassified</t>
        </is>
      </c>
      <c r="K551" s="4">
        <v>1.1</v>
      </c>
      <c r="L551" s="0" t="inlineStr">
        <is>
          <t xml:space="preserve">PO 4500607089 PO Item No. 7 - (1) H250HD 10/22/19 - 8/24/20</t>
        </is>
      </c>
    </row>
    <row r="552">
      <c r="B552" s="0" t="inlineStr">
        <is>
          <t xml:space="preserve">N0002417C4103</t>
        </is>
      </c>
      <c r="C552" s="0" t="inlineStr">
        <is>
          <t xml:space="preserve">HUNTINGTON INGALLS INC</t>
        </is>
      </c>
      <c r="D552" s="0" t="inlineStr">
        <is>
          <t xml:space="preserve">WMXDDH6HJNA5</t>
        </is>
      </c>
      <c r="E552" s="0" t="inlineStr">
        <is>
          <t xml:space="preserve">G5K4NEGGRQQ1</t>
        </is>
      </c>
      <c r="F552" s="0" t="inlineStr">
        <is>
          <t xml:space="preserve">Panther Summit Industries Inc</t>
        </is>
      </c>
      <c r="G552" s="0" t="inlineStr">
        <is>
          <t xml:space="preserve">TRSJFMDLVK71</t>
        </is>
      </c>
      <c r="H552" s="4">
        <v>0.03038871</v>
      </c>
      <c r="I552" s="0" t="inlineStr">
        <is>
          <t xml:space="preserve">2020-05-21</t>
        </is>
      </c>
      <c r="J552" s="0" t="inlineStr">
        <is>
          <t xml:space="preserve">other_unclassified</t>
        </is>
      </c>
      <c r="K552" s="4">
        <v>1.2</v>
      </c>
      <c r="L552" s="0" t="inlineStr">
        <is>
          <t xml:space="preserve">(1) H250HD 10/22/19 - 8/24/20;PO Item#7</t>
        </is>
      </c>
    </row>
    <row r="553">
      <c r="B553" s="0" t="inlineStr">
        <is>
          <t xml:space="preserve">N0002419C6402</t>
        </is>
      </c>
      <c r="C553" s="0" t="inlineStr">
        <is>
          <t xml:space="preserve">TELEDYNE BROWN ENGINEERING, INC.</t>
        </is>
      </c>
      <c r="D553" s="0" t="inlineStr">
        <is>
          <t xml:space="preserve">FBRSJB6V4LW8</t>
        </is>
      </c>
      <c r="E553" s="0" t="inlineStr">
        <is>
          <t xml:space="preserve">UAC2KLJM4XY1</t>
        </is>
      </c>
      <c r="F553" s="0" t="inlineStr">
        <is>
          <t xml:space="preserve">Transdigm Group Incorporated</t>
        </is>
      </c>
      <c r="G553" s="0" t="inlineStr">
        <is>
          <t xml:space="preserve">KLN3SMHBL368</t>
        </is>
      </c>
      <c r="H553" s="4">
        <v>0.030036</v>
      </c>
      <c r="I553" s="0" t="inlineStr">
        <is>
          <t xml:space="preserve">2020-08-14</t>
        </is>
      </c>
      <c r="J553" s="0" t="inlineStr">
        <is>
          <t xml:space="preserve">propulsion_power</t>
        </is>
      </c>
      <c r="K553" s="4">
        <v>0.7</v>
      </c>
      <c r="L553" s="0" t="inlineStr">
        <is>
          <t xml:space="preserve">Engineering materials/services</t>
        </is>
      </c>
    </row>
    <row r="554">
      <c r="B554" s="0" t="inlineStr">
        <is>
          <t xml:space="preserve">N0001421C1009</t>
        </is>
      </c>
      <c r="C554" s="0" t="inlineStr">
        <is>
          <t xml:space="preserve">RAYTHEON COMPANY</t>
        </is>
      </c>
      <c r="D554" s="0" t="inlineStr">
        <is>
          <t xml:space="preserve">VTEWM5QSE598</t>
        </is>
      </c>
      <c r="E554" s="0" t="inlineStr">
        <is>
          <t xml:space="preserve">EGAVSJTA2D81</t>
        </is>
      </c>
      <c r="F554" s="0" t="inlineStr">
        <is>
          <t xml:space="preserve">ROCKWELL COLLINS, INC.</t>
        </is>
      </c>
      <c r="G554" s="0" t="inlineStr">
        <is>
          <t xml:space="preserve">J4Q3HP6NHK47</t>
        </is>
      </c>
      <c r="H554" s="4">
        <v>0.03</v>
      </c>
      <c r="I554" s="0" t="inlineStr">
        <is>
          <t xml:space="preserve">2018-12-03</t>
        </is>
      </c>
      <c r="J554" s="0" t="inlineStr">
        <is>
          <t xml:space="preserve">other_unclassified</t>
        </is>
      </c>
      <c r="K554" s="4">
        <v>64.7</v>
      </c>
      <c r="L554" s="0" t="inlineStr">
        <is>
          <t xml:space="preserve">GPS Receivers.</t>
        </is>
      </c>
    </row>
    <row r="555">
      <c r="B555" s="0" t="inlineStr">
        <is>
          <t xml:space="preserve">N0001421C1009</t>
        </is>
      </c>
      <c r="C555" s="0" t="inlineStr">
        <is>
          <t xml:space="preserve">RAYTHEON COMPANY</t>
        </is>
      </c>
      <c r="D555" s="0" t="inlineStr">
        <is>
          <t xml:space="preserve">VTEWM5QSE598</t>
        </is>
      </c>
      <c r="E555" s="0" t="inlineStr">
        <is>
          <t xml:space="preserve">PPLZG8J3N9D4</t>
        </is>
      </c>
      <c r="F555" s="0" t="inlineStr">
        <is>
          <t xml:space="preserve">RAYTHEON TECHNOLOGIES CORPORATION</t>
        </is>
      </c>
      <c r="G555" s="0" t="inlineStr">
        <is>
          <t xml:space="preserve">J4Q3HP6NHK47</t>
        </is>
      </c>
      <c r="H555" s="4">
        <v>0.03</v>
      </c>
      <c r="I555" s="0" t="inlineStr">
        <is>
          <t xml:space="preserve">2018-12-03</t>
        </is>
      </c>
      <c r="J555" s="0" t="inlineStr">
        <is>
          <t xml:space="preserve">other_unclassified</t>
        </is>
      </c>
      <c r="K555" s="4">
        <v>52.3</v>
      </c>
      <c r="L555" s="0" t="inlineStr">
        <is>
          <t xml:space="preserve">GPS Receivers.</t>
        </is>
      </c>
    </row>
    <row r="556">
      <c r="B556" s="0" t="inlineStr">
        <is>
          <t xml:space="preserve">N6600120F0254</t>
        </is>
      </c>
      <c r="C556" s="0" t="inlineStr">
        <is>
          <t xml:space="preserve">OASIS SYSTEMS, LLC</t>
        </is>
      </c>
      <c r="D556" s="0" t="inlineStr">
        <is>
          <t xml:space="preserve">MST2Z1EG1HV7</t>
        </is>
      </c>
      <c r="E556" s="0" t="inlineStr">
        <is>
          <t xml:space="preserve">EBLBH4XW6JD7</t>
        </is>
      </c>
      <c r="F556" s="0" t="inlineStr">
        <is>
          <t xml:space="preserve">WHENEVER COMMUNICATIONS, LLC</t>
        </is>
      </c>
      <c r="G556" s="0" t="inlineStr">
        <is>
          <t xml:space="preserve">EBLBH4XW6JD7</t>
        </is>
      </c>
      <c r="H556" s="4">
        <v>0.03</v>
      </c>
      <c r="I556" s="0" t="inlineStr">
        <is>
          <t xml:space="preserve">2021-04-21</t>
        </is>
      </c>
      <c r="J556" s="0" t="inlineStr">
        <is>
          <t xml:space="preserve">c2_comms</t>
        </is>
      </c>
      <c r="K556" s="4">
        <v>0.4</v>
      </c>
      <c r="L556" s="0" t="inlineStr">
        <is>
          <t xml:space="preserve">Support of the SeaHunter program.</t>
        </is>
      </c>
    </row>
    <row r="557">
      <c r="B557" s="0" t="inlineStr">
        <is>
          <t xml:space="preserve">N0002417C4103</t>
        </is>
      </c>
      <c r="C557" s="0" t="inlineStr">
        <is>
          <t xml:space="preserve">HUNTINGTON INGALLS INC</t>
        </is>
      </c>
      <c r="D557" s="0" t="inlineStr">
        <is>
          <t xml:space="preserve">WMXDDH6HJNA5</t>
        </is>
      </c>
      <c r="E557" s="0" t="inlineStr">
        <is>
          <t xml:space="preserve">G5K4NEGGRQQ1</t>
        </is>
      </c>
      <c r="F557" s="0" t="inlineStr">
        <is>
          <t xml:space="preserve">Panther Summit Industries Inc</t>
        </is>
      </c>
      <c r="G557" s="0" t="inlineStr">
        <is>
          <t xml:space="preserve">TRSJFMDLVK71</t>
        </is>
      </c>
      <c r="H557" s="4">
        <v>0.02936109</v>
      </c>
      <c r="I557" s="0" t="inlineStr">
        <is>
          <t xml:space="preserve">2021-09-23</t>
        </is>
      </c>
      <c r="J557" s="0" t="inlineStr">
        <is>
          <t xml:space="preserve">other_unclassified</t>
        </is>
      </c>
      <c r="K557" s="4">
        <v>1.1</v>
      </c>
      <c r="L557" s="0" t="inlineStr">
        <is>
          <t xml:space="preserve">PO 4500607089 PO Item No. 5 - (1) H250HD Forklift 10/23/18-8/26/19</t>
        </is>
      </c>
    </row>
    <row r="558">
      <c r="B558" s="0" t="inlineStr">
        <is>
          <t xml:space="preserve">N0002417C4103</t>
        </is>
      </c>
      <c r="C558" s="0" t="inlineStr">
        <is>
          <t xml:space="preserve">HUNTINGTON INGALLS INC</t>
        </is>
      </c>
      <c r="D558" s="0" t="inlineStr">
        <is>
          <t xml:space="preserve">WMXDDH6HJNA5</t>
        </is>
      </c>
      <c r="E558" s="0" t="inlineStr">
        <is>
          <t xml:space="preserve">G5K4NEGGRQQ1</t>
        </is>
      </c>
      <c r="F558" s="0" t="inlineStr">
        <is>
          <t xml:space="preserve">Panther Summit Industries Inc</t>
        </is>
      </c>
      <c r="G558" s="0" t="inlineStr">
        <is>
          <t xml:space="preserve">TRSJFMDLVK71</t>
        </is>
      </c>
      <c r="H558" s="4">
        <v>0.02936109</v>
      </c>
      <c r="I558" s="0" t="inlineStr">
        <is>
          <t xml:space="preserve">2020-05-21</t>
        </is>
      </c>
      <c r="J558" s="0" t="inlineStr">
        <is>
          <t xml:space="preserve">other_unclassified</t>
        </is>
      </c>
      <c r="K558" s="4">
        <v>1.2</v>
      </c>
      <c r="L558" s="0" t="inlineStr">
        <is>
          <t xml:space="preserve">(1) H250HD Forklift 10/23/18-8/26/19;PO Item#5</t>
        </is>
      </c>
    </row>
    <row r="559">
      <c r="B559" s="0" t="inlineStr">
        <is>
          <t xml:space="preserve">N0002417C4103</t>
        </is>
      </c>
      <c r="C559" s="0" t="inlineStr">
        <is>
          <t xml:space="preserve">HUNTINGTON INGALLS INC</t>
        </is>
      </c>
      <c r="D559" s="0" t="inlineStr">
        <is>
          <t xml:space="preserve">WMXDDH6HJNA5</t>
        </is>
      </c>
      <c r="E559" s="0" t="inlineStr">
        <is>
          <t xml:space="preserve">KN4DLHTLNCS8</t>
        </is>
      </c>
      <c r="F559" s="0" t="inlineStr">
        <is>
          <t xml:space="preserve">Octopus Industries, Inc.</t>
        </is>
      </c>
      <c r="G559" s="0" t="inlineStr">
        <is>
          <t xml:space="preserve">KCYPSYNH1M94</t>
        </is>
      </c>
      <c r="H559" s="4">
        <v>0.0286715</v>
      </c>
      <c r="I559" s="0" t="inlineStr">
        <is>
          <t xml:space="preserve">2020-09-28</t>
        </is>
      </c>
      <c r="J559" s="0" t="inlineStr">
        <is>
          <t xml:space="preserve">autonomy_software</t>
        </is>
      </c>
      <c r="K559" s="4">
        <v>1.0</v>
      </c>
      <c r="L559" s="0" t="inlineStr">
        <is>
          <t xml:space="preserve">PRC Repair,PO item #4</t>
        </is>
      </c>
    </row>
    <row r="560">
      <c r="B560" s="0" t="inlineStr">
        <is>
          <t xml:space="preserve">N0002417C4103</t>
        </is>
      </c>
      <c r="C560" s="0" t="inlineStr">
        <is>
          <t xml:space="preserve">HUNTINGTON INGALLS INC</t>
        </is>
      </c>
      <c r="D560" s="0" t="inlineStr">
        <is>
          <t xml:space="preserve">WMXDDH6HJNA5</t>
        </is>
      </c>
      <c r="E560" s="0" t="inlineStr">
        <is>
          <t xml:space="preserve">KN4DLHTLNCS8</t>
        </is>
      </c>
      <c r="F560" s="0" t="inlineStr">
        <is>
          <t xml:space="preserve">Octopus Industries, Inc.</t>
        </is>
      </c>
      <c r="G560" s="0" t="inlineStr">
        <is>
          <t xml:space="preserve">KCYPSYNH1M94</t>
        </is>
      </c>
      <c r="H560" s="4">
        <v>0.0286715</v>
      </c>
      <c r="I560" s="0" t="inlineStr">
        <is>
          <t xml:space="preserve">2020-07-21</t>
        </is>
      </c>
      <c r="J560" s="0" t="inlineStr">
        <is>
          <t xml:space="preserve">autonomy_software</t>
        </is>
      </c>
      <c r="K560" s="4">
        <v>1.2</v>
      </c>
      <c r="L560" s="0" t="inlineStr">
        <is>
          <t xml:space="preserve">PRC Repair; PO item# 4</t>
        </is>
      </c>
    </row>
    <row r="561">
      <c r="B561" s="0" t="inlineStr">
        <is>
          <t xml:space="preserve">N0002417C4103</t>
        </is>
      </c>
      <c r="C561" s="0" t="inlineStr">
        <is>
          <t xml:space="preserve">HUNTINGTON INGALLS INC</t>
        </is>
      </c>
      <c r="D561" s="0" t="inlineStr">
        <is>
          <t xml:space="preserve">WMXDDH6HJNA5</t>
        </is>
      </c>
      <c r="E561" s="0" t="inlineStr">
        <is>
          <t xml:space="preserve">KN4DLHTLNCS8</t>
        </is>
      </c>
      <c r="F561" s="0" t="inlineStr">
        <is>
          <t xml:space="preserve">Octopus Industries, Inc.</t>
        </is>
      </c>
      <c r="G561" s="0" t="inlineStr">
        <is>
          <t xml:space="preserve">KCYPSYNH1M94</t>
        </is>
      </c>
      <c r="H561" s="4">
        <v>0.0286715</v>
      </c>
      <c r="I561" s="0" t="inlineStr">
        <is>
          <t xml:space="preserve">2020-05-08</t>
        </is>
      </c>
      <c r="J561" s="0" t="inlineStr">
        <is>
          <t xml:space="preserve">autonomy_software</t>
        </is>
      </c>
      <c r="K561" s="4">
        <v>1.6</v>
      </c>
      <c r="L561" s="0" t="inlineStr">
        <is>
          <t xml:space="preserve">PRC Repair;PO Item#4</t>
        </is>
      </c>
    </row>
    <row r="562">
      <c r="B562" s="0" t="inlineStr">
        <is>
          <t xml:space="preserve">N0002417C4103</t>
        </is>
      </c>
      <c r="C562" s="0" t="inlineStr">
        <is>
          <t xml:space="preserve">HUNTINGTON INGALLS INC</t>
        </is>
      </c>
      <c r="D562" s="0" t="inlineStr">
        <is>
          <t xml:space="preserve">WMXDDH6HJNA5</t>
        </is>
      </c>
      <c r="E562" s="0" t="inlineStr">
        <is>
          <t xml:space="preserve">JZSHR7DX1MQ9</t>
        </is>
      </c>
      <c r="F562" s="0" t="inlineStr">
        <is>
          <t xml:space="preserve">CARTER MACHINERY COMPANY, INCORPORATED</t>
        </is>
      </c>
      <c r="G562" s="0" t="inlineStr">
        <is>
          <t xml:space="preserve">M25KW7YJBAK3</t>
        </is>
      </c>
      <c r="H562" s="4">
        <v>0.0286</v>
      </c>
      <c r="I562" s="0" t="inlineStr">
        <is>
          <t xml:space="preserve">2020-04-07</t>
        </is>
      </c>
      <c r="J562" s="0" t="inlineStr">
        <is>
          <t xml:space="preserve">autonomy_software</t>
        </is>
      </c>
      <c r="K562" s="4">
        <v>1.6</v>
      </c>
      <c r="L562" s="0" t="inlineStr">
        <is>
          <t xml:space="preserve">(2) Portable Air Comp. 9/18/19-9/16/20; PO item #5</t>
        </is>
      </c>
    </row>
    <row r="563">
      <c r="B563" s="0" t="inlineStr">
        <is>
          <t xml:space="preserve">N0002417C4103</t>
        </is>
      </c>
      <c r="C563" s="0" t="inlineStr">
        <is>
          <t xml:space="preserve">HUNTINGTON INGALLS INC</t>
        </is>
      </c>
      <c r="D563" s="0" t="inlineStr">
        <is>
          <t xml:space="preserve">WMXDDH6HJNA5</t>
        </is>
      </c>
      <c r="E563" s="0" t="inlineStr">
        <is>
          <t xml:space="preserve">RLDUT4AS31N5</t>
        </is>
      </c>
      <c r="F563" s="0" t="inlineStr">
        <is>
          <t xml:space="preserve">MOBILEASE MODULAR SPACE, INC.</t>
        </is>
      </c>
      <c r="G563" s="0" t="inlineStr">
        <is>
          <t xml:space="preserve">RLDUT4AS31N5</t>
        </is>
      </c>
      <c r="H563" s="4">
        <v>0.02563434</v>
      </c>
      <c r="I563" s="0" t="inlineStr">
        <is>
          <t xml:space="preserve">2020-08-10</t>
        </is>
      </c>
      <c r="J563" s="0" t="inlineStr">
        <is>
          <t xml:space="preserve">other_unclassified</t>
        </is>
      </c>
      <c r="K563" s="4">
        <v>1.6</v>
      </c>
      <c r="L563" s="0" t="inlineStr">
        <is>
          <t xml:space="preserve">Install shades, new locksPO item #8</t>
        </is>
      </c>
    </row>
    <row r="564">
      <c r="B564" s="0" t="inlineStr">
        <is>
          <t xml:space="preserve">N0002417C4103</t>
        </is>
      </c>
      <c r="C564" s="0" t="inlineStr">
        <is>
          <t xml:space="preserve">HUNTINGTON INGALLS INC</t>
        </is>
      </c>
      <c r="D564" s="0" t="inlineStr">
        <is>
          <t xml:space="preserve">WMXDDH6HJNA5</t>
        </is>
      </c>
      <c r="E564" s="0" t="inlineStr">
        <is>
          <t xml:space="preserve">RLDUT4AS31N5</t>
        </is>
      </c>
      <c r="F564" s="0" t="inlineStr">
        <is>
          <t xml:space="preserve">MOBILEASE MODULAR SPACE, INC.</t>
        </is>
      </c>
      <c r="G564" s="0" t="inlineStr">
        <is>
          <t xml:space="preserve">RLDUT4AS31N5</t>
        </is>
      </c>
      <c r="H564" s="4">
        <v>0.02563434</v>
      </c>
      <c r="I564" s="0" t="inlineStr">
        <is>
          <t xml:space="preserve">2020-03-10</t>
        </is>
      </c>
      <c r="J564" s="0" t="inlineStr">
        <is>
          <t xml:space="preserve">other_unclassified</t>
        </is>
      </c>
      <c r="K564" s="4">
        <v>3.5</v>
      </c>
      <c r="L564" s="0" t="inlineStr">
        <is>
          <t xml:space="preserve">Install shades, new locks;item num#8</t>
        </is>
      </c>
    </row>
    <row r="565">
      <c r="B565" s="0" t="inlineStr">
        <is>
          <t xml:space="preserve">N0001419C1020</t>
        </is>
      </c>
      <c r="C565" s="0" t="inlineStr">
        <is>
          <t xml:space="preserve">LEIDOS, INC.</t>
        </is>
      </c>
      <c r="D565" s="0" t="inlineStr">
        <is>
          <t xml:space="preserve">KTMAJCY6JXM3</t>
        </is>
      </c>
      <c r="E565" s="0" t="inlineStr">
        <is>
          <t xml:space="preserve">JXUMFLGNSMP8</t>
        </is>
      </c>
      <c r="F565" s="0" t="inlineStr">
        <is>
          <t xml:space="preserve">UNITED STATES MARINE, INC.</t>
        </is>
      </c>
      <c r="G565" s="0" t="inlineStr">
        <is>
          <t xml:space="preserve">JXUMFLGNSMP8</t>
        </is>
      </c>
      <c r="H565" s="4">
        <v>0.024</v>
      </c>
      <c r="I565" s="0" t="inlineStr">
        <is>
          <t xml:space="preserve">2019-04-17</t>
        </is>
      </c>
      <c r="J565" s="0" t="inlineStr">
        <is>
          <t xml:space="preserve">other_unclassified</t>
        </is>
      </c>
      <c r="K565" s="4">
        <v>9.4</v>
      </c>
      <c r="L565" s="0" t="inlineStr">
        <is>
          <t xml:space="preserve">PROCUREMENTS BETWEEN 12/1/2019-12/31/2019 IN SUPPORT OF CONTRACT SOW.</t>
        </is>
      </c>
    </row>
    <row r="566">
      <c r="B566" s="0" t="inlineStr">
        <is>
          <t xml:space="preserve">N0001419C1020</t>
        </is>
      </c>
      <c r="C566" s="0" t="inlineStr">
        <is>
          <t xml:space="preserve">LEIDOS, INC.</t>
        </is>
      </c>
      <c r="D566" s="0" t="inlineStr">
        <is>
          <t xml:space="preserve">KTMAJCY6JXM3</t>
        </is>
      </c>
      <c r="E566" s="0" t="inlineStr">
        <is>
          <t xml:space="preserve">JXUMFLGNSMP8</t>
        </is>
      </c>
      <c r="F566" s="0" t="inlineStr">
        <is>
          <t xml:space="preserve">UNITED STATES MARINE, INC.</t>
        </is>
      </c>
      <c r="G566" s="0" t="inlineStr">
        <is>
          <t xml:space="preserve">JXUMFLGNSMP8</t>
        </is>
      </c>
      <c r="H566" s="4">
        <v>0.024</v>
      </c>
      <c r="I566" s="0" t="inlineStr">
        <is>
          <t xml:space="preserve">2019-04-17</t>
        </is>
      </c>
      <c r="J566" s="0" t="inlineStr">
        <is>
          <t xml:space="preserve">other_unclassified</t>
        </is>
      </c>
      <c r="K566" s="4">
        <v>8.1</v>
      </c>
      <c r="L566" s="0" t="inlineStr">
        <is>
          <t xml:space="preserve">PROCURED SERVICES BETWEEN 11/1/2019-11/30/2019 IN SUPPORT OF CONTRACT SOW.</t>
        </is>
      </c>
    </row>
    <row r="567">
      <c r="B567" s="0" t="inlineStr">
        <is>
          <t xml:space="preserve">N0002417C4103</t>
        </is>
      </c>
      <c r="C567" s="0" t="inlineStr">
        <is>
          <t xml:space="preserve">HUNTINGTON INGALLS INC</t>
        </is>
      </c>
      <c r="D567" s="0" t="inlineStr">
        <is>
          <t xml:space="preserve">WMXDDH6HJNA5</t>
        </is>
      </c>
      <c r="E567" s="0" t="inlineStr">
        <is>
          <t xml:space="preserve">RLDUT4AS31N5</t>
        </is>
      </c>
      <c r="F567" s="0" t="inlineStr">
        <is>
          <t xml:space="preserve">MOBILEASE MODULAR SPACE, INC.</t>
        </is>
      </c>
      <c r="G567" s="0" t="inlineStr">
        <is>
          <t xml:space="preserve">RLDUT4AS31N5</t>
        </is>
      </c>
      <c r="H567" s="4">
        <v>0.02310934</v>
      </c>
      <c r="I567" s="0" t="inlineStr">
        <is>
          <t xml:space="preserve">2020-08-10</t>
        </is>
      </c>
      <c r="J567" s="0" t="inlineStr">
        <is>
          <t xml:space="preserve">other_unclassified</t>
        </is>
      </c>
      <c r="K567" s="4">
        <v>1.6</v>
      </c>
      <c r="L567" s="0" t="inlineStr">
        <is>
          <t xml:space="preserve">Remobilization CostsPO item #7</t>
        </is>
      </c>
    </row>
    <row r="568">
      <c r="B568" s="0" t="inlineStr">
        <is>
          <t xml:space="preserve">N0002417C4103</t>
        </is>
      </c>
      <c r="C568" s="0" t="inlineStr">
        <is>
          <t xml:space="preserve">HUNTINGTON INGALLS INC</t>
        </is>
      </c>
      <c r="D568" s="0" t="inlineStr">
        <is>
          <t xml:space="preserve">WMXDDH6HJNA5</t>
        </is>
      </c>
      <c r="E568" s="0" t="inlineStr">
        <is>
          <t xml:space="preserve">RLDUT4AS31N5</t>
        </is>
      </c>
      <c r="F568" s="0" t="inlineStr">
        <is>
          <t xml:space="preserve">MOBILEASE MODULAR SPACE, INC.</t>
        </is>
      </c>
      <c r="G568" s="0" t="inlineStr">
        <is>
          <t xml:space="preserve">RLDUT4AS31N5</t>
        </is>
      </c>
      <c r="H568" s="4">
        <v>0.02310934</v>
      </c>
      <c r="I568" s="0" t="inlineStr">
        <is>
          <t xml:space="preserve">2020-03-10</t>
        </is>
      </c>
      <c r="J568" s="0" t="inlineStr">
        <is>
          <t xml:space="preserve">other_unclassified</t>
        </is>
      </c>
      <c r="K568" s="4">
        <v>3.5</v>
      </c>
      <c r="L568" s="0" t="inlineStr">
        <is>
          <t xml:space="preserve">Remobilization Costs;item num#7</t>
        </is>
      </c>
    </row>
    <row r="569">
      <c r="B569" s="0" t="inlineStr">
        <is>
          <t xml:space="preserve">N0002417C4103</t>
        </is>
      </c>
      <c r="C569" s="0" t="inlineStr">
        <is>
          <t xml:space="preserve">HUNTINGTON INGALLS INC</t>
        </is>
      </c>
      <c r="D569" s="0" t="inlineStr">
        <is>
          <t xml:space="preserve">WMXDDH6HJNA5</t>
        </is>
      </c>
      <c r="E569" s="0" t="inlineStr">
        <is>
          <t xml:space="preserve">KAYUMJMKWDF9</t>
        </is>
      </c>
      <c r="F569" s="0" t="inlineStr">
        <is>
          <t xml:space="preserve">J. H. NORTON COMPANY, INC.</t>
        </is>
      </c>
      <c r="G569" s="0" t="inlineStr">
        <is>
          <t xml:space="preserve">KAYUMJMKWDF9</t>
        </is>
      </c>
      <c r="H569" s="4">
        <v>0.022609479999999998</v>
      </c>
      <c r="I569" s="0" t="inlineStr">
        <is>
          <t xml:space="preserve">2022-07-12</t>
        </is>
      </c>
      <c r="J569" s="0" t="inlineStr">
        <is>
          <t xml:space="preserve">other_unclassified</t>
        </is>
      </c>
      <c r="K569" s="4">
        <v>1.6</v>
      </c>
      <c r="L569" s="0" t="inlineStr">
        <is>
          <t xml:space="preserve">PO 4500596793 PO Item No. 4 - Blast Equipment 5/19/20-6/15/20</t>
        </is>
      </c>
    </row>
    <row r="570">
      <c r="B570" s="0" t="inlineStr">
        <is>
          <t xml:space="preserve">N0002417C4103</t>
        </is>
      </c>
      <c r="C570" s="0" t="inlineStr">
        <is>
          <t xml:space="preserve">HUNTINGTON INGALLS INC</t>
        </is>
      </c>
      <c r="D570" s="0" t="inlineStr">
        <is>
          <t xml:space="preserve">WMXDDH6HJNA5</t>
        </is>
      </c>
      <c r="E570" s="0" t="inlineStr">
        <is>
          <t xml:space="preserve">YQ9EQZJ8PKM6</t>
        </is>
      </c>
      <c r="F570" s="0" t="inlineStr">
        <is>
          <t xml:space="preserve">AUXILIARY SYSTEMS, INC.</t>
        </is>
      </c>
      <c r="G570" s="0" t="inlineStr">
        <is>
          <t xml:space="preserve">YQ9EQZJ8PKM6</t>
        </is>
      </c>
      <c r="H570" s="4">
        <v>0.0213</v>
      </c>
      <c r="I570" s="0" t="inlineStr">
        <is>
          <t xml:space="preserve">2020-08-05</t>
        </is>
      </c>
      <c r="J570" s="0" t="inlineStr">
        <is>
          <t xml:space="preserve">integration_eng_svcs</t>
        </is>
      </c>
      <c r="K570" s="4">
        <v>1.8</v>
      </c>
      <c r="L570" s="0" t="inlineStr">
        <is>
          <t xml:space="preserve">#2 Feed Heater Hydro TestingPO item #4</t>
        </is>
      </c>
    </row>
    <row r="571">
      <c r="B571" s="0" t="inlineStr">
        <is>
          <t xml:space="preserve">N0002417C4103</t>
        </is>
      </c>
      <c r="C571" s="0" t="inlineStr">
        <is>
          <t xml:space="preserve">HUNTINGTON INGALLS INC</t>
        </is>
      </c>
      <c r="D571" s="0" t="inlineStr">
        <is>
          <t xml:space="preserve">WMXDDH6HJNA5</t>
        </is>
      </c>
      <c r="E571" s="0" t="inlineStr">
        <is>
          <t xml:space="preserve">CL4ZKLFK5DR3</t>
        </is>
      </c>
      <c r="F571" s="0" t="inlineStr">
        <is>
          <t xml:space="preserve">L'AIR LIQUIDE SOCIETE ANONYME POUR L'ETUDE ET L'EXPLOITATION DES PROCEDES GEORGES CLAUDE</t>
        </is>
      </c>
      <c r="G571" s="0" t="inlineStr">
        <is>
          <t xml:space="preserve">KN5KTZ7VX9S9</t>
        </is>
      </c>
      <c r="H571" s="4">
        <v>0.02106</v>
      </c>
      <c r="I571" s="0" t="inlineStr">
        <is>
          <t xml:space="preserve">2021-07-12</t>
        </is>
      </c>
      <c r="J571" s="0" t="inlineStr">
        <is>
          <t xml:space="preserve">autonomy_software</t>
        </is>
      </c>
      <c r="K571" s="4">
        <v>1.6</v>
      </c>
      <c r="L571" s="0" t="inlineStr">
        <is>
          <t xml:space="preserve">PO Item No. 3 - Airgas Material &amp; Service</t>
        </is>
      </c>
    </row>
    <row r="572">
      <c r="B572" s="0" t="inlineStr">
        <is>
          <t xml:space="preserve">N0002417C4103</t>
        </is>
      </c>
      <c r="C572" s="0" t="inlineStr">
        <is>
          <t xml:space="preserve">HUNTINGTON INGALLS INC</t>
        </is>
      </c>
      <c r="D572" s="0" t="inlineStr">
        <is>
          <t xml:space="preserve">WMXDDH6HJNA5</t>
        </is>
      </c>
      <c r="E572" s="0" t="inlineStr">
        <is>
          <t xml:space="preserve">CL4ZKLFK5DR3</t>
        </is>
      </c>
      <c r="F572" s="0" t="inlineStr">
        <is>
          <t xml:space="preserve">L'AIR LIQUIDE SOCIETE ANONYME POUR L'ETUDE ET L'EXPLOITATION DES PROCEDES GEORGES CLAUDE</t>
        </is>
      </c>
      <c r="G572" s="0" t="inlineStr">
        <is>
          <t xml:space="preserve">KN5KTZ7VX9S9</t>
        </is>
      </c>
      <c r="H572" s="4">
        <v>0.02106</v>
      </c>
      <c r="I572" s="0" t="inlineStr">
        <is>
          <t xml:space="preserve">2020-09-01</t>
        </is>
      </c>
      <c r="J572" s="0" t="inlineStr">
        <is>
          <t xml:space="preserve">autonomy_software</t>
        </is>
      </c>
      <c r="K572" s="4">
        <v>1.9</v>
      </c>
      <c r="L572" s="0" t="inlineStr">
        <is>
          <t xml:space="preserve">Airgas Material &amp; Service,PO item #3</t>
        </is>
      </c>
    </row>
    <row r="573">
      <c r="B573" s="0" t="inlineStr">
        <is>
          <t xml:space="preserve">N6660418F3022</t>
        </is>
      </c>
      <c r="C573" s="0" t="inlineStr">
        <is>
          <t xml:space="preserve">SERCO-IPS CORPORATION</t>
        </is>
      </c>
      <c r="D573" s="0" t="inlineStr">
        <is>
          <t xml:space="preserve">RGEBPDP8RV96</t>
        </is>
      </c>
      <c r="E573" s="0" t="inlineStr">
        <is>
          <t xml:space="preserve">F8Z3EH848VJ1</t>
        </is>
      </c>
      <c r="F573" s="0" t="inlineStr">
        <is>
          <t xml:space="preserve">FATHOM RESOURCES LLC</t>
        </is>
      </c>
      <c r="G573" s="0" t="inlineStr">
        <is>
          <t xml:space="preserve">F8Z3EH848VJ1</t>
        </is>
      </c>
      <c r="H573" s="4">
        <v>0.02013</v>
      </c>
      <c r="I573" s="0" t="inlineStr">
        <is>
          <t xml:space="preserve">2022-04-01</t>
        </is>
      </c>
      <c r="J573" s="0" t="inlineStr">
        <is>
          <t xml:space="preserve">other_unclassified</t>
        </is>
      </c>
      <c r="K573" s="4">
        <v>19.0</v>
      </c>
      <c r="L573" s="0" t="inlineStr">
        <is>
          <t xml:space="preserve">Services</t>
        </is>
      </c>
    </row>
    <row r="574">
      <c r="B574" s="0" t="inlineStr">
        <is>
          <t xml:space="preserve">N0002417C4103</t>
        </is>
      </c>
      <c r="C574" s="0" t="inlineStr">
        <is>
          <t xml:space="preserve">HUNTINGTON INGALLS INC</t>
        </is>
      </c>
      <c r="D574" s="0" t="inlineStr">
        <is>
          <t xml:space="preserve">WMXDDH6HJNA5</t>
        </is>
      </c>
      <c r="E574" s="0" t="inlineStr">
        <is>
          <t xml:space="preserve">CL4ZKLFK5DR3</t>
        </is>
      </c>
      <c r="F574" s="0" t="inlineStr">
        <is>
          <t xml:space="preserve">L'AIR LIQUIDE SOCIETE ANONYME POUR L'ETUDE ET L'EXPLOITATION DES PROCEDES GEORGES CLAUDE</t>
        </is>
      </c>
      <c r="G574" s="0" t="inlineStr">
        <is>
          <t xml:space="preserve">KN5KTZ7VX9S9</t>
        </is>
      </c>
      <c r="H574" s="4">
        <v>0.019956409999999997</v>
      </c>
      <c r="I574" s="0" t="inlineStr">
        <is>
          <t xml:space="preserve">2020-09-01</t>
        </is>
      </c>
      <c r="J574" s="0" t="inlineStr">
        <is>
          <t xml:space="preserve">autonomy_software</t>
        </is>
      </c>
      <c r="K574" s="4">
        <v>1.9</v>
      </c>
      <c r="L574" s="0" t="inlineStr">
        <is>
          <t xml:space="preserve">Airgas Material &amp; Service,PO item #4</t>
        </is>
      </c>
    </row>
    <row r="575">
      <c r="B575" s="0" t="inlineStr">
        <is>
          <t xml:space="preserve">N0002417C4103</t>
        </is>
      </c>
      <c r="C575" s="0" t="inlineStr">
        <is>
          <t xml:space="preserve">HUNTINGTON INGALLS INC</t>
        </is>
      </c>
      <c r="D575" s="0" t="inlineStr">
        <is>
          <t xml:space="preserve">WMXDDH6HJNA5</t>
        </is>
      </c>
      <c r="E575" s="0" t="inlineStr">
        <is>
          <t xml:space="preserve">CL4ZKLFK5DR3</t>
        </is>
      </c>
      <c r="F575" s="0" t="inlineStr">
        <is>
          <t xml:space="preserve">L'AIR LIQUIDE SOCIETE ANONYME POUR L'ETUDE ET L'EXPLOITATION DES PROCEDES GEORGES CLAUDE</t>
        </is>
      </c>
      <c r="G575" s="0" t="inlineStr">
        <is>
          <t xml:space="preserve">KN5KTZ7VX9S9</t>
        </is>
      </c>
      <c r="H575" s="4">
        <v>0.018556</v>
      </c>
      <c r="I575" s="0" t="inlineStr">
        <is>
          <t xml:space="preserve">2021-07-12</t>
        </is>
      </c>
      <c r="J575" s="0" t="inlineStr">
        <is>
          <t xml:space="preserve">autonomy_software</t>
        </is>
      </c>
      <c r="K575" s="4">
        <v>1.6</v>
      </c>
      <c r="L575" s="0" t="inlineStr">
        <is>
          <t xml:space="preserve">PO Item No. 4 - Airgas Material &amp; Service</t>
        </is>
      </c>
    </row>
    <row r="576">
      <c r="B576" s="0" t="inlineStr">
        <is>
          <t xml:space="preserve">N0002417C4103</t>
        </is>
      </c>
      <c r="C576" s="0" t="inlineStr">
        <is>
          <t xml:space="preserve">HUNTINGTON INGALLS INC</t>
        </is>
      </c>
      <c r="D576" s="0" t="inlineStr">
        <is>
          <t xml:space="preserve">WMXDDH6HJNA5</t>
        </is>
      </c>
      <c r="E576" s="0" t="inlineStr">
        <is>
          <t xml:space="preserve">KAYUMJMKWDF9</t>
        </is>
      </c>
      <c r="F576" s="0" t="inlineStr">
        <is>
          <t xml:space="preserve">J. H. NORTON COMPANY, INC.</t>
        </is>
      </c>
      <c r="G576" s="0" t="inlineStr">
        <is>
          <t xml:space="preserve">KAYUMJMKWDF9</t>
        </is>
      </c>
      <c r="H576" s="4">
        <v>0.01742334</v>
      </c>
      <c r="I576" s="0" t="inlineStr">
        <is>
          <t xml:space="preserve">2022-07-12</t>
        </is>
      </c>
      <c r="J576" s="0" t="inlineStr">
        <is>
          <t xml:space="preserve">other_unclassified</t>
        </is>
      </c>
      <c r="K576" s="4">
        <v>1.6</v>
      </c>
      <c r="L576" s="0" t="inlineStr">
        <is>
          <t xml:space="preserve">PO 4500596793 PO Item No. 6 - Blast Equipment 6/16/20-6/25/20 off rent</t>
        </is>
      </c>
    </row>
    <row r="577">
      <c r="B577" s="0" t="inlineStr">
        <is>
          <t xml:space="preserve">N0002417C4103</t>
        </is>
      </c>
      <c r="C577" s="0" t="inlineStr">
        <is>
          <t xml:space="preserve">HUNTINGTON INGALLS INC</t>
        </is>
      </c>
      <c r="D577" s="0" t="inlineStr">
        <is>
          <t xml:space="preserve">WMXDDH6HJNA5</t>
        </is>
      </c>
      <c r="E577" s="0" t="inlineStr">
        <is>
          <t xml:space="preserve">MH4FDVBB4G88</t>
        </is>
      </c>
      <c r="F577" s="0" t="inlineStr">
        <is>
          <t xml:space="preserve">Willscot Mobile Mini Holdings Corp.</t>
        </is>
      </c>
      <c r="G577" s="0" t="inlineStr">
        <is>
          <t xml:space="preserve">FZG7JRH6SLX4</t>
        </is>
      </c>
      <c r="H577" s="4">
        <v>0.0169</v>
      </c>
      <c r="I577" s="0" t="inlineStr">
        <is>
          <t xml:space="preserve">2020-11-06</t>
        </is>
      </c>
      <c r="J577" s="0" t="inlineStr">
        <is>
          <t xml:space="preserve">other_unclassified</t>
        </is>
      </c>
      <c r="K577" s="4">
        <v>2.0</v>
      </c>
      <c r="L577" s="0" t="inlineStr">
        <is>
          <t xml:space="preserve">JLG 600SJ  9/3/19 -8/31/20, PO item #7</t>
        </is>
      </c>
    </row>
    <row r="578">
      <c r="B578" s="0" t="inlineStr">
        <is>
          <t xml:space="preserve">N0002417C4103</t>
        </is>
      </c>
      <c r="C578" s="0" t="inlineStr">
        <is>
          <t xml:space="preserve">HUNTINGTON INGALLS INC</t>
        </is>
      </c>
      <c r="D578" s="0" t="inlineStr">
        <is>
          <t xml:space="preserve">WMXDDH6HJNA5</t>
        </is>
      </c>
      <c r="E578" s="0" t="inlineStr">
        <is>
          <t xml:space="preserve">FZG7JRH6SLX4</t>
        </is>
      </c>
      <c r="F578" s="0" t="inlineStr">
        <is>
          <t xml:space="preserve">VIRGINIA EQUIPMENT RENTAL COMPANY, INC.</t>
        </is>
      </c>
      <c r="G578" s="0" t="inlineStr">
        <is>
          <t xml:space="preserve">FZG7JRH6SLX4</t>
        </is>
      </c>
      <c r="H578" s="4">
        <v>0.0169</v>
      </c>
      <c r="I578" s="0" t="inlineStr">
        <is>
          <t xml:space="preserve">2020-04-01</t>
        </is>
      </c>
      <c r="J578" s="0" t="inlineStr">
        <is>
          <t xml:space="preserve">other_unclassified</t>
        </is>
      </c>
      <c r="K578" s="4">
        <v>1.8</v>
      </c>
      <c r="L578" s="0" t="inlineStr">
        <is>
          <t xml:space="preserve">JLG 600SJ  9/3/19 -8/31/20; PO item #7</t>
        </is>
      </c>
    </row>
    <row r="579">
      <c r="B579" s="0" t="inlineStr">
        <is>
          <t xml:space="preserve">N0002417C4103</t>
        </is>
      </c>
      <c r="C579" s="0" t="inlineStr">
        <is>
          <t xml:space="preserve">HUNTINGTON INGALLS INC</t>
        </is>
      </c>
      <c r="D579" s="0" t="inlineStr">
        <is>
          <t xml:space="preserve">WMXDDH6HJNA5</t>
        </is>
      </c>
      <c r="E579" s="0" t="inlineStr">
        <is>
          <t xml:space="preserve">G5K4NEGGRQQ1</t>
        </is>
      </c>
      <c r="F579" s="0" t="inlineStr">
        <is>
          <t xml:space="preserve">Panther Summit Industries Inc</t>
        </is>
      </c>
      <c r="G579" s="0" t="inlineStr">
        <is>
          <t xml:space="preserve">TRSJFMDLVK71</t>
        </is>
      </c>
      <c r="H579" s="4">
        <v>0.015563379999999998</v>
      </c>
      <c r="I579" s="0" t="inlineStr">
        <is>
          <t xml:space="preserve">2021-09-23</t>
        </is>
      </c>
      <c r="J579" s="0" t="inlineStr">
        <is>
          <t xml:space="preserve">other_unclassified</t>
        </is>
      </c>
      <c r="K579" s="4">
        <v>1.1</v>
      </c>
      <c r="L579" s="0" t="inlineStr">
        <is>
          <t xml:space="preserve">PO 4500607089 PO Item No. 10 - (1) H250HD 11/01/20-5/31/21</t>
        </is>
      </c>
    </row>
    <row r="580">
      <c r="B580" s="0" t="inlineStr">
        <is>
          <t xml:space="preserve">N0001419C1020</t>
        </is>
      </c>
      <c r="C580" s="0" t="inlineStr">
        <is>
          <t xml:space="preserve">LEIDOS, INC.</t>
        </is>
      </c>
      <c r="D580" s="0" t="inlineStr">
        <is>
          <t xml:space="preserve">KTMAJCY6JXM3</t>
        </is>
      </c>
      <c r="E580" s="0" t="inlineStr">
        <is>
          <t xml:space="preserve">JH3HEXTB3N33</t>
        </is>
      </c>
      <c r="F580" s="0" t="inlineStr">
        <is>
          <t xml:space="preserve">MARINE GROUP BOAT WORKS, LLC</t>
        </is>
      </c>
      <c r="G580" s="0" t="inlineStr">
        <is>
          <t xml:space="preserve">JH3HEXTB3N33</t>
        </is>
      </c>
      <c r="H580" s="4">
        <v>0.015115</v>
      </c>
      <c r="I580" s="0" t="inlineStr">
        <is>
          <t xml:space="preserve">2019-10-24</t>
        </is>
      </c>
      <c r="J580" s="0" t="inlineStr">
        <is>
          <t xml:space="preserve">platform_hull</t>
        </is>
      </c>
      <c r="K580" s="4">
        <v>3.7</v>
      </c>
      <c r="L580" s="0" t="inlineStr">
        <is>
          <t xml:space="preserve">PROCURED SERVICES BETWEEN 1/1/2020-1/31/2020 IN SUPPORT OF CONTRACT SOW.</t>
        </is>
      </c>
    </row>
    <row r="581">
      <c r="B581" s="0" t="inlineStr">
        <is>
          <t xml:space="preserve">N0002417C4103</t>
        </is>
      </c>
      <c r="C581" s="0" t="inlineStr">
        <is>
          <t xml:space="preserve">HUNTINGTON INGALLS INC</t>
        </is>
      </c>
      <c r="D581" s="0" t="inlineStr">
        <is>
          <t xml:space="preserve">WMXDDH6HJNA5</t>
        </is>
      </c>
      <c r="E581" s="0" t="inlineStr">
        <is>
          <t xml:space="preserve">JZSHR7DX1MQ9</t>
        </is>
      </c>
      <c r="F581" s="0" t="inlineStr">
        <is>
          <t xml:space="preserve">CARTER MACHINERY COMPANY, INCORPORATED</t>
        </is>
      </c>
      <c r="G581" s="0" t="inlineStr">
        <is>
          <t xml:space="preserve">M25KW7YJBAK3</t>
        </is>
      </c>
      <c r="H581" s="4">
        <v>0.015</v>
      </c>
      <c r="I581" s="0" t="inlineStr">
        <is>
          <t xml:space="preserve">2020-04-06</t>
        </is>
      </c>
      <c r="J581" s="0" t="inlineStr">
        <is>
          <t xml:space="preserve">other_unclassified</t>
        </is>
      </c>
      <c r="K581" s="4">
        <v>1.7</v>
      </c>
      <c r="L581" s="0" t="inlineStr">
        <is>
          <t xml:space="preserve">Ext 4500597464 3/21/19 - 8/20/19; PO item #3</t>
        </is>
      </c>
    </row>
    <row r="582">
      <c r="B582" s="0" t="inlineStr">
        <is>
          <t xml:space="preserve">N0002417C4103</t>
        </is>
      </c>
      <c r="C582" s="0" t="inlineStr">
        <is>
          <t xml:space="preserve">HUNTINGTON INGALLS INC</t>
        </is>
      </c>
      <c r="D582" s="0" t="inlineStr">
        <is>
          <t xml:space="preserve">WMXDDH6HJNA5</t>
        </is>
      </c>
      <c r="E582" s="0" t="inlineStr">
        <is>
          <t xml:space="preserve">FZG7JRH6SLX4</t>
        </is>
      </c>
      <c r="F582" s="0" t="inlineStr">
        <is>
          <t xml:space="preserve">VIRGINIA EQUIPMENT RENTAL COMPANY, INC.</t>
        </is>
      </c>
      <c r="G582" s="0" t="inlineStr">
        <is>
          <t xml:space="preserve">FZG7JRH6SLX4</t>
        </is>
      </c>
      <c r="H582" s="4">
        <v>0.0143</v>
      </c>
      <c r="I582" s="0" t="inlineStr">
        <is>
          <t xml:space="preserve">2023-01-11</t>
        </is>
      </c>
      <c r="J582" s="0" t="inlineStr">
        <is>
          <t xml:space="preserve">other_unclassified</t>
        </is>
      </c>
      <c r="K582" s="4">
        <v>1.3</v>
      </c>
      <c r="L582" s="0" t="inlineStr">
        <is>
          <t xml:space="preserve">PO 4500597304 PO Item No. 7-JLG 600SJ  9/3/19 -7/6/20</t>
        </is>
      </c>
    </row>
    <row r="583">
      <c r="B583" s="0" t="inlineStr">
        <is>
          <t xml:space="preserve">N0002417C4103</t>
        </is>
      </c>
      <c r="C583" s="0" t="inlineStr">
        <is>
          <t xml:space="preserve">HUNTINGTON INGALLS INC</t>
        </is>
      </c>
      <c r="D583" s="0" t="inlineStr">
        <is>
          <t xml:space="preserve">WMXDDH6HJNA5</t>
        </is>
      </c>
      <c r="E583" s="0" t="inlineStr">
        <is>
          <t xml:space="preserve">TWBUHJW83E77</t>
        </is>
      </c>
      <c r="F583" s="0" t="inlineStr">
        <is>
          <t xml:space="preserve">LEE-TELECOM, INC.</t>
        </is>
      </c>
      <c r="G583" s="0" t="inlineStr">
        <is>
          <t xml:space="preserve">TWBUHJW83E77</t>
        </is>
      </c>
      <c r="H583" s="4">
        <v>0.013295</v>
      </c>
      <c r="I583" s="0" t="inlineStr">
        <is>
          <t xml:space="preserve">2020-06-11</t>
        </is>
      </c>
      <c r="J583" s="0" t="inlineStr">
        <is>
          <t xml:space="preserve">autonomy_software</t>
        </is>
      </c>
      <c r="K583" s="4">
        <v>1.5</v>
      </c>
      <c r="L583" s="0" t="inlineStr">
        <is>
          <t xml:space="preserve">CVN77 - Trailer Setup to support PIA; item #3</t>
        </is>
      </c>
    </row>
    <row r="584">
      <c r="B584" s="0" t="inlineStr">
        <is>
          <t xml:space="preserve">N0002417C4103</t>
        </is>
      </c>
      <c r="C584" s="0" t="inlineStr">
        <is>
          <t xml:space="preserve">HUNTINGTON INGALLS INC</t>
        </is>
      </c>
      <c r="D584" s="0" t="inlineStr">
        <is>
          <t xml:space="preserve">WMXDDH6HJNA5</t>
        </is>
      </c>
      <c r="E584" s="0" t="inlineStr">
        <is>
          <t xml:space="preserve">JZSHR7DX1MQ9</t>
        </is>
      </c>
      <c r="F584" s="0" t="inlineStr">
        <is>
          <t xml:space="preserve">CARTER MACHINERY COMPANY, INCORPORATED</t>
        </is>
      </c>
      <c r="G584" s="0" t="inlineStr">
        <is>
          <t xml:space="preserve">M25KW7YJBAK3</t>
        </is>
      </c>
      <c r="H584" s="4">
        <v>0.0132</v>
      </c>
      <c r="I584" s="0" t="inlineStr">
        <is>
          <t xml:space="preserve">2020-11-23</t>
        </is>
      </c>
      <c r="J584" s="0" t="inlineStr">
        <is>
          <t xml:space="preserve">autonomy_software</t>
        </is>
      </c>
      <c r="K584" s="4">
        <v>1.5</v>
      </c>
      <c r="L584" s="0" t="inlineStr">
        <is>
          <t xml:space="preserve">(2) Portable Air Comp. 9/16/20 - 3/15/21, PO item #8</t>
        </is>
      </c>
    </row>
    <row r="585">
      <c r="B585" s="0" t="inlineStr">
        <is>
          <t xml:space="preserve">N0001418C2006</t>
        </is>
      </c>
      <c r="C585" s="0" t="inlineStr">
        <is>
          <t xml:space="preserve">LEIDOS, INC.</t>
        </is>
      </c>
      <c r="D585" s="0" t="inlineStr">
        <is>
          <t xml:space="preserve">KTMAJCY6JXM3</t>
        </is>
      </c>
      <c r="E585" s="0" t="inlineStr">
        <is>
          <t xml:space="preserve">P7K2FNTVMYB9</t>
        </is>
      </c>
      <c r="F585" s="0" t="inlineStr">
        <is>
          <t xml:space="preserve">BEIER RADIO, L.L.C.</t>
        </is>
      </c>
      <c r="G585" s="0" t="inlineStr">
        <is>
          <t xml:space="preserve">P7K2FNTVMYB9</t>
        </is>
      </c>
      <c r="H585" s="4">
        <v>0.01096</v>
      </c>
      <c r="I585" s="0" t="inlineStr">
        <is>
          <t xml:space="preserve">2018-03-22</t>
        </is>
      </c>
      <c r="J585" s="0" t="inlineStr">
        <is>
          <t xml:space="preserve">c2_comms</t>
        </is>
      </c>
      <c r="K585" s="4">
        <v>15.9</v>
      </c>
      <c r="L585" s="0" t="inlineStr">
        <is>
          <t xml:space="preserve">PROCURED SERVICES BETWEEN 6/1/2019-6/30/2019 IN SUPPORT OF CONTRACT SOW.</t>
        </is>
      </c>
    </row>
    <row r="586">
      <c r="B586" s="0" t="inlineStr">
        <is>
          <t xml:space="preserve">N0002417C4103</t>
        </is>
      </c>
      <c r="C586" s="0" t="inlineStr">
        <is>
          <t xml:space="preserve">HUNTINGTON INGALLS INC</t>
        </is>
      </c>
      <c r="D586" s="0" t="inlineStr">
        <is>
          <t xml:space="preserve">WMXDDH6HJNA5</t>
        </is>
      </c>
      <c r="E586" s="0" t="inlineStr">
        <is>
          <t xml:space="preserve">YQ9EQZJ8PKM6</t>
        </is>
      </c>
      <c r="F586" s="0" t="inlineStr">
        <is>
          <t xml:space="preserve">AUXILIARY SYSTEMS, INC.</t>
        </is>
      </c>
      <c r="G586" s="0" t="inlineStr">
        <is>
          <t xml:space="preserve">YQ9EQZJ8PKM6</t>
        </is>
      </c>
      <c r="H586" s="4">
        <v>0.010575</v>
      </c>
      <c r="I586" s="0" t="inlineStr">
        <is>
          <t xml:space="preserve">2020-08-05</t>
        </is>
      </c>
      <c r="J586" s="0" t="inlineStr">
        <is>
          <t xml:space="preserve">other_unclassified</t>
        </is>
      </c>
      <c r="K586" s="4">
        <v>1.8</v>
      </c>
      <c r="L586" s="0" t="inlineStr">
        <is>
          <t xml:space="preserve">#2 RB FHDC HYDROPO item #8</t>
        </is>
      </c>
    </row>
    <row r="587">
      <c r="B587" s="0" t="inlineStr">
        <is>
          <t xml:space="preserve">N0002417C4103</t>
        </is>
      </c>
      <c r="C587" s="0" t="inlineStr">
        <is>
          <t xml:space="preserve">HUNTINGTON INGALLS INC</t>
        </is>
      </c>
      <c r="D587" s="0" t="inlineStr">
        <is>
          <t xml:space="preserve">WMXDDH6HJNA5</t>
        </is>
      </c>
      <c r="E587" s="0" t="inlineStr">
        <is>
          <t xml:space="preserve">KN4DLHTLNCS8</t>
        </is>
      </c>
      <c r="F587" s="0" t="inlineStr">
        <is>
          <t xml:space="preserve">Octopus Industries, Inc.</t>
        </is>
      </c>
      <c r="G587" s="0" t="inlineStr">
        <is>
          <t xml:space="preserve">KCYPSYNH1M94</t>
        </is>
      </c>
      <c r="H587" s="4">
        <v>0.010480999999999999</v>
      </c>
      <c r="I587" s="0" t="inlineStr">
        <is>
          <t xml:space="preserve">2020-09-28</t>
        </is>
      </c>
      <c r="J587" s="0" t="inlineStr">
        <is>
          <t xml:space="preserve">other_unclassified</t>
        </is>
      </c>
      <c r="K587" s="4">
        <v>1.0</v>
      </c>
      <c r="L587" s="0" t="inlineStr">
        <is>
          <t xml:space="preserve">Deck Covering removals,PO item #5</t>
        </is>
      </c>
    </row>
    <row r="588">
      <c r="B588" s="0" t="inlineStr">
        <is>
          <t xml:space="preserve">N0002417C4103</t>
        </is>
      </c>
      <c r="C588" s="0" t="inlineStr">
        <is>
          <t xml:space="preserve">HUNTINGTON INGALLS INC</t>
        </is>
      </c>
      <c r="D588" s="0" t="inlineStr">
        <is>
          <t xml:space="preserve">WMXDDH6HJNA5</t>
        </is>
      </c>
      <c r="E588" s="0" t="inlineStr">
        <is>
          <t xml:space="preserve">KN4DLHTLNCS8</t>
        </is>
      </c>
      <c r="F588" s="0" t="inlineStr">
        <is>
          <t xml:space="preserve">Octopus Industries, Inc.</t>
        </is>
      </c>
      <c r="G588" s="0" t="inlineStr">
        <is>
          <t xml:space="preserve">KCYPSYNH1M94</t>
        </is>
      </c>
      <c r="H588" s="4">
        <v>0.010480999999999999</v>
      </c>
      <c r="I588" s="0" t="inlineStr">
        <is>
          <t xml:space="preserve">2020-07-21</t>
        </is>
      </c>
      <c r="J588" s="0" t="inlineStr">
        <is>
          <t xml:space="preserve">other_unclassified</t>
        </is>
      </c>
      <c r="K588" s="4">
        <v>1.2</v>
      </c>
      <c r="L588" s="0" t="inlineStr">
        <is>
          <t xml:space="preserve">Deck Covering removals; PO item# 5</t>
        </is>
      </c>
    </row>
    <row r="589">
      <c r="B589" s="0" t="inlineStr">
        <is>
          <t xml:space="preserve">N0002417C4103</t>
        </is>
      </c>
      <c r="C589" s="0" t="inlineStr">
        <is>
          <t xml:space="preserve">HUNTINGTON INGALLS INC</t>
        </is>
      </c>
      <c r="D589" s="0" t="inlineStr">
        <is>
          <t xml:space="preserve">WMXDDH6HJNA5</t>
        </is>
      </c>
      <c r="E589" s="0" t="inlineStr">
        <is>
          <t xml:space="preserve">KN4DLHTLNCS8</t>
        </is>
      </c>
      <c r="F589" s="0" t="inlineStr">
        <is>
          <t xml:space="preserve">Octopus Industries, Inc.</t>
        </is>
      </c>
      <c r="G589" s="0" t="inlineStr">
        <is>
          <t xml:space="preserve">KCYPSYNH1M94</t>
        </is>
      </c>
      <c r="H589" s="4">
        <v>0.010480999999999999</v>
      </c>
      <c r="I589" s="0" t="inlineStr">
        <is>
          <t xml:space="preserve">2020-05-08</t>
        </is>
      </c>
      <c r="J589" s="0" t="inlineStr">
        <is>
          <t xml:space="preserve">other_unclassified</t>
        </is>
      </c>
      <c r="K589" s="4">
        <v>1.6</v>
      </c>
      <c r="L589" s="0" t="inlineStr">
        <is>
          <t xml:space="preserve">Deck Covering removals;PO Item#5</t>
        </is>
      </c>
    </row>
    <row r="590">
      <c r="B590" s="0" t="inlineStr">
        <is>
          <t xml:space="preserve">N0001419C1020</t>
        </is>
      </c>
      <c r="C590" s="0" t="inlineStr">
        <is>
          <t xml:space="preserve">LEIDOS, INC.</t>
        </is>
      </c>
      <c r="D590" s="0" t="inlineStr">
        <is>
          <t xml:space="preserve">KTMAJCY6JXM3</t>
        </is>
      </c>
      <c r="E590" s="0" t="inlineStr">
        <is>
          <t xml:space="preserve">JXUMFLGNSMP8</t>
        </is>
      </c>
      <c r="F590" s="0" t="inlineStr">
        <is>
          <t xml:space="preserve">UNITED STATES MARINE, INC.</t>
        </is>
      </c>
      <c r="G590" s="0" t="inlineStr">
        <is>
          <t xml:space="preserve">JXUMFLGNSMP8</t>
        </is>
      </c>
      <c r="H590" s="4">
        <v>0.01</v>
      </c>
      <c r="I590" s="0" t="inlineStr">
        <is>
          <t xml:space="preserve">2019-04-17</t>
        </is>
      </c>
      <c r="J590" s="0" t="inlineStr">
        <is>
          <t xml:space="preserve">other_unclassified</t>
        </is>
      </c>
      <c r="K590" s="4">
        <v>23.9</v>
      </c>
      <c r="L590" s="0" t="inlineStr">
        <is>
          <t xml:space="preserve">PROCURED SERVICES BETWEEN 3/1/2021-3/30/2021 IN SUPPORT OF CONTRACT SOW.</t>
        </is>
      </c>
    </row>
    <row r="591">
      <c r="B591" s="0" t="inlineStr">
        <is>
          <t xml:space="preserve">N0002417C4103</t>
        </is>
      </c>
      <c r="C591" s="0" t="inlineStr">
        <is>
          <t xml:space="preserve">HUNTINGTON INGALLS INC</t>
        </is>
      </c>
      <c r="D591" s="0" t="inlineStr">
        <is>
          <t xml:space="preserve">WMXDDH6HJNA5</t>
        </is>
      </c>
      <c r="E591" s="0" t="inlineStr">
        <is>
          <t xml:space="preserve">FZG7JRH6SLX4</t>
        </is>
      </c>
      <c r="F591" s="0" t="inlineStr">
        <is>
          <t xml:space="preserve">VIRGINIA EQUIPMENT RENTAL COMPANY, INC.</t>
        </is>
      </c>
      <c r="G591" s="0" t="inlineStr">
        <is>
          <t xml:space="preserve">FZG7JRH6SLX4</t>
        </is>
      </c>
      <c r="H591" s="4">
        <v>0.0091</v>
      </c>
      <c r="I591" s="0" t="inlineStr">
        <is>
          <t xml:space="preserve">2023-01-11</t>
        </is>
      </c>
      <c r="J591" s="0" t="inlineStr">
        <is>
          <t xml:space="preserve">other_unclassified</t>
        </is>
      </c>
      <c r="K591" s="4">
        <v>1.3</v>
      </c>
      <c r="L591" s="0" t="inlineStr">
        <is>
          <t xml:space="preserve">PO 4500597304 PO Item No. 1-JLG 600SJ  2/19/19-9/2/19</t>
        </is>
      </c>
    </row>
    <row r="592">
      <c r="B592" s="0" t="inlineStr">
        <is>
          <t xml:space="preserve">N0002417C4103</t>
        </is>
      </c>
      <c r="C592" s="0" t="inlineStr">
        <is>
          <t xml:space="preserve">HUNTINGTON INGALLS INC</t>
        </is>
      </c>
      <c r="D592" s="0" t="inlineStr">
        <is>
          <t xml:space="preserve">WMXDDH6HJNA5</t>
        </is>
      </c>
      <c r="E592" s="0" t="inlineStr">
        <is>
          <t xml:space="preserve">JZSHR7DX1MQ9</t>
        </is>
      </c>
      <c r="F592" s="0" t="inlineStr">
        <is>
          <t xml:space="preserve">CARTER MACHINERY COMPANY, INCORPORATED</t>
        </is>
      </c>
      <c r="G592" s="0" t="inlineStr">
        <is>
          <t xml:space="preserve">FZG7JRH6SLX4</t>
        </is>
      </c>
      <c r="H592" s="4">
        <v>0.0091</v>
      </c>
      <c r="I592" s="0" t="inlineStr">
        <is>
          <t xml:space="preserve">2020-11-06</t>
        </is>
      </c>
      <c r="J592" s="0" t="inlineStr">
        <is>
          <t xml:space="preserve">other_unclassified</t>
        </is>
      </c>
      <c r="K592" s="4">
        <v>2.0</v>
      </c>
      <c r="L592" s="0" t="inlineStr">
        <is>
          <t xml:space="preserve">JLG 600SJ  2/19/19-9/2/19, PO item #1</t>
        </is>
      </c>
    </row>
    <row r="593">
      <c r="B593" s="0" t="inlineStr">
        <is>
          <t xml:space="preserve">N0002417C4103</t>
        </is>
      </c>
      <c r="C593" s="0" t="inlineStr">
        <is>
          <t xml:space="preserve">HUNTINGTON INGALLS INC</t>
        </is>
      </c>
      <c r="D593" s="0" t="inlineStr">
        <is>
          <t xml:space="preserve">WMXDDH6HJNA5</t>
        </is>
      </c>
      <c r="E593" s="0" t="inlineStr">
        <is>
          <t xml:space="preserve">FZG7JRH6SLX4</t>
        </is>
      </c>
      <c r="F593" s="0" t="inlineStr">
        <is>
          <t xml:space="preserve">VIRGINIA EQUIPMENT RENTAL COMPANY, INC.</t>
        </is>
      </c>
      <c r="G593" s="0" t="inlineStr">
        <is>
          <t xml:space="preserve">FZG7JRH6SLX4</t>
        </is>
      </c>
      <c r="H593" s="4">
        <v>0.0091</v>
      </c>
      <c r="I593" s="0" t="inlineStr">
        <is>
          <t xml:space="preserve">2020-04-01</t>
        </is>
      </c>
      <c r="J593" s="0" t="inlineStr">
        <is>
          <t xml:space="preserve">other_unclassified</t>
        </is>
      </c>
      <c r="K593" s="4">
        <v>1.8</v>
      </c>
      <c r="L593" s="0" t="inlineStr">
        <is>
          <t xml:space="preserve">JLG 600SJ  2/19/19-9/2/19; PO item #1</t>
        </is>
      </c>
    </row>
    <row r="594">
      <c r="B594" s="0" t="inlineStr">
        <is>
          <t xml:space="preserve">N0002417C4103</t>
        </is>
      </c>
      <c r="C594" s="0" t="inlineStr">
        <is>
          <t xml:space="preserve">HUNTINGTON INGALLS INC</t>
        </is>
      </c>
      <c r="D594" s="0" t="inlineStr">
        <is>
          <t xml:space="preserve">WMXDDH6HJNA5</t>
        </is>
      </c>
      <c r="E594" s="0" t="inlineStr">
        <is>
          <t xml:space="preserve">JZSHR7DX1MQ9</t>
        </is>
      </c>
      <c r="F594" s="0" t="inlineStr">
        <is>
          <t xml:space="preserve">CARTER MACHINERY COMPANY, INCORPORATED</t>
        </is>
      </c>
      <c r="G594" s="0" t="inlineStr">
        <is>
          <t xml:space="preserve">M25KW7YJBAK3</t>
        </is>
      </c>
      <c r="H594" s="4">
        <v>0.008799999999999999</v>
      </c>
      <c r="I594" s="0" t="inlineStr">
        <is>
          <t xml:space="preserve">2020-11-23</t>
        </is>
      </c>
      <c r="J594" s="0" t="inlineStr">
        <is>
          <t xml:space="preserve">autonomy_software</t>
        </is>
      </c>
      <c r="K594" s="4">
        <v>1.5</v>
      </c>
      <c r="L594" s="0" t="inlineStr">
        <is>
          <t xml:space="preserve">(2) Portable Air Comp. 5/1/19-08/20/19, PO item #1</t>
        </is>
      </c>
    </row>
    <row r="595">
      <c r="B595" s="0" t="inlineStr">
        <is>
          <t xml:space="preserve">N0002417C4103</t>
        </is>
      </c>
      <c r="C595" s="0" t="inlineStr">
        <is>
          <t xml:space="preserve">HUNTINGTON INGALLS INC</t>
        </is>
      </c>
      <c r="D595" s="0" t="inlineStr">
        <is>
          <t xml:space="preserve">WMXDDH6HJNA5</t>
        </is>
      </c>
      <c r="E595" s="0" t="inlineStr">
        <is>
          <t xml:space="preserve">JZSHR7DX1MQ9</t>
        </is>
      </c>
      <c r="F595" s="0" t="inlineStr">
        <is>
          <t xml:space="preserve">CARTER MACHINERY COMPANY, INCORPORATED</t>
        </is>
      </c>
      <c r="G595" s="0" t="inlineStr">
        <is>
          <t xml:space="preserve">M25KW7YJBAK3</t>
        </is>
      </c>
      <c r="H595" s="4">
        <v>0.008799999999999999</v>
      </c>
      <c r="I595" s="0" t="inlineStr">
        <is>
          <t xml:space="preserve">2020-05-05</t>
        </is>
      </c>
      <c r="J595" s="0" t="inlineStr">
        <is>
          <t xml:space="preserve">autonomy_software</t>
        </is>
      </c>
      <c r="K595" s="4">
        <v>1.7</v>
      </c>
      <c r="L595" s="0" t="inlineStr">
        <is>
          <t xml:space="preserve">(2) Portable Air Comp. 5/1/19-08/20/19;PO Item#1</t>
        </is>
      </c>
    </row>
    <row r="596">
      <c r="B596" s="0" t="inlineStr">
        <is>
          <t xml:space="preserve">N0002417C4103</t>
        </is>
      </c>
      <c r="C596" s="0" t="inlineStr">
        <is>
          <t xml:space="preserve">HUNTINGTON INGALLS INC</t>
        </is>
      </c>
      <c r="D596" s="0" t="inlineStr">
        <is>
          <t xml:space="preserve">WMXDDH6HJNA5</t>
        </is>
      </c>
      <c r="E596" s="0" t="inlineStr">
        <is>
          <t xml:space="preserve">JZSHR7DX1MQ9</t>
        </is>
      </c>
      <c r="F596" s="0" t="inlineStr">
        <is>
          <t xml:space="preserve">CARTER MACHINERY COMPANY, INCORPORATED</t>
        </is>
      </c>
      <c r="G596" s="0" t="inlineStr">
        <is>
          <t xml:space="preserve">M25KW7YJBAK3</t>
        </is>
      </c>
      <c r="H596" s="4">
        <v>0.008799999999999999</v>
      </c>
      <c r="I596" s="0" t="inlineStr">
        <is>
          <t xml:space="preserve">2020-04-07</t>
        </is>
      </c>
      <c r="J596" s="0" t="inlineStr">
        <is>
          <t xml:space="preserve">autonomy_software</t>
        </is>
      </c>
      <c r="K596" s="4">
        <v>1.6</v>
      </c>
      <c r="L596" s="0" t="inlineStr">
        <is>
          <t xml:space="preserve">(2) Portable Air Comp. 5/29/19-9/17/19; PO item #4</t>
        </is>
      </c>
    </row>
    <row r="597">
      <c r="B597" s="0" t="inlineStr">
        <is>
          <t xml:space="preserve">N0002417C4103</t>
        </is>
      </c>
      <c r="C597" s="0" t="inlineStr">
        <is>
          <t xml:space="preserve">HUNTINGTON INGALLS INC</t>
        </is>
      </c>
      <c r="D597" s="0" t="inlineStr">
        <is>
          <t xml:space="preserve">WMXDDH6HJNA5</t>
        </is>
      </c>
      <c r="E597" s="0" t="inlineStr">
        <is>
          <t xml:space="preserve">PM5WJ7WYPX53</t>
        </is>
      </c>
      <c r="F597" s="0" t="inlineStr">
        <is>
          <t xml:space="preserve">AGGREKO PLC</t>
        </is>
      </c>
      <c r="G597" s="0" t="inlineStr">
        <is>
          <t xml:space="preserve">MC9KZKMUD8F8</t>
        </is>
      </c>
      <c r="H597" s="4">
        <v>0.008485620000000001</v>
      </c>
      <c r="I597" s="0" t="inlineStr">
        <is>
          <t xml:space="preserve">2020-11-13</t>
        </is>
      </c>
      <c r="J597" s="0" t="inlineStr">
        <is>
          <t xml:space="preserve">other_unclassified</t>
        </is>
      </c>
      <c r="K597" s="4">
        <v>1.8</v>
      </c>
      <c r="L597" s="0" t="inlineStr">
        <is>
          <t xml:space="preserve">(3) DH 600 6/2/20-7/21/20 change order, PO item #6</t>
        </is>
      </c>
    </row>
    <row r="598">
      <c r="B598" s="0" t="inlineStr">
        <is>
          <t xml:space="preserve">N0002417C4103</t>
        </is>
      </c>
      <c r="C598" s="0" t="inlineStr">
        <is>
          <t xml:space="preserve">HUNTINGTON INGALLS INC</t>
        </is>
      </c>
      <c r="D598" s="0" t="inlineStr">
        <is>
          <t xml:space="preserve">WMXDDH6HJNA5</t>
        </is>
      </c>
      <c r="E598" s="0" t="inlineStr">
        <is>
          <t xml:space="preserve">PM5WJ7WYPX53</t>
        </is>
      </c>
      <c r="F598" s="0" t="inlineStr">
        <is>
          <t xml:space="preserve">AGGREKO PLC</t>
        </is>
      </c>
      <c r="G598" s="0" t="inlineStr">
        <is>
          <t xml:space="preserve">MC9KZKMUD8F8</t>
        </is>
      </c>
      <c r="H598" s="4">
        <v>0.008485620000000001</v>
      </c>
      <c r="I598" s="0" t="inlineStr">
        <is>
          <t xml:space="preserve">2020-09-03</t>
        </is>
      </c>
      <c r="J598" s="0" t="inlineStr">
        <is>
          <t xml:space="preserve">other_unclassified</t>
        </is>
      </c>
      <c r="K598" s="4">
        <v>1.8</v>
      </c>
      <c r="L598" s="0" t="inlineStr">
        <is>
          <t xml:space="preserve">(3) DH 600 6/2/20-7/21/20 change order,PO item #6</t>
        </is>
      </c>
    </row>
    <row r="599">
      <c r="B599" s="0" t="inlineStr">
        <is>
          <t xml:space="preserve">N0002417C4103</t>
        </is>
      </c>
      <c r="C599" s="0" t="inlineStr">
        <is>
          <t xml:space="preserve">HUNTINGTON INGALLS INC</t>
        </is>
      </c>
      <c r="D599" s="0" t="inlineStr">
        <is>
          <t xml:space="preserve">WMXDDH6HJNA5</t>
        </is>
      </c>
      <c r="E599" s="0" t="inlineStr">
        <is>
          <t xml:space="preserve">FZG7JRH6SLX4</t>
        </is>
      </c>
      <c r="F599" s="0" t="inlineStr">
        <is>
          <t xml:space="preserve">VIRGINIA EQUIPMENT RENTAL COMPANY, INC.</t>
        </is>
      </c>
      <c r="G599" s="0" t="inlineStr">
        <is>
          <t xml:space="preserve">FZG7JRH6SLX4</t>
        </is>
      </c>
      <c r="H599" s="4">
        <v>0.0078</v>
      </c>
      <c r="I599" s="0" t="inlineStr">
        <is>
          <t xml:space="preserve">2020-11-06</t>
        </is>
      </c>
      <c r="J599" s="0" t="inlineStr">
        <is>
          <t xml:space="preserve">other_unclassified</t>
        </is>
      </c>
      <c r="K599" s="4">
        <v>2.0</v>
      </c>
      <c r="L599" s="0" t="inlineStr">
        <is>
          <t xml:space="preserve">JLG 600SJ 9/1/20-2/15/20, PO item #9</t>
        </is>
      </c>
    </row>
    <row r="600">
      <c r="B600" s="0" t="inlineStr">
        <is>
          <t xml:space="preserve">N0002417C4103</t>
        </is>
      </c>
      <c r="C600" s="0" t="inlineStr">
        <is>
          <t xml:space="preserve">HUNTINGTON INGALLS INC</t>
        </is>
      </c>
      <c r="D600" s="0" t="inlineStr">
        <is>
          <t xml:space="preserve">WMXDDH6HJNA5</t>
        </is>
      </c>
      <c r="E600" s="0" t="inlineStr">
        <is>
          <t xml:space="preserve">YQ9EQZJ8PKM6</t>
        </is>
      </c>
      <c r="F600" s="0" t="inlineStr">
        <is>
          <t xml:space="preserve">AUXILIARY SYSTEMS, INC.</t>
        </is>
      </c>
      <c r="G600" s="0" t="inlineStr">
        <is>
          <t xml:space="preserve">YQ9EQZJ8PKM6</t>
        </is>
      </c>
      <c r="H600" s="4">
        <v>0.0075</v>
      </c>
      <c r="I600" s="0" t="inlineStr">
        <is>
          <t xml:space="preserve">2020-08-05</t>
        </is>
      </c>
      <c r="J600" s="0" t="inlineStr">
        <is>
          <t xml:space="preserve">integration_eng_svcs</t>
        </is>
      </c>
      <c r="K600" s="4">
        <v>1.8</v>
      </c>
      <c r="L600" s="0" t="inlineStr">
        <is>
          <t xml:space="preserve">#2 Reboiler Hydro TestingPO item #3</t>
        </is>
      </c>
    </row>
    <row r="601">
      <c r="B601" s="0" t="inlineStr">
        <is>
          <t xml:space="preserve">N0002417C4103</t>
        </is>
      </c>
      <c r="C601" s="0" t="inlineStr">
        <is>
          <t xml:space="preserve">HUNTINGTON INGALLS INC</t>
        </is>
      </c>
      <c r="D601" s="0" t="inlineStr">
        <is>
          <t xml:space="preserve">WMXDDH6HJNA5</t>
        </is>
      </c>
      <c r="E601" s="0" t="inlineStr">
        <is>
          <t xml:space="preserve">KN4DLHTLNCS8</t>
        </is>
      </c>
      <c r="F601" s="0" t="inlineStr">
        <is>
          <t xml:space="preserve">Octopus Industries, Inc.</t>
        </is>
      </c>
      <c r="G601" s="0" t="inlineStr">
        <is>
          <t xml:space="preserve">KCYPSYNH1M94</t>
        </is>
      </c>
      <c r="H601" s="4">
        <v>0.0072169999999999995</v>
      </c>
      <c r="I601" s="0" t="inlineStr">
        <is>
          <t xml:space="preserve">2020-09-28</t>
        </is>
      </c>
      <c r="J601" s="0" t="inlineStr">
        <is>
          <t xml:space="preserve">autonomy_software</t>
        </is>
      </c>
      <c r="K601" s="4">
        <v>1.0</v>
      </c>
      <c r="L601" s="0" t="inlineStr">
        <is>
          <t xml:space="preserve">RCP Deck Tile Repair,PO item #2</t>
        </is>
      </c>
    </row>
    <row r="602">
      <c r="B602" s="0" t="inlineStr">
        <is>
          <t xml:space="preserve">N0002417C4103</t>
        </is>
      </c>
      <c r="C602" s="0" t="inlineStr">
        <is>
          <t xml:space="preserve">HUNTINGTON INGALLS INC</t>
        </is>
      </c>
      <c r="D602" s="0" t="inlineStr">
        <is>
          <t xml:space="preserve">WMXDDH6HJNA5</t>
        </is>
      </c>
      <c r="E602" s="0" t="inlineStr">
        <is>
          <t xml:space="preserve">KN4DLHTLNCS8</t>
        </is>
      </c>
      <c r="F602" s="0" t="inlineStr">
        <is>
          <t xml:space="preserve">Octopus Industries, Inc.</t>
        </is>
      </c>
      <c r="G602" s="0" t="inlineStr">
        <is>
          <t xml:space="preserve">KCYPSYNH1M94</t>
        </is>
      </c>
      <c r="H602" s="4">
        <v>0.0072169999999999995</v>
      </c>
      <c r="I602" s="0" t="inlineStr">
        <is>
          <t xml:space="preserve">2020-07-21</t>
        </is>
      </c>
      <c r="J602" s="0" t="inlineStr">
        <is>
          <t xml:space="preserve">autonomy_software</t>
        </is>
      </c>
      <c r="K602" s="4">
        <v>1.2</v>
      </c>
      <c r="L602" s="0" t="inlineStr">
        <is>
          <t xml:space="preserve">RCP Deck Tile Repair; PO item# 2</t>
        </is>
      </c>
    </row>
    <row r="603">
      <c r="B603" s="0" t="inlineStr">
        <is>
          <t xml:space="preserve">N0002417C4103</t>
        </is>
      </c>
      <c r="C603" s="0" t="inlineStr">
        <is>
          <t xml:space="preserve">HUNTINGTON INGALLS INC</t>
        </is>
      </c>
      <c r="D603" s="0" t="inlineStr">
        <is>
          <t xml:space="preserve">WMXDDH6HJNA5</t>
        </is>
      </c>
      <c r="E603" s="0" t="inlineStr">
        <is>
          <t xml:space="preserve">KN4DLHTLNCS8</t>
        </is>
      </c>
      <c r="F603" s="0" t="inlineStr">
        <is>
          <t xml:space="preserve">Octopus Industries, Inc.</t>
        </is>
      </c>
      <c r="G603" s="0" t="inlineStr">
        <is>
          <t xml:space="preserve">KCYPSYNH1M94</t>
        </is>
      </c>
      <c r="H603" s="4">
        <v>0.0072169999999999995</v>
      </c>
      <c r="I603" s="0" t="inlineStr">
        <is>
          <t xml:space="preserve">2020-05-08</t>
        </is>
      </c>
      <c r="J603" s="0" t="inlineStr">
        <is>
          <t xml:space="preserve">autonomy_software</t>
        </is>
      </c>
      <c r="K603" s="4">
        <v>1.6</v>
      </c>
      <c r="L603" s="0" t="inlineStr">
        <is>
          <t xml:space="preserve">RCP Deck Tile Repair;PO Item#2</t>
        </is>
      </c>
    </row>
    <row r="604">
      <c r="B604" s="0" t="inlineStr">
        <is>
          <t xml:space="preserve">N0002417C4103</t>
        </is>
      </c>
      <c r="C604" s="0" t="inlineStr">
        <is>
          <t xml:space="preserve">HUNTINGTON INGALLS INC</t>
        </is>
      </c>
      <c r="D604" s="0" t="inlineStr">
        <is>
          <t xml:space="preserve">WMXDDH6HJNA5</t>
        </is>
      </c>
      <c r="E604" s="0" t="inlineStr">
        <is>
          <t xml:space="preserve">KAYUMJMKWDF9</t>
        </is>
      </c>
      <c r="F604" s="0" t="inlineStr">
        <is>
          <t xml:space="preserve">J. H. NORTON COMPANY, INC.</t>
        </is>
      </c>
      <c r="G604" s="0" t="inlineStr">
        <is>
          <t xml:space="preserve">KAYUMJMKWDF9</t>
        </is>
      </c>
      <c r="H604" s="4">
        <v>0.006999999999999999</v>
      </c>
      <c r="I604" s="0" t="inlineStr">
        <is>
          <t xml:space="preserve">2022-07-12</t>
        </is>
      </c>
      <c r="J604" s="0" t="inlineStr">
        <is>
          <t xml:space="preserve">other_unclassified</t>
        </is>
      </c>
      <c r="K604" s="4">
        <v>1.6</v>
      </c>
      <c r="L604" s="0" t="inlineStr">
        <is>
          <t xml:space="preserve">PO 4500596793 PO Item No. 7 - (10) Grit Hoppers 7/14/20-9/7/20</t>
        </is>
      </c>
    </row>
    <row r="605">
      <c r="B605" s="0" t="inlineStr">
        <is>
          <t xml:space="preserve">N0002417C4103</t>
        </is>
      </c>
      <c r="C605" s="0" t="inlineStr">
        <is>
          <t xml:space="preserve">HUNTINGTON INGALLS INC</t>
        </is>
      </c>
      <c r="D605" s="0" t="inlineStr">
        <is>
          <t xml:space="preserve">WMXDDH6HJNA5</t>
        </is>
      </c>
      <c r="E605" s="0" t="inlineStr">
        <is>
          <t xml:space="preserve">FZG7JRH6SLX4</t>
        </is>
      </c>
      <c r="F605" s="0" t="inlineStr">
        <is>
          <t xml:space="preserve">VIRGINIA EQUIPMENT RENTAL COMPANY, INC.</t>
        </is>
      </c>
      <c r="G605" s="0" t="inlineStr">
        <is>
          <t xml:space="preserve">FZG7JRH6SLX4</t>
        </is>
      </c>
      <c r="H605" s="4">
        <v>0.00675</v>
      </c>
      <c r="I605" s="0" t="inlineStr">
        <is>
          <t xml:space="preserve">2023-01-11</t>
        </is>
      </c>
      <c r="J605" s="0" t="inlineStr">
        <is>
          <t xml:space="preserve">other_unclassified</t>
        </is>
      </c>
      <c r="K605" s="4">
        <v>1.3</v>
      </c>
      <c r="L605" s="0" t="inlineStr">
        <is>
          <t xml:space="preserve">PO 4500597304 PO Item No. 6-ROUGH TERR SCISSOR 12/12/19-8/19/20 NEW</t>
        </is>
      </c>
    </row>
    <row r="606">
      <c r="B606" s="0" t="inlineStr">
        <is>
          <t xml:space="preserve">N0002417C4103</t>
        </is>
      </c>
      <c r="C606" s="0" t="inlineStr">
        <is>
          <t xml:space="preserve">HUNTINGTON INGALLS INC</t>
        </is>
      </c>
      <c r="D606" s="0" t="inlineStr">
        <is>
          <t xml:space="preserve">WMXDDH6HJNA5</t>
        </is>
      </c>
      <c r="E606" s="0" t="inlineStr">
        <is>
          <t xml:space="preserve">PM5WJ7WYPX53</t>
        </is>
      </c>
      <c r="F606" s="0" t="inlineStr">
        <is>
          <t xml:space="preserve">AGGREKO PLC</t>
        </is>
      </c>
      <c r="G606" s="0" t="inlineStr">
        <is>
          <t xml:space="preserve">FZG7JRH6SLX4</t>
        </is>
      </c>
      <c r="H606" s="4">
        <v>0.00675</v>
      </c>
      <c r="I606" s="0" t="inlineStr">
        <is>
          <t xml:space="preserve">2020-11-06</t>
        </is>
      </c>
      <c r="J606" s="0" t="inlineStr">
        <is>
          <t xml:space="preserve">other_unclassified</t>
        </is>
      </c>
      <c r="K606" s="4">
        <v>2.0</v>
      </c>
      <c r="L606" s="0" t="inlineStr">
        <is>
          <t xml:space="preserve">ROUGH TERR SCISSOR 12/12/19-8/19/20 NEW, PO item #6</t>
        </is>
      </c>
    </row>
    <row r="607">
      <c r="B607" s="0" t="inlineStr">
        <is>
          <t xml:space="preserve">N0002417C4103</t>
        </is>
      </c>
      <c r="C607" s="0" t="inlineStr">
        <is>
          <t xml:space="preserve">HUNTINGTON INGALLS INC</t>
        </is>
      </c>
      <c r="D607" s="0" t="inlineStr">
        <is>
          <t xml:space="preserve">WMXDDH6HJNA5</t>
        </is>
      </c>
      <c r="E607" s="0" t="inlineStr">
        <is>
          <t xml:space="preserve">FZG7JRH6SLX4</t>
        </is>
      </c>
      <c r="F607" s="0" t="inlineStr">
        <is>
          <t xml:space="preserve">VIRGINIA EQUIPMENT RENTAL COMPANY, INC.</t>
        </is>
      </c>
      <c r="G607" s="0" t="inlineStr">
        <is>
          <t xml:space="preserve">FZG7JRH6SLX4</t>
        </is>
      </c>
      <c r="H607" s="4">
        <v>0.00675</v>
      </c>
      <c r="I607" s="0" t="inlineStr">
        <is>
          <t xml:space="preserve">2020-04-01</t>
        </is>
      </c>
      <c r="J607" s="0" t="inlineStr">
        <is>
          <t xml:space="preserve">other_unclassified</t>
        </is>
      </c>
      <c r="K607" s="4">
        <v>1.8</v>
      </c>
      <c r="L607" s="0" t="inlineStr">
        <is>
          <t xml:space="preserve">ROUGH TERR SCISSOR 12/12/19-8/19/20 NEW; PO item #6</t>
        </is>
      </c>
    </row>
    <row r="608">
      <c r="B608" s="0" t="inlineStr">
        <is>
          <t xml:space="preserve">N0002417C4103</t>
        </is>
      </c>
      <c r="C608" s="0" t="inlineStr">
        <is>
          <t xml:space="preserve">HUNTINGTON INGALLS INC</t>
        </is>
      </c>
      <c r="D608" s="0" t="inlineStr">
        <is>
          <t xml:space="preserve">WMXDDH6HJNA5</t>
        </is>
      </c>
      <c r="E608" s="0" t="inlineStr">
        <is>
          <t xml:space="preserve">G5K4NEGGRQQ1</t>
        </is>
      </c>
      <c r="F608" s="0" t="inlineStr">
        <is>
          <t xml:space="preserve">Panther Summit Industries Inc</t>
        </is>
      </c>
      <c r="G608" s="0" t="inlineStr">
        <is>
          <t xml:space="preserve">TRSJFMDLVK71</t>
        </is>
      </c>
      <c r="H608" s="4">
        <v>0.0066700200000000005</v>
      </c>
      <c r="I608" s="0" t="inlineStr">
        <is>
          <t xml:space="preserve">2021-09-23</t>
        </is>
      </c>
      <c r="J608" s="0" t="inlineStr">
        <is>
          <t xml:space="preserve">other_unclassified</t>
        </is>
      </c>
      <c r="K608" s="4">
        <v>1.1</v>
      </c>
      <c r="L608" s="0" t="inlineStr">
        <is>
          <t xml:space="preserve">PO 4500607089 PO Item No. 13 - (1) H250HD 6/1/21 - 8/31/21</t>
        </is>
      </c>
    </row>
    <row r="609">
      <c r="B609" s="0" t="inlineStr">
        <is>
          <t xml:space="preserve">N0002417C4103</t>
        </is>
      </c>
      <c r="C609" s="0" t="inlineStr">
        <is>
          <t xml:space="preserve">HUNTINGTON INGALLS INC</t>
        </is>
      </c>
      <c r="D609" s="0" t="inlineStr">
        <is>
          <t xml:space="preserve">WMXDDH6HJNA5</t>
        </is>
      </c>
      <c r="E609" s="0" t="inlineStr">
        <is>
          <t xml:space="preserve">TWBUHJW83E77</t>
        </is>
      </c>
      <c r="F609" s="0" t="inlineStr">
        <is>
          <t xml:space="preserve">LEE-TELECOM, INC.</t>
        </is>
      </c>
      <c r="G609" s="0" t="inlineStr">
        <is>
          <t xml:space="preserve">TWBUHJW83E77</t>
        </is>
      </c>
      <c r="H609" s="4">
        <v>0.00657724</v>
      </c>
      <c r="I609" s="0" t="inlineStr">
        <is>
          <t xml:space="preserve">2022-03-08</t>
        </is>
      </c>
      <c r="J609" s="0" t="inlineStr">
        <is>
          <t xml:space="preserve">autonomy_software</t>
        </is>
      </c>
      <c r="K609" s="4">
        <v>1.7</v>
      </c>
      <c r="L609" s="0" t="inlineStr">
        <is>
          <t xml:space="preserve">PO 4300381458 PO Item No. 2 - CVN77 - Trailer Setup to support PIA</t>
        </is>
      </c>
    </row>
    <row r="610">
      <c r="B610" s="0" t="inlineStr">
        <is>
          <t xml:space="preserve">N0002417C4103</t>
        </is>
      </c>
      <c r="C610" s="0" t="inlineStr">
        <is>
          <t xml:space="preserve">HUNTINGTON INGALLS INC</t>
        </is>
      </c>
      <c r="D610" s="0" t="inlineStr">
        <is>
          <t xml:space="preserve">WMXDDH6HJNA5</t>
        </is>
      </c>
      <c r="E610" s="0" t="inlineStr">
        <is>
          <t xml:space="preserve">TWBUHJW83E77</t>
        </is>
      </c>
      <c r="F610" s="0" t="inlineStr">
        <is>
          <t xml:space="preserve">LEE-TELECOM, INC.</t>
        </is>
      </c>
      <c r="G610" s="0" t="inlineStr">
        <is>
          <t xml:space="preserve">TWBUHJW83E77</t>
        </is>
      </c>
      <c r="H610" s="4">
        <v>0.0065769999999999995</v>
      </c>
      <c r="I610" s="0" t="inlineStr">
        <is>
          <t xml:space="preserve">2020-06-11</t>
        </is>
      </c>
      <c r="J610" s="0" t="inlineStr">
        <is>
          <t xml:space="preserve">autonomy_software</t>
        </is>
      </c>
      <c r="K610" s="4">
        <v>1.5</v>
      </c>
      <c r="L610" s="0" t="inlineStr">
        <is>
          <t xml:space="preserve">CVN77 - Trailer Setup to support PIA; item #2</t>
        </is>
      </c>
    </row>
    <row r="611">
      <c r="B611" s="0" t="inlineStr">
        <is>
          <t xml:space="preserve">N0002417C4103</t>
        </is>
      </c>
      <c r="C611" s="0" t="inlineStr">
        <is>
          <t xml:space="preserve">HUNTINGTON INGALLS INC</t>
        </is>
      </c>
      <c r="D611" s="0" t="inlineStr">
        <is>
          <t xml:space="preserve">WMXDDH6HJNA5</t>
        </is>
      </c>
      <c r="E611" s="0" t="inlineStr">
        <is>
          <t xml:space="preserve">KN4DLHTLNCS8</t>
        </is>
      </c>
      <c r="F611" s="0" t="inlineStr">
        <is>
          <t xml:space="preserve">Octopus Industries, Inc.</t>
        </is>
      </c>
      <c r="G611" s="0" t="inlineStr">
        <is>
          <t xml:space="preserve">KCYPSYNH1M94</t>
        </is>
      </c>
      <c r="H611" s="4">
        <v>0.006017</v>
      </c>
      <c r="I611" s="0" t="inlineStr">
        <is>
          <t xml:space="preserve">2020-09-28</t>
        </is>
      </c>
      <c r="J611" s="0" t="inlineStr">
        <is>
          <t xml:space="preserve">other_unclassified</t>
        </is>
      </c>
      <c r="K611" s="4">
        <v>1.0</v>
      </c>
      <c r="L611" s="0" t="inlineStr">
        <is>
          <t xml:space="preserve">PRC Removal,PO item #3</t>
        </is>
      </c>
    </row>
    <row r="612">
      <c r="B612" s="0" t="inlineStr">
        <is>
          <t xml:space="preserve">N0002417C4103</t>
        </is>
      </c>
      <c r="C612" s="0" t="inlineStr">
        <is>
          <t xml:space="preserve">HUNTINGTON INGALLS INC</t>
        </is>
      </c>
      <c r="D612" s="0" t="inlineStr">
        <is>
          <t xml:space="preserve">WMXDDH6HJNA5</t>
        </is>
      </c>
      <c r="E612" s="0" t="inlineStr">
        <is>
          <t xml:space="preserve">KN4DLHTLNCS8</t>
        </is>
      </c>
      <c r="F612" s="0" t="inlineStr">
        <is>
          <t xml:space="preserve">Octopus Industries, Inc.</t>
        </is>
      </c>
      <c r="G612" s="0" t="inlineStr">
        <is>
          <t xml:space="preserve">KCYPSYNH1M94</t>
        </is>
      </c>
      <c r="H612" s="4">
        <v>0.006017</v>
      </c>
      <c r="I612" s="0" t="inlineStr">
        <is>
          <t xml:space="preserve">2020-07-21</t>
        </is>
      </c>
      <c r="J612" s="0" t="inlineStr">
        <is>
          <t xml:space="preserve">other_unclassified</t>
        </is>
      </c>
      <c r="K612" s="4">
        <v>1.2</v>
      </c>
      <c r="L612" s="0" t="inlineStr">
        <is>
          <t xml:space="preserve">PRC Removal; PO item# 3</t>
        </is>
      </c>
    </row>
    <row r="613">
      <c r="B613" s="0" t="inlineStr">
        <is>
          <t xml:space="preserve">N0002417C4103</t>
        </is>
      </c>
      <c r="C613" s="0" t="inlineStr">
        <is>
          <t xml:space="preserve">HUNTINGTON INGALLS INC</t>
        </is>
      </c>
      <c r="D613" s="0" t="inlineStr">
        <is>
          <t xml:space="preserve">WMXDDH6HJNA5</t>
        </is>
      </c>
      <c r="E613" s="0" t="inlineStr">
        <is>
          <t xml:space="preserve">KN4DLHTLNCS8</t>
        </is>
      </c>
      <c r="F613" s="0" t="inlineStr">
        <is>
          <t xml:space="preserve">Octopus Industries, Inc.</t>
        </is>
      </c>
      <c r="G613" s="0" t="inlineStr">
        <is>
          <t xml:space="preserve">KCYPSYNH1M94</t>
        </is>
      </c>
      <c r="H613" s="4">
        <v>0.006017</v>
      </c>
      <c r="I613" s="0" t="inlineStr">
        <is>
          <t xml:space="preserve">2020-05-08</t>
        </is>
      </c>
      <c r="J613" s="0" t="inlineStr">
        <is>
          <t xml:space="preserve">other_unclassified</t>
        </is>
      </c>
      <c r="K613" s="4">
        <v>1.6</v>
      </c>
      <c r="L613" s="0" t="inlineStr">
        <is>
          <t xml:space="preserve">PRC Removal;PO Item#3</t>
        </is>
      </c>
    </row>
    <row r="614">
      <c r="B614" s="0" t="inlineStr">
        <is>
          <t xml:space="preserve">N0001419C1020</t>
        </is>
      </c>
      <c r="C614" s="0" t="inlineStr">
        <is>
          <t xml:space="preserve">LEIDOS, INC.</t>
        </is>
      </c>
      <c r="D614" s="0" t="inlineStr">
        <is>
          <t xml:space="preserve">KTMAJCY6JXM3</t>
        </is>
      </c>
      <c r="E614" s="0" t="inlineStr">
        <is>
          <t xml:space="preserve">M3MLVMK9XVV3</t>
        </is>
      </c>
      <c r="F614" s="0" t="inlineStr">
        <is>
          <t xml:space="preserve">VECTOR CONTROLS, INC.</t>
        </is>
      </c>
      <c r="G614" s="0" t="inlineStr">
        <is>
          <t xml:space="preserve">M3MLVMK9XVV3</t>
        </is>
      </c>
      <c r="H614" s="4">
        <v>0.0059</v>
      </c>
      <c r="I614" s="0" t="inlineStr">
        <is>
          <t xml:space="preserve">2020-03-31</t>
        </is>
      </c>
      <c r="J614" s="0" t="inlineStr">
        <is>
          <t xml:space="preserve">other_unclassified</t>
        </is>
      </c>
      <c r="K614" s="4">
        <v>8.4</v>
      </c>
      <c r="L614" s="0" t="inlineStr">
        <is>
          <t xml:space="preserve">PROCURED SERVICES BETWEEN 11/1/2020-11/30/2020 IN SUPPORT OF CONTRACT SOW.</t>
        </is>
      </c>
    </row>
    <row r="615">
      <c r="B615" s="0" t="inlineStr">
        <is>
          <t xml:space="preserve">N0002417C4103</t>
        </is>
      </c>
      <c r="C615" s="0" t="inlineStr">
        <is>
          <t xml:space="preserve">HUNTINGTON INGALLS INC</t>
        </is>
      </c>
      <c r="D615" s="0" t="inlineStr">
        <is>
          <t xml:space="preserve">WMXDDH6HJNA5</t>
        </is>
      </c>
      <c r="E615" s="0" t="inlineStr">
        <is>
          <t xml:space="preserve">FZG7JRH6SLX4</t>
        </is>
      </c>
      <c r="F615" s="0" t="inlineStr">
        <is>
          <t xml:space="preserve">VIRGINIA EQUIPMENT RENTAL COMPANY, INC.</t>
        </is>
      </c>
      <c r="G615" s="0" t="inlineStr">
        <is>
          <t xml:space="preserve">FZG7JRH6SLX4</t>
        </is>
      </c>
      <c r="H615" s="4">
        <v>0.005399999999999999</v>
      </c>
      <c r="I615" s="0" t="inlineStr">
        <is>
          <t xml:space="preserve">2023-01-11</t>
        </is>
      </c>
      <c r="J615" s="0" t="inlineStr">
        <is>
          <t xml:space="preserve">other_unclassified</t>
        </is>
      </c>
      <c r="K615" s="4">
        <v>1.3</v>
      </c>
      <c r="L615" s="0" t="inlineStr">
        <is>
          <t xml:space="preserve">PO 4500597304 PO Item No. 9-JLG 600SJ 9/1/20-12/16/20</t>
        </is>
      </c>
    </row>
    <row r="616">
      <c r="B616" s="0" t="inlineStr">
        <is>
          <t xml:space="preserve">N0002417C4103</t>
        </is>
      </c>
      <c r="C616" s="0" t="inlineStr">
        <is>
          <t xml:space="preserve">HUNTINGTON INGALLS INC</t>
        </is>
      </c>
      <c r="D616" s="0" t="inlineStr">
        <is>
          <t xml:space="preserve">WMXDDH6HJNA5</t>
        </is>
      </c>
      <c r="E616" s="0" t="inlineStr">
        <is>
          <t xml:space="preserve">G5K4NEGGRQQ1</t>
        </is>
      </c>
      <c r="F616" s="0" t="inlineStr">
        <is>
          <t xml:space="preserve">Panther Summit Industries Inc</t>
        </is>
      </c>
      <c r="G616" s="0" t="inlineStr">
        <is>
          <t xml:space="preserve">TRSJFMDLVK71</t>
        </is>
      </c>
      <c r="H616" s="4">
        <v>0.00533838</v>
      </c>
      <c r="I616" s="0" t="inlineStr">
        <is>
          <t xml:space="preserve">2021-09-23</t>
        </is>
      </c>
      <c r="J616" s="0" t="inlineStr">
        <is>
          <t xml:space="preserve">other_unclassified</t>
        </is>
      </c>
      <c r="K616" s="4">
        <v>1.1</v>
      </c>
      <c r="L616" s="0" t="inlineStr">
        <is>
          <t xml:space="preserve">PO 4500607089 PO Item No. 6 - (1) H250HD 8/27/19 - 10/21/19</t>
        </is>
      </c>
    </row>
    <row r="617">
      <c r="B617" s="0" t="inlineStr">
        <is>
          <t xml:space="preserve">N0002417C4103</t>
        </is>
      </c>
      <c r="C617" s="0" t="inlineStr">
        <is>
          <t xml:space="preserve">HUNTINGTON INGALLS INC</t>
        </is>
      </c>
      <c r="D617" s="0" t="inlineStr">
        <is>
          <t xml:space="preserve">WMXDDH6HJNA5</t>
        </is>
      </c>
      <c r="E617" s="0" t="inlineStr">
        <is>
          <t xml:space="preserve">G5K4NEGGRQQ1</t>
        </is>
      </c>
      <c r="F617" s="0" t="inlineStr">
        <is>
          <t xml:space="preserve">Panther Summit Industries Inc</t>
        </is>
      </c>
      <c r="G617" s="0" t="inlineStr">
        <is>
          <t xml:space="preserve">TRSJFMDLVK71</t>
        </is>
      </c>
      <c r="H617" s="4">
        <v>0.00533838</v>
      </c>
      <c r="I617" s="0" t="inlineStr">
        <is>
          <t xml:space="preserve">2020-05-21</t>
        </is>
      </c>
      <c r="J617" s="0" t="inlineStr">
        <is>
          <t xml:space="preserve">other_unclassified</t>
        </is>
      </c>
      <c r="K617" s="4">
        <v>1.2</v>
      </c>
      <c r="L617" s="0" t="inlineStr">
        <is>
          <t xml:space="preserve">(1) H250HD 8/27/19 - 10/21/19;PO Item#6</t>
        </is>
      </c>
    </row>
    <row r="618">
      <c r="B618" s="0" t="inlineStr">
        <is>
          <t xml:space="preserve">N0002417C4103</t>
        </is>
      </c>
      <c r="C618" s="0" t="inlineStr">
        <is>
          <t xml:space="preserve">HUNTINGTON INGALLS INC</t>
        </is>
      </c>
      <c r="D618" s="0" t="inlineStr">
        <is>
          <t xml:space="preserve">WMXDDH6HJNA5</t>
        </is>
      </c>
      <c r="E618" s="0" t="inlineStr">
        <is>
          <t xml:space="preserve">FZG7JRH6SLX4</t>
        </is>
      </c>
      <c r="F618" s="0" t="inlineStr">
        <is>
          <t xml:space="preserve">VIRGINIA EQUIPMENT RENTAL COMPANY, INC.</t>
        </is>
      </c>
      <c r="G618" s="0" t="inlineStr">
        <is>
          <t xml:space="preserve">FZG7JRH6SLX4</t>
        </is>
      </c>
      <c r="H618" s="4">
        <v>0.0045</v>
      </c>
      <c r="I618" s="0" t="inlineStr">
        <is>
          <t xml:space="preserve">2020-11-06</t>
        </is>
      </c>
      <c r="J618" s="0" t="inlineStr">
        <is>
          <t xml:space="preserve">other_unclassified</t>
        </is>
      </c>
      <c r="K618" s="4">
        <v>2.0</v>
      </c>
      <c r="L618" s="0" t="inlineStr">
        <is>
          <t xml:space="preserve">ROUGH TERR SCISSOR 8/20/20-2/3/21, PO item #8</t>
        </is>
      </c>
    </row>
    <row r="619">
      <c r="B619" s="0" t="inlineStr">
        <is>
          <t xml:space="preserve">N0002417C4103</t>
        </is>
      </c>
      <c r="C619" s="0" t="inlineStr">
        <is>
          <t xml:space="preserve">HUNTINGTON INGALLS INC</t>
        </is>
      </c>
      <c r="D619" s="0" t="inlineStr">
        <is>
          <t xml:space="preserve">WMXDDH6HJNA5</t>
        </is>
      </c>
      <c r="E619" s="0" t="inlineStr">
        <is>
          <t xml:space="preserve">G5K4NEGGRQQ1</t>
        </is>
      </c>
      <c r="F619" s="0" t="inlineStr">
        <is>
          <t xml:space="preserve">Panther Summit Industries Inc</t>
        </is>
      </c>
      <c r="G619" s="0" t="inlineStr">
        <is>
          <t xml:space="preserve">TRSJFMDLVK71</t>
        </is>
      </c>
      <c r="H619" s="4">
        <v>0.0042963</v>
      </c>
      <c r="I619" s="0" t="inlineStr">
        <is>
          <t xml:space="preserve">2021-09-23</t>
        </is>
      </c>
      <c r="J619" s="0" t="inlineStr">
        <is>
          <t xml:space="preserve">other_unclassified</t>
        </is>
      </c>
      <c r="K619" s="4">
        <v>1.1</v>
      </c>
      <c r="L619" s="0" t="inlineStr">
        <is>
          <t xml:space="preserve">PO 4500607089 PO Item No. 9 - (1) H250HD 8/25/20-10/31/20</t>
        </is>
      </c>
    </row>
    <row r="620">
      <c r="B620" s="0" t="inlineStr">
        <is>
          <t xml:space="preserve">N0002417C4103</t>
        </is>
      </c>
      <c r="C620" s="0" t="inlineStr">
        <is>
          <t xml:space="preserve">HUNTINGTON INGALLS INC</t>
        </is>
      </c>
      <c r="D620" s="0" t="inlineStr">
        <is>
          <t xml:space="preserve">WMXDDH6HJNA5</t>
        </is>
      </c>
      <c r="E620" s="0" t="inlineStr">
        <is>
          <t xml:space="preserve">RLDUT4AS31N5</t>
        </is>
      </c>
      <c r="F620" s="0" t="inlineStr">
        <is>
          <t xml:space="preserve">MOBILEASE MODULAR SPACE, INC.</t>
        </is>
      </c>
      <c r="G620" s="0" t="inlineStr">
        <is>
          <t xml:space="preserve">RLDUT4AS31N5</t>
        </is>
      </c>
      <c r="H620" s="4">
        <v>0.00323875</v>
      </c>
      <c r="I620" s="0" t="inlineStr">
        <is>
          <t xml:space="preserve">2020-08-10</t>
        </is>
      </c>
      <c r="J620" s="0" t="inlineStr">
        <is>
          <t xml:space="preserve">autonomy_software</t>
        </is>
      </c>
      <c r="K620" s="4">
        <v>1.6</v>
      </c>
      <c r="L620" s="0" t="inlineStr">
        <is>
          <t xml:space="preserve">Repair Stair LegPO item #10</t>
        </is>
      </c>
    </row>
    <row r="621">
      <c r="B621" s="0" t="inlineStr">
        <is>
          <t xml:space="preserve">N0002417C4103</t>
        </is>
      </c>
      <c r="C621" s="0" t="inlineStr">
        <is>
          <t xml:space="preserve">HUNTINGTON INGALLS INC</t>
        </is>
      </c>
      <c r="D621" s="0" t="inlineStr">
        <is>
          <t xml:space="preserve">WMXDDH6HJNA5</t>
        </is>
      </c>
      <c r="E621" s="0" t="inlineStr">
        <is>
          <t xml:space="preserve">RLDUT4AS31N5</t>
        </is>
      </c>
      <c r="F621" s="0" t="inlineStr">
        <is>
          <t xml:space="preserve">MOBILEASE MODULAR SPACE, INC.</t>
        </is>
      </c>
      <c r="G621" s="0" t="inlineStr">
        <is>
          <t xml:space="preserve">RLDUT4AS31N5</t>
        </is>
      </c>
      <c r="H621" s="4">
        <v>0.00323875</v>
      </c>
      <c r="I621" s="0" t="inlineStr">
        <is>
          <t xml:space="preserve">2020-03-10</t>
        </is>
      </c>
      <c r="J621" s="0" t="inlineStr">
        <is>
          <t xml:space="preserve">autonomy_software</t>
        </is>
      </c>
      <c r="K621" s="4">
        <v>3.5</v>
      </c>
      <c r="L621" s="0" t="inlineStr">
        <is>
          <t xml:space="preserve">Repair Stair Leg;item num#10</t>
        </is>
      </c>
    </row>
    <row r="622">
      <c r="B622" s="0" t="inlineStr">
        <is>
          <t xml:space="preserve">N0002417C4103</t>
        </is>
      </c>
      <c r="C622" s="0" t="inlineStr">
        <is>
          <t xml:space="preserve">HUNTINGTON INGALLS INC</t>
        </is>
      </c>
      <c r="D622" s="0" t="inlineStr">
        <is>
          <t xml:space="preserve">WMXDDH6HJNA5</t>
        </is>
      </c>
      <c r="E622" s="0" t="inlineStr">
        <is>
          <t xml:space="preserve">FZG7JRH6SLX4</t>
        </is>
      </c>
      <c r="F622" s="0" t="inlineStr">
        <is>
          <t xml:space="preserve">VIRGINIA EQUIPMENT RENTAL COMPANY, INC.</t>
        </is>
      </c>
      <c r="G622" s="0" t="inlineStr">
        <is>
          <t xml:space="preserve">FZG7JRH6SLX4</t>
        </is>
      </c>
      <c r="H622" s="4">
        <v>0.003</v>
      </c>
      <c r="I622" s="0" t="inlineStr">
        <is>
          <t xml:space="preserve">2023-01-11</t>
        </is>
      </c>
      <c r="J622" s="0" t="inlineStr">
        <is>
          <t xml:space="preserve">other_unclassified</t>
        </is>
      </c>
      <c r="K622" s="4">
        <v>1.3</v>
      </c>
      <c r="L622" s="0" t="inlineStr">
        <is>
          <t xml:space="preserve">PO 4500597304 PO Item No. 3-ROUGH TERR SCISSOR LIFT 2/19/19-6/10/19</t>
        </is>
      </c>
    </row>
    <row r="623">
      <c r="B623" s="0" t="inlineStr">
        <is>
          <t xml:space="preserve">N0002417C4103</t>
        </is>
      </c>
      <c r="C623" s="0" t="inlineStr">
        <is>
          <t xml:space="preserve">HUNTINGTON INGALLS INC</t>
        </is>
      </c>
      <c r="D623" s="0" t="inlineStr">
        <is>
          <t xml:space="preserve">WMXDDH6HJNA5</t>
        </is>
      </c>
      <c r="E623" s="0" t="inlineStr">
        <is>
          <t xml:space="preserve">FZG7JRH6SLX4</t>
        </is>
      </c>
      <c r="F623" s="0" t="inlineStr">
        <is>
          <t xml:space="preserve">VIRGINIA EQUIPMENT RENTAL COMPANY, INC.</t>
        </is>
      </c>
      <c r="G623" s="0" t="inlineStr">
        <is>
          <t xml:space="preserve">FZG7JRH6SLX4</t>
        </is>
      </c>
      <c r="H623" s="4">
        <v>0.003</v>
      </c>
      <c r="I623" s="0" t="inlineStr">
        <is>
          <t xml:space="preserve">2023-01-11</t>
        </is>
      </c>
      <c r="J623" s="0" t="inlineStr">
        <is>
          <t xml:space="preserve">other_unclassified</t>
        </is>
      </c>
      <c r="K623" s="4">
        <v>1.3</v>
      </c>
      <c r="L623" s="0" t="inlineStr">
        <is>
          <t xml:space="preserve">PO 4500597304 PO Item No. 8-ROUGH TERR SCISSOR 8/20/20-12/9/20</t>
        </is>
      </c>
    </row>
    <row r="624">
      <c r="B624" s="0" t="inlineStr">
        <is>
          <t xml:space="preserve">N0002417C4103</t>
        </is>
      </c>
      <c r="C624" s="0" t="inlineStr">
        <is>
          <t xml:space="preserve">HUNTINGTON INGALLS INC</t>
        </is>
      </c>
      <c r="D624" s="0" t="inlineStr">
        <is>
          <t xml:space="preserve">WMXDDH6HJNA5</t>
        </is>
      </c>
      <c r="E624" s="0" t="inlineStr">
        <is>
          <t xml:space="preserve">JZSHR7DX1MQ9</t>
        </is>
      </c>
      <c r="F624" s="0" t="inlineStr">
        <is>
          <t xml:space="preserve">CARTER MACHINERY COMPANY, INCORPORATED</t>
        </is>
      </c>
      <c r="G624" s="0" t="inlineStr">
        <is>
          <t xml:space="preserve">FZG7JRH6SLX4</t>
        </is>
      </c>
      <c r="H624" s="4">
        <v>0.003</v>
      </c>
      <c r="I624" s="0" t="inlineStr">
        <is>
          <t xml:space="preserve">2020-11-06</t>
        </is>
      </c>
      <c r="J624" s="0" t="inlineStr">
        <is>
          <t xml:space="preserve">other_unclassified</t>
        </is>
      </c>
      <c r="K624" s="4">
        <v>2.0</v>
      </c>
      <c r="L624" s="0" t="inlineStr">
        <is>
          <t xml:space="preserve">ROUGH TERR SCISSOR LIFT 2/19/19-6/10/19, PO item #3</t>
        </is>
      </c>
    </row>
    <row r="625">
      <c r="B625" s="0" t="inlineStr">
        <is>
          <t xml:space="preserve">N0002417C4103</t>
        </is>
      </c>
      <c r="C625" s="0" t="inlineStr">
        <is>
          <t xml:space="preserve">HUNTINGTON INGALLS INC</t>
        </is>
      </c>
      <c r="D625" s="0" t="inlineStr">
        <is>
          <t xml:space="preserve">WMXDDH6HJNA5</t>
        </is>
      </c>
      <c r="E625" s="0" t="inlineStr">
        <is>
          <t xml:space="preserve">FZG7JRH6SLX4</t>
        </is>
      </c>
      <c r="F625" s="0" t="inlineStr">
        <is>
          <t xml:space="preserve">VIRGINIA EQUIPMENT RENTAL COMPANY, INC.</t>
        </is>
      </c>
      <c r="G625" s="0" t="inlineStr">
        <is>
          <t xml:space="preserve">FZG7JRH6SLX4</t>
        </is>
      </c>
      <c r="H625" s="4">
        <v>0.003</v>
      </c>
      <c r="I625" s="0" t="inlineStr">
        <is>
          <t xml:space="preserve">2020-04-01</t>
        </is>
      </c>
      <c r="J625" s="0" t="inlineStr">
        <is>
          <t xml:space="preserve">other_unclassified</t>
        </is>
      </c>
      <c r="K625" s="4">
        <v>1.8</v>
      </c>
      <c r="L625" s="0" t="inlineStr">
        <is>
          <t xml:space="preserve">ROUGH TERR SCISSOR LIFT 2/19/19-6/10/19; PO item #3</t>
        </is>
      </c>
    </row>
    <row r="626">
      <c r="B626" s="0" t="inlineStr">
        <is>
          <t xml:space="preserve">N0002417C4103</t>
        </is>
      </c>
      <c r="C626" s="0" t="inlineStr">
        <is>
          <t xml:space="preserve">HUNTINGTON INGALLS INC</t>
        </is>
      </c>
      <c r="D626" s="0" t="inlineStr">
        <is>
          <t xml:space="preserve">WMXDDH6HJNA5</t>
        </is>
      </c>
      <c r="E626" s="0" t="inlineStr">
        <is>
          <t xml:space="preserve">JZSHR7DX1MQ9</t>
        </is>
      </c>
      <c r="F626" s="0" t="inlineStr">
        <is>
          <t xml:space="preserve">CARTER MACHINERY COMPANY, INCORPORATED</t>
        </is>
      </c>
      <c r="G626" s="0" t="inlineStr">
        <is>
          <t xml:space="preserve">M25KW7YJBAK3</t>
        </is>
      </c>
      <c r="H626" s="4">
        <v>0.003</v>
      </c>
      <c r="I626" s="0" t="inlineStr">
        <is>
          <t xml:space="preserve">2020-04-06</t>
        </is>
      </c>
      <c r="J626" s="0" t="inlineStr">
        <is>
          <t xml:space="preserve">other_unclassified</t>
        </is>
      </c>
      <c r="K626" s="4">
        <v>1.7</v>
      </c>
      <c r="L626" s="0" t="inlineStr">
        <is>
          <t xml:space="preserve">CVN77 Boom Forklift 2/21/19 -3/20/19; PO item #1</t>
        </is>
      </c>
    </row>
    <row r="627">
      <c r="B627" s="0" t="inlineStr">
        <is>
          <t xml:space="preserve">N0002417C4103</t>
        </is>
      </c>
      <c r="C627" s="0" t="inlineStr">
        <is>
          <t xml:space="preserve">HUNTINGTON INGALLS INC</t>
        </is>
      </c>
      <c r="D627" s="0" t="inlineStr">
        <is>
          <t xml:space="preserve">WMXDDH6HJNA5</t>
        </is>
      </c>
      <c r="E627" s="0" t="inlineStr">
        <is>
          <t xml:space="preserve">KN4DLHTLNCS8</t>
        </is>
      </c>
      <c r="F627" s="0" t="inlineStr">
        <is>
          <t xml:space="preserve">Octopus Industries, Inc.</t>
        </is>
      </c>
      <c r="G627" s="0" t="inlineStr">
        <is>
          <t xml:space="preserve">KCYPSYNH1M94</t>
        </is>
      </c>
      <c r="H627" s="4">
        <v>0.002836</v>
      </c>
      <c r="I627" s="0" t="inlineStr">
        <is>
          <t xml:space="preserve">2020-09-28</t>
        </is>
      </c>
      <c r="J627" s="0" t="inlineStr">
        <is>
          <t xml:space="preserve">other_unclassified</t>
        </is>
      </c>
      <c r="K627" s="4">
        <v>1.0</v>
      </c>
      <c r="L627" s="0" t="inlineStr">
        <is>
          <t xml:space="preserve">Deck Covering removal and primer,PO item #6</t>
        </is>
      </c>
    </row>
    <row r="628">
      <c r="B628" s="0" t="inlineStr">
        <is>
          <t xml:space="preserve">N0002417C4103</t>
        </is>
      </c>
      <c r="C628" s="0" t="inlineStr">
        <is>
          <t xml:space="preserve">HUNTINGTON INGALLS INC</t>
        </is>
      </c>
      <c r="D628" s="0" t="inlineStr">
        <is>
          <t xml:space="preserve">WMXDDH6HJNA5</t>
        </is>
      </c>
      <c r="E628" s="0" t="inlineStr">
        <is>
          <t xml:space="preserve">KN4DLHTLNCS8</t>
        </is>
      </c>
      <c r="F628" s="0" t="inlineStr">
        <is>
          <t xml:space="preserve">Octopus Industries, Inc.</t>
        </is>
      </c>
      <c r="G628" s="0" t="inlineStr">
        <is>
          <t xml:space="preserve">KCYPSYNH1M94</t>
        </is>
      </c>
      <c r="H628" s="4">
        <v>0.002836</v>
      </c>
      <c r="I628" s="0" t="inlineStr">
        <is>
          <t xml:space="preserve">2020-07-21</t>
        </is>
      </c>
      <c r="J628" s="0" t="inlineStr">
        <is>
          <t xml:space="preserve">other_unclassified</t>
        </is>
      </c>
      <c r="K628" s="4">
        <v>1.2</v>
      </c>
      <c r="L628" s="0" t="inlineStr">
        <is>
          <t xml:space="preserve">Deck Covering removal and primer; PO item# 6</t>
        </is>
      </c>
    </row>
    <row r="629">
      <c r="B629" s="0" t="inlineStr">
        <is>
          <t xml:space="preserve">N0002417C4103</t>
        </is>
      </c>
      <c r="C629" s="0" t="inlineStr">
        <is>
          <t xml:space="preserve">HUNTINGTON INGALLS INC</t>
        </is>
      </c>
      <c r="D629" s="0" t="inlineStr">
        <is>
          <t xml:space="preserve">WMXDDH6HJNA5</t>
        </is>
      </c>
      <c r="E629" s="0" t="inlineStr">
        <is>
          <t xml:space="preserve">KN4DLHTLNCS8</t>
        </is>
      </c>
      <c r="F629" s="0" t="inlineStr">
        <is>
          <t xml:space="preserve">Octopus Industries, Inc.</t>
        </is>
      </c>
      <c r="G629" s="0" t="inlineStr">
        <is>
          <t xml:space="preserve">KCYPSYNH1M94</t>
        </is>
      </c>
      <c r="H629" s="4">
        <v>0.002836</v>
      </c>
      <c r="I629" s="0" t="inlineStr">
        <is>
          <t xml:space="preserve">2020-05-08</t>
        </is>
      </c>
      <c r="J629" s="0" t="inlineStr">
        <is>
          <t xml:space="preserve">other_unclassified</t>
        </is>
      </c>
      <c r="K629" s="4">
        <v>1.6</v>
      </c>
      <c r="L629" s="0" t="inlineStr">
        <is>
          <t xml:space="preserve">Deck Covering removal and primer;PO Item#6</t>
        </is>
      </c>
    </row>
    <row r="630">
      <c r="B630" s="0" t="inlineStr">
        <is>
          <t xml:space="preserve">N0002417C4103</t>
        </is>
      </c>
      <c r="C630" s="0" t="inlineStr">
        <is>
          <t xml:space="preserve">HUNTINGTON INGALLS INC</t>
        </is>
      </c>
      <c r="D630" s="0" t="inlineStr">
        <is>
          <t xml:space="preserve">WMXDDH6HJNA5</t>
        </is>
      </c>
      <c r="E630" s="0" t="inlineStr">
        <is>
          <t xml:space="preserve">FZG7JRH6SLX4</t>
        </is>
      </c>
      <c r="F630" s="0" t="inlineStr">
        <is>
          <t xml:space="preserve">VIRGINIA EQUIPMENT RENTAL COMPANY, INC.</t>
        </is>
      </c>
      <c r="G630" s="0" t="inlineStr">
        <is>
          <t xml:space="preserve">FZG7JRH6SLX4</t>
        </is>
      </c>
      <c r="H630" s="4">
        <v>0.0026999999999999997</v>
      </c>
      <c r="I630" s="0" t="inlineStr">
        <is>
          <t xml:space="preserve">2023-01-11</t>
        </is>
      </c>
      <c r="J630" s="0" t="inlineStr">
        <is>
          <t xml:space="preserve">other_unclassified</t>
        </is>
      </c>
      <c r="K630" s="4">
        <v>1.3</v>
      </c>
      <c r="L630" s="0" t="inlineStr">
        <is>
          <t xml:space="preserve">PO 4500597304 PO Item No. 12-JLG 600SJ 7/7/20-8/31/20</t>
        </is>
      </c>
    </row>
    <row r="631">
      <c r="B631" s="0" t="inlineStr">
        <is>
          <t xml:space="preserve">N0002417C4103</t>
        </is>
      </c>
      <c r="C631" s="0" t="inlineStr">
        <is>
          <t xml:space="preserve">HUNTINGTON INGALLS INC</t>
        </is>
      </c>
      <c r="D631" s="0" t="inlineStr">
        <is>
          <t xml:space="preserve">WMXDDH6HJNA5</t>
        </is>
      </c>
      <c r="E631" s="0" t="inlineStr">
        <is>
          <t xml:space="preserve">MJ2VYYK18NC6</t>
        </is>
      </c>
      <c r="F631" s="0" t="inlineStr">
        <is>
          <t xml:space="preserve">WORLD FUEL SERVICES CORPORATION</t>
        </is>
      </c>
      <c r="G631" s="0" t="inlineStr">
        <is>
          <t xml:space="preserve">SWV8RMFTGRG9</t>
        </is>
      </c>
      <c r="H631" s="4">
        <v>0.0025599999999999998</v>
      </c>
      <c r="I631" s="0" t="inlineStr">
        <is>
          <t xml:space="preserve">2020-08-07</t>
        </is>
      </c>
      <c r="J631" s="0" t="inlineStr">
        <is>
          <t xml:space="preserve">propulsion_power</t>
        </is>
      </c>
      <c r="K631" s="4">
        <v>1.7</v>
      </c>
      <c r="L631" s="0" t="inlineStr">
        <is>
          <t xml:space="preserve">500 GA fuel cube-3/1/19-6/30/20PO item #1</t>
        </is>
      </c>
    </row>
    <row r="632">
      <c r="B632" s="0" t="inlineStr">
        <is>
          <t xml:space="preserve">N0002417C4103</t>
        </is>
      </c>
      <c r="C632" s="0" t="inlineStr">
        <is>
          <t xml:space="preserve">HUNTINGTON INGALLS INC</t>
        </is>
      </c>
      <c r="D632" s="0" t="inlineStr">
        <is>
          <t xml:space="preserve">WMXDDH6HJNA5</t>
        </is>
      </c>
      <c r="E632" s="0" t="inlineStr">
        <is>
          <t xml:space="preserve">MJ2VYYK18NC6</t>
        </is>
      </c>
      <c r="F632" s="0" t="inlineStr">
        <is>
          <t xml:space="preserve">WORLD FUEL SERVICES CORPORATION</t>
        </is>
      </c>
      <c r="G632" s="0" t="inlineStr">
        <is>
          <t xml:space="preserve">SWV8RMFTGRG9</t>
        </is>
      </c>
      <c r="H632" s="4">
        <v>0.0025599999999999998</v>
      </c>
      <c r="I632" s="0" t="inlineStr">
        <is>
          <t xml:space="preserve">2020-03-09</t>
        </is>
      </c>
      <c r="J632" s="0" t="inlineStr">
        <is>
          <t xml:space="preserve">propulsion_power</t>
        </is>
      </c>
      <c r="K632" s="4">
        <v>3.6</v>
      </c>
      <c r="L632" s="0" t="inlineStr">
        <is>
          <t xml:space="preserve">500 GA fuel cube-3/1/19-6/30/20;item num#1</t>
        </is>
      </c>
    </row>
    <row r="633">
      <c r="B633" s="0" t="inlineStr">
        <is>
          <t xml:space="preserve">N0002417C4103</t>
        </is>
      </c>
      <c r="C633" s="0" t="inlineStr">
        <is>
          <t xml:space="preserve">HUNTINGTON INGALLS INC</t>
        </is>
      </c>
      <c r="D633" s="0" t="inlineStr">
        <is>
          <t xml:space="preserve">WMXDDH6HJNA5</t>
        </is>
      </c>
      <c r="E633" s="0" t="inlineStr">
        <is>
          <t xml:space="preserve">TWBUHJW83E77</t>
        </is>
      </c>
      <c r="F633" s="0" t="inlineStr">
        <is>
          <t xml:space="preserve">LEE-TELECOM, INC.</t>
        </is>
      </c>
      <c r="G633" s="0" t="inlineStr">
        <is>
          <t xml:space="preserve">TWBUHJW83E77</t>
        </is>
      </c>
      <c r="H633" s="4">
        <v>0.002381</v>
      </c>
      <c r="I633" s="0" t="inlineStr">
        <is>
          <t xml:space="preserve">2022-03-08</t>
        </is>
      </c>
      <c r="J633" s="0" t="inlineStr">
        <is>
          <t xml:space="preserve">autonomy_software</t>
        </is>
      </c>
      <c r="K633" s="4">
        <v>1.7</v>
      </c>
      <c r="L633" s="0" t="inlineStr">
        <is>
          <t xml:space="preserve">PO 4300381458 PO Item No. 3 - CVN77 - Trailer Setup to support PIA</t>
        </is>
      </c>
    </row>
    <row r="634">
      <c r="B634" s="0" t="inlineStr">
        <is>
          <t xml:space="preserve">N0002417C4103</t>
        </is>
      </c>
      <c r="C634" s="0" t="inlineStr">
        <is>
          <t xml:space="preserve">HUNTINGTON INGALLS INC</t>
        </is>
      </c>
      <c r="D634" s="0" t="inlineStr">
        <is>
          <t xml:space="preserve">WMXDDH6HJNA5</t>
        </is>
      </c>
      <c r="E634" s="0" t="inlineStr">
        <is>
          <t xml:space="preserve">KN4DLHTLNCS8</t>
        </is>
      </c>
      <c r="F634" s="0" t="inlineStr">
        <is>
          <t xml:space="preserve">Octopus Industries, Inc.</t>
        </is>
      </c>
      <c r="G634" s="0" t="inlineStr">
        <is>
          <t xml:space="preserve">KCYPSYNH1M94</t>
        </is>
      </c>
      <c r="H634" s="4">
        <v>0.0022789999999999998</v>
      </c>
      <c r="I634" s="0" t="inlineStr">
        <is>
          <t xml:space="preserve">2020-09-28</t>
        </is>
      </c>
      <c r="J634" s="0" t="inlineStr">
        <is>
          <t xml:space="preserve">other_unclassified</t>
        </is>
      </c>
      <c r="K634" s="4">
        <v>1.0</v>
      </c>
      <c r="L634" s="0" t="inlineStr">
        <is>
          <t xml:space="preserve">RCP Deck Tile Removal,PO item #1</t>
        </is>
      </c>
    </row>
    <row r="635">
      <c r="B635" s="0" t="inlineStr">
        <is>
          <t xml:space="preserve">N0002417C4103</t>
        </is>
      </c>
      <c r="C635" s="0" t="inlineStr">
        <is>
          <t xml:space="preserve">HUNTINGTON INGALLS INC</t>
        </is>
      </c>
      <c r="D635" s="0" t="inlineStr">
        <is>
          <t xml:space="preserve">WMXDDH6HJNA5</t>
        </is>
      </c>
      <c r="E635" s="0" t="inlineStr">
        <is>
          <t xml:space="preserve">KN4DLHTLNCS8</t>
        </is>
      </c>
      <c r="F635" s="0" t="inlineStr">
        <is>
          <t xml:space="preserve">Octopus Industries, Inc.</t>
        </is>
      </c>
      <c r="G635" s="0" t="inlineStr">
        <is>
          <t xml:space="preserve">KCYPSYNH1M94</t>
        </is>
      </c>
      <c r="H635" s="4">
        <v>0.0022789999999999998</v>
      </c>
      <c r="I635" s="0" t="inlineStr">
        <is>
          <t xml:space="preserve">2020-07-21</t>
        </is>
      </c>
      <c r="J635" s="0" t="inlineStr">
        <is>
          <t xml:space="preserve">other_unclassified</t>
        </is>
      </c>
      <c r="K635" s="4">
        <v>1.2</v>
      </c>
      <c r="L635" s="0" t="inlineStr">
        <is>
          <t xml:space="preserve">RCP Deck Tile Removal; PO item# 1</t>
        </is>
      </c>
    </row>
    <row r="636">
      <c r="B636" s="0" t="inlineStr">
        <is>
          <t xml:space="preserve">N0002417C4103</t>
        </is>
      </c>
      <c r="C636" s="0" t="inlineStr">
        <is>
          <t xml:space="preserve">HUNTINGTON INGALLS INC</t>
        </is>
      </c>
      <c r="D636" s="0" t="inlineStr">
        <is>
          <t xml:space="preserve">WMXDDH6HJNA5</t>
        </is>
      </c>
      <c r="E636" s="0" t="inlineStr">
        <is>
          <t xml:space="preserve">KN4DLHTLNCS8</t>
        </is>
      </c>
      <c r="F636" s="0" t="inlineStr">
        <is>
          <t xml:space="preserve">Octopus Industries, Inc.</t>
        </is>
      </c>
      <c r="G636" s="0" t="inlineStr">
        <is>
          <t xml:space="preserve">KCYPSYNH1M94</t>
        </is>
      </c>
      <c r="H636" s="4">
        <v>0.0022789999999999998</v>
      </c>
      <c r="I636" s="0" t="inlineStr">
        <is>
          <t xml:space="preserve">2020-05-08</t>
        </is>
      </c>
      <c r="J636" s="0" t="inlineStr">
        <is>
          <t xml:space="preserve">other_unclassified</t>
        </is>
      </c>
      <c r="K636" s="4">
        <v>1.6</v>
      </c>
      <c r="L636" s="0" t="inlineStr">
        <is>
          <t xml:space="preserve">RCP Deck Tile Removal;PO Item#1</t>
        </is>
      </c>
    </row>
    <row r="637">
      <c r="B637" s="0" t="inlineStr">
        <is>
          <t xml:space="preserve">N0002417C4103</t>
        </is>
      </c>
      <c r="C637" s="0" t="inlineStr">
        <is>
          <t xml:space="preserve">HUNTINGTON INGALLS INC</t>
        </is>
      </c>
      <c r="D637" s="0" t="inlineStr">
        <is>
          <t xml:space="preserve">WMXDDH6HJNA5</t>
        </is>
      </c>
      <c r="E637" s="0" t="inlineStr">
        <is>
          <t xml:space="preserve">JZSHR7DX1MQ9</t>
        </is>
      </c>
      <c r="F637" s="0" t="inlineStr">
        <is>
          <t xml:space="preserve">CARTER MACHINERY COMPANY, INCORPORATED</t>
        </is>
      </c>
      <c r="G637" s="0" t="inlineStr">
        <is>
          <t xml:space="preserve">M25KW7YJBAK3</t>
        </is>
      </c>
      <c r="H637" s="4">
        <v>0.0021999999999999997</v>
      </c>
      <c r="I637" s="0" t="inlineStr">
        <is>
          <t xml:space="preserve">2020-04-07</t>
        </is>
      </c>
      <c r="J637" s="0" t="inlineStr">
        <is>
          <t xml:space="preserve">autonomy_software</t>
        </is>
      </c>
      <c r="K637" s="4">
        <v>1.6</v>
      </c>
      <c r="L637" s="0" t="inlineStr">
        <is>
          <t xml:space="preserve">(2) Portable Air Comp. 5/1/19-5/29/19; PO item #1</t>
        </is>
      </c>
    </row>
    <row r="638">
      <c r="B638" s="0" t="inlineStr">
        <is>
          <t xml:space="preserve">N0002417C4103</t>
        </is>
      </c>
      <c r="C638" s="0" t="inlineStr">
        <is>
          <t xml:space="preserve">HUNTINGTON INGALLS INC</t>
        </is>
      </c>
      <c r="D638" s="0" t="inlineStr">
        <is>
          <t xml:space="preserve">WMXDDH6HJNA5</t>
        </is>
      </c>
      <c r="E638" s="0" t="inlineStr">
        <is>
          <t xml:space="preserve">MJ2VYYK18NC6</t>
        </is>
      </c>
      <c r="F638" s="0" t="inlineStr">
        <is>
          <t xml:space="preserve">WORLD FUEL SERVICES CORPORATION</t>
        </is>
      </c>
      <c r="G638" s="0" t="inlineStr">
        <is>
          <t xml:space="preserve">SWV8RMFTGRG9</t>
        </is>
      </c>
      <c r="H638" s="4">
        <v>0.001725</v>
      </c>
      <c r="I638" s="0" t="inlineStr">
        <is>
          <t xml:space="preserve">2020-08-07</t>
        </is>
      </c>
      <c r="J638" s="0" t="inlineStr">
        <is>
          <t xml:space="preserve">propulsion_power</t>
        </is>
      </c>
      <c r="K638" s="4">
        <v>1.7</v>
      </c>
      <c r="L638" s="0" t="inlineStr">
        <is>
          <t xml:space="preserve">4500596799- adding DEFPO item #8</t>
        </is>
      </c>
    </row>
    <row r="639">
      <c r="B639" s="0" t="inlineStr">
        <is>
          <t xml:space="preserve">N0002417C4103</t>
        </is>
      </c>
      <c r="C639" s="0" t="inlineStr">
        <is>
          <t xml:space="preserve">HUNTINGTON INGALLS INC</t>
        </is>
      </c>
      <c r="D639" s="0" t="inlineStr">
        <is>
          <t xml:space="preserve">WMXDDH6HJNA5</t>
        </is>
      </c>
      <c r="E639" s="0" t="inlineStr">
        <is>
          <t xml:space="preserve">MJ2VYYK18NC6</t>
        </is>
      </c>
      <c r="F639" s="0" t="inlineStr">
        <is>
          <t xml:space="preserve">WORLD FUEL SERVICES CORPORATION</t>
        </is>
      </c>
      <c r="G639" s="0" t="inlineStr">
        <is>
          <t xml:space="preserve">SWV8RMFTGRG9</t>
        </is>
      </c>
      <c r="H639" s="4">
        <v>0.001725</v>
      </c>
      <c r="I639" s="0" t="inlineStr">
        <is>
          <t xml:space="preserve">2020-03-09</t>
        </is>
      </c>
      <c r="J639" s="0" t="inlineStr">
        <is>
          <t xml:space="preserve">propulsion_power</t>
        </is>
      </c>
      <c r="K639" s="4">
        <v>3.6</v>
      </c>
      <c r="L639" s="0" t="inlineStr">
        <is>
          <t xml:space="preserve">4500596799- adding DEF;item num#8</t>
        </is>
      </c>
    </row>
    <row r="640">
      <c r="B640" s="0" t="inlineStr">
        <is>
          <t xml:space="preserve">N0002417C4103</t>
        </is>
      </c>
      <c r="C640" s="0" t="inlineStr">
        <is>
          <t xml:space="preserve">HUNTINGTON INGALLS INC</t>
        </is>
      </c>
      <c r="D640" s="0" t="inlineStr">
        <is>
          <t xml:space="preserve">WMXDDH6HJNA5</t>
        </is>
      </c>
      <c r="E640" s="0" t="inlineStr">
        <is>
          <t xml:space="preserve">KAYUMJMKWDF9</t>
        </is>
      </c>
      <c r="F640" s="0" t="inlineStr">
        <is>
          <t xml:space="preserve">J. H. NORTON COMPANY, INC.</t>
        </is>
      </c>
      <c r="G640" s="0" t="inlineStr">
        <is>
          <t xml:space="preserve">KAYUMJMKWDF9</t>
        </is>
      </c>
      <c r="H640" s="4">
        <v>0.0015999999999999999</v>
      </c>
      <c r="I640" s="0" t="inlineStr">
        <is>
          <t xml:space="preserve">2022-07-12</t>
        </is>
      </c>
      <c r="J640" s="0" t="inlineStr">
        <is>
          <t xml:space="preserve">other_unclassified</t>
        </is>
      </c>
      <c r="K640" s="4">
        <v>1.6</v>
      </c>
      <c r="L640" s="0" t="inlineStr">
        <is>
          <t xml:space="preserve">PO 4500596793 PO Item No. 2 - Freight (Pickup/Delivery)</t>
        </is>
      </c>
    </row>
    <row r="641">
      <c r="B641" s="0" t="inlineStr">
        <is>
          <t xml:space="preserve">N0002417C4103</t>
        </is>
      </c>
      <c r="C641" s="0" t="inlineStr">
        <is>
          <t xml:space="preserve">HUNTINGTON INGALLS INC</t>
        </is>
      </c>
      <c r="D641" s="0" t="inlineStr">
        <is>
          <t xml:space="preserve">WMXDDH6HJNA5</t>
        </is>
      </c>
      <c r="E641" s="0" t="inlineStr">
        <is>
          <t xml:space="preserve">G5K4NEGGRQQ1</t>
        </is>
      </c>
      <c r="F641" s="0" t="inlineStr">
        <is>
          <t xml:space="preserve">Panther Summit Industries Inc</t>
        </is>
      </c>
      <c r="G641" s="0" t="inlineStr">
        <is>
          <t xml:space="preserve">TRSJFMDLVK71</t>
        </is>
      </c>
      <c r="H641" s="4">
        <v>0.0015758699999999998</v>
      </c>
      <c r="I641" s="0" t="inlineStr">
        <is>
          <t xml:space="preserve">2021-09-23</t>
        </is>
      </c>
      <c r="J641" s="0" t="inlineStr">
        <is>
          <t xml:space="preserve">other_unclassified</t>
        </is>
      </c>
      <c r="K641" s="4">
        <v>1.1</v>
      </c>
      <c r="L641" s="0" t="inlineStr">
        <is>
          <t xml:space="preserve">PO 4500607089 PO Item No. 12 - EXCESS USAGE 2020</t>
        </is>
      </c>
    </row>
    <row r="642">
      <c r="B642" s="0" t="inlineStr">
        <is>
          <t xml:space="preserve">N0002417C4103</t>
        </is>
      </c>
      <c r="C642" s="0" t="inlineStr">
        <is>
          <t xml:space="preserve">HUNTINGTON INGALLS INC</t>
        </is>
      </c>
      <c r="D642" s="0" t="inlineStr">
        <is>
          <t xml:space="preserve">WMXDDH6HJNA5</t>
        </is>
      </c>
      <c r="E642" s="0" t="inlineStr">
        <is>
          <t xml:space="preserve">G5K4NEGGRQQ1</t>
        </is>
      </c>
      <c r="F642" s="0" t="inlineStr">
        <is>
          <t xml:space="preserve">Panther Summit Industries Inc</t>
        </is>
      </c>
      <c r="G642" s="0" t="inlineStr">
        <is>
          <t xml:space="preserve">TRSJFMDLVK71</t>
        </is>
      </c>
      <c r="H642" s="4">
        <v>0.00152349</v>
      </c>
      <c r="I642" s="0" t="inlineStr">
        <is>
          <t xml:space="preserve">2021-09-23</t>
        </is>
      </c>
      <c r="J642" s="0" t="inlineStr">
        <is>
          <t xml:space="preserve">other_unclassified</t>
        </is>
      </c>
      <c r="K642" s="4">
        <v>1.1</v>
      </c>
      <c r="L642" s="0" t="inlineStr">
        <is>
          <t xml:space="preserve">PO 4500607089 PO Item No. 11 - Excess Usage 2019</t>
        </is>
      </c>
    </row>
    <row r="643">
      <c r="B643" s="0" t="inlineStr">
        <is>
          <t xml:space="preserve">N0002417C4103</t>
        </is>
      </c>
      <c r="C643" s="0" t="inlineStr">
        <is>
          <t xml:space="preserve">HUNTINGTON INGALLS INC</t>
        </is>
      </c>
      <c r="D643" s="0" t="inlineStr">
        <is>
          <t xml:space="preserve">WMXDDH6HJNA5</t>
        </is>
      </c>
      <c r="E643" s="0" t="inlineStr">
        <is>
          <t xml:space="preserve">YQ9EQZJ8PKM6</t>
        </is>
      </c>
      <c r="F643" s="0" t="inlineStr">
        <is>
          <t xml:space="preserve">AUXILIARY SYSTEMS, INC.</t>
        </is>
      </c>
      <c r="G643" s="0" t="inlineStr">
        <is>
          <t xml:space="preserve">YQ9EQZJ8PKM6</t>
        </is>
      </c>
      <c r="H643" s="4">
        <v>0.0013</v>
      </c>
      <c r="I643" s="0" t="inlineStr">
        <is>
          <t xml:space="preserve">2020-08-05</t>
        </is>
      </c>
      <c r="J643" s="0" t="inlineStr">
        <is>
          <t xml:space="preserve">other_unclassified</t>
        </is>
      </c>
      <c r="K643" s="4">
        <v>1.8</v>
      </c>
      <c r="L643" s="0" t="inlineStr">
        <is>
          <t xml:space="preserve">Mockup Tube Install/RemovalPO item #6</t>
        </is>
      </c>
    </row>
    <row r="644">
      <c r="B644" s="0" t="inlineStr">
        <is>
          <t xml:space="preserve">N6660421FC832</t>
        </is>
      </c>
      <c r="C644" s="0" t="inlineStr">
        <is>
          <t xml:space="preserve">SERCO INC</t>
        </is>
      </c>
      <c r="D644" s="0" t="inlineStr">
        <is>
          <t xml:space="preserve">DKJ1R5ABCN48</t>
        </is>
      </c>
      <c r="E644" s="0" t="inlineStr">
        <is>
          <t xml:space="preserve">LPNKDLXMN8E3</t>
        </is>
      </c>
      <c r="F644" s="0" t="inlineStr">
        <is>
          <t xml:space="preserve">WHALLEY PRECISION INC</t>
        </is>
      </c>
      <c r="G644" s="0" t="inlineStr">
        <is>
          <t xml:space="preserve">LPNKDLXMN8E3</t>
        </is>
      </c>
      <c r="H644" s="4">
        <v>0.0010999999999999998</v>
      </c>
      <c r="I644" s="0" t="inlineStr">
        <is>
          <t xml:space="preserve">2021-08-11</t>
        </is>
      </c>
      <c r="J644" s="0" t="inlineStr">
        <is>
          <t xml:space="preserve">materials_components</t>
        </is>
      </c>
      <c r="K644" s="4">
        <v>13.7</v>
      </c>
      <c r="L644" s="0" t="inlineStr">
        <is>
          <t xml:space="preserve">MATERIAL</t>
        </is>
      </c>
    </row>
    <row r="645">
      <c r="B645" s="0" t="inlineStr">
        <is>
          <t xml:space="preserve">N0002417C4103</t>
        </is>
      </c>
      <c r="C645" s="0" t="inlineStr">
        <is>
          <t xml:space="preserve">HUNTINGTON INGALLS INC</t>
        </is>
      </c>
      <c r="D645" s="0" t="inlineStr">
        <is>
          <t xml:space="preserve">WMXDDH6HJNA5</t>
        </is>
      </c>
      <c r="E645" s="0" t="inlineStr">
        <is>
          <t xml:space="preserve">PM5WJ7WYPX53</t>
        </is>
      </c>
      <c r="F645" s="0" t="inlineStr">
        <is>
          <t xml:space="preserve">AGGREKO PLC</t>
        </is>
      </c>
      <c r="G645" s="0" t="inlineStr">
        <is>
          <t xml:space="preserve">FZG7JRH6SLX4</t>
        </is>
      </c>
      <c r="H645" s="4">
        <v>0.0007819999999999999</v>
      </c>
      <c r="I645" s="0" t="inlineStr">
        <is>
          <t xml:space="preserve">2020-11-06</t>
        </is>
      </c>
      <c r="J645" s="0" t="inlineStr">
        <is>
          <t xml:space="preserve">other_unclassified</t>
        </is>
      </c>
      <c r="K645" s="4">
        <v>2.0</v>
      </c>
      <c r="L645" s="0" t="inlineStr">
        <is>
          <t xml:space="preserve">ROUGH TERR SCISSOR 6/11/19-6/24/19 FINAL, PO item #5</t>
        </is>
      </c>
    </row>
    <row r="646">
      <c r="B646" s="0" t="inlineStr">
        <is>
          <t xml:space="preserve">N0002417C4103</t>
        </is>
      </c>
      <c r="C646" s="0" t="inlineStr">
        <is>
          <t xml:space="preserve">HUNTINGTON INGALLS INC</t>
        </is>
      </c>
      <c r="D646" s="0" t="inlineStr">
        <is>
          <t xml:space="preserve">WMXDDH6HJNA5</t>
        </is>
      </c>
      <c r="E646" s="0" t="inlineStr">
        <is>
          <t xml:space="preserve">FZG7JRH6SLX4</t>
        </is>
      </c>
      <c r="F646" s="0" t="inlineStr">
        <is>
          <t xml:space="preserve">VIRGINIA EQUIPMENT RENTAL COMPANY, INC.</t>
        </is>
      </c>
      <c r="G646" s="0" t="inlineStr">
        <is>
          <t xml:space="preserve">FZG7JRH6SLX4</t>
        </is>
      </c>
      <c r="H646" s="4">
        <v>0.0007819999999999999</v>
      </c>
      <c r="I646" s="0" t="inlineStr">
        <is>
          <t xml:space="preserve">2020-04-01</t>
        </is>
      </c>
      <c r="J646" s="0" t="inlineStr">
        <is>
          <t xml:space="preserve">other_unclassified</t>
        </is>
      </c>
      <c r="K646" s="4">
        <v>1.8</v>
      </c>
      <c r="L646" s="0" t="inlineStr">
        <is>
          <t xml:space="preserve">ROUGH TERR SCISSOR 6/11/19-6/24/19 FINAL; PO item #5</t>
        </is>
      </c>
    </row>
    <row r="647">
      <c r="B647" s="0" t="inlineStr">
        <is>
          <t xml:space="preserve">N0002417C4103</t>
        </is>
      </c>
      <c r="C647" s="0" t="inlineStr">
        <is>
          <t xml:space="preserve">HUNTINGTON INGALLS INC</t>
        </is>
      </c>
      <c r="D647" s="0" t="inlineStr">
        <is>
          <t xml:space="preserve">WMXDDH6HJNA5</t>
        </is>
      </c>
      <c r="E647" s="0" t="inlineStr">
        <is>
          <t xml:space="preserve">G5K4NEGGRQQ1</t>
        </is>
      </c>
      <c r="F647" s="0" t="inlineStr">
        <is>
          <t xml:space="preserve">Panther Summit Industries Inc</t>
        </is>
      </c>
      <c r="G647" s="0" t="inlineStr">
        <is>
          <t xml:space="preserve">TRSJFMDLVK71</t>
        </is>
      </c>
      <c r="H647" s="4">
        <v>0.00075</v>
      </c>
      <c r="I647" s="0" t="inlineStr">
        <is>
          <t xml:space="preserve">2021-09-23</t>
        </is>
      </c>
      <c r="J647" s="0" t="inlineStr">
        <is>
          <t xml:space="preserve">other_unclassified</t>
        </is>
      </c>
      <c r="K647" s="4">
        <v>1.1</v>
      </c>
      <c r="L647" s="0" t="inlineStr">
        <is>
          <t xml:space="preserve">PO 4500607089 PO Item No. 8 - ROUND TRIP DELIVERY</t>
        </is>
      </c>
    </row>
    <row r="648">
      <c r="B648" s="0" t="inlineStr">
        <is>
          <t xml:space="preserve">N0002417C4103</t>
        </is>
      </c>
      <c r="C648" s="0" t="inlineStr">
        <is>
          <t xml:space="preserve">HUNTINGTON INGALLS INC</t>
        </is>
      </c>
      <c r="D648" s="0" t="inlineStr">
        <is>
          <t xml:space="preserve">WMXDDH6HJNA5</t>
        </is>
      </c>
      <c r="E648" s="0" t="inlineStr">
        <is>
          <t xml:space="preserve">G5K4NEGGRQQ1</t>
        </is>
      </c>
      <c r="F648" s="0" t="inlineStr">
        <is>
          <t xml:space="preserve">Panther Summit Industries Inc</t>
        </is>
      </c>
      <c r="G648" s="0" t="inlineStr">
        <is>
          <t xml:space="preserve">TRSJFMDLVK71</t>
        </is>
      </c>
      <c r="H648" s="4">
        <v>0.00075</v>
      </c>
      <c r="I648" s="0" t="inlineStr">
        <is>
          <t xml:space="preserve">2020-05-21</t>
        </is>
      </c>
      <c r="J648" s="0" t="inlineStr">
        <is>
          <t xml:space="preserve">other_unclassified</t>
        </is>
      </c>
      <c r="K648" s="4">
        <v>1.2</v>
      </c>
      <c r="L648" s="0" t="inlineStr">
        <is>
          <t xml:space="preserve">ROUND TRIP DELIVERY;PO Item#8</t>
        </is>
      </c>
    </row>
    <row r="649">
      <c r="B649" s="0" t="inlineStr">
        <is>
          <t xml:space="preserve">N0002417C4103</t>
        </is>
      </c>
      <c r="C649" s="0" t="inlineStr">
        <is>
          <t xml:space="preserve">HUNTINGTON INGALLS INC</t>
        </is>
      </c>
      <c r="D649" s="0" t="inlineStr">
        <is>
          <t xml:space="preserve">WMXDDH6HJNA5</t>
        </is>
      </c>
      <c r="E649" s="0" t="inlineStr">
        <is>
          <t xml:space="preserve">JZSHR7DX1MQ9</t>
        </is>
      </c>
      <c r="F649" s="0" t="inlineStr">
        <is>
          <t xml:space="preserve">CARTER MACHINERY COMPANY, INCORPORATED</t>
        </is>
      </c>
      <c r="G649" s="0" t="inlineStr">
        <is>
          <t xml:space="preserve">M25KW7YJBAK3</t>
        </is>
      </c>
      <c r="H649" s="4">
        <v>0.0006900099999999999</v>
      </c>
      <c r="I649" s="0" t="inlineStr">
        <is>
          <t xml:space="preserve">2020-11-23</t>
        </is>
      </c>
      <c r="J649" s="0" t="inlineStr">
        <is>
          <t xml:space="preserve">autonomy_software</t>
        </is>
      </c>
      <c r="K649" s="4">
        <v>1.5</v>
      </c>
      <c r="L649" s="0" t="inlineStr">
        <is>
          <t xml:space="preserve">Port Comp/375H Repair #3170074 NEW CHRGE, PO item #6</t>
        </is>
      </c>
    </row>
    <row r="650">
      <c r="B650" s="0" t="inlineStr">
        <is>
          <t xml:space="preserve">N0002417C4103</t>
        </is>
      </c>
      <c r="C650" s="0" t="inlineStr">
        <is>
          <t xml:space="preserve">HUNTINGTON INGALLS INC</t>
        </is>
      </c>
      <c r="D650" s="0" t="inlineStr">
        <is>
          <t xml:space="preserve">WMXDDH6HJNA5</t>
        </is>
      </c>
      <c r="E650" s="0" t="inlineStr">
        <is>
          <t xml:space="preserve">JZSHR7DX1MQ9</t>
        </is>
      </c>
      <c r="F650" s="0" t="inlineStr">
        <is>
          <t xml:space="preserve">CARTER MACHINERY COMPANY, INCORPORATED</t>
        </is>
      </c>
      <c r="G650" s="0" t="inlineStr">
        <is>
          <t xml:space="preserve">M25KW7YJBAK3</t>
        </is>
      </c>
      <c r="H650" s="4">
        <v>0.0006900099999999999</v>
      </c>
      <c r="I650" s="0" t="inlineStr">
        <is>
          <t xml:space="preserve">2020-05-05</t>
        </is>
      </c>
      <c r="J650" s="0" t="inlineStr">
        <is>
          <t xml:space="preserve">autonomy_software</t>
        </is>
      </c>
      <c r="K650" s="4">
        <v>1.7</v>
      </c>
      <c r="L650" s="0" t="inlineStr">
        <is>
          <t xml:space="preserve">Port Comp/375H Repair #3170074 NEW CHRGE;PO Item#6</t>
        </is>
      </c>
    </row>
    <row r="651">
      <c r="B651" s="0" t="inlineStr">
        <is>
          <t xml:space="preserve">N0002417C4103</t>
        </is>
      </c>
      <c r="C651" s="0" t="inlineStr">
        <is>
          <t xml:space="preserve">HUNTINGTON INGALLS INC</t>
        </is>
      </c>
      <c r="D651" s="0" t="inlineStr">
        <is>
          <t xml:space="preserve">WMXDDH6HJNA5</t>
        </is>
      </c>
      <c r="E651" s="0" t="inlineStr">
        <is>
          <t xml:space="preserve">JZSHR7DX1MQ9</t>
        </is>
      </c>
      <c r="F651" s="0" t="inlineStr">
        <is>
          <t xml:space="preserve">CARTER MACHINERY COMPANY, INCORPORATED</t>
        </is>
      </c>
      <c r="G651" s="0" t="inlineStr">
        <is>
          <t xml:space="preserve">M25KW7YJBAK3</t>
        </is>
      </c>
      <c r="H651" s="4">
        <v>0.0006900099999999999</v>
      </c>
      <c r="I651" s="0" t="inlineStr">
        <is>
          <t xml:space="preserve">2020-04-07</t>
        </is>
      </c>
      <c r="J651" s="0" t="inlineStr">
        <is>
          <t xml:space="preserve">autonomy_software</t>
        </is>
      </c>
      <c r="K651" s="4">
        <v>1.6</v>
      </c>
      <c r="L651" s="0" t="inlineStr">
        <is>
          <t xml:space="preserve">Port Comp/375H Repair #3170074 NEW CHRGE; PO item #6</t>
        </is>
      </c>
    </row>
    <row r="652">
      <c r="B652" s="0" t="inlineStr">
        <is>
          <t xml:space="preserve">N0002417C4103</t>
        </is>
      </c>
      <c r="C652" s="0" t="inlineStr">
        <is>
          <t xml:space="preserve">HUNTINGTON INGALLS INC</t>
        </is>
      </c>
      <c r="D652" s="0" t="inlineStr">
        <is>
          <t xml:space="preserve">WMXDDH6HJNA5</t>
        </is>
      </c>
      <c r="E652" s="0" t="inlineStr">
        <is>
          <t xml:space="preserve">YQ9EQZJ8PKM6</t>
        </is>
      </c>
      <c r="F652" s="0" t="inlineStr">
        <is>
          <t xml:space="preserve">AUXILIARY SYSTEMS, INC.</t>
        </is>
      </c>
      <c r="G652" s="0" t="inlineStr">
        <is>
          <t xml:space="preserve">YQ9EQZJ8PKM6</t>
        </is>
      </c>
      <c r="H652" s="4">
        <v>0.00065</v>
      </c>
      <c r="I652" s="0" t="inlineStr">
        <is>
          <t xml:space="preserve">2020-08-05</t>
        </is>
      </c>
      <c r="J652" s="0" t="inlineStr">
        <is>
          <t xml:space="preserve">integration_eng_svcs</t>
        </is>
      </c>
      <c r="K652" s="4">
        <v>1.8</v>
      </c>
      <c r="L652" s="0" t="inlineStr">
        <is>
          <t xml:space="preserve">Test Tube Install/RemovalPO item #7</t>
        </is>
      </c>
    </row>
    <row r="653">
      <c r="B653" s="0" t="inlineStr">
        <is>
          <t xml:space="preserve">N0002417C4103</t>
        </is>
      </c>
      <c r="C653" s="0" t="inlineStr">
        <is>
          <t xml:space="preserve">HUNTINGTON INGALLS INC</t>
        </is>
      </c>
      <c r="D653" s="0" t="inlineStr">
        <is>
          <t xml:space="preserve">WMXDDH6HJNA5</t>
        </is>
      </c>
      <c r="E653" s="0" t="inlineStr">
        <is>
          <t xml:space="preserve">FZG7JRH6SLX4</t>
        </is>
      </c>
      <c r="F653" s="0" t="inlineStr">
        <is>
          <t xml:space="preserve">VIRGINIA EQUIPMENT RENTAL COMPANY, INC.</t>
        </is>
      </c>
      <c r="G653" s="0" t="inlineStr">
        <is>
          <t xml:space="preserve">FZG7JRH6SLX4</t>
        </is>
      </c>
      <c r="H653" s="4">
        <v>0.000522</v>
      </c>
      <c r="I653" s="0" t="inlineStr">
        <is>
          <t xml:space="preserve">2023-01-11</t>
        </is>
      </c>
      <c r="J653" s="0" t="inlineStr">
        <is>
          <t xml:space="preserve">other_unclassified</t>
        </is>
      </c>
      <c r="K653" s="4">
        <v>1.3</v>
      </c>
      <c r="L653" s="0" t="inlineStr">
        <is>
          <t xml:space="preserve">PO 4500597304 PO Item No. 11-ROUGH TERR SCISSOR 12/10/20 - 12/16/20</t>
        </is>
      </c>
    </row>
    <row r="654">
      <c r="B654" s="0" t="inlineStr">
        <is>
          <t xml:space="preserve">N0002417C4103</t>
        </is>
      </c>
      <c r="C654" s="0" t="inlineStr">
        <is>
          <t xml:space="preserve">HUNTINGTON INGALLS INC</t>
        </is>
      </c>
      <c r="D654" s="0" t="inlineStr">
        <is>
          <t xml:space="preserve">WMXDDH6HJNA5</t>
        </is>
      </c>
      <c r="E654" s="0" t="inlineStr">
        <is>
          <t xml:space="preserve">JZSHR7DX1MQ9</t>
        </is>
      </c>
      <c r="F654" s="0" t="inlineStr">
        <is>
          <t xml:space="preserve">CARTER MACHINERY COMPANY, INCORPORATED</t>
        </is>
      </c>
      <c r="G654" s="0" t="inlineStr">
        <is>
          <t xml:space="preserve">M25KW7YJBAK3</t>
        </is>
      </c>
      <c r="H654" s="4">
        <v>0.0003</v>
      </c>
      <c r="I654" s="0" t="inlineStr">
        <is>
          <t xml:space="preserve">2020-03-05</t>
        </is>
      </c>
      <c r="J654" s="0" t="inlineStr">
        <is>
          <t xml:space="preserve">other_unclassified</t>
        </is>
      </c>
      <c r="K654" s="4">
        <v>3.7</v>
      </c>
      <c r="L654" s="0" t="inlineStr">
        <is>
          <t xml:space="preserve">Freight (Delivery);item num#2</t>
        </is>
      </c>
    </row>
    <row r="655">
      <c r="B655" s="0" t="inlineStr">
        <is>
          <t xml:space="preserve">N0002417C4103</t>
        </is>
      </c>
      <c r="C655" s="0" t="inlineStr">
        <is>
          <t xml:space="preserve">HUNTINGTON INGALLS INC</t>
        </is>
      </c>
      <c r="D655" s="0" t="inlineStr">
        <is>
          <t xml:space="preserve">WMXDDH6HJNA5</t>
        </is>
      </c>
      <c r="E655" s="0" t="inlineStr">
        <is>
          <t xml:space="preserve">JZSHR7DX1MQ9</t>
        </is>
      </c>
      <c r="F655" s="0" t="inlineStr">
        <is>
          <t xml:space="preserve">CARTER MACHINERY COMPANY, INCORPORATED</t>
        </is>
      </c>
      <c r="G655" s="0" t="inlineStr">
        <is>
          <t xml:space="preserve">M25KW7YJBAK3</t>
        </is>
      </c>
      <c r="H655" s="4">
        <v>0.0003</v>
      </c>
      <c r="I655" s="0" t="inlineStr">
        <is>
          <t xml:space="preserve">2020-03-05</t>
        </is>
      </c>
      <c r="J655" s="0" t="inlineStr">
        <is>
          <t xml:space="preserve">other_unclassified</t>
        </is>
      </c>
      <c r="K655" s="4">
        <v>3.7</v>
      </c>
      <c r="L655" s="0" t="inlineStr">
        <is>
          <t xml:space="preserve">Return Freight;item num#5</t>
        </is>
      </c>
    </row>
    <row r="656">
      <c r="B656" s="0" t="inlineStr">
        <is>
          <t xml:space="preserve">N0002417C4103</t>
        </is>
      </c>
      <c r="C656" s="0" t="inlineStr">
        <is>
          <t xml:space="preserve">HUNTINGTON INGALLS INC</t>
        </is>
      </c>
      <c r="D656" s="0" t="inlineStr">
        <is>
          <t xml:space="preserve">WMXDDH6HJNA5</t>
        </is>
      </c>
      <c r="E656" s="0" t="inlineStr">
        <is>
          <t xml:space="preserve">PM5WJ7WYPX53</t>
        </is>
      </c>
      <c r="F656" s="0" t="inlineStr">
        <is>
          <t xml:space="preserve">AGGREKO PLC</t>
        </is>
      </c>
      <c r="G656" s="0" t="inlineStr">
        <is>
          <t xml:space="preserve">MC9KZKMUD8F8</t>
        </is>
      </c>
      <c r="H656" s="4">
        <v>0.0003</v>
      </c>
      <c r="I656" s="0" t="inlineStr">
        <is>
          <t xml:space="preserve">2020-11-13</t>
        </is>
      </c>
      <c r="J656" s="0" t="inlineStr">
        <is>
          <t xml:space="preserve">other_unclassified</t>
        </is>
      </c>
      <c r="K656" s="4">
        <v>1.8</v>
      </c>
      <c r="L656" s="0" t="inlineStr">
        <is>
          <t xml:space="preserve">(3) Cleaning Fee one-time, PO item #7</t>
        </is>
      </c>
    </row>
    <row r="657">
      <c r="B657" s="0" t="inlineStr">
        <is>
          <t xml:space="preserve">N0002417C4103</t>
        </is>
      </c>
      <c r="C657" s="0" t="inlineStr">
        <is>
          <t xml:space="preserve">HUNTINGTON INGALLS INC</t>
        </is>
      </c>
      <c r="D657" s="0" t="inlineStr">
        <is>
          <t xml:space="preserve">WMXDDH6HJNA5</t>
        </is>
      </c>
      <c r="E657" s="0" t="inlineStr">
        <is>
          <t xml:space="preserve">PM5WJ7WYPX53</t>
        </is>
      </c>
      <c r="F657" s="0" t="inlineStr">
        <is>
          <t xml:space="preserve">AGGREKO PLC</t>
        </is>
      </c>
      <c r="G657" s="0" t="inlineStr">
        <is>
          <t xml:space="preserve">MC9KZKMUD8F8</t>
        </is>
      </c>
      <c r="H657" s="4">
        <v>0.0003</v>
      </c>
      <c r="I657" s="0" t="inlineStr">
        <is>
          <t xml:space="preserve">2020-09-03</t>
        </is>
      </c>
      <c r="J657" s="0" t="inlineStr">
        <is>
          <t xml:space="preserve">other_unclassified</t>
        </is>
      </c>
      <c r="K657" s="4">
        <v>1.8</v>
      </c>
      <c r="L657" s="0" t="inlineStr">
        <is>
          <t xml:space="preserve">(3) Cleaning Fee one-time,PO item #7</t>
        </is>
      </c>
    </row>
    <row r="658">
      <c r="B658" s="0" t="inlineStr">
        <is>
          <t xml:space="preserve">N0002417C4103</t>
        </is>
      </c>
      <c r="C658" s="0" t="inlineStr">
        <is>
          <t xml:space="preserve">HUNTINGTON INGALLS INC</t>
        </is>
      </c>
      <c r="D658" s="0" t="inlineStr">
        <is>
          <t xml:space="preserve">WMXDDH6HJNA5</t>
        </is>
      </c>
      <c r="E658" s="0" t="inlineStr">
        <is>
          <t xml:space="preserve">MJ2VYYK18NC6</t>
        </is>
      </c>
      <c r="F658" s="0" t="inlineStr">
        <is>
          <t xml:space="preserve">WORLD FUEL SERVICES CORPORATION</t>
        </is>
      </c>
      <c r="G658" s="0" t="inlineStr">
        <is>
          <t xml:space="preserve">SWV8RMFTGRG9</t>
        </is>
      </c>
      <c r="H658" s="4">
        <v>0.000299</v>
      </c>
      <c r="I658" s="0" t="inlineStr">
        <is>
          <t xml:space="preserve">2020-08-07</t>
        </is>
      </c>
      <c r="J658" s="0" t="inlineStr">
        <is>
          <t xml:space="preserve">propulsion_power</t>
        </is>
      </c>
      <c r="K658" s="4">
        <v>1.7</v>
      </c>
      <c r="L658" s="0" t="inlineStr">
        <is>
          <t xml:space="preserve">Change orderPO item #6</t>
        </is>
      </c>
    </row>
    <row r="659">
      <c r="B659" s="0" t="inlineStr">
        <is>
          <t xml:space="preserve">N0002417C4103</t>
        </is>
      </c>
      <c r="C659" s="0" t="inlineStr">
        <is>
          <t xml:space="preserve">HUNTINGTON INGALLS INC</t>
        </is>
      </c>
      <c r="D659" s="0" t="inlineStr">
        <is>
          <t xml:space="preserve">WMXDDH6HJNA5</t>
        </is>
      </c>
      <c r="E659" s="0" t="inlineStr">
        <is>
          <t xml:space="preserve">MJ2VYYK18NC6</t>
        </is>
      </c>
      <c r="F659" s="0" t="inlineStr">
        <is>
          <t xml:space="preserve">WORLD FUEL SERVICES CORPORATION</t>
        </is>
      </c>
      <c r="G659" s="0" t="inlineStr">
        <is>
          <t xml:space="preserve">SWV8RMFTGRG9</t>
        </is>
      </c>
      <c r="H659" s="4">
        <v>0.000299</v>
      </c>
      <c r="I659" s="0" t="inlineStr">
        <is>
          <t xml:space="preserve">2020-03-09</t>
        </is>
      </c>
      <c r="J659" s="0" t="inlineStr">
        <is>
          <t xml:space="preserve">propulsion_power</t>
        </is>
      </c>
      <c r="K659" s="4">
        <v>3.6</v>
      </c>
      <c r="L659" s="0" t="inlineStr">
        <is>
          <t xml:space="preserve">Change order;item num#6</t>
        </is>
      </c>
    </row>
    <row r="660">
      <c r="B660" s="0" t="inlineStr">
        <is>
          <t xml:space="preserve">N0002417C4103</t>
        </is>
      </c>
      <c r="C660" s="0" t="inlineStr">
        <is>
          <t xml:space="preserve">HUNTINGTON INGALLS INC</t>
        </is>
      </c>
      <c r="D660" s="0" t="inlineStr">
        <is>
          <t xml:space="preserve">WMXDDH6HJNA5</t>
        </is>
      </c>
      <c r="E660" s="0" t="inlineStr">
        <is>
          <t xml:space="preserve">PM5WJ7WYPX53</t>
        </is>
      </c>
      <c r="F660" s="0" t="inlineStr">
        <is>
          <t xml:space="preserve">AGGREKO PLC</t>
        </is>
      </c>
      <c r="G660" s="0" t="inlineStr">
        <is>
          <t xml:space="preserve">MC9KZKMUD8F8</t>
        </is>
      </c>
      <c r="H660" s="4">
        <v>0.00026399999999999997</v>
      </c>
      <c r="I660" s="0" t="inlineStr">
        <is>
          <t xml:space="preserve">2020-11-13</t>
        </is>
      </c>
      <c r="J660" s="0" t="inlineStr">
        <is>
          <t xml:space="preserve">other_unclassified</t>
        </is>
      </c>
      <c r="K660" s="4">
        <v>1.8</v>
      </c>
      <c r="L660" s="0" t="inlineStr">
        <is>
          <t xml:space="preserve">Filters - Inv #13542712, PO item #9</t>
        </is>
      </c>
    </row>
    <row r="661">
      <c r="B661" s="0" t="inlineStr">
        <is>
          <t xml:space="preserve">N0002417C4103</t>
        </is>
      </c>
      <c r="C661" s="0" t="inlineStr">
        <is>
          <t xml:space="preserve">HUNTINGTON INGALLS INC</t>
        </is>
      </c>
      <c r="D661" s="0" t="inlineStr">
        <is>
          <t xml:space="preserve">WMXDDH6HJNA5</t>
        </is>
      </c>
      <c r="E661" s="0" t="inlineStr">
        <is>
          <t xml:space="preserve">PM5WJ7WYPX53</t>
        </is>
      </c>
      <c r="F661" s="0" t="inlineStr">
        <is>
          <t xml:space="preserve">AGGREKO PLC</t>
        </is>
      </c>
      <c r="G661" s="0" t="inlineStr">
        <is>
          <t xml:space="preserve">MC9KZKMUD8F8</t>
        </is>
      </c>
      <c r="H661" s="4">
        <v>0.00025</v>
      </c>
      <c r="I661" s="0" t="inlineStr">
        <is>
          <t xml:space="preserve">2020-11-13</t>
        </is>
      </c>
      <c r="J661" s="0" t="inlineStr">
        <is>
          <t xml:space="preserve">other_unclassified</t>
        </is>
      </c>
      <c r="K661" s="4">
        <v>1.8</v>
      </c>
      <c r="L661" s="0" t="inlineStr">
        <is>
          <t xml:space="preserve">Add'l freight charge, PO item #8</t>
        </is>
      </c>
    </row>
    <row r="662">
      <c r="B662" s="0" t="inlineStr">
        <is>
          <t xml:space="preserve">N0002417C4103</t>
        </is>
      </c>
      <c r="C662" s="0" t="inlineStr">
        <is>
          <t xml:space="preserve">HUNTINGTON INGALLS INC</t>
        </is>
      </c>
      <c r="D662" s="0" t="inlineStr">
        <is>
          <t xml:space="preserve">WMXDDH6HJNA5</t>
        </is>
      </c>
      <c r="E662" s="0" t="inlineStr">
        <is>
          <t xml:space="preserve">PM5WJ7WYPX53</t>
        </is>
      </c>
      <c r="F662" s="0" t="inlineStr">
        <is>
          <t xml:space="preserve">AGGREKO PLC</t>
        </is>
      </c>
      <c r="G662" s="0" t="inlineStr">
        <is>
          <t xml:space="preserve">MC9KZKMUD8F8</t>
        </is>
      </c>
      <c r="H662" s="4">
        <v>0.00025</v>
      </c>
      <c r="I662" s="0" t="inlineStr">
        <is>
          <t xml:space="preserve">2020-09-03</t>
        </is>
      </c>
      <c r="J662" s="0" t="inlineStr">
        <is>
          <t xml:space="preserve">other_unclassified</t>
        </is>
      </c>
      <c r="K662" s="4">
        <v>1.8</v>
      </c>
      <c r="L662" s="0" t="inlineStr">
        <is>
          <t xml:space="preserve">Add'l freight charge,PO item #8</t>
        </is>
      </c>
    </row>
    <row r="663">
      <c r="B663" s="0" t="inlineStr">
        <is>
          <t xml:space="preserve">N0002417C4103</t>
        </is>
      </c>
      <c r="C663" s="0" t="inlineStr">
        <is>
          <t xml:space="preserve">HUNTINGTON INGALLS INC</t>
        </is>
      </c>
      <c r="D663" s="0" t="inlineStr">
        <is>
          <t xml:space="preserve">WMXDDH6HJNA5</t>
        </is>
      </c>
      <c r="E663" s="0" t="inlineStr">
        <is>
          <t xml:space="preserve">KAYUMJMKWDF9</t>
        </is>
      </c>
      <c r="F663" s="0" t="inlineStr">
        <is>
          <t xml:space="preserve">J. H. NORTON COMPANY, INC.</t>
        </is>
      </c>
      <c r="G663" s="0" t="inlineStr">
        <is>
          <t xml:space="preserve">KAYUMJMKWDF9</t>
        </is>
      </c>
      <c r="H663" s="4">
        <v>0.00018969999999999998</v>
      </c>
      <c r="I663" s="0" t="inlineStr">
        <is>
          <t xml:space="preserve">2022-07-12</t>
        </is>
      </c>
      <c r="J663" s="0" t="inlineStr">
        <is>
          <t xml:space="preserve">propulsion_power</t>
        </is>
      </c>
      <c r="K663" s="4">
        <v>1.6</v>
      </c>
      <c r="L663" s="0" t="inlineStr">
        <is>
          <t xml:space="preserve">PO 4500596793 PO Item No. 5 - Fuel Inv. 50869 - item returned w/o fuel</t>
        </is>
      </c>
    </row>
    <row r="664">
      <c r="B664" s="0" t="inlineStr">
        <is>
          <t xml:space="preserve">N0002417C4103</t>
        </is>
      </c>
      <c r="C664" s="0" t="inlineStr">
        <is>
          <t xml:space="preserve">HUNTINGTON INGALLS INC</t>
        </is>
      </c>
      <c r="D664" s="0" t="inlineStr">
        <is>
          <t xml:space="preserve">WMXDDH6HJNA5</t>
        </is>
      </c>
      <c r="E664" s="0" t="inlineStr">
        <is>
          <t xml:space="preserve">FZG7JRH6SLX4</t>
        </is>
      </c>
      <c r="F664" s="0" t="inlineStr">
        <is>
          <t xml:space="preserve">VIRGINIA EQUIPMENT RENTAL COMPANY, INC.</t>
        </is>
      </c>
      <c r="G664" s="0" t="inlineStr">
        <is>
          <t xml:space="preserve">FZG7JRH6SLX4</t>
        </is>
      </c>
      <c r="H664" s="4">
        <v>9.999999999999999e-05</v>
      </c>
      <c r="I664" s="0" t="inlineStr">
        <is>
          <t xml:space="preserve">2023-01-11</t>
        </is>
      </c>
      <c r="J664" s="0" t="inlineStr">
        <is>
          <t xml:space="preserve">other_unclassified</t>
        </is>
      </c>
      <c r="K664" s="4">
        <v>1.3</v>
      </c>
      <c r="L664" s="0" t="inlineStr">
        <is>
          <t xml:space="preserve">PO 4500597304 PO Item No. 2-Freight (Pickup/Delivery)</t>
        </is>
      </c>
    </row>
    <row r="665">
      <c r="B665" s="0" t="inlineStr">
        <is>
          <t xml:space="preserve">N0002417C4103</t>
        </is>
      </c>
      <c r="C665" s="0" t="inlineStr">
        <is>
          <t xml:space="preserve">HUNTINGTON INGALLS INC</t>
        </is>
      </c>
      <c r="D665" s="0" t="inlineStr">
        <is>
          <t xml:space="preserve">WMXDDH6HJNA5</t>
        </is>
      </c>
      <c r="E665" s="0" t="inlineStr">
        <is>
          <t xml:space="preserve">FZG7JRH6SLX4</t>
        </is>
      </c>
      <c r="F665" s="0" t="inlineStr">
        <is>
          <t xml:space="preserve">VIRGINIA EQUIPMENT RENTAL COMPANY, INC.</t>
        </is>
      </c>
      <c r="G665" s="0" t="inlineStr">
        <is>
          <t xml:space="preserve">FZG7JRH6SLX4</t>
        </is>
      </c>
      <c r="H665" s="4">
        <v>9.999999999999999e-05</v>
      </c>
      <c r="I665" s="0" t="inlineStr">
        <is>
          <t xml:space="preserve">2023-01-11</t>
        </is>
      </c>
      <c r="J665" s="0" t="inlineStr">
        <is>
          <t xml:space="preserve">other_unclassified</t>
        </is>
      </c>
      <c r="K665" s="4">
        <v>1.3</v>
      </c>
      <c r="L665" s="0" t="inlineStr">
        <is>
          <t xml:space="preserve">PO 4500597304 PO Item No. 4-Freight (Pickup/Delivery)</t>
        </is>
      </c>
    </row>
    <row r="666">
      <c r="B666" s="0" t="inlineStr">
        <is>
          <t xml:space="preserve">N0002417C4103</t>
        </is>
      </c>
      <c r="C666" s="0" t="inlineStr">
        <is>
          <t xml:space="preserve">HUNTINGTON INGALLS INC</t>
        </is>
      </c>
      <c r="D666" s="0" t="inlineStr">
        <is>
          <t xml:space="preserve">WMXDDH6HJNA5</t>
        </is>
      </c>
      <c r="E666" s="0" t="inlineStr">
        <is>
          <t xml:space="preserve">FZG7JRH6SLX4</t>
        </is>
      </c>
      <c r="F666" s="0" t="inlineStr">
        <is>
          <t xml:space="preserve">VIRGINIA EQUIPMENT RENTAL COMPANY, INC.</t>
        </is>
      </c>
      <c r="G666" s="0" t="inlineStr">
        <is>
          <t xml:space="preserve">FZG7JRH6SLX4</t>
        </is>
      </c>
      <c r="H666" s="4">
        <v>9.999999999999999e-05</v>
      </c>
      <c r="I666" s="0" t="inlineStr">
        <is>
          <t xml:space="preserve">2020-11-06</t>
        </is>
      </c>
      <c r="J666" s="0" t="inlineStr">
        <is>
          <t xml:space="preserve">other_unclassified</t>
        </is>
      </c>
      <c r="K666" s="4">
        <v>2.0</v>
      </c>
      <c r="L666" s="0" t="inlineStr">
        <is>
          <t xml:space="preserve">Freight (Pickup/Delivery), PO item #2</t>
        </is>
      </c>
    </row>
    <row r="667">
      <c r="B667" s="0" t="inlineStr">
        <is>
          <t xml:space="preserve">N0002417C4103</t>
        </is>
      </c>
      <c r="C667" s="0" t="inlineStr">
        <is>
          <t xml:space="preserve">HUNTINGTON INGALLS INC</t>
        </is>
      </c>
      <c r="D667" s="0" t="inlineStr">
        <is>
          <t xml:space="preserve">WMXDDH6HJNA5</t>
        </is>
      </c>
      <c r="E667" s="0" t="inlineStr">
        <is>
          <t xml:space="preserve">FZG7JRH6SLX4</t>
        </is>
      </c>
      <c r="F667" s="0" t="inlineStr">
        <is>
          <t xml:space="preserve">VIRGINIA EQUIPMENT RENTAL COMPANY, INC.</t>
        </is>
      </c>
      <c r="G667" s="0" t="inlineStr">
        <is>
          <t xml:space="preserve">FZG7JRH6SLX4</t>
        </is>
      </c>
      <c r="H667" s="4">
        <v>9.999999999999999e-05</v>
      </c>
      <c r="I667" s="0" t="inlineStr">
        <is>
          <t xml:space="preserve">2020-11-06</t>
        </is>
      </c>
      <c r="J667" s="0" t="inlineStr">
        <is>
          <t xml:space="preserve">other_unclassified</t>
        </is>
      </c>
      <c r="K667" s="4">
        <v>2.0</v>
      </c>
      <c r="L667" s="0" t="inlineStr">
        <is>
          <t xml:space="preserve">Freight (Pickup/Delivery), PO item #4</t>
        </is>
      </c>
    </row>
    <row r="668">
      <c r="B668" s="0" t="inlineStr">
        <is>
          <t xml:space="preserve">N0002417C4103</t>
        </is>
      </c>
      <c r="C668" s="0" t="inlineStr">
        <is>
          <t xml:space="preserve">HUNTINGTON INGALLS INC</t>
        </is>
      </c>
      <c r="D668" s="0" t="inlineStr">
        <is>
          <t xml:space="preserve">WMXDDH6HJNA5</t>
        </is>
      </c>
      <c r="E668" s="0" t="inlineStr">
        <is>
          <t xml:space="preserve">FZG7JRH6SLX4</t>
        </is>
      </c>
      <c r="F668" s="0" t="inlineStr">
        <is>
          <t xml:space="preserve">VIRGINIA EQUIPMENT RENTAL COMPANY, INC.</t>
        </is>
      </c>
      <c r="G668" s="0" t="inlineStr">
        <is>
          <t xml:space="preserve">FZG7JRH6SLX4</t>
        </is>
      </c>
      <c r="H668" s="4">
        <v>9.999999999999999e-05</v>
      </c>
      <c r="I668" s="0" t="inlineStr">
        <is>
          <t xml:space="preserve">2020-04-01</t>
        </is>
      </c>
      <c r="J668" s="0" t="inlineStr">
        <is>
          <t xml:space="preserve">other_unclassified</t>
        </is>
      </c>
      <c r="K668" s="4">
        <v>1.8</v>
      </c>
      <c r="L668" s="0" t="inlineStr">
        <is>
          <t xml:space="preserve">Freight (Pickup/Delivery); PO item #2</t>
        </is>
      </c>
    </row>
    <row r="669">
      <c r="B669" s="0" t="inlineStr">
        <is>
          <t xml:space="preserve">N0002417C4103</t>
        </is>
      </c>
      <c r="C669" s="0" t="inlineStr">
        <is>
          <t xml:space="preserve">HUNTINGTON INGALLS INC</t>
        </is>
      </c>
      <c r="D669" s="0" t="inlineStr">
        <is>
          <t xml:space="preserve">WMXDDH6HJNA5</t>
        </is>
      </c>
      <c r="E669" s="0" t="inlineStr">
        <is>
          <t xml:space="preserve">FZG7JRH6SLX4</t>
        </is>
      </c>
      <c r="F669" s="0" t="inlineStr">
        <is>
          <t xml:space="preserve">VIRGINIA EQUIPMENT RENTAL COMPANY, INC.</t>
        </is>
      </c>
      <c r="G669" s="0" t="inlineStr">
        <is>
          <t xml:space="preserve">FZG7JRH6SLX4</t>
        </is>
      </c>
      <c r="H669" s="4">
        <v>9.999999999999999e-05</v>
      </c>
      <c r="I669" s="0" t="inlineStr">
        <is>
          <t xml:space="preserve">2020-04-01</t>
        </is>
      </c>
      <c r="J669" s="0" t="inlineStr">
        <is>
          <t xml:space="preserve">other_unclassified</t>
        </is>
      </c>
      <c r="K669" s="4">
        <v>1.8</v>
      </c>
      <c r="L669" s="0" t="inlineStr">
        <is>
          <t xml:space="preserve">Freight (Pickup/Delivery); PO item #4</t>
        </is>
      </c>
    </row>
    <row r="670">
      <c r="B670" s="0" t="inlineStr">
        <is>
          <t xml:space="preserve">N0002417C4103</t>
        </is>
      </c>
      <c r="C670" s="0" t="inlineStr">
        <is>
          <t xml:space="preserve">HUNTINGTON INGALLS INC</t>
        </is>
      </c>
      <c r="D670" s="0" t="inlineStr">
        <is>
          <t xml:space="preserve">WMXDDH6HJNA5</t>
        </is>
      </c>
      <c r="E670" s="0" t="inlineStr">
        <is>
          <t xml:space="preserve">JZSHR7DX1MQ9</t>
        </is>
      </c>
      <c r="F670" s="0" t="inlineStr">
        <is>
          <t xml:space="preserve">CARTER MACHINERY COMPANY, INCORPORATED</t>
        </is>
      </c>
      <c r="G670" s="0" t="inlineStr">
        <is>
          <t xml:space="preserve">M25KW7YJBAK3</t>
        </is>
      </c>
      <c r="H670" s="4">
        <v>9.999999999999999e-05</v>
      </c>
      <c r="I670" s="0" t="inlineStr">
        <is>
          <t xml:space="preserve">2020-11-23</t>
        </is>
      </c>
      <c r="J670" s="0" t="inlineStr">
        <is>
          <t xml:space="preserve">other_unclassified</t>
        </is>
      </c>
      <c r="K670" s="4">
        <v>1.5</v>
      </c>
      <c r="L670" s="0" t="inlineStr">
        <is>
          <t xml:space="preserve">Transportation-Delivery, PO item #2</t>
        </is>
      </c>
    </row>
    <row r="671">
      <c r="B671" s="0" t="inlineStr">
        <is>
          <t xml:space="preserve">N0002417C4103</t>
        </is>
      </c>
      <c r="C671" s="0" t="inlineStr">
        <is>
          <t xml:space="preserve">HUNTINGTON INGALLS INC</t>
        </is>
      </c>
      <c r="D671" s="0" t="inlineStr">
        <is>
          <t xml:space="preserve">WMXDDH6HJNA5</t>
        </is>
      </c>
      <c r="E671" s="0" t="inlineStr">
        <is>
          <t xml:space="preserve">JZSHR7DX1MQ9</t>
        </is>
      </c>
      <c r="F671" s="0" t="inlineStr">
        <is>
          <t xml:space="preserve">CARTER MACHINERY COMPANY, INCORPORATED</t>
        </is>
      </c>
      <c r="G671" s="0" t="inlineStr">
        <is>
          <t xml:space="preserve">M25KW7YJBAK3</t>
        </is>
      </c>
      <c r="H671" s="4">
        <v>9.999999999999999e-05</v>
      </c>
      <c r="I671" s="0" t="inlineStr">
        <is>
          <t xml:space="preserve">2020-11-23</t>
        </is>
      </c>
      <c r="J671" s="0" t="inlineStr">
        <is>
          <t xml:space="preserve">platform_hull</t>
        </is>
      </c>
      <c r="K671" s="4">
        <v>1.5</v>
      </c>
      <c r="L671" s="0" t="inlineStr">
        <is>
          <t xml:space="preserve">Return Shipping, PO item #7</t>
        </is>
      </c>
    </row>
    <row r="672">
      <c r="B672" s="0" t="inlineStr">
        <is>
          <t xml:space="preserve">N0002417C4103</t>
        </is>
      </c>
      <c r="C672" s="0" t="inlineStr">
        <is>
          <t xml:space="preserve">HUNTINGTON INGALLS INC</t>
        </is>
      </c>
      <c r="D672" s="0" t="inlineStr">
        <is>
          <t xml:space="preserve">WMXDDH6HJNA5</t>
        </is>
      </c>
      <c r="E672" s="0" t="inlineStr">
        <is>
          <t xml:space="preserve">JZSHR7DX1MQ9</t>
        </is>
      </c>
      <c r="F672" s="0" t="inlineStr">
        <is>
          <t xml:space="preserve">CARTER MACHINERY COMPANY, INCORPORATED</t>
        </is>
      </c>
      <c r="G672" s="0" t="inlineStr">
        <is>
          <t xml:space="preserve">M25KW7YJBAK3</t>
        </is>
      </c>
      <c r="H672" s="4">
        <v>9.999999999999999e-05</v>
      </c>
      <c r="I672" s="0" t="inlineStr">
        <is>
          <t xml:space="preserve">2020-05-05</t>
        </is>
      </c>
      <c r="J672" s="0" t="inlineStr">
        <is>
          <t xml:space="preserve">other_unclassified</t>
        </is>
      </c>
      <c r="K672" s="4">
        <v>1.7</v>
      </c>
      <c r="L672" s="0" t="inlineStr">
        <is>
          <t xml:space="preserve">Transportation-Delivery;PO Item#2</t>
        </is>
      </c>
    </row>
    <row r="673">
      <c r="B673" s="0" t="inlineStr">
        <is>
          <t xml:space="preserve">N0002417C4103</t>
        </is>
      </c>
      <c r="C673" s="0" t="inlineStr">
        <is>
          <t xml:space="preserve">HUNTINGTON INGALLS INC</t>
        </is>
      </c>
      <c r="D673" s="0" t="inlineStr">
        <is>
          <t xml:space="preserve">WMXDDH6HJNA5</t>
        </is>
      </c>
      <c r="E673" s="0" t="inlineStr">
        <is>
          <t xml:space="preserve">JZSHR7DX1MQ9</t>
        </is>
      </c>
      <c r="F673" s="0" t="inlineStr">
        <is>
          <t xml:space="preserve">CARTER MACHINERY COMPANY, INCORPORATED</t>
        </is>
      </c>
      <c r="G673" s="0" t="inlineStr">
        <is>
          <t xml:space="preserve">M25KW7YJBAK3</t>
        </is>
      </c>
      <c r="H673" s="4">
        <v>9.999999999999999e-05</v>
      </c>
      <c r="I673" s="0" t="inlineStr">
        <is>
          <t xml:space="preserve">2020-05-05</t>
        </is>
      </c>
      <c r="J673" s="0" t="inlineStr">
        <is>
          <t xml:space="preserve">platform_hull</t>
        </is>
      </c>
      <c r="K673" s="4">
        <v>1.7</v>
      </c>
      <c r="L673" s="0" t="inlineStr">
        <is>
          <t xml:space="preserve">Return Shipping;PO Item#7</t>
        </is>
      </c>
    </row>
    <row r="674">
      <c r="B674" s="0" t="inlineStr">
        <is>
          <t xml:space="preserve">N0002417C4103</t>
        </is>
      </c>
      <c r="C674" s="0" t="inlineStr">
        <is>
          <t xml:space="preserve">HUNTINGTON INGALLS INC</t>
        </is>
      </c>
      <c r="D674" s="0" t="inlineStr">
        <is>
          <t xml:space="preserve">WMXDDH6HJNA5</t>
        </is>
      </c>
      <c r="E674" s="0" t="inlineStr">
        <is>
          <t xml:space="preserve">JZSHR7DX1MQ9</t>
        </is>
      </c>
      <c r="F674" s="0" t="inlineStr">
        <is>
          <t xml:space="preserve">CARTER MACHINERY COMPANY, INCORPORATED</t>
        </is>
      </c>
      <c r="G674" s="0" t="inlineStr">
        <is>
          <t xml:space="preserve">M25KW7YJBAK3</t>
        </is>
      </c>
      <c r="H674" s="4">
        <v>9.999999999999999e-05</v>
      </c>
      <c r="I674" s="0" t="inlineStr">
        <is>
          <t xml:space="preserve">2020-04-07</t>
        </is>
      </c>
      <c r="J674" s="0" t="inlineStr">
        <is>
          <t xml:space="preserve">other_unclassified</t>
        </is>
      </c>
      <c r="K674" s="4">
        <v>1.6</v>
      </c>
      <c r="L674" s="0" t="inlineStr">
        <is>
          <t xml:space="preserve">Transportation-Delivery; PO item #2</t>
        </is>
      </c>
    </row>
    <row r="675">
      <c r="B675" s="0" t="inlineStr">
        <is>
          <t xml:space="preserve">N0002417C4103</t>
        </is>
      </c>
      <c r="C675" s="0" t="inlineStr">
        <is>
          <t xml:space="preserve">HUNTINGTON INGALLS INC</t>
        </is>
      </c>
      <c r="D675" s="0" t="inlineStr">
        <is>
          <t xml:space="preserve">WMXDDH6HJNA5</t>
        </is>
      </c>
      <c r="E675" s="0" t="inlineStr">
        <is>
          <t xml:space="preserve">JZSHR7DX1MQ9</t>
        </is>
      </c>
      <c r="F675" s="0" t="inlineStr">
        <is>
          <t xml:space="preserve">CARTER MACHINERY COMPANY, INCORPORATED</t>
        </is>
      </c>
      <c r="G675" s="0" t="inlineStr">
        <is>
          <t xml:space="preserve">M25KW7YJBAK3</t>
        </is>
      </c>
      <c r="H675" s="4">
        <v>9.999999999999999e-05</v>
      </c>
      <c r="I675" s="0" t="inlineStr">
        <is>
          <t xml:space="preserve">2020-04-07</t>
        </is>
      </c>
      <c r="J675" s="0" t="inlineStr">
        <is>
          <t xml:space="preserve">platform_hull</t>
        </is>
      </c>
      <c r="K675" s="4">
        <v>1.6</v>
      </c>
      <c r="L675" s="0" t="inlineStr">
        <is>
          <t xml:space="preserve">Return Shipping; PO item #7</t>
        </is>
      </c>
    </row>
    <row r="676">
      <c r="B676" s="0" t="inlineStr">
        <is>
          <t xml:space="preserve">N0002417C4103</t>
        </is>
      </c>
      <c r="C676" s="0" t="inlineStr">
        <is>
          <t xml:space="preserve">HUNTINGTON INGALLS INC</t>
        </is>
      </c>
      <c r="D676" s="0" t="inlineStr">
        <is>
          <t xml:space="preserve">WMXDDH6HJNA5</t>
        </is>
      </c>
      <c r="E676" s="0" t="inlineStr">
        <is>
          <t xml:space="preserve">JZSHR7DX1MQ9</t>
        </is>
      </c>
      <c r="F676" s="0" t="inlineStr">
        <is>
          <t xml:space="preserve">CARTER MACHINERY COMPANY, INCORPORATED</t>
        </is>
      </c>
      <c r="G676" s="0" t="inlineStr">
        <is>
          <t xml:space="preserve">M25KW7YJBAK3</t>
        </is>
      </c>
      <c r="H676" s="4">
        <v>9.999999999999999e-05</v>
      </c>
      <c r="I676" s="0" t="inlineStr">
        <is>
          <t xml:space="preserve">2020-04-06</t>
        </is>
      </c>
      <c r="J676" s="0" t="inlineStr">
        <is>
          <t xml:space="preserve">other_unclassified</t>
        </is>
      </c>
      <c r="K676" s="4">
        <v>1.7</v>
      </c>
      <c r="L676" s="0" t="inlineStr">
        <is>
          <t xml:space="preserve">Return Freight; PO item #5</t>
        </is>
      </c>
    </row>
    <row r="677">
      <c r="B677" s="0" t="inlineStr">
        <is>
          <t xml:space="preserve">N0002417C4103</t>
        </is>
      </c>
      <c r="C677" s="0" t="inlineStr">
        <is>
          <t xml:space="preserve">HUNTINGTON INGALLS INC</t>
        </is>
      </c>
      <c r="D677" s="0" t="inlineStr">
        <is>
          <t xml:space="preserve">WMXDDH6HJNA5</t>
        </is>
      </c>
      <c r="E677" s="0" t="inlineStr">
        <is>
          <t xml:space="preserve">JZSHR7DX1MQ9</t>
        </is>
      </c>
      <c r="F677" s="0" t="inlineStr">
        <is>
          <t xml:space="preserve">CARTER MACHINERY COMPANY, INCORPORATED</t>
        </is>
      </c>
      <c r="G677" s="0" t="inlineStr">
        <is>
          <t xml:space="preserve">M25KW7YJBAK3</t>
        </is>
      </c>
      <c r="H677" s="4">
        <v>9.999999999999999e-05</v>
      </c>
      <c r="I677" s="0" t="inlineStr">
        <is>
          <t xml:space="preserve">2020-04-06</t>
        </is>
      </c>
      <c r="J677" s="0" t="inlineStr">
        <is>
          <t xml:space="preserve">other_unclassified</t>
        </is>
      </c>
      <c r="K677" s="4">
        <v>1.7</v>
      </c>
      <c r="L677" s="0" t="inlineStr">
        <is>
          <t xml:space="preserve">Freight (Delivery); PO item #2</t>
        </is>
      </c>
    </row>
    <row r="678">
      <c r="B678" s="0" t="inlineStr">
        <is>
          <t xml:space="preserve">N0002417C4103</t>
        </is>
      </c>
      <c r="C678" s="0" t="inlineStr">
        <is>
          <t xml:space="preserve">HUNTINGTON INGALLS INC</t>
        </is>
      </c>
      <c r="D678" s="0" t="inlineStr">
        <is>
          <t xml:space="preserve">WMXDDH6HJNA5</t>
        </is>
      </c>
      <c r="E678" s="0" t="inlineStr">
        <is>
          <t xml:space="preserve">MJ2VYYK18NC6</t>
        </is>
      </c>
      <c r="F678" s="0" t="inlineStr">
        <is>
          <t xml:space="preserve">WORLD FUEL SERVICES CORPORATION</t>
        </is>
      </c>
      <c r="G678" s="0" t="inlineStr">
        <is>
          <t xml:space="preserve">SWV8RMFTGRG9</t>
        </is>
      </c>
      <c r="H678" s="4">
        <v>8.499999999999999e-05</v>
      </c>
      <c r="I678" s="0" t="inlineStr">
        <is>
          <t xml:space="preserve">2020-08-07</t>
        </is>
      </c>
      <c r="J678" s="0" t="inlineStr">
        <is>
          <t xml:space="preserve">propulsion_power</t>
        </is>
      </c>
      <c r="K678" s="4">
        <v>1.7</v>
      </c>
      <c r="L678" s="0" t="inlineStr">
        <is>
          <t xml:space="preserve">Freight (Pickup/Delivery)PO item #3</t>
        </is>
      </c>
    </row>
    <row r="679">
      <c r="B679" s="0" t="inlineStr">
        <is>
          <t xml:space="preserve">N0002417C4103</t>
        </is>
      </c>
      <c r="C679" s="0" t="inlineStr">
        <is>
          <t xml:space="preserve">HUNTINGTON INGALLS INC</t>
        </is>
      </c>
      <c r="D679" s="0" t="inlineStr">
        <is>
          <t xml:space="preserve">WMXDDH6HJNA5</t>
        </is>
      </c>
      <c r="E679" s="0" t="inlineStr">
        <is>
          <t xml:space="preserve">MJ2VYYK18NC6</t>
        </is>
      </c>
      <c r="F679" s="0" t="inlineStr">
        <is>
          <t xml:space="preserve">WORLD FUEL SERVICES CORPORATION</t>
        </is>
      </c>
      <c r="G679" s="0" t="inlineStr">
        <is>
          <t xml:space="preserve">SWV8RMFTGRG9</t>
        </is>
      </c>
      <c r="H679" s="4">
        <v>8.499999999999999e-05</v>
      </c>
      <c r="I679" s="0" t="inlineStr">
        <is>
          <t xml:space="preserve">2020-03-09</t>
        </is>
      </c>
      <c r="J679" s="0" t="inlineStr">
        <is>
          <t xml:space="preserve">propulsion_power</t>
        </is>
      </c>
      <c r="K679" s="4">
        <v>3.6</v>
      </c>
      <c r="L679" s="0" t="inlineStr">
        <is>
          <t xml:space="preserve">Freight (Pickup/Delivery);item num#3</t>
        </is>
      </c>
    </row>
    <row r="680">
      <c r="B680" s="0" t="inlineStr">
        <is>
          <t xml:space="preserve">N0002417C4103</t>
        </is>
      </c>
      <c r="C680" s="0" t="inlineStr">
        <is>
          <t xml:space="preserve">HUNTINGTON INGALLS INC</t>
        </is>
      </c>
      <c r="D680" s="0" t="inlineStr">
        <is>
          <t xml:space="preserve">WMXDDH6HJNA5</t>
        </is>
      </c>
      <c r="E680" s="0" t="inlineStr">
        <is>
          <t xml:space="preserve">FZG7JRH6SLX4</t>
        </is>
      </c>
      <c r="F680" s="0" t="inlineStr">
        <is>
          <t xml:space="preserve">VIRGINIA EQUIPMENT RENTAL COMPANY, INC.</t>
        </is>
      </c>
      <c r="G680" s="0" t="inlineStr">
        <is>
          <t xml:space="preserve">FZG7JRH6SLX4</t>
        </is>
      </c>
      <c r="H680" s="4">
        <v>7.599999999999999e-05</v>
      </c>
      <c r="I680" s="0" t="inlineStr">
        <is>
          <t xml:space="preserve">2023-01-11</t>
        </is>
      </c>
      <c r="J680" s="0" t="inlineStr">
        <is>
          <t xml:space="preserve">propulsion_power</t>
        </is>
      </c>
      <c r="K680" s="4">
        <v>1.3</v>
      </c>
      <c r="L680" s="0" t="inlineStr">
        <is>
          <t xml:space="preserve">PO 4500597304 PO Item No. 10-FUEL CHARGE</t>
        </is>
      </c>
    </row>
    <row r="681">
      <c r="B681" s="0" t="inlineStr">
        <is>
          <t xml:space="preserve">N0002417C4103</t>
        </is>
      </c>
      <c r="C681" s="0" t="inlineStr">
        <is>
          <t xml:space="preserve">HUNTINGTON INGALLS INC</t>
        </is>
      </c>
      <c r="D681" s="0" t="inlineStr">
        <is>
          <t xml:space="preserve">WMXDDH6HJNA5</t>
        </is>
      </c>
      <c r="E681" s="0" t="inlineStr">
        <is>
          <t xml:space="preserve">G5K4NEGGRQQ1</t>
        </is>
      </c>
      <c r="F681" s="0" t="inlineStr">
        <is>
          <t xml:space="preserve">Panther Summit Industries Inc</t>
        </is>
      </c>
      <c r="G681" s="0" t="inlineStr">
        <is>
          <t xml:space="preserve">TRSJFMDLVK71</t>
        </is>
      </c>
      <c r="H681" s="4">
        <v>1e-08</v>
      </c>
      <c r="I681" s="0" t="inlineStr">
        <is>
          <t xml:space="preserve">2021-09-23</t>
        </is>
      </c>
      <c r="J681" s="0" t="inlineStr">
        <is>
          <t xml:space="preserve">other_unclassified</t>
        </is>
      </c>
      <c r="K681" s="4">
        <v>1.1</v>
      </c>
      <c r="L681" s="0" t="inlineStr">
        <is>
          <t xml:space="preserve">PO 4500607089 PO Item No. 2 - DELETED TO REALLOCATE CHARGE</t>
        </is>
      </c>
    </row>
    <row r="682">
      <c r="B682" s="0" t="inlineStr">
        <is>
          <t xml:space="preserve">N0002417C4103</t>
        </is>
      </c>
      <c r="C682" s="0" t="inlineStr">
        <is>
          <t xml:space="preserve">HUNTINGTON INGALLS INC</t>
        </is>
      </c>
      <c r="D682" s="0" t="inlineStr">
        <is>
          <t xml:space="preserve">WMXDDH6HJNA5</t>
        </is>
      </c>
      <c r="E682" s="0" t="inlineStr">
        <is>
          <t xml:space="preserve">G5K4NEGGRQQ1</t>
        </is>
      </c>
      <c r="F682" s="0" t="inlineStr">
        <is>
          <t xml:space="preserve">Panther Summit Industries Inc</t>
        </is>
      </c>
      <c r="G682" s="0" t="inlineStr">
        <is>
          <t xml:space="preserve">TRSJFMDLVK71</t>
        </is>
      </c>
      <c r="H682" s="4">
        <v>1e-08</v>
      </c>
      <c r="I682" s="0" t="inlineStr">
        <is>
          <t xml:space="preserve">2021-09-23</t>
        </is>
      </c>
      <c r="J682" s="0" t="inlineStr">
        <is>
          <t xml:space="preserve">other_unclassified</t>
        </is>
      </c>
      <c r="K682" s="4">
        <v>1.1</v>
      </c>
      <c r="L682" s="0" t="inlineStr">
        <is>
          <t xml:space="preserve">PO 4500607089 PO Item No. 4 - DELETED TO REALLOCATE CHARGE</t>
        </is>
      </c>
    </row>
    <row r="683">
      <c r="B683" s="0" t="inlineStr">
        <is>
          <t xml:space="preserve">N0002417C4103</t>
        </is>
      </c>
      <c r="C683" s="0" t="inlineStr">
        <is>
          <t xml:space="preserve">HUNTINGTON INGALLS INC</t>
        </is>
      </c>
      <c r="D683" s="0" t="inlineStr">
        <is>
          <t xml:space="preserve">WMXDDH6HJNA5</t>
        </is>
      </c>
      <c r="E683" s="0" t="inlineStr">
        <is>
          <t xml:space="preserve">G5K4NEGGRQQ1</t>
        </is>
      </c>
      <c r="F683" s="0" t="inlineStr">
        <is>
          <t xml:space="preserve">Panther Summit Industries Inc</t>
        </is>
      </c>
      <c r="G683" s="0" t="inlineStr">
        <is>
          <t xml:space="preserve">TRSJFMDLVK71</t>
        </is>
      </c>
      <c r="H683" s="4">
        <v>1e-08</v>
      </c>
      <c r="I683" s="0" t="inlineStr">
        <is>
          <t xml:space="preserve">2021-09-23</t>
        </is>
      </c>
      <c r="J683" s="0" t="inlineStr">
        <is>
          <t xml:space="preserve">other_unclassified</t>
        </is>
      </c>
      <c r="K683" s="4">
        <v>1.1</v>
      </c>
      <c r="L683" s="0" t="inlineStr">
        <is>
          <t xml:space="preserve">PO 4500607089 PO Item No. 3 - DELETED TO REALLOCATE CHARGE</t>
        </is>
      </c>
    </row>
    <row r="684">
      <c r="B684" s="0" t="inlineStr">
        <is>
          <t xml:space="preserve">N0002417C4103</t>
        </is>
      </c>
      <c r="C684" s="0" t="inlineStr">
        <is>
          <t xml:space="preserve">HUNTINGTON INGALLS INC</t>
        </is>
      </c>
      <c r="D684" s="0" t="inlineStr">
        <is>
          <t xml:space="preserve">WMXDDH6HJNA5</t>
        </is>
      </c>
      <c r="E684" s="0" t="inlineStr">
        <is>
          <t xml:space="preserve">G5K4NEGGRQQ1</t>
        </is>
      </c>
      <c r="F684" s="0" t="inlineStr">
        <is>
          <t xml:space="preserve">Panther Summit Industries Inc</t>
        </is>
      </c>
      <c r="G684" s="0" t="inlineStr">
        <is>
          <t xml:space="preserve">TRSJFMDLVK71</t>
        </is>
      </c>
      <c r="H684" s="4">
        <v>1e-08</v>
      </c>
      <c r="I684" s="0" t="inlineStr">
        <is>
          <t xml:space="preserve">2020-05-21</t>
        </is>
      </c>
      <c r="J684" s="0" t="inlineStr">
        <is>
          <t xml:space="preserve">other_unclassified</t>
        </is>
      </c>
      <c r="K684" s="4">
        <v>1.2</v>
      </c>
      <c r="L684" s="0" t="inlineStr">
        <is>
          <t xml:space="preserve">DELETED TO REALLOCATE CHARGE;PO Item#3</t>
        </is>
      </c>
    </row>
    <row r="685">
      <c r="B685" s="0" t="inlineStr">
        <is>
          <t xml:space="preserve">N0002417C4103</t>
        </is>
      </c>
      <c r="C685" s="0" t="inlineStr">
        <is>
          <t xml:space="preserve">HUNTINGTON INGALLS INC</t>
        </is>
      </c>
      <c r="D685" s="0" t="inlineStr">
        <is>
          <t xml:space="preserve">WMXDDH6HJNA5</t>
        </is>
      </c>
      <c r="E685" s="0" t="inlineStr">
        <is>
          <t xml:space="preserve">G5K4NEGGRQQ1</t>
        </is>
      </c>
      <c r="F685" s="0" t="inlineStr">
        <is>
          <t xml:space="preserve">Panther Summit Industries Inc</t>
        </is>
      </c>
      <c r="G685" s="0" t="inlineStr">
        <is>
          <t xml:space="preserve">TRSJFMDLVK71</t>
        </is>
      </c>
      <c r="H685" s="4">
        <v>1e-08</v>
      </c>
      <c r="I685" s="0" t="inlineStr">
        <is>
          <t xml:space="preserve">2020-05-21</t>
        </is>
      </c>
      <c r="J685" s="0" t="inlineStr">
        <is>
          <t xml:space="preserve">other_unclassified</t>
        </is>
      </c>
      <c r="K685" s="4">
        <v>1.2</v>
      </c>
      <c r="L685" s="0" t="inlineStr">
        <is>
          <t xml:space="preserve">DELETED TO REALLOCATE CHARGE;PO Item#2</t>
        </is>
      </c>
    </row>
    <row r="686">
      <c r="B686" s="0" t="inlineStr">
        <is>
          <t xml:space="preserve">N0002417C4103</t>
        </is>
      </c>
      <c r="C686" s="0" t="inlineStr">
        <is>
          <t xml:space="preserve">HUNTINGTON INGALLS INC</t>
        </is>
      </c>
      <c r="D686" s="0" t="inlineStr">
        <is>
          <t xml:space="preserve">WMXDDH6HJNA5</t>
        </is>
      </c>
      <c r="E686" s="0" t="inlineStr">
        <is>
          <t xml:space="preserve">G5K4NEGGRQQ1</t>
        </is>
      </c>
      <c r="F686" s="0" t="inlineStr">
        <is>
          <t xml:space="preserve">Panther Summit Industries Inc</t>
        </is>
      </c>
      <c r="G686" s="0" t="inlineStr">
        <is>
          <t xml:space="preserve">TRSJFMDLVK71</t>
        </is>
      </c>
      <c r="H686" s="4">
        <v>1e-08</v>
      </c>
      <c r="I686" s="0" t="inlineStr">
        <is>
          <t xml:space="preserve">2020-05-21</t>
        </is>
      </c>
      <c r="J686" s="0" t="inlineStr">
        <is>
          <t xml:space="preserve">other_unclassified</t>
        </is>
      </c>
      <c r="K686" s="4">
        <v>1.2</v>
      </c>
      <c r="L686" s="0" t="inlineStr">
        <is>
          <t xml:space="preserve">DELETED TO REALLOCATE CHARGE;PO Item#4</t>
        </is>
      </c>
    </row>
    <row r="687">
      <c r="B687" s="0" t="inlineStr">
        <is>
          <t xml:space="preserve">N0002417C4103</t>
        </is>
      </c>
      <c r="C687" s="0" t="inlineStr">
        <is>
          <t xml:space="preserve">HUNTINGTON INGALLS INC</t>
        </is>
      </c>
      <c r="D687" s="0" t="inlineStr">
        <is>
          <t xml:space="preserve">WMXDDH6HJNA5</t>
        </is>
      </c>
      <c r="E687" s="0" t="inlineStr">
        <is>
          <t xml:space="preserve">JZSHR7DX1MQ9</t>
        </is>
      </c>
      <c r="F687" s="0" t="inlineStr">
        <is>
          <t xml:space="preserve">CARTER MACHINERY COMPANY, INCORPORATED</t>
        </is>
      </c>
      <c r="G687" s="0" t="inlineStr">
        <is>
          <t xml:space="preserve">M25KW7YJBAK3</t>
        </is>
      </c>
      <c r="H687" s="4">
        <v>1e-08</v>
      </c>
      <c r="I687" s="0" t="inlineStr">
        <is>
          <t xml:space="preserve">2020-04-07</t>
        </is>
      </c>
      <c r="J687" s="0" t="inlineStr">
        <is>
          <t xml:space="preserve">other_unclassified</t>
        </is>
      </c>
      <c r="K687" s="4">
        <v>1.6</v>
      </c>
      <c r="L687" s="0" t="inlineStr">
        <is>
          <t xml:space="preserve">DELETED TO REALLOCATE CHARGE; PO item #3</t>
        </is>
      </c>
    </row>
    <row r="688">
      <c r="B688" s="0" t="inlineStr">
        <is>
          <t xml:space="preserve">N0002417C4103</t>
        </is>
      </c>
      <c r="C688" s="0" t="inlineStr">
        <is>
          <t xml:space="preserve">HUNTINGTON INGALLS INC</t>
        </is>
      </c>
      <c r="D688" s="0" t="inlineStr">
        <is>
          <t xml:space="preserve">WMXDDH6HJNA5</t>
        </is>
      </c>
      <c r="E688" s="0" t="inlineStr">
        <is>
          <t xml:space="preserve">FZG7JRH6SLX4</t>
        </is>
      </c>
      <c r="F688" s="0" t="inlineStr">
        <is>
          <t xml:space="preserve">VIRGINIA EQUIPMENT RENTAL COMPANY, INC.</t>
        </is>
      </c>
      <c r="G688" s="0" t="inlineStr">
        <is>
          <t xml:space="preserve">FZG7JRH6SLX4</t>
        </is>
      </c>
      <c r="H688" s="4">
        <v>0.0</v>
      </c>
      <c r="I688" s="0" t="inlineStr">
        <is>
          <t xml:space="preserve">2023-01-11</t>
        </is>
      </c>
      <c r="J688" s="0" t="inlineStr">
        <is>
          <t xml:space="preserve">other_unclassified</t>
        </is>
      </c>
      <c r="K688" s="4">
        <v>1.3</v>
      </c>
      <c r="L688" s="0" t="inlineStr">
        <is>
          <t xml:space="preserve">PO 4500597304 PO Item No. 5-DELETED</t>
        </is>
      </c>
    </row>
  </sheetData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16" customWidth="1"/>
    <col min="3" max="3" width="42" customWidth="1"/>
    <col min="4" max="4" width="14" customWidth="1"/>
    <col min="5" max="5" width="12" customWidth="1"/>
  </cols>
  <sheetData>
    <row r="1"/>
    <row r="2">
      <c r="B2" s="8" t="inlineStr">
        <is>
          <t xml:space="preserve">Prime Concentration</t>
        </is>
      </c>
      <c r="C2" s="8"/>
      <c r="D2" s="8"/>
      <c r="E2" s="8"/>
    </row>
    <row r="3">
      <c r="B3" s="60" t="inlineStr">
        <is>
          <t xml:space="preserve">Top recipients per tier; obligated in $M and tier share in percent. Sorted by share within tier.</t>
        </is>
      </c>
    </row>
    <row r="5">
      <c r="B5" s="9" t="inlineStr">
        <is>
          <t xml:space="preserve">§1 - Prime concentration by market tier (top recipients)</t>
        </is>
      </c>
      <c r="C5" s="9"/>
      <c r="D5" s="9"/>
      <c r="E5" s="9"/>
    </row>
    <row r="7">
      <c r="B7" s="2" t="inlineStr">
        <is>
          <t xml:space="preserve">Tier</t>
        </is>
      </c>
      <c r="C7" s="2" t="inlineStr">
        <is>
          <t xml:space="preserve">Prime</t>
        </is>
      </c>
      <c r="D7" s="22" t="inlineStr">
        <is>
          <t xml:space="preserve">Obligated $M</t>
        </is>
      </c>
      <c r="E7" s="22" t="inlineStr">
        <is>
          <t xml:space="preserve">Tier Share %</t>
        </is>
      </c>
    </row>
    <row r="8">
      <c r="B8" s="0" t="inlineStr">
        <is>
          <t xml:space="preserve">usv_core</t>
        </is>
      </c>
      <c r="C8" s="0" t="inlineStr">
        <is>
          <t xml:space="preserve">THE PENNSYLVANIA STATE UNIVERSITY</t>
        </is>
      </c>
      <c r="D8" s="4">
        <v>77.40651209</v>
      </c>
      <c r="E8" s="4">
        <v>17.26</v>
      </c>
    </row>
    <row r="9">
      <c r="B9" s="0" t="inlineStr">
        <is>
          <t xml:space="preserve">usv_core</t>
        </is>
      </c>
      <c r="C9" s="0" t="inlineStr">
        <is>
          <t xml:space="preserve">LEIDOS, INC.</t>
        </is>
      </c>
      <c r="D9" s="4">
        <v>71.13189281</v>
      </c>
      <c r="E9" s="4">
        <v>15.86</v>
      </c>
    </row>
    <row r="10">
      <c r="B10" s="0" t="inlineStr">
        <is>
          <t xml:space="preserve">usv_core</t>
        </is>
      </c>
      <c r="C10" s="0" t="inlineStr">
        <is>
          <t xml:space="preserve">THE JOHNS HOPKINS UNIVERSITY APPLIED PHYSICS LABORATORY LLC</t>
        </is>
      </c>
      <c r="D10" s="4">
        <v>65.08814699999999</v>
      </c>
      <c r="E10" s="4">
        <v>14.51</v>
      </c>
    </row>
    <row r="11">
      <c r="B11" s="0" t="inlineStr">
        <is>
          <t xml:space="preserve">usv_core</t>
        </is>
      </c>
      <c r="C11" s="0" t="inlineStr">
        <is>
          <t xml:space="preserve">INNOVATIVE PROFESSIONAL SOLUTIONS, INC.</t>
        </is>
      </c>
      <c r="D11" s="4">
        <v>35.01380655</v>
      </c>
      <c r="E11" s="4">
        <v>7.81</v>
      </c>
    </row>
    <row r="12">
      <c r="B12" s="0" t="inlineStr">
        <is>
          <t xml:space="preserve">usv_core</t>
        </is>
      </c>
      <c r="C12" s="0" t="inlineStr">
        <is>
          <t xml:space="preserve">RAYTHEON COMPANY</t>
        </is>
      </c>
      <c r="D12" s="4">
        <v>34.078854979999996</v>
      </c>
      <c r="E12" s="4">
        <v>7.6</v>
      </c>
    </row>
    <row r="13">
      <c r="B13" s="0" t="inlineStr">
        <is>
          <t xml:space="preserve">usv_core</t>
        </is>
      </c>
      <c r="C13" s="0" t="inlineStr">
        <is>
          <t xml:space="preserve">AVIAN, LLC</t>
        </is>
      </c>
      <c r="D13" s="4">
        <v>32.37049559</v>
      </c>
      <c r="E13" s="4">
        <v>7.22</v>
      </c>
    </row>
    <row r="14">
      <c r="B14" s="0" t="inlineStr">
        <is>
          <t xml:space="preserve">usv_core</t>
        </is>
      </c>
      <c r="C14" s="0" t="inlineStr">
        <is>
          <t xml:space="preserve">SERCO-IPS CORPORATION</t>
        </is>
      </c>
      <c r="D14" s="4">
        <v>29.70405303</v>
      </c>
      <c r="E14" s="4">
        <v>6.62</v>
      </c>
    </row>
    <row r="15">
      <c r="B15" s="0" t="inlineStr">
        <is>
          <t xml:space="preserve">usv_core</t>
        </is>
      </c>
      <c r="C15" s="0" t="inlineStr">
        <is>
          <t xml:space="preserve">PERATON INC.</t>
        </is>
      </c>
      <c r="D15" s="4">
        <v>27.0634557</v>
      </c>
      <c r="E15" s="4">
        <v>6.03</v>
      </c>
    </row>
    <row r="16">
      <c r="B16" s="0" t="inlineStr">
        <is>
          <t xml:space="preserve">usv_core</t>
        </is>
      </c>
      <c r="C16" s="0" t="inlineStr">
        <is>
          <t xml:space="preserve">EDO PROFESSIONAL SERVICES INC.</t>
        </is>
      </c>
      <c r="D16" s="4">
        <v>16.8</v>
      </c>
      <c r="E16" s="4">
        <v>3.75</v>
      </c>
    </row>
    <row r="17">
      <c r="B17" s="0" t="inlineStr">
        <is>
          <t xml:space="preserve">usv_core</t>
        </is>
      </c>
      <c r="C17" s="0" t="inlineStr">
        <is>
          <t xml:space="preserve">UNIVERSITY OF SOUTH CAROLINA</t>
        </is>
      </c>
      <c r="D17" s="4">
        <v>11.889999999999999</v>
      </c>
      <c r="E17" s="4">
        <v>2.65</v>
      </c>
    </row>
    <row r="18">
      <c r="B18" s="0" t="inlineStr">
        <is>
          <t xml:space="preserve">usv_core</t>
        </is>
      </c>
      <c r="C18" s="0" t="inlineStr">
        <is>
          <t xml:space="preserve">UNIVERSITY OF MAINE SYSTEM</t>
        </is>
      </c>
      <c r="D18" s="4">
        <v>9.0</v>
      </c>
      <c r="E18" s="4">
        <v>2.01</v>
      </c>
    </row>
    <row r="19">
      <c r="B19" s="0" t="inlineStr">
        <is>
          <t xml:space="preserve">usv_core</t>
        </is>
      </c>
      <c r="C19" s="0" t="inlineStr">
        <is>
          <t xml:space="preserve">COLSA CORP</t>
        </is>
      </c>
      <c r="D19" s="4">
        <v>4.54479968</v>
      </c>
      <c r="E19" s="4">
        <v>1.01</v>
      </c>
    </row>
    <row r="20">
      <c r="B20" s="0" t="inlineStr">
        <is>
          <t xml:space="preserve">usv_core</t>
        </is>
      </c>
      <c r="C20" s="0" t="inlineStr">
        <is>
          <t xml:space="preserve">OASIS SYSTEMS, LLC</t>
        </is>
      </c>
      <c r="D20" s="4">
        <v>4.46578114</v>
      </c>
      <c r="E20" s="4">
        <v>1.0</v>
      </c>
    </row>
    <row r="21">
      <c r="B21" s="0" t="inlineStr">
        <is>
          <t xml:space="preserve">usv_core</t>
        </is>
      </c>
      <c r="C21" s="0" t="inlineStr">
        <is>
          <t xml:space="preserve">UNIVERSITY OF TEXAS AT AUSTIN</t>
        </is>
      </c>
      <c r="D21" s="4">
        <v>4.044947029999999</v>
      </c>
      <c r="E21" s="4">
        <v>0.9</v>
      </c>
    </row>
    <row r="22">
      <c r="B22" s="0" t="inlineStr">
        <is>
          <t xml:space="preserve">usv_core</t>
        </is>
      </c>
      <c r="C22" s="0" t="inlineStr">
        <is>
          <t xml:space="preserve">GEORGIA TECH APPLIED RESEARCH CORP</t>
        </is>
      </c>
      <c r="D22" s="4">
        <v>3.54851731</v>
      </c>
      <c r="E22" s="4">
        <v>0.79</v>
      </c>
    </row>
    <row r="23">
      <c r="B23" s="0" t="inlineStr">
        <is>
          <t xml:space="preserve">small_craft</t>
        </is>
      </c>
      <c r="C23" s="0" t="inlineStr">
        <is>
          <t xml:space="preserve">HUNTINGTON INGALLS INCORPORATED</t>
        </is>
      </c>
      <c r="D23" s="4">
        <v>1304.5305683</v>
      </c>
      <c r="E23" s="4">
        <v>29.98</v>
      </c>
    </row>
    <row r="24">
      <c r="B24" s="0" t="inlineStr">
        <is>
          <t xml:space="preserve">small_craft</t>
        </is>
      </c>
      <c r="C24" s="0" t="inlineStr">
        <is>
          <t xml:space="preserve">GRAVOIS ALUMINUM BOATS LLC</t>
        </is>
      </c>
      <c r="D24" s="4">
        <v>326.33028951999995</v>
      </c>
      <c r="E24" s="4">
        <v>7.5</v>
      </c>
    </row>
    <row r="25">
      <c r="B25" s="0" t="inlineStr">
        <is>
          <t xml:space="preserve">small_craft</t>
        </is>
      </c>
      <c r="C25" s="0" t="inlineStr">
        <is>
          <t xml:space="preserve">SAFE BOATS INTERNATIONAL LLC</t>
        </is>
      </c>
      <c r="D25" s="4">
        <v>315.97598628</v>
      </c>
      <c r="E25" s="4">
        <v>7.26</v>
      </c>
    </row>
    <row r="26">
      <c r="B26" s="0" t="inlineStr">
        <is>
          <t xml:space="preserve">small_craft</t>
        </is>
      </c>
      <c r="C26" s="0" t="inlineStr">
        <is>
          <t xml:space="preserve">SWIFTSHIPS SHIPBUILDERS, L.L.C.</t>
        </is>
      </c>
      <c r="D26" s="4">
        <v>275.6746561</v>
      </c>
      <c r="E26" s="4">
        <v>6.34</v>
      </c>
    </row>
    <row r="27">
      <c r="B27" s="0" t="inlineStr">
        <is>
          <t xml:space="preserve">small_craft</t>
        </is>
      </c>
      <c r="C27" s="0" t="inlineStr">
        <is>
          <t xml:space="preserve">UNITED STATES MARINE INC</t>
        </is>
      </c>
      <c r="D27" s="4">
        <v>238.56308611</v>
      </c>
      <c r="E27" s="4">
        <v>5.48</v>
      </c>
    </row>
    <row r="28">
      <c r="B28" s="0" t="inlineStr">
        <is>
          <t xml:space="preserve">small_craft</t>
        </is>
      </c>
      <c r="C28" s="0" t="inlineStr">
        <is>
          <t xml:space="preserve">SILVER SHIPS, INC</t>
        </is>
      </c>
      <c r="D28" s="4">
        <v>183.8265839</v>
      </c>
      <c r="E28" s="4">
        <v>4.23</v>
      </c>
    </row>
    <row r="29">
      <c r="B29" s="0" t="inlineStr">
        <is>
          <t xml:space="preserve">small_craft</t>
        </is>
      </c>
      <c r="C29" s="0" t="inlineStr">
        <is>
          <t xml:space="preserve">HORNBECK OFFSHORE SERVICES LLC</t>
        </is>
      </c>
      <c r="D29" s="4">
        <v>152.0</v>
      </c>
      <c r="E29" s="4">
        <v>3.49</v>
      </c>
    </row>
    <row r="30">
      <c r="B30" s="0" t="inlineStr">
        <is>
          <t xml:space="preserve">small_craft</t>
        </is>
      </c>
      <c r="C30" s="0" t="inlineStr">
        <is>
          <t xml:space="preserve">BOLLINGER SHIPYARDS LOCKPORT, L.L.C.</t>
        </is>
      </c>
      <c r="D30" s="4">
        <v>119.90791483</v>
      </c>
      <c r="E30" s="4">
        <v>2.76</v>
      </c>
    </row>
    <row r="31">
      <c r="B31" s="0" t="inlineStr">
        <is>
          <t xml:space="preserve">small_craft</t>
        </is>
      </c>
      <c r="C31" s="0" t="inlineStr">
        <is>
          <t xml:space="preserve">HII UNMANNED SYSTEMS, INC</t>
        </is>
      </c>
      <c r="D31" s="4">
        <v>115.33620604999999</v>
      </c>
      <c r="E31" s="4">
        <v>2.65</v>
      </c>
    </row>
    <row r="32">
      <c r="B32" s="0" t="inlineStr">
        <is>
          <t xml:space="preserve">small_craft</t>
        </is>
      </c>
      <c r="C32" s="0" t="inlineStr">
        <is>
          <t xml:space="preserve">RIBCRAFT USA, LLC</t>
        </is>
      </c>
      <c r="D32" s="4">
        <v>111.70986959999999</v>
      </c>
      <c r="E32" s="4">
        <v>2.57</v>
      </c>
    </row>
    <row r="33">
      <c r="B33" s="0" t="inlineStr">
        <is>
          <t xml:space="preserve">small_craft</t>
        </is>
      </c>
      <c r="C33" s="0" t="inlineStr">
        <is>
          <t xml:space="preserve">RECONCRAFT, LLC</t>
        </is>
      </c>
      <c r="D33" s="4">
        <v>105.60659498999999</v>
      </c>
      <c r="E33" s="4">
        <v>2.43</v>
      </c>
    </row>
    <row r="34">
      <c r="B34" s="0" t="inlineStr">
        <is>
          <t xml:space="preserve">small_craft</t>
        </is>
      </c>
      <c r="C34" s="0" t="inlineStr">
        <is>
          <t xml:space="preserve">MARINE GROUP BOAT WORKS, LLC</t>
        </is>
      </c>
      <c r="D34" s="4">
        <v>93.81155045</v>
      </c>
      <c r="E34" s="4">
        <v>2.16</v>
      </c>
    </row>
    <row r="35">
      <c r="B35" s="0" t="inlineStr">
        <is>
          <t xml:space="preserve">small_craft</t>
        </is>
      </c>
      <c r="C35" s="0" t="inlineStr">
        <is>
          <t xml:space="preserve">ERIE FORGE &amp; STEEL INC</t>
        </is>
      </c>
      <c r="D35" s="4">
        <v>79.12029256</v>
      </c>
      <c r="E35" s="4">
        <v>1.82</v>
      </c>
    </row>
    <row r="36">
      <c r="B36" s="0" t="inlineStr">
        <is>
          <t xml:space="preserve">small_craft</t>
        </is>
      </c>
      <c r="C36" s="0" t="inlineStr">
        <is>
          <t xml:space="preserve">C &amp; G BOAT WORKS, INC.</t>
        </is>
      </c>
      <c r="D36" s="4">
        <v>68.28851636</v>
      </c>
      <c r="E36" s="4">
        <v>1.57</v>
      </c>
    </row>
    <row r="37">
      <c r="B37" s="0" t="inlineStr">
        <is>
          <t xml:space="preserve">small_craft</t>
        </is>
      </c>
      <c r="C37" s="0" t="inlineStr">
        <is>
          <t xml:space="preserve">VIGOR WORKS LLC</t>
        </is>
      </c>
      <c r="D37" s="4">
        <v>67.20454301999999</v>
      </c>
      <c r="E37" s="4">
        <v>1.54</v>
      </c>
    </row>
    <row r="38">
      <c r="B38" s="0" t="inlineStr">
        <is>
          <t xml:space="preserve">other_small</t>
        </is>
      </c>
      <c r="C38" s="0" t="inlineStr">
        <is>
          <t xml:space="preserve">BOLLINGER MISSISSIPPI SHIPBUILDING, LLC</t>
        </is>
      </c>
      <c r="D38" s="4">
        <v>2284.8107380399997</v>
      </c>
      <c r="E38" s="4">
        <v>34.1</v>
      </c>
    </row>
    <row r="39">
      <c r="B39" s="0" t="inlineStr">
        <is>
          <t xml:space="preserve">other_small</t>
        </is>
      </c>
      <c r="C39" s="0" t="inlineStr">
        <is>
          <t xml:space="preserve">NATIONAL STEEL AND SHIPBUILDING COMPANY</t>
        </is>
      </c>
      <c r="D39" s="4">
        <v>2075.2610602699997</v>
      </c>
      <c r="E39" s="4">
        <v>30.98</v>
      </c>
    </row>
    <row r="40">
      <c r="B40" s="0" t="inlineStr">
        <is>
          <t xml:space="preserve">other_small</t>
        </is>
      </c>
      <c r="C40" s="0" t="inlineStr">
        <is>
          <t xml:space="preserve">AUSTAL USA, LLC</t>
        </is>
      </c>
      <c r="D40" s="4">
        <v>1020.10421608</v>
      </c>
      <c r="E40" s="4">
        <v>15.23</v>
      </c>
    </row>
    <row r="41">
      <c r="B41" s="0" t="inlineStr">
        <is>
          <t xml:space="preserve">other_small</t>
        </is>
      </c>
      <c r="C41" s="0" t="inlineStr">
        <is>
          <t xml:space="preserve">BOLLINGER SHIPYARDS LOCKPORT, L.L.C.</t>
        </is>
      </c>
      <c r="D41" s="4">
        <v>428.05037424</v>
      </c>
      <c r="E41" s="4">
        <v>6.39</v>
      </c>
    </row>
    <row r="42">
      <c r="B42" s="0" t="inlineStr">
        <is>
          <t xml:space="preserve">other_small</t>
        </is>
      </c>
      <c r="C42" s="0" t="inlineStr">
        <is>
          <t xml:space="preserve">TELEDYNE BROWN ENGINEERING, INC.</t>
        </is>
      </c>
      <c r="D42" s="4">
        <v>243.37569249999999</v>
      </c>
      <c r="E42" s="4">
        <v>3.63</v>
      </c>
    </row>
    <row r="43">
      <c r="B43" s="0" t="inlineStr">
        <is>
          <t xml:space="preserve">other_small</t>
        </is>
      </c>
      <c r="C43" s="0" t="inlineStr">
        <is>
          <t xml:space="preserve">DAKOTA CREEK INDUSTRIES INC</t>
        </is>
      </c>
      <c r="D43" s="4">
        <v>235.48884153999998</v>
      </c>
      <c r="E43" s="4">
        <v>3.51</v>
      </c>
    </row>
    <row r="44">
      <c r="B44" s="0" t="inlineStr">
        <is>
          <t xml:space="preserve">other_small</t>
        </is>
      </c>
      <c r="C44" s="0" t="inlineStr">
        <is>
          <t xml:space="preserve">DETYENS SHIPYARDS INC</t>
        </is>
      </c>
      <c r="D44" s="4">
        <v>70.67394542</v>
      </c>
      <c r="E44" s="4">
        <v>1.05</v>
      </c>
    </row>
    <row r="45">
      <c r="B45" s="0" t="inlineStr">
        <is>
          <t xml:space="preserve">other_small</t>
        </is>
      </c>
      <c r="C45" s="0" t="inlineStr">
        <is>
          <t xml:space="preserve">VIGOR MARINE LLC</t>
        </is>
      </c>
      <c r="D45" s="4">
        <v>62.100660590000004</v>
      </c>
      <c r="E45" s="4">
        <v>0.93</v>
      </c>
    </row>
    <row r="46">
      <c r="B46" s="0" t="inlineStr">
        <is>
          <t xml:space="preserve">other_small</t>
        </is>
      </c>
      <c r="C46" s="0" t="inlineStr">
        <is>
          <t xml:space="preserve">YULISTA SUPPORT SERVICES LLC</t>
        </is>
      </c>
      <c r="D46" s="4">
        <v>37.95135626</v>
      </c>
      <c r="E46" s="4">
        <v>0.57</v>
      </c>
    </row>
    <row r="47">
      <c r="B47" s="0" t="inlineStr">
        <is>
          <t xml:space="preserve">other_small</t>
        </is>
      </c>
      <c r="C47" s="0" t="inlineStr">
        <is>
          <t xml:space="preserve">HUNTINGTON INGALLS INC</t>
        </is>
      </c>
      <c r="D47" s="4">
        <v>34.31859126</v>
      </c>
      <c r="E47" s="4">
        <v>0.51</v>
      </c>
    </row>
    <row r="48">
      <c r="B48" s="0" t="inlineStr">
        <is>
          <t xml:space="preserve">other_small</t>
        </is>
      </c>
      <c r="C48" s="0" t="inlineStr">
        <is>
          <t xml:space="preserve">LOCKHEED MARTIN CORPORATION</t>
        </is>
      </c>
      <c r="D48" s="4">
        <v>31.829794</v>
      </c>
      <c r="E48" s="4">
        <v>0.48</v>
      </c>
    </row>
    <row r="49">
      <c r="B49" s="0" t="inlineStr">
        <is>
          <t xml:space="preserve">other_small</t>
        </is>
      </c>
      <c r="C49" s="0" t="inlineStr">
        <is>
          <t xml:space="preserve">Y-TECH SERVICES, INC.</t>
        </is>
      </c>
      <c r="D49" s="4">
        <v>28.289504089999998</v>
      </c>
      <c r="E49" s="4">
        <v>0.42</v>
      </c>
    </row>
    <row r="50">
      <c r="B50" s="0" t="inlineStr">
        <is>
          <t xml:space="preserve">other_small</t>
        </is>
      </c>
      <c r="C50" s="0" t="inlineStr">
        <is>
          <t xml:space="preserve">BOSTON SHIP REPAIR LLC</t>
        </is>
      </c>
      <c r="D50" s="4">
        <v>20.6608344</v>
      </c>
      <c r="E50" s="4">
        <v>0.31</v>
      </c>
    </row>
    <row r="51">
      <c r="B51" s="0" t="inlineStr">
        <is>
          <t xml:space="preserve">other_small</t>
        </is>
      </c>
      <c r="C51" s="0" t="inlineStr">
        <is>
          <t xml:space="preserve">BAE SYSTEMS SAN FRANCISCO SHIP REPAIR INC.</t>
        </is>
      </c>
      <c r="D51" s="4">
        <v>15.5585952</v>
      </c>
      <c r="E51" s="4">
        <v>0.23</v>
      </c>
    </row>
    <row r="52">
      <c r="B52" s="0" t="inlineStr">
        <is>
          <t xml:space="preserve">other_small</t>
        </is>
      </c>
      <c r="C52" s="0" t="inlineStr">
        <is>
          <t xml:space="preserve">THE BOEING COMPANY</t>
        </is>
      </c>
      <c r="D52" s="4">
        <v>15.002562999999999</v>
      </c>
      <c r="E52" s="4">
        <v>0.22</v>
      </c>
    </row>
    <row r="53">
      <c r="B53" s="0" t="inlineStr">
        <is>
          <t xml:space="preserve">broad_maritime</t>
        </is>
      </c>
      <c r="C53" s="0" t="inlineStr">
        <is>
          <t xml:space="preserve">ELECTRIC BOAT CORPORATION</t>
        </is>
      </c>
      <c r="D53" s="4">
        <v>134523.84782758</v>
      </c>
      <c r="E53" s="4">
        <v>33.71</v>
      </c>
    </row>
    <row r="54">
      <c r="B54" s="0" t="inlineStr">
        <is>
          <t xml:space="preserve">broad_maritime</t>
        </is>
      </c>
      <c r="C54" s="0" t="inlineStr">
        <is>
          <t xml:space="preserve">HUNTINGTON INGALLS INC</t>
        </is>
      </c>
      <c r="D54" s="4">
        <v>65702.54294113</v>
      </c>
      <c r="E54" s="4">
        <v>16.46</v>
      </c>
    </row>
    <row r="55">
      <c r="B55" s="0" t="inlineStr">
        <is>
          <t xml:space="preserve">broad_maritime</t>
        </is>
      </c>
      <c r="C55" s="0" t="inlineStr">
        <is>
          <t xml:space="preserve">HUNTINGTON INGALLS INCORPORATED</t>
        </is>
      </c>
      <c r="D55" s="4">
        <v>57357.089278249994</v>
      </c>
      <c r="E55" s="4">
        <v>14.37</v>
      </c>
    </row>
    <row r="56">
      <c r="B56" s="0" t="inlineStr">
        <is>
          <t xml:space="preserve">broad_maritime</t>
        </is>
      </c>
      <c r="C56" s="0" t="inlineStr">
        <is>
          <t xml:space="preserve">BATH IRON WORKS CORPORATION</t>
        </is>
      </c>
      <c r="D56" s="4">
        <v>30236.866719679998</v>
      </c>
      <c r="E56" s="4">
        <v>7.58</v>
      </c>
    </row>
    <row r="57">
      <c r="B57" s="0" t="inlineStr">
        <is>
          <t xml:space="preserve">broad_maritime</t>
        </is>
      </c>
      <c r="C57" s="0" t="inlineStr">
        <is>
          <t xml:space="preserve">NATIONAL STEEL AND SHIPBUILDING COMPANY</t>
        </is>
      </c>
      <c r="D57" s="4">
        <v>22849.86748821</v>
      </c>
      <c r="E57" s="4">
        <v>5.73</v>
      </c>
    </row>
    <row r="58">
      <c r="B58" s="0" t="inlineStr">
        <is>
          <t xml:space="preserve">broad_maritime</t>
        </is>
      </c>
      <c r="C58" s="0" t="inlineStr">
        <is>
          <t xml:space="preserve">AUSTAL USA, LLC</t>
        </is>
      </c>
      <c r="D58" s="4">
        <v>11424.92904566</v>
      </c>
      <c r="E58" s="4">
        <v>2.86</v>
      </c>
    </row>
    <row r="59">
      <c r="B59" s="0" t="inlineStr">
        <is>
          <t xml:space="preserve">broad_maritime</t>
        </is>
      </c>
      <c r="C59" s="0" t="inlineStr">
        <is>
          <t xml:space="preserve">LOCKHEED MARTIN CORPORATION</t>
        </is>
      </c>
      <c r="D59" s="4">
        <v>10627.5416744</v>
      </c>
      <c r="E59" s="4">
        <v>2.66</v>
      </c>
    </row>
    <row r="60">
      <c r="B60" s="0" t="inlineStr">
        <is>
          <t xml:space="preserve">broad_maritime</t>
        </is>
      </c>
      <c r="C60" s="0" t="inlineStr">
        <is>
          <t xml:space="preserve">BECHTEL PLANT MACHINERY, INC.</t>
        </is>
      </c>
      <c r="D60" s="4">
        <v>10404.105126</v>
      </c>
      <c r="E60" s="4">
        <v>2.61</v>
      </c>
    </row>
    <row r="61">
      <c r="B61" s="0" t="inlineStr">
        <is>
          <t xml:space="preserve">broad_maritime</t>
        </is>
      </c>
      <c r="C61" s="0" t="inlineStr">
        <is>
          <t xml:space="preserve">BAE SYSTEMS MARITIME SOLUTIONS NORFOLK INC.</t>
        </is>
      </c>
      <c r="D61" s="4">
        <v>7627.441395739999</v>
      </c>
      <c r="E61" s="4">
        <v>1.91</v>
      </c>
    </row>
    <row r="62">
      <c r="B62" s="0" t="inlineStr">
        <is>
          <t xml:space="preserve">broad_maritime</t>
        </is>
      </c>
      <c r="C62" s="0" t="inlineStr">
        <is>
          <t xml:space="preserve">BAE SYSTEMS MARITIME SOLUTIONS SAN DIEGO INC.</t>
        </is>
      </c>
      <c r="D62" s="4">
        <v>5874.933814939999</v>
      </c>
      <c r="E62" s="4">
        <v>1.47</v>
      </c>
    </row>
    <row r="63">
      <c r="B63" s="0" t="inlineStr">
        <is>
          <t xml:space="preserve">broad_maritime</t>
        </is>
      </c>
      <c r="C63" s="0" t="inlineStr">
        <is>
          <t xml:space="preserve">METRO MACHINE CORP.</t>
        </is>
      </c>
      <c r="D63" s="4">
        <v>4714.69066475</v>
      </c>
      <c r="E63" s="4">
        <v>1.18</v>
      </c>
    </row>
    <row r="64">
      <c r="B64" s="0" t="inlineStr">
        <is>
          <t xml:space="preserve">broad_maritime</t>
        </is>
      </c>
      <c r="C64" s="0" t="inlineStr">
        <is>
          <t xml:space="preserve">VIGOR MARINE LLC</t>
        </is>
      </c>
      <c r="D64" s="4">
        <v>3605.70643853</v>
      </c>
      <c r="E64" s="4">
        <v>0.9</v>
      </c>
    </row>
    <row r="65">
      <c r="B65" s="0" t="inlineStr">
        <is>
          <t xml:space="preserve">broad_maritime</t>
        </is>
      </c>
      <c r="C65" s="0" t="inlineStr">
        <is>
          <t xml:space="preserve">TEXTRON SYSTEMS CORP</t>
        </is>
      </c>
      <c r="D65" s="4">
        <v>3347.89884178</v>
      </c>
      <c r="E65" s="4">
        <v>0.84</v>
      </c>
    </row>
    <row r="66">
      <c r="B66" s="0" t="inlineStr">
        <is>
          <t xml:space="preserve">broad_maritime</t>
        </is>
      </c>
      <c r="C66" s="0" t="inlineStr">
        <is>
          <t xml:space="preserve">MARINETTE MARINE CORPORATION</t>
        </is>
      </c>
      <c r="D66" s="4">
        <v>2995.2923255700002</v>
      </c>
      <c r="E66" s="4">
        <v>0.75</v>
      </c>
    </row>
    <row r="67">
      <c r="B67" s="0" t="inlineStr">
        <is>
          <t xml:space="preserve">broad_maritime</t>
        </is>
      </c>
      <c r="C67" s="0" t="inlineStr">
        <is>
          <t xml:space="preserve">BAE SYSTEMS JACKSONVILLE SHIP REPAIR LLC</t>
        </is>
      </c>
      <c r="D67" s="4">
        <v>1792.06103276</v>
      </c>
      <c r="E67" s="4">
        <v>0.45</v>
      </c>
    </row>
  </sheetData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18" customWidth="1"/>
    <col min="3" max="3" width="16" customWidth="1"/>
    <col min="4" max="4" width="14" customWidth="1"/>
    <col min="5" max="5" width="38" customWidth="1"/>
    <col min="6" max="6" width="24" customWidth="1"/>
  </cols>
  <sheetData>
    <row r="1"/>
    <row r="2">
      <c r="B2" s="8" t="inlineStr">
        <is>
          <t xml:space="preserve">Market Tiers</t>
        </is>
      </c>
      <c r="C2" s="8"/>
      <c r="D2" s="8"/>
      <c r="E2" s="8"/>
      <c r="F2" s="8"/>
    </row>
    <row r="3">
      <c r="B3" s="60" t="inlineStr">
        <is>
          <t xml:space="preserve">One row per discovered in-scope award; award amount in $M. Tier splits the addressable craft market from the excluded capital-ship tier (broad_maritime).</t>
        </is>
      </c>
    </row>
    <row r="5">
      <c r="B5" s="9" t="inlineStr">
        <is>
          <t xml:space="preserve">§1 - In-scope sea-service awards by market tier (discovery universe)</t>
        </is>
      </c>
      <c r="C5" s="9"/>
      <c r="D5" s="9"/>
      <c r="E5" s="9"/>
      <c r="F5" s="9"/>
    </row>
    <row r="7">
      <c r="B7" s="2" t="inlineStr">
        <is>
          <t xml:space="preserve">PIID</t>
        </is>
      </c>
      <c r="C7" s="2" t="inlineStr">
        <is>
          <t xml:space="preserve">Tier</t>
        </is>
      </c>
      <c r="D7" s="22" t="inlineStr">
        <is>
          <t xml:space="preserve">Award $M</t>
        </is>
      </c>
      <c r="E7" s="2" t="inlineStr">
        <is>
          <t xml:space="preserve">Recipient</t>
        </is>
      </c>
      <c r="F7" s="2" t="inlineStr">
        <is>
          <t xml:space="preserve">Matched Axes</t>
        </is>
      </c>
    </row>
    <row r="8">
      <c r="B8" s="0" t="inlineStr">
        <is>
          <t xml:space="preserve">N0002417C2100</t>
        </is>
      </c>
      <c r="C8" s="0" t="inlineStr">
        <is>
          <t xml:space="preserve">broad_maritime</t>
        </is>
      </c>
      <c r="D8" s="4">
        <v>34664.220619</v>
      </c>
      <c r="E8" s="0" t="inlineStr">
        <is>
          <t xml:space="preserve">ELECTRIC BOAT CORPORATION</t>
        </is>
      </c>
      <c r="F8" s="0" t="inlineStr">
        <is>
          <t xml:space="preserve">naics:336611; psc:1905</t>
        </is>
      </c>
    </row>
    <row r="9">
      <c r="B9" s="0" t="inlineStr">
        <is>
          <t xml:space="preserve">N0002417C2117</t>
        </is>
      </c>
      <c r="C9" s="0" t="inlineStr">
        <is>
          <t xml:space="preserve">broad_maritime</t>
        </is>
      </c>
      <c r="D9" s="4">
        <v>30825.591803</v>
      </c>
      <c r="E9" s="0" t="inlineStr">
        <is>
          <t xml:space="preserve">ELECTRIC BOAT CORPORATION</t>
        </is>
      </c>
      <c r="F9" s="0" t="inlineStr">
        <is>
          <t xml:space="preserve">psc:1905</t>
        </is>
      </c>
    </row>
    <row r="10">
      <c r="B10" s="0" t="inlineStr">
        <is>
          <t xml:space="preserve">N0002412C2115</t>
        </is>
      </c>
      <c r="C10" s="0" t="inlineStr">
        <is>
          <t xml:space="preserve">broad_maritime</t>
        </is>
      </c>
      <c r="D10" s="4">
        <v>20180.072575</v>
      </c>
      <c r="E10" s="0" t="inlineStr">
        <is>
          <t xml:space="preserve">ELECTRIC BOAT CORPORATION</t>
        </is>
      </c>
      <c r="F10" s="0" t="inlineStr">
        <is>
          <t xml:space="preserve">naics:336611; psc:1905</t>
        </is>
      </c>
    </row>
    <row r="11">
      <c r="B11" s="0" t="inlineStr">
        <is>
          <t xml:space="preserve">N0002409C2104</t>
        </is>
      </c>
      <c r="C11" s="0" t="inlineStr">
        <is>
          <t xml:space="preserve">broad_maritime</t>
        </is>
      </c>
      <c r="D11" s="4">
        <v>16238.775948999999</v>
      </c>
      <c r="E11" s="0" t="inlineStr">
        <is>
          <t xml:space="preserve">ELECTRIC BOAT CORPORATION</t>
        </is>
      </c>
      <c r="F11" s="0" t="inlineStr">
        <is>
          <t xml:space="preserve">naics:336611</t>
        </is>
      </c>
    </row>
    <row r="12">
      <c r="B12" s="0" t="inlineStr">
        <is>
          <t xml:space="preserve">N0002416C2116</t>
        </is>
      </c>
      <c r="C12" s="0" t="inlineStr">
        <is>
          <t xml:space="preserve">broad_maritime</t>
        </is>
      </c>
      <c r="D12" s="4">
        <v>11895.15867085</v>
      </c>
      <c r="E12" s="0" t="inlineStr">
        <is>
          <t xml:space="preserve">HUNTINGTON INGALLS INC</t>
        </is>
      </c>
      <c r="F12" s="0" t="inlineStr">
        <is>
          <t xml:space="preserve">naics:336611; psc:1905</t>
        </is>
      </c>
    </row>
    <row r="13">
      <c r="B13" s="0" t="inlineStr">
        <is>
          <t xml:space="preserve">N0002406C2222</t>
        </is>
      </c>
      <c r="C13" s="0" t="inlineStr">
        <is>
          <t xml:space="preserve">broad_maritime</t>
        </is>
      </c>
      <c r="D13" s="4">
        <v>10029.620274959998</v>
      </c>
      <c r="E13" s="0" t="inlineStr">
        <is>
          <t xml:space="preserve">HUNTINGTON INGALLS INCORPORATED</t>
        </is>
      </c>
      <c r="F13" s="0" t="inlineStr">
        <is>
          <t xml:space="preserve">naics:336611</t>
        </is>
      </c>
    </row>
    <row r="14">
      <c r="B14" s="0" t="inlineStr">
        <is>
          <t xml:space="preserve">N0002403C2101</t>
        </is>
      </c>
      <c r="C14" s="0" t="inlineStr">
        <is>
          <t xml:space="preserve">broad_maritime</t>
        </is>
      </c>
      <c r="D14" s="4">
        <v>9397.33230522</v>
      </c>
      <c r="E14" s="0" t="inlineStr">
        <is>
          <t xml:space="preserve">ELECTRIC BOAT CORPORATION</t>
        </is>
      </c>
      <c r="F14" s="0" t="inlineStr">
        <is>
          <t xml:space="preserve">naics:336611</t>
        </is>
      </c>
    </row>
    <row r="15">
      <c r="B15" s="0" t="inlineStr">
        <is>
          <t xml:space="preserve">N0002423C2307</t>
        </is>
      </c>
      <c r="C15" s="0" t="inlineStr">
        <is>
          <t xml:space="preserve">broad_maritime</t>
        </is>
      </c>
      <c r="D15" s="4">
        <v>6948.19015083</v>
      </c>
      <c r="E15" s="0" t="inlineStr">
        <is>
          <t xml:space="preserve">HUNTINGTON INGALLS INCORPORATED</t>
        </is>
      </c>
      <c r="F15" s="0" t="inlineStr">
        <is>
          <t xml:space="preserve">naics:336611; psc:1905</t>
        </is>
      </c>
    </row>
    <row r="16">
      <c r="B16" s="0" t="inlineStr">
        <is>
          <t xml:space="preserve">N0002418C2307</t>
        </is>
      </c>
      <c r="C16" s="0" t="inlineStr">
        <is>
          <t xml:space="preserve">broad_maritime</t>
        </is>
      </c>
      <c r="D16" s="4">
        <v>6826.680195739999</v>
      </c>
      <c r="E16" s="0" t="inlineStr">
        <is>
          <t xml:space="preserve">HUNTINGTON INGALLS INCORPORATED</t>
        </is>
      </c>
      <c r="F16" s="0" t="inlineStr">
        <is>
          <t xml:space="preserve">naics:336611; psc:1905</t>
        </is>
      </c>
    </row>
    <row r="17">
      <c r="B17" s="0" t="inlineStr">
        <is>
          <t xml:space="preserve">N0002408C2110</t>
        </is>
      </c>
      <c r="C17" s="0" t="inlineStr">
        <is>
          <t xml:space="preserve">broad_maritime</t>
        </is>
      </c>
      <c r="D17" s="4">
        <v>6645.710960109999</v>
      </c>
      <c r="E17" s="0" t="inlineStr">
        <is>
          <t xml:space="preserve">HUNTINGTON INGALLS INC</t>
        </is>
      </c>
      <c r="F17" s="0" t="inlineStr">
        <is>
          <t xml:space="preserve">naics:336611</t>
        </is>
      </c>
    </row>
    <row r="18">
      <c r="B18" s="0" t="inlineStr">
        <is>
          <t xml:space="preserve">N0002402C2300</t>
        </is>
      </c>
      <c r="C18" s="0" t="inlineStr">
        <is>
          <t xml:space="preserve">broad_maritime</t>
        </is>
      </c>
      <c r="D18" s="4">
        <v>5922.645371879999</v>
      </c>
      <c r="E18" s="0" t="inlineStr">
        <is>
          <t xml:space="preserve">NATIONAL STEEL AND SHIPBUILDING COMPANY</t>
        </is>
      </c>
      <c r="F18" s="0" t="inlineStr">
        <is>
          <t xml:space="preserve">naics:336611</t>
        </is>
      </c>
    </row>
    <row r="19">
      <c r="B19" s="0" t="inlineStr">
        <is>
          <t xml:space="preserve">N0002416C2229</t>
        </is>
      </c>
      <c r="C19" s="0" t="inlineStr">
        <is>
          <t xml:space="preserve">broad_maritime</t>
        </is>
      </c>
      <c r="D19" s="4">
        <v>5875.6345002299995</v>
      </c>
      <c r="E19" s="0" t="inlineStr">
        <is>
          <t xml:space="preserve">NATIONAL STEEL AND SHIPBUILDING COMPANY</t>
        </is>
      </c>
      <c r="F19" s="0" t="inlineStr">
        <is>
          <t xml:space="preserve">naics:336611</t>
        </is>
      </c>
    </row>
    <row r="20">
      <c r="B20" s="0" t="inlineStr">
        <is>
          <t xml:space="preserve">N0002418C2305</t>
        </is>
      </c>
      <c r="C20" s="0" t="inlineStr">
        <is>
          <t xml:space="preserve">broad_maritime</t>
        </is>
      </c>
      <c r="D20" s="4">
        <v>5338.956970859999</v>
      </c>
      <c r="E20" s="0" t="inlineStr">
        <is>
          <t xml:space="preserve">BATH IRON WORKS CORPORATION</t>
        </is>
      </c>
      <c r="F20" s="0" t="inlineStr">
        <is>
          <t xml:space="preserve">naics:336611; psc:1905</t>
        </is>
      </c>
    </row>
    <row r="21">
      <c r="B21" s="0" t="inlineStr">
        <is>
          <t xml:space="preserve">N0002423C2305</t>
        </is>
      </c>
      <c r="C21" s="0" t="inlineStr">
        <is>
          <t xml:space="preserve">broad_maritime</t>
        </is>
      </c>
      <c r="D21" s="4">
        <v>5027.5808</v>
      </c>
      <c r="E21" s="0" t="inlineStr">
        <is>
          <t xml:space="preserve">BATH IRON WORKS CORPORATION</t>
        </is>
      </c>
      <c r="F21" s="0" t="inlineStr">
        <is>
          <t xml:space="preserve">naics:336611; psc:1905</t>
        </is>
      </c>
    </row>
    <row r="22">
      <c r="B22" s="0" t="inlineStr">
        <is>
          <t xml:space="preserve">N0002411C2300</t>
        </is>
      </c>
      <c r="C22" s="0" t="inlineStr">
        <is>
          <t xml:space="preserve">broad_maritime</t>
        </is>
      </c>
      <c r="D22" s="4">
        <v>4980.50859515</v>
      </c>
      <c r="E22" s="0" t="inlineStr">
        <is>
          <t xml:space="preserve">LOCKHEED MARTIN CORPORATION</t>
        </is>
      </c>
      <c r="F22" s="0" t="inlineStr">
        <is>
          <t xml:space="preserve">naics:336611; psc:1905</t>
        </is>
      </c>
    </row>
    <row r="23">
      <c r="B23" s="0" t="inlineStr">
        <is>
          <t xml:space="preserve">N0002424C2110</t>
        </is>
      </c>
      <c r="C23" s="0" t="inlineStr">
        <is>
          <t xml:space="preserve">broad_maritime</t>
        </is>
      </c>
      <c r="D23" s="4">
        <v>4960.0175</v>
      </c>
      <c r="E23" s="0" t="inlineStr">
        <is>
          <t xml:space="preserve">ELECTRIC BOAT CORPORATION</t>
        </is>
      </c>
      <c r="F23" s="0" t="inlineStr">
        <is>
          <t xml:space="preserve">naics:336611; psc:1905</t>
        </is>
      </c>
    </row>
    <row r="24">
      <c r="B24" s="0" t="inlineStr">
        <is>
          <t xml:space="preserve">N0002413C2305</t>
        </is>
      </c>
      <c r="C24" s="0" t="inlineStr">
        <is>
          <t xml:space="preserve">broad_maritime</t>
        </is>
      </c>
      <c r="D24" s="4">
        <v>4932.45352256</v>
      </c>
      <c r="E24" s="0" t="inlineStr">
        <is>
          <t xml:space="preserve">BATH IRON WORKS CORPORATION</t>
        </is>
      </c>
      <c r="F24" s="0" t="inlineStr">
        <is>
          <t xml:space="preserve">naics:336611; psc:1905</t>
        </is>
      </c>
    </row>
    <row r="25">
      <c r="B25" s="0" t="inlineStr">
        <is>
          <t xml:space="preserve">N0002418C2406</t>
        </is>
      </c>
      <c r="C25" s="0" t="inlineStr">
        <is>
          <t xml:space="preserve">broad_maritime</t>
        </is>
      </c>
      <c r="D25" s="4">
        <v>4643.553757</v>
      </c>
      <c r="E25" s="0" t="inlineStr">
        <is>
          <t xml:space="preserve">HUNTINGTON INGALLS INCORPORATED</t>
        </is>
      </c>
      <c r="F25" s="0" t="inlineStr">
        <is>
          <t xml:space="preserve">naics:336611; psc:1905</t>
        </is>
      </c>
    </row>
    <row r="26">
      <c r="B26" s="0" t="inlineStr">
        <is>
          <t xml:space="preserve">N0002498C2104</t>
        </is>
      </c>
      <c r="C26" s="0" t="inlineStr">
        <is>
          <t xml:space="preserve">broad_maritime</t>
        </is>
      </c>
      <c r="D26" s="4">
        <v>4563.665299</v>
      </c>
      <c r="E26" s="0" t="inlineStr">
        <is>
          <t xml:space="preserve">HUNTINGTON INGALLS INC</t>
        </is>
      </c>
      <c r="F26" s="0" t="inlineStr">
        <is>
          <t xml:space="preserve">naics:336611</t>
        </is>
      </c>
    </row>
    <row r="27">
      <c r="B27" s="0" t="inlineStr">
        <is>
          <t xml:space="preserve">N0002409C2116</t>
        </is>
      </c>
      <c r="C27" s="0" t="inlineStr">
        <is>
          <t xml:space="preserve">broad_maritime</t>
        </is>
      </c>
      <c r="D27" s="4">
        <v>4515.735503829999</v>
      </c>
      <c r="E27" s="0" t="inlineStr">
        <is>
          <t xml:space="preserve">HUNTINGTON INGALLS INC</t>
        </is>
      </c>
      <c r="F27" s="0" t="inlineStr">
        <is>
          <t xml:space="preserve">naics:336611</t>
        </is>
      </c>
    </row>
    <row r="28">
      <c r="B28" s="0" t="inlineStr">
        <is>
          <t xml:space="preserve">N0002415C2114</t>
        </is>
      </c>
      <c r="C28" s="0" t="inlineStr">
        <is>
          <t xml:space="preserve">broad_maritime</t>
        </is>
      </c>
      <c r="D28" s="4">
        <v>4500.86379212</v>
      </c>
      <c r="E28" s="0" t="inlineStr">
        <is>
          <t xml:space="preserve">HUNTINGTON INGALLS INC</t>
        </is>
      </c>
      <c r="F28" s="0" t="inlineStr">
        <is>
          <t xml:space="preserve">naics:336611; psc:1905</t>
        </is>
      </c>
    </row>
    <row r="29">
      <c r="B29" s="0" t="inlineStr">
        <is>
          <t xml:space="preserve">N0002411C2301</t>
        </is>
      </c>
      <c r="C29" s="0" t="inlineStr">
        <is>
          <t xml:space="preserve">broad_maritime</t>
        </is>
      </c>
      <c r="D29" s="4">
        <v>4462.89397664</v>
      </c>
      <c r="E29" s="0" t="inlineStr">
        <is>
          <t xml:space="preserve">AUSTAL USA, LLC</t>
        </is>
      </c>
      <c r="F29" s="0" t="inlineStr">
        <is>
          <t xml:space="preserve">naics:336611; psc:1905</t>
        </is>
      </c>
    </row>
    <row r="30">
      <c r="B30" s="0" t="inlineStr">
        <is>
          <t xml:space="preserve">N0002420C2120</t>
        </is>
      </c>
      <c r="C30" s="0" t="inlineStr">
        <is>
          <t xml:space="preserve">broad_maritime</t>
        </is>
      </c>
      <c r="D30" s="4">
        <v>4315.0026575</v>
      </c>
      <c r="E30" s="0" t="inlineStr">
        <is>
          <t xml:space="preserve">ELECTRIC BOAT CORPORATION</t>
        </is>
      </c>
      <c r="F30" s="0" t="inlineStr">
        <is>
          <t xml:space="preserve">naics:336611; psc:1905</t>
        </is>
      </c>
    </row>
    <row r="31">
      <c r="B31" s="0" t="inlineStr">
        <is>
          <t xml:space="preserve">N0002421C2106</t>
        </is>
      </c>
      <c r="C31" s="0" t="inlineStr">
        <is>
          <t xml:space="preserve">broad_maritime</t>
        </is>
      </c>
      <c r="D31" s="4">
        <v>3718.73697167</v>
      </c>
      <c r="E31" s="0" t="inlineStr">
        <is>
          <t xml:space="preserve">HUNTINGTON INGALLS INC</t>
        </is>
      </c>
      <c r="F31" s="0" t="inlineStr">
        <is>
          <t xml:space="preserve">naics:336611; psc:1905</t>
        </is>
      </c>
    </row>
    <row r="32">
      <c r="B32" s="0" t="inlineStr">
        <is>
          <t xml:space="preserve">N0002402C2303</t>
        </is>
      </c>
      <c r="C32" s="0" t="inlineStr">
        <is>
          <t xml:space="preserve">broad_maritime</t>
        </is>
      </c>
      <c r="D32" s="4">
        <v>3405.7114079999997</v>
      </c>
      <c r="E32" s="0" t="inlineStr">
        <is>
          <t xml:space="preserve">BATH IRON WORKS CORPORATION</t>
        </is>
      </c>
      <c r="F32" s="0" t="inlineStr">
        <is>
          <t xml:space="preserve">naics:336611</t>
        </is>
      </c>
    </row>
    <row r="33">
      <c r="B33" s="0" t="inlineStr">
        <is>
          <t xml:space="preserve">N0002418C2301</t>
        </is>
      </c>
      <c r="C33" s="0" t="inlineStr">
        <is>
          <t xml:space="preserve">broad_maritime</t>
        </is>
      </c>
      <c r="D33" s="4">
        <v>3358.16427983</v>
      </c>
      <c r="E33" s="0" t="inlineStr">
        <is>
          <t xml:space="preserve">LOCKHEED MARTIN CORPORATION</t>
        </is>
      </c>
      <c r="F33" s="0" t="inlineStr">
        <is>
          <t xml:space="preserve">naics:336611; psc:1905</t>
        </is>
      </c>
    </row>
    <row r="34">
      <c r="B34" s="0" t="inlineStr">
        <is>
          <t xml:space="preserve">N0002413C2307</t>
        </is>
      </c>
      <c r="C34" s="0" t="inlineStr">
        <is>
          <t xml:space="preserve">broad_maritime</t>
        </is>
      </c>
      <c r="D34" s="4">
        <v>3345.822881</v>
      </c>
      <c r="E34" s="0" t="inlineStr">
        <is>
          <t xml:space="preserve">HUNTINGTON INGALLS INCORPORATED</t>
        </is>
      </c>
      <c r="F34" s="0" t="inlineStr">
        <is>
          <t xml:space="preserve">naics:336611; psc:1905</t>
        </is>
      </c>
    </row>
    <row r="35">
      <c r="B35" s="0" t="inlineStr">
        <is>
          <t xml:space="preserve">N0002416C2427</t>
        </is>
      </c>
      <c r="C35" s="0" t="inlineStr">
        <is>
          <t xml:space="preserve">broad_maritime</t>
        </is>
      </c>
      <c r="D35" s="4">
        <v>3319.2878974</v>
      </c>
      <c r="E35" s="0" t="inlineStr">
        <is>
          <t xml:space="preserve">HUNTINGTON INGALLS INCORPORATED</t>
        </is>
      </c>
      <c r="F35" s="0" t="inlineStr">
        <is>
          <t xml:space="preserve">naics:336611; psc:1905</t>
        </is>
      </c>
    </row>
    <row r="36">
      <c r="B36" s="0" t="inlineStr">
        <is>
          <t xml:space="preserve">N0002406C2303</t>
        </is>
      </c>
      <c r="C36" s="0" t="inlineStr">
        <is>
          <t xml:space="preserve">broad_maritime</t>
        </is>
      </c>
      <c r="D36" s="4">
        <v>3309.81704863</v>
      </c>
      <c r="E36" s="0" t="inlineStr">
        <is>
          <t xml:space="preserve">BATH IRON WORKS CORPORATION</t>
        </is>
      </c>
      <c r="F36" s="0" t="inlineStr">
        <is>
          <t xml:space="preserve">naics:336611</t>
        </is>
      </c>
    </row>
    <row r="37">
      <c r="B37" s="0" t="inlineStr">
        <is>
          <t xml:space="preserve">N0002420C2437</t>
        </is>
      </c>
      <c r="C37" s="0" t="inlineStr">
        <is>
          <t xml:space="preserve">broad_maritime</t>
        </is>
      </c>
      <c r="D37" s="4">
        <v>3155.693794</v>
      </c>
      <c r="E37" s="0" t="inlineStr">
        <is>
          <t xml:space="preserve">HUNTINGTON INGALLS INCORPORATED</t>
        </is>
      </c>
      <c r="F37" s="0" t="inlineStr">
        <is>
          <t xml:space="preserve">naics:336611; psc:1905</t>
        </is>
      </c>
    </row>
    <row r="38">
      <c r="B38" s="0" t="inlineStr">
        <is>
          <t xml:space="preserve">N0002413C2128</t>
        </is>
      </c>
      <c r="C38" s="0" t="inlineStr">
        <is>
          <t xml:space="preserve">broad_maritime</t>
        </is>
      </c>
      <c r="D38" s="4">
        <v>3145.999614</v>
      </c>
      <c r="E38" s="0" t="inlineStr">
        <is>
          <t xml:space="preserve">ELECTRIC BOAT CORPORATION</t>
        </is>
      </c>
      <c r="F38" s="0" t="inlineStr">
        <is>
          <t xml:space="preserve">psc:1905</t>
        </is>
      </c>
    </row>
    <row r="39">
      <c r="B39" s="0" t="inlineStr">
        <is>
          <t xml:space="preserve">N0002417C2105</t>
        </is>
      </c>
      <c r="C39" s="0" t="inlineStr">
        <is>
          <t xml:space="preserve">broad_maritime</t>
        </is>
      </c>
      <c r="D39" s="4">
        <v>3038.70910453</v>
      </c>
      <c r="E39" s="0" t="inlineStr">
        <is>
          <t xml:space="preserve">HUNTINGTON INGALLS INC</t>
        </is>
      </c>
      <c r="F39" s="0" t="inlineStr">
        <is>
          <t xml:space="preserve">naics:336611; psc:1905</t>
        </is>
      </c>
    </row>
    <row r="40">
      <c r="B40" s="0" t="inlineStr">
        <is>
          <t xml:space="preserve">N0002498C2107</t>
        </is>
      </c>
      <c r="C40" s="0" t="inlineStr">
        <is>
          <t xml:space="preserve">broad_maritime</t>
        </is>
      </c>
      <c r="D40" s="4">
        <v>3003.6939199999997</v>
      </c>
      <c r="E40" s="0" t="inlineStr">
        <is>
          <t xml:space="preserve">HUNTINGTON INGALLS INC</t>
        </is>
      </c>
      <c r="F40" s="0" t="inlineStr">
        <is>
          <t xml:space="preserve">naics:336611</t>
        </is>
      </c>
    </row>
    <row r="41">
      <c r="B41" s="0" t="inlineStr">
        <is>
          <t xml:space="preserve">N0002416C2431</t>
        </is>
      </c>
      <c r="C41" s="0" t="inlineStr">
        <is>
          <t xml:space="preserve">broad_maritime</t>
        </is>
      </c>
      <c r="D41" s="4">
        <v>2997.30666594</v>
      </c>
      <c r="E41" s="0" t="inlineStr">
        <is>
          <t xml:space="preserve">HUNTINGTON INGALLS INCORPORATED</t>
        </is>
      </c>
      <c r="F41" s="0" t="inlineStr">
        <is>
          <t xml:space="preserve">naics:336611; psc:1905</t>
        </is>
      </c>
    </row>
    <row r="42">
      <c r="B42" s="0" t="inlineStr">
        <is>
          <t xml:space="preserve">N0002424C2115</t>
        </is>
      </c>
      <c r="C42" s="0" t="inlineStr">
        <is>
          <t xml:space="preserve">broad_maritime</t>
        </is>
      </c>
      <c r="D42" s="4">
        <v>2975.601797</v>
      </c>
      <c r="E42" s="0" t="inlineStr">
        <is>
          <t xml:space="preserve">BECHTEL PLANT MACHINERY, INC.</t>
        </is>
      </c>
      <c r="F42" s="0" t="inlineStr">
        <is>
          <t xml:space="preserve">psc:1905</t>
        </is>
      </c>
    </row>
    <row r="43">
      <c r="B43" s="0" t="inlineStr">
        <is>
          <t xml:space="preserve">N0002420C2300</t>
        </is>
      </c>
      <c r="C43" s="0" t="inlineStr">
        <is>
          <t xml:space="preserve">broad_maritime</t>
        </is>
      </c>
      <c r="D43" s="4">
        <v>2957.4408209999997</v>
      </c>
      <c r="E43" s="0" t="inlineStr">
        <is>
          <t xml:space="preserve">MARINETTE MARINE CORPORATION</t>
        </is>
      </c>
      <c r="F43" s="0" t="inlineStr">
        <is>
          <t xml:space="preserve">naics:336611; psc:1905</t>
        </is>
      </c>
    </row>
    <row r="44">
      <c r="B44" s="0" t="inlineStr">
        <is>
          <t xml:space="preserve">N0002417C2301</t>
        </is>
      </c>
      <c r="C44" s="0" t="inlineStr">
        <is>
          <t xml:space="preserve">broad_maritime</t>
        </is>
      </c>
      <c r="D44" s="4">
        <v>2809.8739844</v>
      </c>
      <c r="E44" s="0" t="inlineStr">
        <is>
          <t xml:space="preserve">AUSTAL USA, LLC</t>
        </is>
      </c>
      <c r="F44" s="0" t="inlineStr">
        <is>
          <t xml:space="preserve">naics:336611; psc:1905</t>
        </is>
      </c>
    </row>
    <row r="45">
      <c r="B45" s="0" t="inlineStr">
        <is>
          <t xml:space="preserve">N0002410C2229</t>
        </is>
      </c>
      <c r="C45" s="0" t="inlineStr">
        <is>
          <t xml:space="preserve">broad_maritime</t>
        </is>
      </c>
      <c r="D45" s="4">
        <v>2704.759379</v>
      </c>
      <c r="E45" s="0" t="inlineStr">
        <is>
          <t xml:space="preserve">HUNTINGTON INGALLS INCORPORATED</t>
        </is>
      </c>
      <c r="F45" s="0" t="inlineStr">
        <is>
          <t xml:space="preserve">naics:336611</t>
        </is>
      </c>
    </row>
    <row r="46">
      <c r="B46" s="0" t="inlineStr">
        <is>
          <t xml:space="preserve">N0002413C2108</t>
        </is>
      </c>
      <c r="C46" s="0" t="inlineStr">
        <is>
          <t xml:space="preserve">broad_maritime</t>
        </is>
      </c>
      <c r="D46" s="4">
        <v>2676.691465</v>
      </c>
      <c r="E46" s="0" t="inlineStr">
        <is>
          <t xml:space="preserve">HUNTINGTON INGALLS INC</t>
        </is>
      </c>
      <c r="F46" s="0" t="inlineStr">
        <is>
          <t xml:space="preserve">naics:336611; psc:1905</t>
        </is>
      </c>
    </row>
    <row r="47">
      <c r="B47" s="0" t="inlineStr">
        <is>
          <t xml:space="preserve">N0002404C2118</t>
        </is>
      </c>
      <c r="C47" s="0" t="inlineStr">
        <is>
          <t xml:space="preserve">broad_maritime</t>
        </is>
      </c>
      <c r="D47" s="4">
        <v>2626.745869</v>
      </c>
      <c r="E47" s="0" t="inlineStr">
        <is>
          <t xml:space="preserve">HUNTINGTON INGALLS INC</t>
        </is>
      </c>
      <c r="F47" s="0" t="inlineStr">
        <is>
          <t xml:space="preserve">naics:336611</t>
        </is>
      </c>
    </row>
    <row r="48">
      <c r="B48" s="0" t="inlineStr">
        <is>
          <t xml:space="preserve">N0002409C2107</t>
        </is>
      </c>
      <c r="C48" s="0" t="inlineStr">
        <is>
          <t xml:space="preserve">broad_maritime</t>
        </is>
      </c>
      <c r="D48" s="4">
        <v>2574.35659829</v>
      </c>
      <c r="E48" s="0" t="inlineStr">
        <is>
          <t xml:space="preserve">HUNTINGTON INGALLS INC</t>
        </is>
      </c>
      <c r="F48" s="0" t="inlineStr">
        <is>
          <t xml:space="preserve">naics:336611</t>
        </is>
      </c>
    </row>
    <row r="49">
      <c r="B49" s="0" t="inlineStr">
        <is>
          <t xml:space="preserve">N0002411C2306</t>
        </is>
      </c>
      <c r="C49" s="0" t="inlineStr">
        <is>
          <t xml:space="preserve">broad_maritime</t>
        </is>
      </c>
      <c r="D49" s="4">
        <v>2551.812435</v>
      </c>
      <c r="E49" s="0" t="inlineStr">
        <is>
          <t xml:space="preserve">BATH IRON WORKS CORPORATION</t>
        </is>
      </c>
      <c r="F49" s="0" t="inlineStr">
        <is>
          <t xml:space="preserve">naics:336611</t>
        </is>
      </c>
    </row>
    <row r="50">
      <c r="B50" s="0" t="inlineStr">
        <is>
          <t xml:space="preserve">N0002424C2114</t>
        </is>
      </c>
      <c r="C50" s="0" t="inlineStr">
        <is>
          <t xml:space="preserve">broad_maritime</t>
        </is>
      </c>
      <c r="D50" s="4">
        <v>2542.6670759999997</v>
      </c>
      <c r="E50" s="0" t="inlineStr">
        <is>
          <t xml:space="preserve">BECHTEL PLANT MACHINERY, INC.</t>
        </is>
      </c>
      <c r="F50" s="0" t="inlineStr">
        <is>
          <t xml:space="preserve">psc:1905</t>
        </is>
      </c>
    </row>
    <row r="51">
      <c r="B51" s="0" t="inlineStr">
        <is>
          <t xml:space="preserve">N0002424C2301</t>
        </is>
      </c>
      <c r="C51" s="0" t="inlineStr">
        <is>
          <t xml:space="preserve">broad_maritime</t>
        </is>
      </c>
      <c r="D51" s="4">
        <v>2502.010119</v>
      </c>
      <c r="E51" s="0" t="inlineStr">
        <is>
          <t xml:space="preserve">NATIONAL STEEL AND SHIPBUILDING COMPANY</t>
        </is>
      </c>
      <c r="F51" s="0" t="inlineStr">
        <is>
          <t xml:space="preserve">naics:336611</t>
        </is>
      </c>
    </row>
    <row r="52">
      <c r="B52" s="0" t="inlineStr">
        <is>
          <t xml:space="preserve">N0002402C2304</t>
        </is>
      </c>
      <c r="C52" s="0" t="inlineStr">
        <is>
          <t xml:space="preserve">broad_maritime</t>
        </is>
      </c>
      <c r="D52" s="4">
        <v>2232.096494</v>
      </c>
      <c r="E52" s="0" t="inlineStr">
        <is>
          <t xml:space="preserve">HUNTINGTON INGALLS INCORPORATED</t>
        </is>
      </c>
      <c r="F52" s="0" t="inlineStr">
        <is>
          <t xml:space="preserve">naics:336611</t>
        </is>
      </c>
    </row>
    <row r="53">
      <c r="B53" s="0" t="inlineStr">
        <is>
          <t xml:space="preserve">N0002419C2210</t>
        </is>
      </c>
      <c r="C53" s="0" t="inlineStr">
        <is>
          <t xml:space="preserve">other_small</t>
        </is>
      </c>
      <c r="D53" s="4">
        <v>2019.73835606</v>
      </c>
      <c r="E53" s="0" t="inlineStr">
        <is>
          <t xml:space="preserve">BOLLINGER MISSISSIPPI SHIPBUILDING, LLC</t>
        </is>
      </c>
      <c r="F53" s="0" t="inlineStr">
        <is>
          <t xml:space="preserve">naics:336611; psc:1925</t>
        </is>
      </c>
    </row>
    <row r="54">
      <c r="B54" s="0" t="inlineStr">
        <is>
          <t xml:space="preserve">N0002409C2229</t>
        </is>
      </c>
      <c r="C54" s="0" t="inlineStr">
        <is>
          <t xml:space="preserve">other_small</t>
        </is>
      </c>
      <c r="D54" s="4">
        <v>1965.3757021</v>
      </c>
      <c r="E54" s="0" t="inlineStr">
        <is>
          <t xml:space="preserve">NATIONAL STEEL AND SHIPBUILDING COMPANY</t>
        </is>
      </c>
      <c r="F54" s="0" t="inlineStr">
        <is>
          <t xml:space="preserve">naics:336611; psc:1990</t>
        </is>
      </c>
    </row>
    <row r="55">
      <c r="B55" s="0" t="inlineStr">
        <is>
          <t xml:space="preserve">N0002406C2115</t>
        </is>
      </c>
      <c r="C55" s="0" t="inlineStr">
        <is>
          <t xml:space="preserve">broad_maritime</t>
        </is>
      </c>
      <c r="D55" s="4">
        <v>1957.3730759999999</v>
      </c>
      <c r="E55" s="0" t="inlineStr">
        <is>
          <t xml:space="preserve">HUNTINGTON INGALLS INC</t>
        </is>
      </c>
      <c r="F55" s="0" t="inlineStr">
        <is>
          <t xml:space="preserve">naics:336611</t>
        </is>
      </c>
    </row>
    <row r="56">
      <c r="B56" s="0" t="inlineStr">
        <is>
          <t xml:space="preserve">N0002419C2235</t>
        </is>
      </c>
      <c r="C56" s="0" t="inlineStr">
        <is>
          <t xml:space="preserve">broad_maritime</t>
        </is>
      </c>
      <c r="D56" s="4">
        <v>1868.1856380699999</v>
      </c>
      <c r="E56" s="0" t="inlineStr">
        <is>
          <t xml:space="preserve">NATIONAL STEEL AND SHIPBUILDING COMPANY</t>
        </is>
      </c>
      <c r="F56" s="0" t="inlineStr">
        <is>
          <t xml:space="preserve">naics:336611; psc:1905</t>
        </is>
      </c>
    </row>
    <row r="57">
      <c r="B57" s="0" t="inlineStr">
        <is>
          <t xml:space="preserve">N0002424C2473</t>
        </is>
      </c>
      <c r="C57" s="0" t="inlineStr">
        <is>
          <t xml:space="preserve">broad_maritime</t>
        </is>
      </c>
      <c r="D57" s="4">
        <v>1747.0</v>
      </c>
      <c r="E57" s="0" t="inlineStr">
        <is>
          <t xml:space="preserve">HUNTINGTON INGALLS INCORPORATED</t>
        </is>
      </c>
      <c r="F57" s="0" t="inlineStr">
        <is>
          <t xml:space="preserve">naics:336611; psc:1905</t>
        </is>
      </c>
    </row>
    <row r="58">
      <c r="B58" s="0" t="inlineStr">
        <is>
          <t xml:space="preserve">N0002400C2217</t>
        </is>
      </c>
      <c r="C58" s="0" t="inlineStr">
        <is>
          <t xml:space="preserve">broad_maritime</t>
        </is>
      </c>
      <c r="D58" s="4">
        <v>1736.17488918</v>
      </c>
      <c r="E58" s="0" t="inlineStr">
        <is>
          <t xml:space="preserve">HUNTINGTON INGALLS INCORPORATED</t>
        </is>
      </c>
      <c r="F58" s="0" t="inlineStr">
        <is>
          <t xml:space="preserve">naics:336611</t>
        </is>
      </c>
    </row>
    <row r="59">
      <c r="B59" s="0" t="inlineStr">
        <is>
          <t xml:space="preserve">N0002408C2217</t>
        </is>
      </c>
      <c r="C59" s="0" t="inlineStr">
        <is>
          <t xml:space="preserve">broad_maritime</t>
        </is>
      </c>
      <c r="D59" s="4">
        <v>1650.3272350999998</v>
      </c>
      <c r="E59" s="0" t="inlineStr">
        <is>
          <t xml:space="preserve">AUSTAL USA, LLC</t>
        </is>
      </c>
      <c r="F59" s="0" t="inlineStr">
        <is>
          <t xml:space="preserve">naics:336611</t>
        </is>
      </c>
    </row>
    <row r="60">
      <c r="B60" s="0" t="inlineStr">
        <is>
          <t xml:space="preserve">N0002418C2300</t>
        </is>
      </c>
      <c r="C60" s="0" t="inlineStr">
        <is>
          <t xml:space="preserve">broad_maritime</t>
        </is>
      </c>
      <c r="D60" s="4">
        <v>1627.05004852</v>
      </c>
      <c r="E60" s="0" t="inlineStr">
        <is>
          <t xml:space="preserve">LOCKHEED MARTIN CORPORATION</t>
        </is>
      </c>
      <c r="F60" s="0" t="inlineStr">
        <is>
          <t xml:space="preserve">naics:336611; psc:1905</t>
        </is>
      </c>
    </row>
    <row r="61">
      <c r="B61" s="0" t="inlineStr">
        <is>
          <t xml:space="preserve">N0002415C4301</t>
        </is>
      </c>
      <c r="C61" s="0" t="inlineStr">
        <is>
          <t xml:space="preserve">broad_maritime</t>
        </is>
      </c>
      <c r="D61" s="4">
        <v>1514.536394</v>
      </c>
      <c r="E61" s="0" t="inlineStr">
        <is>
          <t xml:space="preserve">HUNTINGTON INGALLS INC</t>
        </is>
      </c>
      <c r="F61" s="0" t="inlineStr">
        <is>
          <t xml:space="preserve">naics:336611; psc:1905</t>
        </is>
      </c>
    </row>
    <row r="62">
      <c r="B62" s="0" t="inlineStr">
        <is>
          <t xml:space="preserve">N0002423C2452</t>
        </is>
      </c>
      <c r="C62" s="0" t="inlineStr">
        <is>
          <t xml:space="preserve">broad_maritime</t>
        </is>
      </c>
      <c r="D62" s="4">
        <v>1436.316386</v>
      </c>
      <c r="E62" s="0" t="inlineStr">
        <is>
          <t xml:space="preserve">TEXTRON SYSTEMS CORP</t>
        </is>
      </c>
      <c r="F62" s="0" t="inlineStr">
        <is>
          <t xml:space="preserve">naics:336611; psc:1905</t>
        </is>
      </c>
    </row>
    <row r="63">
      <c r="B63" s="0" t="inlineStr">
        <is>
          <t xml:space="preserve">N0002410C2118</t>
        </is>
      </c>
      <c r="C63" s="0" t="inlineStr">
        <is>
          <t xml:space="preserve">broad_maritime</t>
        </is>
      </c>
      <c r="D63" s="4">
        <v>1418.130936</v>
      </c>
      <c r="E63" s="0" t="inlineStr">
        <is>
          <t xml:space="preserve">ELECTRIC BOAT CORPORATION</t>
        </is>
      </c>
      <c r="F63" s="0" t="inlineStr">
        <is>
          <t xml:space="preserve">psc:1905</t>
        </is>
      </c>
    </row>
    <row r="64">
      <c r="B64" s="0" t="inlineStr">
        <is>
          <t xml:space="preserve">N0002411C2305</t>
        </is>
      </c>
      <c r="C64" s="0" t="inlineStr">
        <is>
          <t xml:space="preserve">broad_maritime</t>
        </is>
      </c>
      <c r="D64" s="4">
        <v>1403.3172769999999</v>
      </c>
      <c r="E64" s="0" t="inlineStr">
        <is>
          <t xml:space="preserve">BATH IRON WORKS CORPORATION</t>
        </is>
      </c>
      <c r="F64" s="0" t="inlineStr">
        <is>
          <t xml:space="preserve">naics:336611</t>
        </is>
      </c>
    </row>
    <row r="65">
      <c r="B65" s="0" t="inlineStr">
        <is>
          <t xml:space="preserve">N0002419C2125</t>
        </is>
      </c>
      <c r="C65" s="0" t="inlineStr">
        <is>
          <t xml:space="preserve">broad_maritime</t>
        </is>
      </c>
      <c r="D65" s="4">
        <v>1370.352119</v>
      </c>
      <c r="E65" s="0" t="inlineStr">
        <is>
          <t xml:space="preserve">ELECTRIC BOAT CORPORATION</t>
        </is>
      </c>
      <c r="F65" s="0" t="inlineStr">
        <is>
          <t xml:space="preserve">naics:336611; psc:1905</t>
        </is>
      </c>
    </row>
    <row r="66">
      <c r="B66" s="0" t="inlineStr">
        <is>
          <t xml:space="preserve">N0002420C4312</t>
        </is>
      </c>
      <c r="C66" s="0" t="inlineStr">
        <is>
          <t xml:space="preserve">broad_maritime</t>
        </is>
      </c>
      <c r="D66" s="4">
        <v>1332.958326</v>
      </c>
      <c r="E66" s="0" t="inlineStr">
        <is>
          <t xml:space="preserve">ELECTRIC BOAT CORPORATION</t>
        </is>
      </c>
      <c r="F66" s="0" t="inlineStr">
        <is>
          <t xml:space="preserve">naics:336611; psc:1905</t>
        </is>
      </c>
    </row>
    <row r="67">
      <c r="B67" s="0" t="inlineStr">
        <is>
          <t xml:space="preserve">N0002404C2204</t>
        </is>
      </c>
      <c r="C67" s="0" t="inlineStr">
        <is>
          <t xml:space="preserve">small_craft</t>
        </is>
      </c>
      <c r="D67" s="4">
        <v>1304.5305683</v>
      </c>
      <c r="E67" s="0" t="inlineStr">
        <is>
          <t xml:space="preserve">HUNTINGTON INGALLS INCORPORATED</t>
        </is>
      </c>
      <c r="F67" s="0" t="inlineStr">
        <is>
          <t xml:space="preserve">naics:336612</t>
        </is>
      </c>
    </row>
    <row r="68">
      <c r="B68" s="0" t="inlineStr">
        <is>
          <t xml:space="preserve">N0002407C2100</t>
        </is>
      </c>
      <c r="C68" s="0" t="inlineStr">
        <is>
          <t xml:space="preserve">broad_maritime</t>
        </is>
      </c>
      <c r="D68" s="4">
        <v>1238.7802709999999</v>
      </c>
      <c r="E68" s="0" t="inlineStr">
        <is>
          <t xml:space="preserve">BECHTEL PLANT MACHINERY, INC.</t>
        </is>
      </c>
      <c r="F68" s="0" t="inlineStr">
        <is>
          <t xml:space="preserve">naics:336611</t>
        </is>
      </c>
    </row>
    <row r="69">
      <c r="B69" s="0" t="inlineStr">
        <is>
          <t xml:space="preserve">N0002419C2227</t>
        </is>
      </c>
      <c r="C69" s="0" t="inlineStr">
        <is>
          <t xml:space="preserve">broad_maritime</t>
        </is>
      </c>
      <c r="D69" s="4">
        <v>1234.361803</v>
      </c>
      <c r="E69" s="0" t="inlineStr">
        <is>
          <t xml:space="preserve">AUSTAL USA, LLC</t>
        </is>
      </c>
      <c r="F69" s="0" t="inlineStr">
        <is>
          <t xml:space="preserve">naics:336611</t>
        </is>
      </c>
    </row>
    <row r="70">
      <c r="B70" s="0" t="inlineStr">
        <is>
          <t xml:space="preserve">N0002406C2304</t>
        </is>
      </c>
      <c r="C70" s="0" t="inlineStr">
        <is>
          <t xml:space="preserve">broad_maritime</t>
        </is>
      </c>
      <c r="D70" s="4">
        <v>1228.32990066</v>
      </c>
      <c r="E70" s="0" t="inlineStr">
        <is>
          <t xml:space="preserve">HUNTINGTON INGALLS INCORPORATED</t>
        </is>
      </c>
      <c r="F70" s="0" t="inlineStr">
        <is>
          <t xml:space="preserve">naics:336611</t>
        </is>
      </c>
    </row>
    <row r="71">
      <c r="B71" s="0" t="inlineStr">
        <is>
          <t xml:space="preserve">N0002418C4314</t>
        </is>
      </c>
      <c r="C71" s="0" t="inlineStr">
        <is>
          <t xml:space="preserve">broad_maritime</t>
        </is>
      </c>
      <c r="D71" s="4">
        <v>1218.46208327</v>
      </c>
      <c r="E71" s="0" t="inlineStr">
        <is>
          <t xml:space="preserve">HUNTINGTON INGALLS INC</t>
        </is>
      </c>
      <c r="F71" s="0" t="inlineStr">
        <is>
          <t xml:space="preserve">naics:336611; psc:1905</t>
        </is>
      </c>
    </row>
    <row r="72">
      <c r="B72" s="0" t="inlineStr">
        <is>
          <t xml:space="preserve">N0002424C2106</t>
        </is>
      </c>
      <c r="C72" s="0" t="inlineStr">
        <is>
          <t xml:space="preserve">broad_maritime</t>
        </is>
      </c>
      <c r="D72" s="4">
        <v>1214.509016</v>
      </c>
      <c r="E72" s="0" t="inlineStr">
        <is>
          <t xml:space="preserve">HUNTINGTON INGALLS INC</t>
        </is>
      </c>
      <c r="F72" s="0" t="inlineStr">
        <is>
          <t xml:space="preserve">naics:336611; psc:1905</t>
        </is>
      </c>
    </row>
    <row r="73">
      <c r="B73" s="0" t="inlineStr">
        <is>
          <t xml:space="preserve">N0002407C2102</t>
        </is>
      </c>
      <c r="C73" s="0" t="inlineStr">
        <is>
          <t xml:space="preserve">broad_maritime</t>
        </is>
      </c>
      <c r="D73" s="4">
        <v>1179.194023</v>
      </c>
      <c r="E73" s="0" t="inlineStr">
        <is>
          <t xml:space="preserve">BECHTEL PLANT MACHINERY, INC.</t>
        </is>
      </c>
      <c r="F73" s="0" t="inlineStr">
        <is>
          <t xml:space="preserve">naics:336611</t>
        </is>
      </c>
    </row>
    <row r="74">
      <c r="B74" s="0" t="inlineStr">
        <is>
          <t xml:space="preserve">N0002410C4308</t>
        </is>
      </c>
      <c r="C74" s="0" t="inlineStr">
        <is>
          <t xml:space="preserve">broad_maritime</t>
        </is>
      </c>
      <c r="D74" s="4">
        <v>1022.5746191499999</v>
      </c>
      <c r="E74" s="0" t="inlineStr">
        <is>
          <t xml:space="preserve">BAE SYSTEMS MARITIME SOLUTIONS NORFOLK INC.</t>
        </is>
      </c>
      <c r="F74" s="0" t="inlineStr">
        <is>
          <t xml:space="preserve">naics:336611</t>
        </is>
      </c>
    </row>
    <row r="75">
      <c r="B75" s="0" t="inlineStr">
        <is>
          <t xml:space="preserve">N0002417C2480</t>
        </is>
      </c>
      <c r="C75" s="0" t="inlineStr">
        <is>
          <t xml:space="preserve">broad_maritime</t>
        </is>
      </c>
      <c r="D75" s="4">
        <v>974.91231318</v>
      </c>
      <c r="E75" s="0" t="inlineStr">
        <is>
          <t xml:space="preserve">TEXTRON SYSTEMS CORP</t>
        </is>
      </c>
      <c r="F75" s="0" t="inlineStr">
        <is>
          <t xml:space="preserve">naics:336611; psc:1905</t>
        </is>
      </c>
    </row>
    <row r="76">
      <c r="B76" s="0" t="inlineStr">
        <is>
          <t xml:space="preserve">N0002413C2112</t>
        </is>
      </c>
      <c r="C76" s="0" t="inlineStr">
        <is>
          <t xml:space="preserve">broad_maritime</t>
        </is>
      </c>
      <c r="D76" s="4">
        <v>945.341283</v>
      </c>
      <c r="E76" s="0" t="inlineStr">
        <is>
          <t xml:space="preserve">HUNTINGTON INGALLS INC</t>
        </is>
      </c>
      <c r="F76" s="0" t="inlineStr">
        <is>
          <t xml:space="preserve">naics:336611; psc:1905</t>
        </is>
      </c>
    </row>
    <row r="77">
      <c r="B77" s="0" t="inlineStr">
        <is>
          <t xml:space="preserve">N0002424C2135</t>
        </is>
      </c>
      <c r="C77" s="0" t="inlineStr">
        <is>
          <t xml:space="preserve">broad_maritime</t>
        </is>
      </c>
      <c r="D77" s="4">
        <v>923.0948229999999</v>
      </c>
      <c r="E77" s="0" t="inlineStr">
        <is>
          <t xml:space="preserve">BLUEFORGE ALLIANCE</t>
        </is>
      </c>
      <c r="F77" s="0" t="inlineStr">
        <is>
          <t xml:space="preserve">naics:336611; psc:1905</t>
        </is>
      </c>
    </row>
    <row r="78">
      <c r="B78" s="0" t="inlineStr">
        <is>
          <t xml:space="preserve">N0002414C2104</t>
        </is>
      </c>
      <c r="C78" s="0" t="inlineStr">
        <is>
          <t xml:space="preserve">broad_maritime</t>
        </is>
      </c>
      <c r="D78" s="4">
        <v>921.664216</v>
      </c>
      <c r="E78" s="0" t="inlineStr">
        <is>
          <t xml:space="preserve">ELECTRIC BOAT CORPORATION</t>
        </is>
      </c>
      <c r="F78" s="0" t="inlineStr">
        <is>
          <t xml:space="preserve">naics:336611; psc:1905</t>
        </is>
      </c>
    </row>
    <row r="79">
      <c r="B79" s="0" t="inlineStr">
        <is>
          <t xml:space="preserve">N0002411C2111</t>
        </is>
      </c>
      <c r="C79" s="0" t="inlineStr">
        <is>
          <t xml:space="preserve">broad_maritime</t>
        </is>
      </c>
      <c r="D79" s="4">
        <v>913.382712</v>
      </c>
      <c r="E79" s="0" t="inlineStr">
        <is>
          <t xml:space="preserve">ELECTRIC BOAT CORPORATION</t>
        </is>
      </c>
      <c r="F79" s="0" t="inlineStr">
        <is>
          <t xml:space="preserve">naics:336611</t>
        </is>
      </c>
    </row>
    <row r="80">
      <c r="B80" s="0" t="inlineStr">
        <is>
          <t xml:space="preserve">N0002407C4013</t>
        </is>
      </c>
      <c r="C80" s="0" t="inlineStr">
        <is>
          <t xml:space="preserve">broad_maritime</t>
        </is>
      </c>
      <c r="D80" s="4">
        <v>892.36991271</v>
      </c>
      <c r="E80" s="0" t="inlineStr">
        <is>
          <t xml:space="preserve">NATIONAL STEEL AND SHIPBUILDING COMPANY</t>
        </is>
      </c>
      <c r="F80" s="0" t="inlineStr">
        <is>
          <t xml:space="preserve">naics:336611</t>
        </is>
      </c>
    </row>
    <row r="81">
      <c r="B81" s="0" t="inlineStr">
        <is>
          <t xml:space="preserve">N0002411C4408</t>
        </is>
      </c>
      <c r="C81" s="0" t="inlineStr">
        <is>
          <t xml:space="preserve">broad_maritime</t>
        </is>
      </c>
      <c r="D81" s="4">
        <v>875.65617298</v>
      </c>
      <c r="E81" s="0" t="inlineStr">
        <is>
          <t xml:space="preserve">BAE SYSTEMS MARITIME SOLUTIONS SAN DIEGO INC.</t>
        </is>
      </c>
      <c r="F81" s="0" t="inlineStr">
        <is>
          <t xml:space="preserve">naics:336611</t>
        </is>
      </c>
    </row>
    <row r="82">
      <c r="B82" s="0" t="inlineStr">
        <is>
          <t xml:space="preserve">N0002418C2106</t>
        </is>
      </c>
      <c r="C82" s="0" t="inlineStr">
        <is>
          <t xml:space="preserve">broad_maritime</t>
        </is>
      </c>
      <c r="D82" s="4">
        <v>853.9091802</v>
      </c>
      <c r="E82" s="0" t="inlineStr">
        <is>
          <t xml:space="preserve">HUNTINGTON INGALLS INC</t>
        </is>
      </c>
      <c r="F82" s="0" t="inlineStr">
        <is>
          <t xml:space="preserve">naics:336611; psc:1905</t>
        </is>
      </c>
    </row>
    <row r="83">
      <c r="B83" s="0" t="inlineStr">
        <is>
          <t xml:space="preserve">N0002411C4407</t>
        </is>
      </c>
      <c r="C83" s="0" t="inlineStr">
        <is>
          <t xml:space="preserve">broad_maritime</t>
        </is>
      </c>
      <c r="D83" s="4">
        <v>848.56224428</v>
      </c>
      <c r="E83" s="0" t="inlineStr">
        <is>
          <t xml:space="preserve">BAE SYSTEMS MARITIME SOLUTIONS NORFOLK INC.</t>
        </is>
      </c>
      <c r="F83" s="0" t="inlineStr">
        <is>
          <t xml:space="preserve">naics:336611</t>
        </is>
      </c>
    </row>
    <row r="84">
      <c r="B84" s="0" t="inlineStr">
        <is>
          <t xml:space="preserve">N0002411C4400</t>
        </is>
      </c>
      <c r="C84" s="0" t="inlineStr">
        <is>
          <t xml:space="preserve">broad_maritime</t>
        </is>
      </c>
      <c r="D84" s="4">
        <v>818.6311763099999</v>
      </c>
      <c r="E84" s="0" t="inlineStr">
        <is>
          <t xml:space="preserve">BAE SYSTEMS MARITIME SOLUTIONS SAN DIEGO INC.</t>
        </is>
      </c>
      <c r="F84" s="0" t="inlineStr">
        <is>
          <t xml:space="preserve">naics:336611</t>
        </is>
      </c>
    </row>
    <row r="85">
      <c r="B85" s="0" t="inlineStr">
        <is>
          <t xml:space="preserve">N0002424C2467</t>
        </is>
      </c>
      <c r="C85" s="0" t="inlineStr">
        <is>
          <t xml:space="preserve">broad_maritime</t>
        </is>
      </c>
      <c r="D85" s="4">
        <v>806.951059</v>
      </c>
      <c r="E85" s="0" t="inlineStr">
        <is>
          <t xml:space="preserve">HUNTINGTON INGALLS INCORPORATED</t>
        </is>
      </c>
      <c r="F85" s="0" t="inlineStr">
        <is>
          <t xml:space="preserve">naics:336611; psc:1905</t>
        </is>
      </c>
    </row>
    <row r="86">
      <c r="B86" s="0" t="inlineStr">
        <is>
          <t xml:space="preserve">N0002414C2111</t>
        </is>
      </c>
      <c r="C86" s="0" t="inlineStr">
        <is>
          <t xml:space="preserve">broad_maritime</t>
        </is>
      </c>
      <c r="D86" s="4">
        <v>801.14755378</v>
      </c>
      <c r="E86" s="0" t="inlineStr">
        <is>
          <t xml:space="preserve">HUNTINGTON INGALLS INC</t>
        </is>
      </c>
      <c r="F86" s="0" t="inlineStr">
        <is>
          <t xml:space="preserve">naics:336611; psc:1905</t>
        </is>
      </c>
    </row>
    <row r="87">
      <c r="B87" s="0" t="inlineStr">
        <is>
          <t xml:space="preserve">N0002411C2309</t>
        </is>
      </c>
      <c r="C87" s="0" t="inlineStr">
        <is>
          <t xml:space="preserve">broad_maritime</t>
        </is>
      </c>
      <c r="D87" s="4">
        <v>794.2370179999999</v>
      </c>
      <c r="E87" s="0" t="inlineStr">
        <is>
          <t xml:space="preserve">HUNTINGTON INGALLS INCORPORATED</t>
        </is>
      </c>
      <c r="F87" s="0" t="inlineStr">
        <is>
          <t xml:space="preserve">naics:336611</t>
        </is>
      </c>
    </row>
    <row r="88">
      <c r="B88" s="0" t="inlineStr">
        <is>
          <t xml:space="preserve">N0002419C4452</t>
        </is>
      </c>
      <c r="C88" s="0" t="inlineStr">
        <is>
          <t xml:space="preserve">broad_maritime</t>
        </is>
      </c>
      <c r="D88" s="4">
        <v>779.0347429999999</v>
      </c>
      <c r="E88" s="0" t="inlineStr">
        <is>
          <t xml:space="preserve">BATH IRON WORKS CORPORATION</t>
        </is>
      </c>
      <c r="F88" s="0" t="inlineStr">
        <is>
          <t xml:space="preserve">naics:336611; psc:1905</t>
        </is>
      </c>
    </row>
    <row r="89">
      <c r="B89" s="0" t="inlineStr">
        <is>
          <t xml:space="preserve">N0002408C4410</t>
        </is>
      </c>
      <c r="C89" s="0" t="inlineStr">
        <is>
          <t xml:space="preserve">broad_maritime</t>
        </is>
      </c>
      <c r="D89" s="4">
        <v>770.82566382</v>
      </c>
      <c r="E89" s="0" t="inlineStr">
        <is>
          <t xml:space="preserve">NATIONAL STEEL AND SHIPBUILDING COMPANY</t>
        </is>
      </c>
      <c r="F89" s="0" t="inlineStr">
        <is>
          <t xml:space="preserve">naics:336611</t>
        </is>
      </c>
    </row>
    <row r="90">
      <c r="B90" s="0" t="inlineStr">
        <is>
          <t xml:space="preserve">N0002410C2110</t>
        </is>
      </c>
      <c r="C90" s="0" t="inlineStr">
        <is>
          <t xml:space="preserve">broad_maritime</t>
        </is>
      </c>
      <c r="D90" s="4">
        <v>739.10564411</v>
      </c>
      <c r="E90" s="0" t="inlineStr">
        <is>
          <t xml:space="preserve">HUNTINGTON INGALLS INC</t>
        </is>
      </c>
      <c r="F90" s="0" t="inlineStr">
        <is>
          <t xml:space="preserve">naics:336611</t>
        </is>
      </c>
    </row>
    <row r="91">
      <c r="B91" s="0" t="inlineStr">
        <is>
          <t xml:space="preserve">N0002406C2212</t>
        </is>
      </c>
      <c r="C91" s="0" t="inlineStr">
        <is>
          <t xml:space="preserve">broad_maritime</t>
        </is>
      </c>
      <c r="D91" s="4">
        <v>711.30576963</v>
      </c>
      <c r="E91" s="0" t="inlineStr">
        <is>
          <t xml:space="preserve">BOLLINGER MISSISSIPPI SHIPBUILDING, LLC</t>
        </is>
      </c>
      <c r="F91" s="0" t="inlineStr">
        <is>
          <t xml:space="preserve">naics:336611; psc:1905</t>
        </is>
      </c>
    </row>
    <row r="92">
      <c r="B92" s="0" t="inlineStr">
        <is>
          <t xml:space="preserve">N0002409C4416</t>
        </is>
      </c>
      <c r="C92" s="0" t="inlineStr">
        <is>
          <t xml:space="preserve">broad_maritime</t>
        </is>
      </c>
      <c r="D92" s="4">
        <v>705.0961063799999</v>
      </c>
      <c r="E92" s="0" t="inlineStr">
        <is>
          <t xml:space="preserve">METRO MACHINE CORP.</t>
        </is>
      </c>
      <c r="F92" s="0" t="inlineStr">
        <is>
          <t xml:space="preserve">naics:336611</t>
        </is>
      </c>
    </row>
    <row r="93">
      <c r="B93" s="0" t="inlineStr">
        <is>
          <t xml:space="preserve">N0002411C2307</t>
        </is>
      </c>
      <c r="C93" s="0" t="inlineStr">
        <is>
          <t xml:space="preserve">broad_maritime</t>
        </is>
      </c>
      <c r="D93" s="4">
        <v>701.5105259999999</v>
      </c>
      <c r="E93" s="0" t="inlineStr">
        <is>
          <t xml:space="preserve">HUNTINGTON INGALLS INCORPORATED</t>
        </is>
      </c>
      <c r="F93" s="0" t="inlineStr">
        <is>
          <t xml:space="preserve">naics:336611</t>
        </is>
      </c>
    </row>
    <row r="94">
      <c r="B94" s="0" t="inlineStr">
        <is>
          <t xml:space="preserve">N0002424C2124</t>
        </is>
      </c>
      <c r="C94" s="0" t="inlineStr">
        <is>
          <t xml:space="preserve">broad_maritime</t>
        </is>
      </c>
      <c r="D94" s="4">
        <v>699.224966</v>
      </c>
      <c r="E94" s="0" t="inlineStr">
        <is>
          <t xml:space="preserve">ELECTRIC BOAT CORPORATION</t>
        </is>
      </c>
      <c r="F94" s="0" t="inlineStr">
        <is>
          <t xml:space="preserve">naics:336611; psc:1905</t>
        </is>
      </c>
    </row>
    <row r="95">
      <c r="B95" s="0" t="inlineStr">
        <is>
          <t xml:space="preserve">N0002408C2100</t>
        </is>
      </c>
      <c r="C95" s="0" t="inlineStr">
        <is>
          <t xml:space="preserve">broad_maritime</t>
        </is>
      </c>
      <c r="D95" s="4">
        <v>670.736987</v>
      </c>
      <c r="E95" s="0" t="inlineStr">
        <is>
          <t xml:space="preserve">HUNTINGTON INGALLS INC</t>
        </is>
      </c>
      <c r="F95" s="0" t="inlineStr">
        <is>
          <t xml:space="preserve">naics:336611</t>
        </is>
      </c>
    </row>
    <row r="96">
      <c r="B96" s="0" t="inlineStr">
        <is>
          <t xml:space="preserve">N0002412C2401</t>
        </is>
      </c>
      <c r="C96" s="0" t="inlineStr">
        <is>
          <t xml:space="preserve">broad_maritime</t>
        </is>
      </c>
      <c r="D96" s="4">
        <v>663.12138284</v>
      </c>
      <c r="E96" s="0" t="inlineStr">
        <is>
          <t xml:space="preserve">TEXTRON SYSTEMS CORP</t>
        </is>
      </c>
      <c r="F96" s="0" t="inlineStr">
        <is>
          <t xml:space="preserve">naics:336611; psc:1905</t>
        </is>
      </c>
    </row>
    <row r="97">
      <c r="B97" s="0" t="inlineStr">
        <is>
          <t xml:space="preserve">N0002412C4311</t>
        </is>
      </c>
      <c r="C97" s="0" t="inlineStr">
        <is>
          <t xml:space="preserve">broad_maritime</t>
        </is>
      </c>
      <c r="D97" s="4">
        <v>662.371899</v>
      </c>
      <c r="E97" s="0" t="inlineStr">
        <is>
          <t xml:space="preserve">BATH IRON WORKS CORPORATION</t>
        </is>
      </c>
      <c r="F97" s="0" t="inlineStr">
        <is>
          <t xml:space="preserve">naics:336611</t>
        </is>
      </c>
    </row>
    <row r="98">
      <c r="B98" s="0" t="inlineStr">
        <is>
          <t xml:space="preserve">N0002413C4404</t>
        </is>
      </c>
      <c r="C98" s="0" t="inlineStr">
        <is>
          <t xml:space="preserve">broad_maritime</t>
        </is>
      </c>
      <c r="D98" s="4">
        <v>653.65041925</v>
      </c>
      <c r="E98" s="0" t="inlineStr">
        <is>
          <t xml:space="preserve">NATIONAL STEEL AND SHIPBUILDING COMPANY</t>
        </is>
      </c>
      <c r="F98" s="0" t="inlineStr">
        <is>
          <t xml:space="preserve">naics:336611</t>
        </is>
      </c>
    </row>
    <row r="99">
      <c r="B99" s="0" t="inlineStr">
        <is>
          <t xml:space="preserve">N0002423C2203</t>
        </is>
      </c>
      <c r="C99" s="0" t="inlineStr">
        <is>
          <t xml:space="preserve">other_small</t>
        </is>
      </c>
      <c r="D99" s="4">
        <v>631.815731</v>
      </c>
      <c r="E99" s="0" t="inlineStr">
        <is>
          <t xml:space="preserve">AUSTAL USA, LLC</t>
        </is>
      </c>
      <c r="F99" s="0" t="inlineStr">
        <is>
          <t xml:space="preserve">naics:336611; psc:1925</t>
        </is>
      </c>
    </row>
    <row r="100">
      <c r="B100" s="0" t="inlineStr">
        <is>
          <t xml:space="preserve">N0002411C4403</t>
        </is>
      </c>
      <c r="C100" s="0" t="inlineStr">
        <is>
          <t xml:space="preserve">broad_maritime</t>
        </is>
      </c>
      <c r="D100" s="4">
        <v>625.04390499</v>
      </c>
      <c r="E100" s="0" t="inlineStr">
        <is>
          <t xml:space="preserve">BAE SYSTEMS MARITIME SOLUTIONS NORFOLK INC.</t>
        </is>
      </c>
      <c r="F100" s="0" t="inlineStr">
        <is>
          <t xml:space="preserve">naics:336611</t>
        </is>
      </c>
    </row>
    <row r="101">
      <c r="B101" s="0" t="inlineStr">
        <is>
          <t xml:space="preserve">N0002409C2302</t>
        </is>
      </c>
      <c r="C101" s="0" t="inlineStr">
        <is>
          <t xml:space="preserve">broad_maritime</t>
        </is>
      </c>
      <c r="D101" s="4">
        <v>624.654007</v>
      </c>
      <c r="E101" s="0" t="inlineStr">
        <is>
          <t xml:space="preserve">BATH IRON WORKS CORPORATION</t>
        </is>
      </c>
      <c r="F101" s="0" t="inlineStr">
        <is>
          <t xml:space="preserve">naics:336611; psc:1905</t>
        </is>
      </c>
    </row>
    <row r="102">
      <c r="B102" s="0" t="inlineStr">
        <is>
          <t xml:space="preserve">N0002412C4323</t>
        </is>
      </c>
      <c r="C102" s="0" t="inlineStr">
        <is>
          <t xml:space="preserve">broad_maritime</t>
        </is>
      </c>
      <c r="D102" s="4">
        <v>620.34396391</v>
      </c>
      <c r="E102" s="0" t="inlineStr">
        <is>
          <t xml:space="preserve">HUNTINGTON INGALLS INCORPORATED</t>
        </is>
      </c>
      <c r="F102" s="0" t="inlineStr">
        <is>
          <t xml:space="preserve">naics:336611</t>
        </is>
      </c>
    </row>
    <row r="103">
      <c r="B103" s="0" t="inlineStr">
        <is>
          <t xml:space="preserve">N0002414C4412</t>
        </is>
      </c>
      <c r="C103" s="0" t="inlineStr">
        <is>
          <t xml:space="preserve">broad_maritime</t>
        </is>
      </c>
      <c r="D103" s="4">
        <v>606.4075237999999</v>
      </c>
      <c r="E103" s="0" t="inlineStr">
        <is>
          <t xml:space="preserve">BAE SYSTEMS HAWAII SHIPYARDS INC.</t>
        </is>
      </c>
      <c r="F103" s="0" t="inlineStr">
        <is>
          <t xml:space="preserve">naics:336611</t>
        </is>
      </c>
    </row>
    <row r="104">
      <c r="B104" s="0" t="inlineStr">
        <is>
          <t xml:space="preserve">N0002408C2118</t>
        </is>
      </c>
      <c r="C104" s="0" t="inlineStr">
        <is>
          <t xml:space="preserve">broad_maritime</t>
        </is>
      </c>
      <c r="D104" s="4">
        <v>594.932062</v>
      </c>
      <c r="E104" s="0" t="inlineStr">
        <is>
          <t xml:space="preserve">BECHTEL PLANT MACHINERY, INC.</t>
        </is>
      </c>
      <c r="F104" s="0" t="inlineStr">
        <is>
          <t xml:space="preserve">naics:336611</t>
        </is>
      </c>
    </row>
    <row r="105">
      <c r="B105" s="0" t="inlineStr">
        <is>
          <t xml:space="preserve">N0002416C2227</t>
        </is>
      </c>
      <c r="C105" s="0" t="inlineStr">
        <is>
          <t xml:space="preserve">broad_maritime</t>
        </is>
      </c>
      <c r="D105" s="4">
        <v>585.996657</v>
      </c>
      <c r="E105" s="0" t="inlineStr">
        <is>
          <t xml:space="preserve">NATIONAL STEEL AND SHIPBUILDING COMPANY</t>
        </is>
      </c>
      <c r="F105" s="0" t="inlineStr">
        <is>
          <t xml:space="preserve">naics:336611</t>
        </is>
      </c>
    </row>
    <row r="106">
      <c r="B106" s="0" t="inlineStr">
        <is>
          <t xml:space="preserve">N0002405C4403</t>
        </is>
      </c>
      <c r="C106" s="0" t="inlineStr">
        <is>
          <t xml:space="preserve">broad_maritime</t>
        </is>
      </c>
      <c r="D106" s="4">
        <v>584.2772786</v>
      </c>
      <c r="E106" s="0" t="inlineStr">
        <is>
          <t xml:space="preserve">BAE SYSTEMS MARITIME SOLUTIONS NORFOLK INC.</t>
        </is>
      </c>
      <c r="F106" s="0" t="inlineStr">
        <is>
          <t xml:space="preserve">naics:336611</t>
        </is>
      </c>
    </row>
    <row r="107">
      <c r="B107" s="0" t="inlineStr">
        <is>
          <t xml:space="preserve">N0002406C4408</t>
        </is>
      </c>
      <c r="C107" s="0" t="inlineStr">
        <is>
          <t xml:space="preserve">broad_maritime</t>
        </is>
      </c>
      <c r="D107" s="4">
        <v>545.91192187</v>
      </c>
      <c r="E107" s="0" t="inlineStr">
        <is>
          <t xml:space="preserve">BAE SYSTEMS HAWAII SHIPYARDS INC.</t>
        </is>
      </c>
      <c r="F107" s="0" t="inlineStr">
        <is>
          <t xml:space="preserve">naics:336611</t>
        </is>
      </c>
    </row>
    <row r="108">
      <c r="B108" s="0" t="inlineStr">
        <is>
          <t xml:space="preserve">N0002407C2117</t>
        </is>
      </c>
      <c r="C108" s="0" t="inlineStr">
        <is>
          <t xml:space="preserve">broad_maritime</t>
        </is>
      </c>
      <c r="D108" s="4">
        <v>540.372046</v>
      </c>
      <c r="E108" s="0" t="inlineStr">
        <is>
          <t xml:space="preserve">HUNTINGTON INGALLS INC</t>
        </is>
      </c>
      <c r="F108" s="0" t="inlineStr">
        <is>
          <t xml:space="preserve">naics:336611</t>
        </is>
      </c>
    </row>
    <row r="109">
      <c r="B109" s="0" t="inlineStr">
        <is>
          <t xml:space="preserve">N0002425C4135</t>
        </is>
      </c>
      <c r="C109" s="0" t="inlineStr">
        <is>
          <t xml:space="preserve">broad_maritime</t>
        </is>
      </c>
      <c r="D109" s="4">
        <v>533.749731</v>
      </c>
      <c r="E109" s="0" t="inlineStr">
        <is>
          <t xml:space="preserve">NORTHSTAR MARITIME DISMANTLEMENT SERVICES, LLC</t>
        </is>
      </c>
      <c r="F109" s="0" t="inlineStr">
        <is>
          <t xml:space="preserve">naics:336611; psc:1905</t>
        </is>
      </c>
    </row>
    <row r="110">
      <c r="B110" s="0" t="inlineStr">
        <is>
          <t xml:space="preserve">N0002410C2119</t>
        </is>
      </c>
      <c r="C110" s="0" t="inlineStr">
        <is>
          <t xml:space="preserve">broad_maritime</t>
        </is>
      </c>
      <c r="D110" s="4">
        <v>527.781301</v>
      </c>
      <c r="E110" s="0" t="inlineStr">
        <is>
          <t xml:space="preserve">BECHTEL PLANT MACHINERY, INC.</t>
        </is>
      </c>
      <c r="F110" s="0" t="inlineStr">
        <is>
          <t xml:space="preserve">naics:336611</t>
        </is>
      </c>
    </row>
    <row r="111">
      <c r="B111" s="0" t="inlineStr">
        <is>
          <t xml:space="preserve">N0002410C2102</t>
        </is>
      </c>
      <c r="C111" s="0" t="inlineStr">
        <is>
          <t xml:space="preserve">broad_maritime</t>
        </is>
      </c>
      <c r="D111" s="4">
        <v>518.05684507</v>
      </c>
      <c r="E111" s="0" t="inlineStr">
        <is>
          <t xml:space="preserve">HUNTINGTON INGALLS INC</t>
        </is>
      </c>
      <c r="F111" s="0" t="inlineStr">
        <is>
          <t xml:space="preserve">naics:336611; psc:1905</t>
        </is>
      </c>
    </row>
    <row r="112">
      <c r="B112" s="0" t="inlineStr">
        <is>
          <t xml:space="preserve">N0002423F4318</t>
        </is>
      </c>
      <c r="C112" s="0" t="inlineStr">
        <is>
          <t xml:space="preserve">broad_maritime</t>
        </is>
      </c>
      <c r="D112" s="4">
        <v>517.248825</v>
      </c>
      <c r="E112" s="0" t="inlineStr">
        <is>
          <t xml:space="preserve">ELECTRIC BOAT CORPORATION</t>
        </is>
      </c>
      <c r="F112" s="0" t="inlineStr">
        <is>
          <t xml:space="preserve">naics:336611; psc:1905</t>
        </is>
      </c>
    </row>
    <row r="113">
      <c r="B113" s="0" t="inlineStr">
        <is>
          <t xml:space="preserve">N0002424C2112</t>
        </is>
      </c>
      <c r="C113" s="0" t="inlineStr">
        <is>
          <t xml:space="preserve">broad_maritime</t>
        </is>
      </c>
      <c r="D113" s="4">
        <v>512.997491</v>
      </c>
      <c r="E113" s="0" t="inlineStr">
        <is>
          <t xml:space="preserve">BECHTEL PLANT MACHINERY, INC.</t>
        </is>
      </c>
      <c r="F113" s="0" t="inlineStr">
        <is>
          <t xml:space="preserve">psc:1905</t>
        </is>
      </c>
    </row>
    <row r="114">
      <c r="B114" s="0" t="inlineStr">
        <is>
          <t xml:space="preserve">N0002410C4401</t>
        </is>
      </c>
      <c r="C114" s="0" t="inlineStr">
        <is>
          <t xml:space="preserve">broad_maritime</t>
        </is>
      </c>
      <c r="D114" s="4">
        <v>501.90373781</v>
      </c>
      <c r="E114" s="0" t="inlineStr">
        <is>
          <t xml:space="preserve">METRO MACHINE CORP.</t>
        </is>
      </c>
      <c r="F114" s="0" t="inlineStr">
        <is>
          <t xml:space="preserve">naics:336611</t>
        </is>
      </c>
    </row>
    <row r="115">
      <c r="B115" s="0" t="inlineStr">
        <is>
          <t xml:space="preserve">N0002411C2109</t>
        </is>
      </c>
      <c r="C115" s="0" t="inlineStr">
        <is>
          <t xml:space="preserve">broad_maritime</t>
        </is>
      </c>
      <c r="D115" s="4">
        <v>480.10888381</v>
      </c>
      <c r="E115" s="0" t="inlineStr">
        <is>
          <t xml:space="preserve">ELECTRIC BOAT CORPORATION</t>
        </is>
      </c>
      <c r="F115" s="0" t="inlineStr">
        <is>
          <t xml:space="preserve">psc:1905</t>
        </is>
      </c>
    </row>
    <row r="116">
      <c r="B116" s="0" t="inlineStr">
        <is>
          <t xml:space="preserve">N6279307C0001</t>
        </is>
      </c>
      <c r="C116" s="0" t="inlineStr">
        <is>
          <t xml:space="preserve">broad_maritime</t>
        </is>
      </c>
      <c r="D116" s="4">
        <v>454.835584</v>
      </c>
      <c r="E116" s="0" t="inlineStr">
        <is>
          <t xml:space="preserve">HUNTINGTON INGALLS INC</t>
        </is>
      </c>
      <c r="F116" s="0" t="inlineStr">
        <is>
          <t xml:space="preserve">naics:336611</t>
        </is>
      </c>
    </row>
    <row r="117">
      <c r="B117" s="0" t="inlineStr">
        <is>
          <t xml:space="preserve">N0002406C4415</t>
        </is>
      </c>
      <c r="C117" s="0" t="inlineStr">
        <is>
          <t xml:space="preserve">broad_maritime</t>
        </is>
      </c>
      <c r="D117" s="4">
        <v>446.41097195</v>
      </c>
      <c r="E117" s="0" t="inlineStr">
        <is>
          <t xml:space="preserve">BAE SYSTEMS MARITIME SOLUTIONS NORFOLK INC.</t>
        </is>
      </c>
      <c r="F117" s="0" t="inlineStr">
        <is>
          <t xml:space="preserve">naics:336611</t>
        </is>
      </c>
    </row>
    <row r="118">
      <c r="B118" s="0" t="inlineStr">
        <is>
          <t xml:space="preserve">N0002419C4447</t>
        </is>
      </c>
      <c r="C118" s="0" t="inlineStr">
        <is>
          <t xml:space="preserve">broad_maritime</t>
        </is>
      </c>
      <c r="D118" s="4">
        <v>443.72524851</v>
      </c>
      <c r="E118" s="0" t="inlineStr">
        <is>
          <t xml:space="preserve">VIGOR MARINE LLC</t>
        </is>
      </c>
      <c r="F118" s="0" t="inlineStr">
        <is>
          <t xml:space="preserve">naics:336611</t>
        </is>
      </c>
    </row>
    <row r="119">
      <c r="B119" s="0" t="inlineStr">
        <is>
          <t xml:space="preserve">N0002420C2109</t>
        </is>
      </c>
      <c r="C119" s="0" t="inlineStr">
        <is>
          <t xml:space="preserve">broad_maritime</t>
        </is>
      </c>
      <c r="D119" s="4">
        <v>441.59023693999995</v>
      </c>
      <c r="E119" s="0" t="inlineStr">
        <is>
          <t xml:space="preserve">HUNTINGTON INGALLS INC</t>
        </is>
      </c>
      <c r="F119" s="0" t="inlineStr">
        <is>
          <t xml:space="preserve">naics:336611; psc:1905</t>
        </is>
      </c>
    </row>
    <row r="120">
      <c r="B120" s="0" t="inlineStr">
        <is>
          <t xml:space="preserve">N0002423C4424</t>
        </is>
      </c>
      <c r="C120" s="0" t="inlineStr">
        <is>
          <t xml:space="preserve">broad_maritime</t>
        </is>
      </c>
      <c r="D120" s="4">
        <v>437.96426087</v>
      </c>
      <c r="E120" s="0" t="inlineStr">
        <is>
          <t xml:space="preserve">NATIONAL STEEL AND SHIPBUILDING COMPANY</t>
        </is>
      </c>
      <c r="F120" s="0" t="inlineStr">
        <is>
          <t xml:space="preserve">naics:336611</t>
        </is>
      </c>
    </row>
    <row r="121">
      <c r="B121" s="0" t="inlineStr">
        <is>
          <t xml:space="preserve">N0002416C4306</t>
        </is>
      </c>
      <c r="C121" s="0" t="inlineStr">
        <is>
          <t xml:space="preserve">broad_maritime</t>
        </is>
      </c>
      <c r="D121" s="4">
        <v>435.74875513999996</v>
      </c>
      <c r="E121" s="0" t="inlineStr">
        <is>
          <t xml:space="preserve">METRO MACHINE CORP.</t>
        </is>
      </c>
      <c r="F121" s="0" t="inlineStr">
        <is>
          <t xml:space="preserve">naics:336611</t>
        </is>
      </c>
    </row>
    <row r="122">
      <c r="B122" s="0" t="inlineStr">
        <is>
          <t xml:space="preserve">N0002417C4444</t>
        </is>
      </c>
      <c r="C122" s="0" t="inlineStr">
        <is>
          <t xml:space="preserve">broad_maritime</t>
        </is>
      </c>
      <c r="D122" s="4">
        <v>427.98119935</v>
      </c>
      <c r="E122" s="0" t="inlineStr">
        <is>
          <t xml:space="preserve">HUNTINGTON INGALLS INCORPORATED</t>
        </is>
      </c>
      <c r="F122" s="0" t="inlineStr">
        <is>
          <t xml:space="preserve">naics:336611</t>
        </is>
      </c>
    </row>
    <row r="123">
      <c r="B123" s="0" t="inlineStr">
        <is>
          <t xml:space="preserve">N0002418C2207</t>
        </is>
      </c>
      <c r="C123" s="0" t="inlineStr">
        <is>
          <t xml:space="preserve">other_small</t>
        </is>
      </c>
      <c r="D123" s="4">
        <v>423.96603665</v>
      </c>
      <c r="E123" s="0" t="inlineStr">
        <is>
          <t xml:space="preserve">BOLLINGER SHIPYARDS LOCKPORT, L.L.C.</t>
        </is>
      </c>
      <c r="F123" s="0" t="inlineStr">
        <is>
          <t xml:space="preserve">naics:336611; psc:1925</t>
        </is>
      </c>
    </row>
    <row r="124">
      <c r="B124" s="0" t="inlineStr">
        <is>
          <t xml:space="preserve">N0002415C4313</t>
        </is>
      </c>
      <c r="C124" s="0" t="inlineStr">
        <is>
          <t xml:space="preserve">broad_maritime</t>
        </is>
      </c>
      <c r="D124" s="4">
        <v>420.51595195</v>
      </c>
      <c r="E124" s="0" t="inlineStr">
        <is>
          <t xml:space="preserve">NATIONAL STEEL AND SHIPBUILDING COMPANY</t>
        </is>
      </c>
      <c r="F124" s="0" t="inlineStr">
        <is>
          <t xml:space="preserve">naics:336611; psc:1905</t>
        </is>
      </c>
    </row>
    <row r="125">
      <c r="B125" s="0" t="inlineStr">
        <is>
          <t xml:space="preserve">N0002415C4300</t>
        </is>
      </c>
      <c r="C125" s="0" t="inlineStr">
        <is>
          <t xml:space="preserve">broad_maritime</t>
        </is>
      </c>
      <c r="D125" s="4">
        <v>412.42301499999996</v>
      </c>
      <c r="E125" s="0" t="inlineStr">
        <is>
          <t xml:space="preserve">ELECTRIC BOAT CORPORATION</t>
        </is>
      </c>
      <c r="F125" s="0" t="inlineStr">
        <is>
          <t xml:space="preserve">naics:336611; psc:1905</t>
        </is>
      </c>
    </row>
    <row r="126">
      <c r="B126" s="0" t="inlineStr">
        <is>
          <t xml:space="preserve">N0002415C2105</t>
        </is>
      </c>
      <c r="C126" s="0" t="inlineStr">
        <is>
          <t xml:space="preserve">broad_maritime</t>
        </is>
      </c>
      <c r="D126" s="4">
        <v>409.83750912</v>
      </c>
      <c r="E126" s="0" t="inlineStr">
        <is>
          <t xml:space="preserve">HUNTINGTON INGALLS INC</t>
        </is>
      </c>
      <c r="F126" s="0" t="inlineStr">
        <is>
          <t xml:space="preserve">naics:336611; psc:1905</t>
        </is>
      </c>
    </row>
    <row r="127">
      <c r="B127" s="0" t="inlineStr">
        <is>
          <t xml:space="preserve">N0002424C4418</t>
        </is>
      </c>
      <c r="C127" s="0" t="inlineStr">
        <is>
          <t xml:space="preserve">broad_maritime</t>
        </is>
      </c>
      <c r="D127" s="4">
        <v>405.500471</v>
      </c>
      <c r="E127" s="0" t="inlineStr">
        <is>
          <t xml:space="preserve">METRO MACHINE CORP.</t>
        </is>
      </c>
      <c r="F127" s="0" t="inlineStr">
        <is>
          <t xml:space="preserve">naics:336611</t>
        </is>
      </c>
    </row>
    <row r="128">
      <c r="B128" s="0" t="inlineStr">
        <is>
          <t xml:space="preserve">N0002406C4402</t>
        </is>
      </c>
      <c r="C128" s="0" t="inlineStr">
        <is>
          <t xml:space="preserve">broad_maritime</t>
        </is>
      </c>
      <c r="D128" s="4">
        <v>400.60758699999997</v>
      </c>
      <c r="E128" s="0" t="inlineStr">
        <is>
          <t xml:space="preserve">NATIONAL STEEL AND SHIPBUILDING COMPANY</t>
        </is>
      </c>
      <c r="F128" s="0" t="inlineStr">
        <is>
          <t xml:space="preserve">naics:336611</t>
        </is>
      </c>
    </row>
    <row r="129">
      <c r="B129" s="0" t="inlineStr">
        <is>
          <t xml:space="preserve">N0002421C2209</t>
        </is>
      </c>
      <c r="C129" s="0" t="inlineStr">
        <is>
          <t xml:space="preserve">other_small</t>
        </is>
      </c>
      <c r="D129" s="4">
        <v>383.61313375</v>
      </c>
      <c r="E129" s="0" t="inlineStr">
        <is>
          <t xml:space="preserve">AUSTAL USA, LLC</t>
        </is>
      </c>
      <c r="F129" s="0" t="inlineStr">
        <is>
          <t xml:space="preserve">naics:336611; psc:1925</t>
        </is>
      </c>
    </row>
    <row r="130">
      <c r="B130" s="0" t="inlineStr">
        <is>
          <t xml:space="preserve">N0002410C4406</t>
        </is>
      </c>
      <c r="C130" s="0" t="inlineStr">
        <is>
          <t xml:space="preserve">broad_maritime</t>
        </is>
      </c>
      <c r="D130" s="4">
        <v>373.70047164</v>
      </c>
      <c r="E130" s="0" t="inlineStr">
        <is>
          <t xml:space="preserve">BAE SYSTEMS JACKSONVILLE SHIP REPAIR LLC</t>
        </is>
      </c>
      <c r="F130" s="0" t="inlineStr">
        <is>
          <t xml:space="preserve">naics:336611</t>
        </is>
      </c>
    </row>
    <row r="131">
      <c r="B131" s="0" t="inlineStr">
        <is>
          <t xml:space="preserve">N0002411C4303</t>
        </is>
      </c>
      <c r="C131" s="0" t="inlineStr">
        <is>
          <t xml:space="preserve">broad_maritime</t>
        </is>
      </c>
      <c r="D131" s="4">
        <v>366.77092779000003</v>
      </c>
      <c r="E131" s="0" t="inlineStr">
        <is>
          <t xml:space="preserve">METRO MACHINE CORP.</t>
        </is>
      </c>
      <c r="F131" s="0" t="inlineStr">
        <is>
          <t xml:space="preserve">naics:336611</t>
        </is>
      </c>
    </row>
    <row r="132">
      <c r="B132" s="0" t="inlineStr">
        <is>
          <t xml:space="preserve">N0002412C4403</t>
        </is>
      </c>
      <c r="C132" s="0" t="inlineStr">
        <is>
          <t xml:space="preserve">broad_maritime</t>
        </is>
      </c>
      <c r="D132" s="4">
        <v>363.61457722</v>
      </c>
      <c r="E132" s="0" t="inlineStr">
        <is>
          <t xml:space="preserve">BAE SYSTEMS MARITIME SOLUTIONS SAN DIEGO INC.</t>
        </is>
      </c>
      <c r="F132" s="0" t="inlineStr">
        <is>
          <t xml:space="preserve">naics:336611</t>
        </is>
      </c>
    </row>
    <row r="133">
      <c r="B133" s="0" t="inlineStr">
        <is>
          <t xml:space="preserve">N0002416C4316</t>
        </is>
      </c>
      <c r="C133" s="0" t="inlineStr">
        <is>
          <t xml:space="preserve">broad_maritime</t>
        </is>
      </c>
      <c r="D133" s="4">
        <v>353.73096282</v>
      </c>
      <c r="E133" s="0" t="inlineStr">
        <is>
          <t xml:space="preserve">HUNTINGTON INGALLS INC</t>
        </is>
      </c>
      <c r="F133" s="0" t="inlineStr">
        <is>
          <t xml:space="preserve">naics:336611; psc:1905</t>
        </is>
      </c>
    </row>
    <row r="134">
      <c r="B134" s="0" t="inlineStr">
        <is>
          <t xml:space="preserve">N0002421C4205</t>
        </is>
      </c>
      <c r="C134" s="0" t="inlineStr">
        <is>
          <t xml:space="preserve">broad_maritime</t>
        </is>
      </c>
      <c r="D134" s="4">
        <v>352.44520869999997</v>
      </c>
      <c r="E134" s="0" t="inlineStr">
        <is>
          <t xml:space="preserve">HUNTINGTON INGALLS INCORPORATED</t>
        </is>
      </c>
      <c r="F134" s="0" t="inlineStr">
        <is>
          <t xml:space="preserve">naics:336611; psc:1905</t>
        </is>
      </c>
    </row>
    <row r="135">
      <c r="B135" s="0" t="inlineStr">
        <is>
          <t xml:space="preserve">N0002409C2108</t>
        </is>
      </c>
      <c r="C135" s="0" t="inlineStr">
        <is>
          <t xml:space="preserve">broad_maritime</t>
        </is>
      </c>
      <c r="D135" s="4">
        <v>349.638474</v>
      </c>
      <c r="E135" s="0" t="inlineStr">
        <is>
          <t xml:space="preserve">BECHTEL PLANT MACHINERY, INC.</t>
        </is>
      </c>
      <c r="F135" s="0" t="inlineStr">
        <is>
          <t xml:space="preserve">naics:336611</t>
        </is>
      </c>
    </row>
    <row r="136">
      <c r="B136" s="0" t="inlineStr">
        <is>
          <t xml:space="preserve">N0002423C4408</t>
        </is>
      </c>
      <c r="C136" s="0" t="inlineStr">
        <is>
          <t xml:space="preserve">broad_maritime</t>
        </is>
      </c>
      <c r="D136" s="4">
        <v>349.235995</v>
      </c>
      <c r="E136" s="0" t="inlineStr">
        <is>
          <t xml:space="preserve">BAE SYSTEMS MARITIME SOLUTIONS NORFOLK INC.</t>
        </is>
      </c>
      <c r="F136" s="0" t="inlineStr">
        <is>
          <t xml:space="preserve">naics:336611</t>
        </is>
      </c>
    </row>
    <row r="137">
      <c r="B137" s="0" t="inlineStr">
        <is>
          <t xml:space="preserve">N0002416C2217</t>
        </is>
      </c>
      <c r="C137" s="0" t="inlineStr">
        <is>
          <t xml:space="preserve">broad_maritime</t>
        </is>
      </c>
      <c r="D137" s="4">
        <v>347.36658782999996</v>
      </c>
      <c r="E137" s="0" t="inlineStr">
        <is>
          <t xml:space="preserve">AUSTAL USA, LLC</t>
        </is>
      </c>
      <c r="F137" s="0" t="inlineStr">
        <is>
          <t xml:space="preserve">naics:336611</t>
        </is>
      </c>
    </row>
    <row r="138">
      <c r="B138" s="0" t="inlineStr">
        <is>
          <t xml:space="preserve">N0002424C4212</t>
        </is>
      </c>
      <c r="C138" s="0" t="inlineStr">
        <is>
          <t xml:space="preserve">broad_maritime</t>
        </is>
      </c>
      <c r="D138" s="4">
        <v>342.256581</v>
      </c>
      <c r="E138" s="0" t="inlineStr">
        <is>
          <t xml:space="preserve">BATH IRON WORKS CORPORATION</t>
        </is>
      </c>
      <c r="F138" s="0" t="inlineStr">
        <is>
          <t xml:space="preserve">naics:336611; psc:1905</t>
        </is>
      </c>
    </row>
    <row r="139">
      <c r="B139" s="0" t="inlineStr">
        <is>
          <t xml:space="preserve">N0002424F4319</t>
        </is>
      </c>
      <c r="C139" s="0" t="inlineStr">
        <is>
          <t xml:space="preserve">broad_maritime</t>
        </is>
      </c>
      <c r="D139" s="4">
        <v>338.025124</v>
      </c>
      <c r="E139" s="0" t="inlineStr">
        <is>
          <t xml:space="preserve">ELECTRIC BOAT CORPORATION</t>
        </is>
      </c>
      <c r="F139" s="0" t="inlineStr">
        <is>
          <t xml:space="preserve">naics:336611; psc:1905</t>
        </is>
      </c>
    </row>
    <row r="140">
      <c r="B140" s="0" t="inlineStr">
        <is>
          <t xml:space="preserve">N0002418C2230</t>
        </is>
      </c>
      <c r="C140" s="0" t="inlineStr">
        <is>
          <t xml:space="preserve">broad_maritime</t>
        </is>
      </c>
      <c r="D140" s="4">
        <v>336.504825</v>
      </c>
      <c r="E140" s="0" t="inlineStr">
        <is>
          <t xml:space="preserve">BOLLINGER MISSISSIPPI SHIPBUILDING, LLC</t>
        </is>
      </c>
      <c r="F140" s="0" t="inlineStr">
        <is>
          <t xml:space="preserve">naics:336611</t>
        </is>
      </c>
    </row>
    <row r="141">
      <c r="B141" s="0" t="inlineStr">
        <is>
          <t xml:space="preserve">N0002423C2324</t>
        </is>
      </c>
      <c r="C141" s="0" t="inlineStr">
        <is>
          <t xml:space="preserve">broad_maritime</t>
        </is>
      </c>
      <c r="D141" s="4">
        <v>328.854777</v>
      </c>
      <c r="E141" s="0" t="inlineStr">
        <is>
          <t xml:space="preserve">HUNTINGTON INGALLS INCORPORATED</t>
        </is>
      </c>
      <c r="F141" s="0" t="inlineStr">
        <is>
          <t xml:space="preserve">naics:336611; psc:1905</t>
        </is>
      </c>
    </row>
    <row r="142">
      <c r="B142" s="0" t="inlineStr">
        <is>
          <t xml:space="preserve">N0002416C2415</t>
        </is>
      </c>
      <c r="C142" s="0" t="inlineStr">
        <is>
          <t xml:space="preserve">broad_maritime</t>
        </is>
      </c>
      <c r="D142" s="4">
        <v>307.32285098</v>
      </c>
      <c r="E142" s="0" t="inlineStr">
        <is>
          <t xml:space="preserve">HUNTINGTON INGALLS INCORPORATED</t>
        </is>
      </c>
      <c r="F142" s="0" t="inlineStr">
        <is>
          <t xml:space="preserve">naics:336611</t>
        </is>
      </c>
    </row>
    <row r="143">
      <c r="B143" s="0" t="inlineStr">
        <is>
          <t xml:space="preserve">N0002422C2300</t>
        </is>
      </c>
      <c r="C143" s="0" t="inlineStr">
        <is>
          <t xml:space="preserve">broad_maritime</t>
        </is>
      </c>
      <c r="D143" s="4">
        <v>305.851639</v>
      </c>
      <c r="E143" s="0" t="inlineStr">
        <is>
          <t xml:space="preserve">HUNTINGTON INGALLS INCORPORATED</t>
        </is>
      </c>
      <c r="F143" s="0" t="inlineStr">
        <is>
          <t xml:space="preserve">naics:336611; psc:1905</t>
        </is>
      </c>
    </row>
    <row r="144">
      <c r="B144" s="0" t="inlineStr">
        <is>
          <t xml:space="preserve">N0002418C2313</t>
        </is>
      </c>
      <c r="C144" s="0" t="inlineStr">
        <is>
          <t xml:space="preserve">broad_maritime</t>
        </is>
      </c>
      <c r="D144" s="4">
        <v>302.900871</v>
      </c>
      <c r="E144" s="0" t="inlineStr">
        <is>
          <t xml:space="preserve">BATH IRON WORKS CORPORATION</t>
        </is>
      </c>
      <c r="F144" s="0" t="inlineStr">
        <is>
          <t xml:space="preserve">naics:336611; psc:1905</t>
        </is>
      </c>
    </row>
    <row r="145">
      <c r="B145" s="0" t="inlineStr">
        <is>
          <t xml:space="preserve">N0002413C4315</t>
        </is>
      </c>
      <c r="C145" s="0" t="inlineStr">
        <is>
          <t xml:space="preserve">broad_maritime</t>
        </is>
      </c>
      <c r="D145" s="4">
        <v>301.79489023</v>
      </c>
      <c r="E145" s="0" t="inlineStr">
        <is>
          <t xml:space="preserve">HUNTINGTON INGALLS INC</t>
        </is>
      </c>
      <c r="F145" s="0" t="inlineStr">
        <is>
          <t xml:space="preserve">naics:336611; psc:1905</t>
        </is>
      </c>
    </row>
    <row r="146">
      <c r="B146" s="0" t="inlineStr">
        <is>
          <t xml:space="preserve">N0002404C2105</t>
        </is>
      </c>
      <c r="C146" s="0" t="inlineStr">
        <is>
          <t xml:space="preserve">broad_maritime</t>
        </is>
      </c>
      <c r="D146" s="4">
        <v>294.1796275</v>
      </c>
      <c r="E146" s="0" t="inlineStr">
        <is>
          <t xml:space="preserve">HUNTINGTON INGALLS INC</t>
        </is>
      </c>
      <c r="F146" s="0" t="inlineStr">
        <is>
          <t xml:space="preserve">naics:336611</t>
        </is>
      </c>
    </row>
    <row r="147">
      <c r="B147" s="0" t="inlineStr">
        <is>
          <t xml:space="preserve">N0002419C2322</t>
        </is>
      </c>
      <c r="C147" s="0" t="inlineStr">
        <is>
          <t xml:space="preserve">broad_maritime</t>
        </is>
      </c>
      <c r="D147" s="4">
        <v>286.484091</v>
      </c>
      <c r="E147" s="0" t="inlineStr">
        <is>
          <t xml:space="preserve">BATH IRON WORKS CORPORATION</t>
        </is>
      </c>
      <c r="F147" s="0" t="inlineStr">
        <is>
          <t xml:space="preserve">naics:336611; psc:1905</t>
        </is>
      </c>
    </row>
    <row r="148">
      <c r="B148" s="0" t="inlineStr">
        <is>
          <t xml:space="preserve">N0002407C2101</t>
        </is>
      </c>
      <c r="C148" s="0" t="inlineStr">
        <is>
          <t xml:space="preserve">broad_maritime</t>
        </is>
      </c>
      <c r="D148" s="4">
        <v>279.83693</v>
      </c>
      <c r="E148" s="0" t="inlineStr">
        <is>
          <t xml:space="preserve">BECHTEL PLANT MACHINERY, INC.</t>
        </is>
      </c>
      <c r="F148" s="0" t="inlineStr">
        <is>
          <t xml:space="preserve">naics:336611</t>
        </is>
      </c>
    </row>
    <row r="149">
      <c r="B149" s="0" t="inlineStr">
        <is>
          <t xml:space="preserve">N0002410C4405</t>
        </is>
      </c>
      <c r="C149" s="0" t="inlineStr">
        <is>
          <t xml:space="preserve">broad_maritime</t>
        </is>
      </c>
      <c r="D149" s="4">
        <v>278.82106775</v>
      </c>
      <c r="E149" s="0" t="inlineStr">
        <is>
          <t xml:space="preserve">MARINE HYDRAULICS INTERNATIONAL, LLC</t>
        </is>
      </c>
      <c r="F149" s="0" t="inlineStr">
        <is>
          <t xml:space="preserve">naics:336611</t>
        </is>
      </c>
    </row>
    <row r="150">
      <c r="B150" s="0" t="inlineStr">
        <is>
          <t xml:space="preserve">N0002425C4402</t>
        </is>
      </c>
      <c r="C150" s="0" t="inlineStr">
        <is>
          <t xml:space="preserve">broad_maritime</t>
        </is>
      </c>
      <c r="D150" s="4">
        <v>273.536166</v>
      </c>
      <c r="E150" s="0" t="inlineStr">
        <is>
          <t xml:space="preserve">VIGOR MARINE LLC</t>
        </is>
      </c>
      <c r="F150" s="0" t="inlineStr">
        <is>
          <t xml:space="preserve">naics:336611</t>
        </is>
      </c>
    </row>
    <row r="151">
      <c r="B151" s="0" t="inlineStr">
        <is>
          <t xml:space="preserve">N0002403C2200</t>
        </is>
      </c>
      <c r="C151" s="0" t="inlineStr">
        <is>
          <t xml:space="preserve">broad_maritime</t>
        </is>
      </c>
      <c r="D151" s="4">
        <v>270.864509</v>
      </c>
      <c r="E151" s="0" t="inlineStr">
        <is>
          <t xml:space="preserve">TEXTRON SYSTEMS CORP</t>
        </is>
      </c>
      <c r="F151" s="0" t="inlineStr">
        <is>
          <t xml:space="preserve">naics:336611</t>
        </is>
      </c>
    </row>
    <row r="152">
      <c r="B152" s="0" t="inlineStr">
        <is>
          <t xml:space="preserve">0004</t>
        </is>
      </c>
      <c r="C152" s="0" t="inlineStr">
        <is>
          <t xml:space="preserve">broad_maritime</t>
        </is>
      </c>
      <c r="D152" s="4">
        <v>268.29588803999997</v>
      </c>
      <c r="E152" s="0" t="inlineStr">
        <is>
          <t xml:space="preserve">HUNTINGTON INGALLS INC</t>
        </is>
      </c>
      <c r="F152" s="0" t="inlineStr">
        <is>
          <t xml:space="preserve">naics:336611</t>
        </is>
      </c>
    </row>
    <row r="153">
      <c r="B153" s="0" t="inlineStr">
        <is>
          <t xml:space="preserve">N0002410C4407</t>
        </is>
      </c>
      <c r="C153" s="0" t="inlineStr">
        <is>
          <t xml:space="preserve">broad_maritime</t>
        </is>
      </c>
      <c r="D153" s="4">
        <v>264.54937526</v>
      </c>
      <c r="E153" s="0" t="inlineStr">
        <is>
          <t xml:space="preserve">BAE SYSTEMS MARITIME SOLUTIONS SAN DIEGO INC.</t>
        </is>
      </c>
      <c r="F153" s="0" t="inlineStr">
        <is>
          <t xml:space="preserve">naics:336611</t>
        </is>
      </c>
    </row>
    <row r="154">
      <c r="B154" s="0" t="inlineStr">
        <is>
          <t xml:space="preserve">N0002422C4490</t>
        </is>
      </c>
      <c r="C154" s="0" t="inlineStr">
        <is>
          <t xml:space="preserve">broad_maritime</t>
        </is>
      </c>
      <c r="D154" s="4">
        <v>258.959199</v>
      </c>
      <c r="E154" s="0" t="inlineStr">
        <is>
          <t xml:space="preserve">METRO MACHINE CORP.</t>
        </is>
      </c>
      <c r="F154" s="0" t="inlineStr">
        <is>
          <t xml:space="preserve">naics:336611</t>
        </is>
      </c>
    </row>
    <row r="155">
      <c r="B155" s="0" t="inlineStr">
        <is>
          <t xml:space="preserve">N0002425C4411</t>
        </is>
      </c>
      <c r="C155" s="0" t="inlineStr">
        <is>
          <t xml:space="preserve">broad_maritime</t>
        </is>
      </c>
      <c r="D155" s="4">
        <v>254.89977616</v>
      </c>
      <c r="E155" s="0" t="inlineStr">
        <is>
          <t xml:space="preserve">BAE SYSTEMS MARITIME SOLUTIONS SAN DIEGO INC.</t>
        </is>
      </c>
      <c r="F155" s="0" t="inlineStr">
        <is>
          <t xml:space="preserve">naics:336611</t>
        </is>
      </c>
    </row>
    <row r="156">
      <c r="B156" s="0" t="inlineStr">
        <is>
          <t xml:space="preserve">N0002408C4416</t>
        </is>
      </c>
      <c r="C156" s="0" t="inlineStr">
        <is>
          <t xml:space="preserve">broad_maritime</t>
        </is>
      </c>
      <c r="D156" s="4">
        <v>252.16637565</v>
      </c>
      <c r="E156" s="0" t="inlineStr">
        <is>
          <t xml:space="preserve">VIGOR SHIPYARDS, LLC</t>
        </is>
      </c>
      <c r="F156" s="0" t="inlineStr">
        <is>
          <t xml:space="preserve">naics:336611</t>
        </is>
      </c>
    </row>
    <row r="157">
      <c r="B157" s="0" t="inlineStr">
        <is>
          <t xml:space="preserve">N0002422C2253</t>
        </is>
      </c>
      <c r="C157" s="0" t="inlineStr">
        <is>
          <t xml:space="preserve">broad_maritime</t>
        </is>
      </c>
      <c r="D157" s="4">
        <v>249.64834294999997</v>
      </c>
      <c r="E157" s="0" t="inlineStr">
        <is>
          <t xml:space="preserve">CONRAD SHIPYARD, L.L.C</t>
        </is>
      </c>
      <c r="F157" s="0" t="inlineStr">
        <is>
          <t xml:space="preserve">naics:336611</t>
        </is>
      </c>
    </row>
    <row r="158">
      <c r="B158" s="0" t="inlineStr">
        <is>
          <t xml:space="preserve">N0002423C4410</t>
        </is>
      </c>
      <c r="C158" s="0" t="inlineStr">
        <is>
          <t xml:space="preserve">broad_maritime</t>
        </is>
      </c>
      <c r="D158" s="4">
        <v>249.09538738999998</v>
      </c>
      <c r="E158" s="0" t="inlineStr">
        <is>
          <t xml:space="preserve">CONTINENTAL MARITIME OF SAN DIEGO, LLC</t>
        </is>
      </c>
      <c r="F158" s="0" t="inlineStr">
        <is>
          <t xml:space="preserve">naics:336611</t>
        </is>
      </c>
    </row>
    <row r="159">
      <c r="B159" s="0" t="inlineStr">
        <is>
          <t xml:space="preserve">N0002405C4404</t>
        </is>
      </c>
      <c r="C159" s="0" t="inlineStr">
        <is>
          <t xml:space="preserve">broad_maritime</t>
        </is>
      </c>
      <c r="D159" s="4">
        <v>248.31028300999998</v>
      </c>
      <c r="E159" s="0" t="inlineStr">
        <is>
          <t xml:space="preserve">BAE SYSTEMS MARITIME SOLUTIONS NORFOLK INC.</t>
        </is>
      </c>
      <c r="F159" s="0" t="inlineStr">
        <is>
          <t xml:space="preserve">naics:336611</t>
        </is>
      </c>
    </row>
    <row r="160">
      <c r="B160" s="0" t="inlineStr">
        <is>
          <t xml:space="preserve">N0002407C4404</t>
        </is>
      </c>
      <c r="C160" s="0" t="inlineStr">
        <is>
          <t xml:space="preserve">broad_maritime</t>
        </is>
      </c>
      <c r="D160" s="4">
        <v>245.117485</v>
      </c>
      <c r="E160" s="0" t="inlineStr">
        <is>
          <t xml:space="preserve">HUNTINGTON INGALLS INC</t>
        </is>
      </c>
      <c r="F160" s="0" t="inlineStr">
        <is>
          <t xml:space="preserve">naics:336611</t>
        </is>
      </c>
    </row>
    <row r="161">
      <c r="B161" s="0" t="inlineStr">
        <is>
          <t xml:space="preserve">N0002419C6402</t>
        </is>
      </c>
      <c r="C161" s="0" t="inlineStr">
        <is>
          <t xml:space="preserve">other_small</t>
        </is>
      </c>
      <c r="D161" s="4">
        <v>242.75469406</v>
      </c>
      <c r="E161" s="0" t="inlineStr">
        <is>
          <t xml:space="preserve">TELEDYNE BROWN ENGINEERING, INC.</t>
        </is>
      </c>
      <c r="F161" s="0" t="inlineStr">
        <is>
          <t xml:space="preserve">naics:336611; psc:1990</t>
        </is>
      </c>
    </row>
    <row r="162">
      <c r="B162" s="0" t="inlineStr">
        <is>
          <t xml:space="preserve">N0002421C4404</t>
        </is>
      </c>
      <c r="C162" s="0" t="inlineStr">
        <is>
          <t xml:space="preserve">broad_maritime</t>
        </is>
      </c>
      <c r="D162" s="4">
        <v>240.91211199999998</v>
      </c>
      <c r="E162" s="0" t="inlineStr">
        <is>
          <t xml:space="preserve">BAE SYSTEMS MARITIME SOLUTIONS NORFOLK INC.</t>
        </is>
      </c>
      <c r="F162" s="0" t="inlineStr">
        <is>
          <t xml:space="preserve">naics:336611</t>
        </is>
      </c>
    </row>
    <row r="163">
      <c r="B163" s="0" t="inlineStr">
        <is>
          <t xml:space="preserve">N0002409C2256</t>
        </is>
      </c>
      <c r="C163" s="0" t="inlineStr">
        <is>
          <t xml:space="preserve">small_craft</t>
        </is>
      </c>
      <c r="D163" s="4">
        <v>240.11744061000002</v>
      </c>
      <c r="E163" s="0" t="inlineStr">
        <is>
          <t xml:space="preserve">SWIFTSHIPS SHIPBUILDERS, L.L.C.</t>
        </is>
      </c>
      <c r="F163" s="0" t="inlineStr">
        <is>
          <t xml:space="preserve">naics:336612; psc:1940</t>
        </is>
      </c>
    </row>
    <row r="164">
      <c r="B164" s="0" t="inlineStr">
        <is>
          <t xml:space="preserve">N0002418C4321</t>
        </is>
      </c>
      <c r="C164" s="0" t="inlineStr">
        <is>
          <t xml:space="preserve">broad_maritime</t>
        </is>
      </c>
      <c r="D164" s="4">
        <v>238.591322</v>
      </c>
      <c r="E164" s="0" t="inlineStr">
        <is>
          <t xml:space="preserve">ELECTRIC BOAT CORPORATION</t>
        </is>
      </c>
      <c r="F164" s="0" t="inlineStr">
        <is>
          <t xml:space="preserve">naics:336611; psc:1905</t>
        </is>
      </c>
    </row>
    <row r="165">
      <c r="B165" s="0" t="inlineStr">
        <is>
          <t xml:space="preserve">N0002422C4420</t>
        </is>
      </c>
      <c r="C165" s="0" t="inlineStr">
        <is>
          <t xml:space="preserve">broad_maritime</t>
        </is>
      </c>
      <c r="D165" s="4">
        <v>238.53546504</v>
      </c>
      <c r="E165" s="0" t="inlineStr">
        <is>
          <t xml:space="preserve">BAE SYSTEMS MARITIME SOLUTIONS SAN DIEGO INC.</t>
        </is>
      </c>
      <c r="F165" s="0" t="inlineStr">
        <is>
          <t xml:space="preserve">naics:336611</t>
        </is>
      </c>
    </row>
    <row r="166">
      <c r="B166" s="0" t="inlineStr">
        <is>
          <t xml:space="preserve">N0002410C2203</t>
        </is>
      </c>
      <c r="C166" s="0" t="inlineStr">
        <is>
          <t xml:space="preserve">broad_maritime</t>
        </is>
      </c>
      <c r="D166" s="4">
        <v>236.09964603999998</v>
      </c>
      <c r="E166" s="0" t="inlineStr">
        <is>
          <t xml:space="preserve">HUNTINGTON INGALLS INCORPORATED</t>
        </is>
      </c>
      <c r="F166" s="0" t="inlineStr">
        <is>
          <t xml:space="preserve">naics:336611; psc:1905</t>
        </is>
      </c>
    </row>
    <row r="167">
      <c r="B167" s="0" t="inlineStr">
        <is>
          <t xml:space="preserve">N0002418C4403</t>
        </is>
      </c>
      <c r="C167" s="0" t="inlineStr">
        <is>
          <t xml:space="preserve">broad_maritime</t>
        </is>
      </c>
      <c r="D167" s="4">
        <v>233.139357</v>
      </c>
      <c r="E167" s="0" t="inlineStr">
        <is>
          <t xml:space="preserve">BAE SYSTEMS MARITIME SOLUTIONS NORFOLK INC.</t>
        </is>
      </c>
      <c r="F167" s="0" t="inlineStr">
        <is>
          <t xml:space="preserve">naics:336611</t>
        </is>
      </c>
    </row>
    <row r="168">
      <c r="B168" s="0" t="inlineStr">
        <is>
          <t xml:space="preserve">N0002420C4308</t>
        </is>
      </c>
      <c r="C168" s="0" t="inlineStr">
        <is>
          <t xml:space="preserve">broad_maritime</t>
        </is>
      </c>
      <c r="D168" s="4">
        <v>231.24466922</v>
      </c>
      <c r="E168" s="0" t="inlineStr">
        <is>
          <t xml:space="preserve">BAE SYSTEMS MARITIME SOLUTIONS SAN DIEGO INC.</t>
        </is>
      </c>
      <c r="F168" s="0" t="inlineStr">
        <is>
          <t xml:space="preserve">naics:336611</t>
        </is>
      </c>
    </row>
    <row r="169">
      <c r="B169" s="0" t="inlineStr">
        <is>
          <t xml:space="preserve">N0002412C2313</t>
        </is>
      </c>
      <c r="C169" s="0" t="inlineStr">
        <is>
          <t xml:space="preserve">broad_maritime</t>
        </is>
      </c>
      <c r="D169" s="4">
        <v>230.800854</v>
      </c>
      <c r="E169" s="0" t="inlineStr">
        <is>
          <t xml:space="preserve">BATH IRON WORKS CORPORATION</t>
        </is>
      </c>
      <c r="F169" s="0" t="inlineStr">
        <is>
          <t xml:space="preserve">psc:1905</t>
        </is>
      </c>
    </row>
    <row r="170">
      <c r="B170" s="0" t="inlineStr">
        <is>
          <t xml:space="preserve">N0002420C4446</t>
        </is>
      </c>
      <c r="C170" s="0" t="inlineStr">
        <is>
          <t xml:space="preserve">broad_maritime</t>
        </is>
      </c>
      <c r="D170" s="4">
        <v>230.29292365999999</v>
      </c>
      <c r="E170" s="0" t="inlineStr">
        <is>
          <t xml:space="preserve">BAE SYSTEMS MARITIME SOLUTIONS NORFOLK INC.</t>
        </is>
      </c>
      <c r="F170" s="0" t="inlineStr">
        <is>
          <t xml:space="preserve">naics:336611</t>
        </is>
      </c>
    </row>
    <row r="171">
      <c r="B171" s="0" t="inlineStr">
        <is>
          <t xml:space="preserve">N0002424C2331</t>
        </is>
      </c>
      <c r="C171" s="0" t="inlineStr">
        <is>
          <t xml:space="preserve">broad_maritime</t>
        </is>
      </c>
      <c r="D171" s="4">
        <v>224.998619</v>
      </c>
      <c r="E171" s="0" t="inlineStr">
        <is>
          <t xml:space="preserve">BATH IRON WORKS CORPORATION</t>
        </is>
      </c>
      <c r="F171" s="0" t="inlineStr">
        <is>
          <t xml:space="preserve">naics:336611; psc:1905</t>
        </is>
      </c>
    </row>
    <row r="172">
      <c r="B172" s="0" t="inlineStr">
        <is>
          <t xml:space="preserve">N0002407C4415</t>
        </is>
      </c>
      <c r="C172" s="0" t="inlineStr">
        <is>
          <t xml:space="preserve">broad_maritime</t>
        </is>
      </c>
      <c r="D172" s="4">
        <v>222.45540718</v>
      </c>
      <c r="E172" s="0" t="inlineStr">
        <is>
          <t xml:space="preserve">NATIONAL STEEL AND SHIPBUILDING COMPANY</t>
        </is>
      </c>
      <c r="F172" s="0" t="inlineStr">
        <is>
          <t xml:space="preserve">naics:336611</t>
        </is>
      </c>
    </row>
    <row r="173">
      <c r="B173" s="0" t="inlineStr">
        <is>
          <t xml:space="preserve">N0002418C4404</t>
        </is>
      </c>
      <c r="C173" s="0" t="inlineStr">
        <is>
          <t xml:space="preserve">broad_maritime</t>
        </is>
      </c>
      <c r="D173" s="4">
        <v>221.21054709999999</v>
      </c>
      <c r="E173" s="0" t="inlineStr">
        <is>
          <t xml:space="preserve">NATIONAL STEEL AND SHIPBUILDING COMPANY</t>
        </is>
      </c>
      <c r="F173" s="0" t="inlineStr">
        <is>
          <t xml:space="preserve">naics:336611</t>
        </is>
      </c>
    </row>
    <row r="174">
      <c r="B174" s="0" t="inlineStr">
        <is>
          <t xml:space="preserve">N0002422C2228</t>
        </is>
      </c>
      <c r="C174" s="0" t="inlineStr">
        <is>
          <t xml:space="preserve">broad_maritime</t>
        </is>
      </c>
      <c r="D174" s="4">
        <v>220.53782887999998</v>
      </c>
      <c r="E174" s="0" t="inlineStr">
        <is>
          <t xml:space="preserve">MARITIME APPLIED PHYSICS CORPORATION</t>
        </is>
      </c>
      <c r="F174" s="0" t="inlineStr">
        <is>
          <t xml:space="preserve">naics:336611; psc:1905</t>
        </is>
      </c>
    </row>
    <row r="175">
      <c r="B175" s="0" t="inlineStr">
        <is>
          <t xml:space="preserve">N0002418C4301</t>
        </is>
      </c>
      <c r="C175" s="0" t="inlineStr">
        <is>
          <t xml:space="preserve">broad_maritime</t>
        </is>
      </c>
      <c r="D175" s="4">
        <v>218.647437</v>
      </c>
      <c r="E175" s="0" t="inlineStr">
        <is>
          <t xml:space="preserve">ELECTRIC BOAT CORPORATION</t>
        </is>
      </c>
      <c r="F175" s="0" t="inlineStr">
        <is>
          <t xml:space="preserve">naics:336611; psc:1905</t>
        </is>
      </c>
    </row>
    <row r="176">
      <c r="B176" s="0" t="inlineStr">
        <is>
          <t xml:space="preserve">N4523A24C0551</t>
        </is>
      </c>
      <c r="C176" s="0" t="inlineStr">
        <is>
          <t xml:space="preserve">broad_maritime</t>
        </is>
      </c>
      <c r="D176" s="4">
        <v>217.04389193</v>
      </c>
      <c r="E176" s="0" t="inlineStr">
        <is>
          <t xml:space="preserve">VIGOR MARINE LLC</t>
        </is>
      </c>
      <c r="F176" s="0" t="inlineStr">
        <is>
          <t xml:space="preserve">naics:336611</t>
        </is>
      </c>
    </row>
    <row r="177">
      <c r="B177" s="0" t="inlineStr">
        <is>
          <t xml:space="preserve">N0002413C4308</t>
        </is>
      </c>
      <c r="C177" s="0" t="inlineStr">
        <is>
          <t xml:space="preserve">broad_maritime</t>
        </is>
      </c>
      <c r="D177" s="4">
        <v>214.83547299999998</v>
      </c>
      <c r="E177" s="0" t="inlineStr">
        <is>
          <t xml:space="preserve">ELECTRIC BOAT CORPORATION</t>
        </is>
      </c>
      <c r="F177" s="0" t="inlineStr">
        <is>
          <t xml:space="preserve">naics:336611; psc:1905</t>
        </is>
      </c>
    </row>
    <row r="178">
      <c r="B178" s="0" t="inlineStr">
        <is>
          <t xml:space="preserve">N0002424C4423</t>
        </is>
      </c>
      <c r="C178" s="0" t="inlineStr">
        <is>
          <t xml:space="preserve">broad_maritime</t>
        </is>
      </c>
      <c r="D178" s="4">
        <v>214.81255919999998</v>
      </c>
      <c r="E178" s="0" t="inlineStr">
        <is>
          <t xml:space="preserve">BAE SYSTEMS MARITIME SOLUTIONS SAN DIEGO INC.</t>
        </is>
      </c>
      <c r="F178" s="0" t="inlineStr">
        <is>
          <t xml:space="preserve">naics:336611</t>
        </is>
      </c>
    </row>
    <row r="179">
      <c r="B179" s="0" t="inlineStr">
        <is>
          <t xml:space="preserve">N0002419C2100</t>
        </is>
      </c>
      <c r="C179" s="0" t="inlineStr">
        <is>
          <t xml:space="preserve">broad_maritime</t>
        </is>
      </c>
      <c r="D179" s="4">
        <v>211.23321914</v>
      </c>
      <c r="E179" s="0" t="inlineStr">
        <is>
          <t xml:space="preserve">HUNTINGTON INGALLS INC</t>
        </is>
      </c>
      <c r="F179" s="0" t="inlineStr">
        <is>
          <t xml:space="preserve">naics:336611; psc:1905</t>
        </is>
      </c>
    </row>
    <row r="180">
      <c r="B180" s="0" t="inlineStr">
        <is>
          <t xml:space="preserve">N0002420C4468</t>
        </is>
      </c>
      <c r="C180" s="0" t="inlineStr">
        <is>
          <t xml:space="preserve">broad_maritime</t>
        </is>
      </c>
      <c r="D180" s="4">
        <v>208.58318644</v>
      </c>
      <c r="E180" s="0" t="inlineStr">
        <is>
          <t xml:space="preserve">BAE SYSTEMS JACKSONVILLE SHIP REPAIR LLC</t>
        </is>
      </c>
      <c r="F180" s="0" t="inlineStr">
        <is>
          <t xml:space="preserve">naics:336611</t>
        </is>
      </c>
    </row>
    <row r="181">
      <c r="B181" s="0" t="inlineStr">
        <is>
          <t xml:space="preserve">N0002406C2215</t>
        </is>
      </c>
      <c r="C181" s="0" t="inlineStr">
        <is>
          <t xml:space="preserve">broad_maritime</t>
        </is>
      </c>
      <c r="D181" s="4">
        <v>208.51695607</v>
      </c>
      <c r="E181" s="0" t="inlineStr">
        <is>
          <t xml:space="preserve">BOLLINGER MISSISSIPPI SHIPBUILDING, LLC</t>
        </is>
      </c>
      <c r="F181" s="0" t="inlineStr">
        <is>
          <t xml:space="preserve">naics:336611</t>
        </is>
      </c>
    </row>
    <row r="182">
      <c r="B182" s="0" t="inlineStr">
        <is>
          <t xml:space="preserve">N0002426C4405</t>
        </is>
      </c>
      <c r="C182" s="0" t="inlineStr">
        <is>
          <t xml:space="preserve">broad_maritime</t>
        </is>
      </c>
      <c r="D182" s="4">
        <v>204.160189</v>
      </c>
      <c r="E182" s="0" t="inlineStr">
        <is>
          <t xml:space="preserve">BAE SYSTEMS MARITIME SOLUTIONS NORFOLK INC.</t>
        </is>
      </c>
      <c r="F182" s="0" t="inlineStr">
        <is>
          <t xml:space="preserve">naics:336611</t>
        </is>
      </c>
    </row>
    <row r="183">
      <c r="B183" s="0" t="inlineStr">
        <is>
          <t xml:space="preserve">N4002506C9000</t>
        </is>
      </c>
      <c r="C183" s="0" t="inlineStr">
        <is>
          <t xml:space="preserve">broad_maritime</t>
        </is>
      </c>
      <c r="D183" s="4">
        <v>203.18401022999998</v>
      </c>
      <c r="E183" s="0" t="inlineStr">
        <is>
          <t xml:space="preserve">EARL INDUSTRIES, L.L.C.</t>
        </is>
      </c>
      <c r="F183" s="0" t="inlineStr">
        <is>
          <t xml:space="preserve">naics:336611</t>
        </is>
      </c>
    </row>
    <row r="184">
      <c r="B184" s="0" t="inlineStr">
        <is>
          <t xml:space="preserve">N0002403C2216</t>
        </is>
      </c>
      <c r="C184" s="0" t="inlineStr">
        <is>
          <t xml:space="preserve">broad_maritime</t>
        </is>
      </c>
      <c r="D184" s="4">
        <v>202.675701</v>
      </c>
      <c r="E184" s="0" t="inlineStr">
        <is>
          <t xml:space="preserve">BECHTEL PLANT MACHINERY, INC.</t>
        </is>
      </c>
      <c r="F184" s="0" t="inlineStr">
        <is>
          <t xml:space="preserve">naics:336611</t>
        </is>
      </c>
    </row>
    <row r="185">
      <c r="B185" s="0" t="inlineStr">
        <is>
          <t xml:space="preserve">N0002414C4321</t>
        </is>
      </c>
      <c r="C185" s="0" t="inlineStr">
        <is>
          <t xml:space="preserve">broad_maritime</t>
        </is>
      </c>
      <c r="D185" s="4">
        <v>199.98111111</v>
      </c>
      <c r="E185" s="0" t="inlineStr">
        <is>
          <t xml:space="preserve">METRO MACHINE CORP</t>
        </is>
      </c>
      <c r="F185" s="0" t="inlineStr">
        <is>
          <t xml:space="preserve">naics:336611</t>
        </is>
      </c>
    </row>
    <row r="186">
      <c r="B186" s="0" t="inlineStr">
        <is>
          <t xml:space="preserve">N0002418C4439</t>
        </is>
      </c>
      <c r="C186" s="0" t="inlineStr">
        <is>
          <t xml:space="preserve">broad_maritime</t>
        </is>
      </c>
      <c r="D186" s="4">
        <v>199.2527914</v>
      </c>
      <c r="E186" s="0" t="inlineStr">
        <is>
          <t xml:space="preserve">NATIONAL STEEL AND SHIPBUILDING COMPANY</t>
        </is>
      </c>
      <c r="F186" s="0" t="inlineStr">
        <is>
          <t xml:space="preserve">naics:336611</t>
        </is>
      </c>
    </row>
    <row r="187">
      <c r="B187" s="0" t="inlineStr">
        <is>
          <t xml:space="preserve">N0002419C2216</t>
        </is>
      </c>
      <c r="C187" s="0" t="inlineStr">
        <is>
          <t xml:space="preserve">broad_maritime</t>
        </is>
      </c>
      <c r="D187" s="4">
        <v>197.84300980999998</v>
      </c>
      <c r="E187" s="0" t="inlineStr">
        <is>
          <t xml:space="preserve">THOMA-SEA MARINE CONSTRUCTORS, L.L.C.</t>
        </is>
      </c>
      <c r="F187" s="0" t="inlineStr">
        <is>
          <t xml:space="preserve">naics:336611</t>
        </is>
      </c>
    </row>
    <row r="188">
      <c r="B188" s="0" t="inlineStr">
        <is>
          <t xml:space="preserve">N0002425C4404</t>
        </is>
      </c>
      <c r="C188" s="0" t="inlineStr">
        <is>
          <t xml:space="preserve">broad_maritime</t>
        </is>
      </c>
      <c r="D188" s="4">
        <v>196.63571084999998</v>
      </c>
      <c r="E188" s="0" t="inlineStr">
        <is>
          <t xml:space="preserve">NATIONAL STEEL AND SHIPBUILDING COMPANY</t>
        </is>
      </c>
      <c r="F188" s="0" t="inlineStr">
        <is>
          <t xml:space="preserve">naics:336611</t>
        </is>
      </c>
    </row>
    <row r="189">
      <c r="B189" s="0" t="inlineStr">
        <is>
          <t xml:space="preserve">N0002421C2103</t>
        </is>
      </c>
      <c r="C189" s="0" t="inlineStr">
        <is>
          <t xml:space="preserve">broad_maritime</t>
        </is>
      </c>
      <c r="D189" s="4">
        <v>193.84848</v>
      </c>
      <c r="E189" s="0" t="inlineStr">
        <is>
          <t xml:space="preserve">ELECTRIC BOAT CORPORATION</t>
        </is>
      </c>
      <c r="F189" s="0" t="inlineStr">
        <is>
          <t xml:space="preserve">psc:1905</t>
        </is>
      </c>
    </row>
    <row r="190">
      <c r="B190" s="0" t="inlineStr">
        <is>
          <t xml:space="preserve">N0002404C4152</t>
        </is>
      </c>
      <c r="C190" s="0" t="inlineStr">
        <is>
          <t xml:space="preserve">broad_maritime</t>
        </is>
      </c>
      <c r="D190" s="4">
        <v>192.9685395</v>
      </c>
      <c r="E190" s="0" t="inlineStr">
        <is>
          <t xml:space="preserve">PUGET SOUND COMMERCE CENTER, INC.</t>
        </is>
      </c>
      <c r="F190" s="0" t="inlineStr">
        <is>
          <t xml:space="preserve">naics:336611</t>
        </is>
      </c>
    </row>
    <row r="191">
      <c r="B191" s="0" t="inlineStr">
        <is>
          <t xml:space="preserve">N0002401C4010</t>
        </is>
      </c>
      <c r="C191" s="0" t="inlineStr">
        <is>
          <t xml:space="preserve">broad_maritime</t>
        </is>
      </c>
      <c r="D191" s="4">
        <v>189.908354</v>
      </c>
      <c r="E191" s="0" t="inlineStr">
        <is>
          <t xml:space="preserve">NEWPORT NEWS SHIPBUILDING INC</t>
        </is>
      </c>
      <c r="F191" s="0" t="inlineStr">
        <is>
          <t xml:space="preserve">naics:336611</t>
        </is>
      </c>
    </row>
    <row r="192">
      <c r="B192" s="0" t="inlineStr">
        <is>
          <t xml:space="preserve">N0002419C4313</t>
        </is>
      </c>
      <c r="C192" s="0" t="inlineStr">
        <is>
          <t xml:space="preserve">broad_maritime</t>
        </is>
      </c>
      <c r="D192" s="4">
        <v>189.82417150999999</v>
      </c>
      <c r="E192" s="0" t="inlineStr">
        <is>
          <t xml:space="preserve">HUNTINGTON INGALLS INCORPORATED</t>
        </is>
      </c>
      <c r="F192" s="0" t="inlineStr">
        <is>
          <t xml:space="preserve">naics:336611; psc:1905</t>
        </is>
      </c>
    </row>
    <row r="193">
      <c r="B193" s="0" t="inlineStr">
        <is>
          <t xml:space="preserve">N0002400C8514</t>
        </is>
      </c>
      <c r="C193" s="0" t="inlineStr">
        <is>
          <t xml:space="preserve">broad_maritime</t>
        </is>
      </c>
      <c r="D193" s="4">
        <v>187.57607308000001</v>
      </c>
      <c r="E193" s="0" t="inlineStr">
        <is>
          <t xml:space="preserve">VIGOR SHIPYARDS, LLC</t>
        </is>
      </c>
      <c r="F193" s="0" t="inlineStr">
        <is>
          <t xml:space="preserve">naics:336611</t>
        </is>
      </c>
    </row>
    <row r="194">
      <c r="B194" s="0" t="inlineStr">
        <is>
          <t xml:space="preserve">N0002424C2313</t>
        </is>
      </c>
      <c r="C194" s="0" t="inlineStr">
        <is>
          <t xml:space="preserve">broad_maritime</t>
        </is>
      </c>
      <c r="D194" s="4">
        <v>185.701009</v>
      </c>
      <c r="E194" s="0" t="inlineStr">
        <is>
          <t xml:space="preserve">BATH IRON WORKS CORPORATION</t>
        </is>
      </c>
      <c r="F194" s="0" t="inlineStr">
        <is>
          <t xml:space="preserve">naics:336611; psc:1905</t>
        </is>
      </c>
    </row>
    <row r="195">
      <c r="B195" s="0" t="inlineStr">
        <is>
          <t xml:space="preserve">N0038319F0VP0</t>
        </is>
      </c>
      <c r="C195" s="0" t="inlineStr">
        <is>
          <t xml:space="preserve">broad_maritime</t>
        </is>
      </c>
      <c r="D195" s="4">
        <v>184.8713355</v>
      </c>
      <c r="E195" s="0" t="inlineStr">
        <is>
          <t xml:space="preserve">RAYTHEON COMPANY</t>
        </is>
      </c>
      <c r="F195" s="0" t="inlineStr">
        <is>
          <t xml:space="preserve">naics:336611</t>
        </is>
      </c>
    </row>
    <row r="196">
      <c r="B196" s="0" t="inlineStr">
        <is>
          <t xml:space="preserve">N0002413C4311</t>
        </is>
      </c>
      <c r="C196" s="0" t="inlineStr">
        <is>
          <t xml:space="preserve">broad_maritime</t>
        </is>
      </c>
      <c r="D196" s="4">
        <v>184.11750999999998</v>
      </c>
      <c r="E196" s="0" t="inlineStr">
        <is>
          <t xml:space="preserve">ELECTRIC BOAT CORPORATION</t>
        </is>
      </c>
      <c r="F196" s="0" t="inlineStr">
        <is>
          <t xml:space="preserve">naics:336611; psc:1905</t>
        </is>
      </c>
    </row>
    <row r="197">
      <c r="B197" s="0" t="inlineStr">
        <is>
          <t xml:space="preserve">N0002424C4406</t>
        </is>
      </c>
      <c r="C197" s="0" t="inlineStr">
        <is>
          <t xml:space="preserve">broad_maritime</t>
        </is>
      </c>
      <c r="D197" s="4">
        <v>181.530568</v>
      </c>
      <c r="E197" s="0" t="inlineStr">
        <is>
          <t xml:space="preserve">MARINE HYDRAULICS INTERNATIONAL, LLC</t>
        </is>
      </c>
      <c r="F197" s="0" t="inlineStr">
        <is>
          <t xml:space="preserve">naics:336611</t>
        </is>
      </c>
    </row>
    <row r="198">
      <c r="B198" s="0" t="inlineStr">
        <is>
          <t xml:space="preserve">N0002418C4440</t>
        </is>
      </c>
      <c r="C198" s="0" t="inlineStr">
        <is>
          <t xml:space="preserve">broad_maritime</t>
        </is>
      </c>
      <c r="D198" s="4">
        <v>180.017079</v>
      </c>
      <c r="E198" s="0" t="inlineStr">
        <is>
          <t xml:space="preserve">BAE SYSTEMS MARITIME SOLUTIONS NORFOLK INC.</t>
        </is>
      </c>
      <c r="F198" s="0" t="inlineStr">
        <is>
          <t xml:space="preserve">naics:336611</t>
        </is>
      </c>
    </row>
    <row r="199">
      <c r="B199" s="0" t="inlineStr">
        <is>
          <t xml:space="preserve">N0002408C4405</t>
        </is>
      </c>
      <c r="C199" s="0" t="inlineStr">
        <is>
          <t xml:space="preserve">broad_maritime</t>
        </is>
      </c>
      <c r="D199" s="4">
        <v>178.06105</v>
      </c>
      <c r="E199" s="0" t="inlineStr">
        <is>
          <t xml:space="preserve">BAE SYSTEMS MARITIME SOLUTIONS SAN DIEGO INC.</t>
        </is>
      </c>
      <c r="F199" s="0" t="inlineStr">
        <is>
          <t xml:space="preserve">naics:336611</t>
        </is>
      </c>
    </row>
    <row r="200">
      <c r="B200" s="0" t="inlineStr">
        <is>
          <t xml:space="preserve">N4523A25F0302</t>
        </is>
      </c>
      <c r="C200" s="0" t="inlineStr">
        <is>
          <t xml:space="preserve">broad_maritime</t>
        </is>
      </c>
      <c r="D200" s="4">
        <v>176.410307</v>
      </c>
      <c r="E200" s="0" t="inlineStr">
        <is>
          <t xml:space="preserve">METRO MACHINE CORP</t>
        </is>
      </c>
      <c r="F200" s="0" t="inlineStr">
        <is>
          <t xml:space="preserve">naics:336611</t>
        </is>
      </c>
    </row>
    <row r="201">
      <c r="B201" s="0" t="inlineStr">
        <is>
          <t xml:space="preserve">N0002420C4203</t>
        </is>
      </c>
      <c r="C201" s="0" t="inlineStr">
        <is>
          <t xml:space="preserve">broad_maritime</t>
        </is>
      </c>
      <c r="D201" s="4">
        <v>175.9233732</v>
      </c>
      <c r="E201" s="0" t="inlineStr">
        <is>
          <t xml:space="preserve">HUNTINGTON INGALLS INCORPORATED</t>
        </is>
      </c>
      <c r="F201" s="0" t="inlineStr">
        <is>
          <t xml:space="preserve">naics:336611; psc:1905</t>
        </is>
      </c>
    </row>
    <row r="202">
      <c r="B202" s="0" t="inlineStr">
        <is>
          <t xml:space="preserve">N0002421C2201</t>
        </is>
      </c>
      <c r="C202" s="0" t="inlineStr">
        <is>
          <t xml:space="preserve">small_craft</t>
        </is>
      </c>
      <c r="D202" s="4">
        <v>173.87721466</v>
      </c>
      <c r="E202" s="0" t="inlineStr">
        <is>
          <t xml:space="preserve">SAFE BOATS INTERNATIONAL LLC</t>
        </is>
      </c>
      <c r="F202" s="0" t="inlineStr">
        <is>
          <t xml:space="preserve">naics:336612; psc:1940</t>
        </is>
      </c>
    </row>
    <row r="203">
      <c r="B203" s="0" t="inlineStr">
        <is>
          <t xml:space="preserve">N0002425C4415</t>
        </is>
      </c>
      <c r="C203" s="0" t="inlineStr">
        <is>
          <t xml:space="preserve">broad_maritime</t>
        </is>
      </c>
      <c r="D203" s="4">
        <v>173.30517428</v>
      </c>
      <c r="E203" s="0" t="inlineStr">
        <is>
          <t xml:space="preserve">BAE SYSTEMS MARITIME SOLUTIONS SAN DIEGO INC.</t>
        </is>
      </c>
      <c r="F203" s="0" t="inlineStr">
        <is>
          <t xml:space="preserve">naics:336611</t>
        </is>
      </c>
    </row>
    <row r="204">
      <c r="B204" s="0" t="inlineStr">
        <is>
          <t xml:space="preserve">N0002418C4429</t>
        </is>
      </c>
      <c r="C204" s="0" t="inlineStr">
        <is>
          <t xml:space="preserve">broad_maritime</t>
        </is>
      </c>
      <c r="D204" s="4">
        <v>171.52683939</v>
      </c>
      <c r="E204" s="0" t="inlineStr">
        <is>
          <t xml:space="preserve">METRO MACHINE CORP.</t>
        </is>
      </c>
      <c r="F204" s="0" t="inlineStr">
        <is>
          <t xml:space="preserve">naics:336611</t>
        </is>
      </c>
    </row>
    <row r="205">
      <c r="B205" s="0" t="inlineStr">
        <is>
          <t xml:space="preserve">N4523A22C0552</t>
        </is>
      </c>
      <c r="C205" s="0" t="inlineStr">
        <is>
          <t xml:space="preserve">broad_maritime</t>
        </is>
      </c>
      <c r="D205" s="4">
        <v>170.15138294999997</v>
      </c>
      <c r="E205" s="0" t="inlineStr">
        <is>
          <t xml:space="preserve">VIGOR MARINE LLC</t>
        </is>
      </c>
      <c r="F205" s="0" t="inlineStr">
        <is>
          <t xml:space="preserve">naics:336611</t>
        </is>
      </c>
    </row>
    <row r="206">
      <c r="B206" s="0" t="inlineStr">
        <is>
          <t xml:space="preserve">N0002421C2104</t>
        </is>
      </c>
      <c r="C206" s="0" t="inlineStr">
        <is>
          <t xml:space="preserve">broad_maritime</t>
        </is>
      </c>
      <c r="D206" s="4">
        <v>169.262736</v>
      </c>
      <c r="E206" s="0" t="inlineStr">
        <is>
          <t xml:space="preserve">HUNTINGTON INGALLS INC</t>
        </is>
      </c>
      <c r="F206" s="0" t="inlineStr">
        <is>
          <t xml:space="preserve">psc:1905</t>
        </is>
      </c>
    </row>
    <row r="207">
      <c r="B207" s="0" t="inlineStr">
        <is>
          <t xml:space="preserve">N0002423C4412</t>
        </is>
      </c>
      <c r="C207" s="0" t="inlineStr">
        <is>
          <t xml:space="preserve">broad_maritime</t>
        </is>
      </c>
      <c r="D207" s="4">
        <v>167.99242816999998</v>
      </c>
      <c r="E207" s="0" t="inlineStr">
        <is>
          <t xml:space="preserve">BAE SYSTEMS MARITIME SOLUTIONS NORFOLK INC.</t>
        </is>
      </c>
      <c r="F207" s="0" t="inlineStr">
        <is>
          <t xml:space="preserve">naics:336611</t>
        </is>
      </c>
    </row>
    <row r="208">
      <c r="B208" s="0" t="inlineStr">
        <is>
          <t xml:space="preserve">N0002419C2208</t>
        </is>
      </c>
      <c r="C208" s="0" t="inlineStr">
        <is>
          <t xml:space="preserve">other_small</t>
        </is>
      </c>
      <c r="D208" s="4">
        <v>166.50347725</v>
      </c>
      <c r="E208" s="0" t="inlineStr">
        <is>
          <t xml:space="preserve">BOLLINGER MISSISSIPPI SHIPBUILDING, LLC</t>
        </is>
      </c>
      <c r="F208" s="0" t="inlineStr">
        <is>
          <t xml:space="preserve">naics:336611; psc:1990</t>
        </is>
      </c>
    </row>
    <row r="209">
      <c r="B209" s="0" t="inlineStr">
        <is>
          <t xml:space="preserve">N0038325FNE02</t>
        </is>
      </c>
      <c r="C209" s="0" t="inlineStr">
        <is>
          <t xml:space="preserve">broad_maritime</t>
        </is>
      </c>
      <c r="D209" s="4">
        <v>164.91635399999998</v>
      </c>
      <c r="E209" s="0" t="inlineStr">
        <is>
          <t xml:space="preserve">RAYTHEON COMPANY</t>
        </is>
      </c>
      <c r="F209" s="0" t="inlineStr">
        <is>
          <t xml:space="preserve">naics:336611</t>
        </is>
      </c>
    </row>
    <row r="210">
      <c r="B210" s="0" t="inlineStr">
        <is>
          <t xml:space="preserve">N0002421C4417</t>
        </is>
      </c>
      <c r="C210" s="0" t="inlineStr">
        <is>
          <t xml:space="preserve">broad_maritime</t>
        </is>
      </c>
      <c r="D210" s="4">
        <v>160.69260799999998</v>
      </c>
      <c r="E210" s="0" t="inlineStr">
        <is>
          <t xml:space="preserve">METRO MACHINE CORP.</t>
        </is>
      </c>
      <c r="F210" s="0" t="inlineStr">
        <is>
          <t xml:space="preserve">naics:336611</t>
        </is>
      </c>
    </row>
    <row r="211">
      <c r="B211" s="0" t="inlineStr">
        <is>
          <t xml:space="preserve">N0002422C2463</t>
        </is>
      </c>
      <c r="C211" s="0" t="inlineStr">
        <is>
          <t xml:space="preserve">broad_maritime</t>
        </is>
      </c>
      <c r="D211" s="4">
        <v>160.0538939</v>
      </c>
      <c r="E211" s="0" t="inlineStr">
        <is>
          <t xml:space="preserve">AUSTAL USA, LLC</t>
        </is>
      </c>
      <c r="F211" s="0" t="inlineStr">
        <is>
          <t xml:space="preserve">naics:336611; psc:1905</t>
        </is>
      </c>
    </row>
    <row r="212">
      <c r="B212" s="0" t="inlineStr">
        <is>
          <t xml:space="preserve">N0002414C4313</t>
        </is>
      </c>
      <c r="C212" s="0" t="inlineStr">
        <is>
          <t xml:space="preserve">broad_maritime</t>
        </is>
      </c>
      <c r="D212" s="4">
        <v>158.74671597</v>
      </c>
      <c r="E212" s="0" t="inlineStr">
        <is>
          <t xml:space="preserve">BATH IRON WORKS CORPORATION</t>
        </is>
      </c>
      <c r="F212" s="0" t="inlineStr">
        <is>
          <t xml:space="preserve">naics:336611</t>
        </is>
      </c>
    </row>
    <row r="213">
      <c r="B213" s="0" t="inlineStr">
        <is>
          <t xml:space="preserve">N0002423C4413</t>
        </is>
      </c>
      <c r="C213" s="0" t="inlineStr">
        <is>
          <t xml:space="preserve">broad_maritime</t>
        </is>
      </c>
      <c r="D213" s="4">
        <v>156.63694012</v>
      </c>
      <c r="E213" s="0" t="inlineStr">
        <is>
          <t xml:space="preserve">METRO MACHINE CORP.</t>
        </is>
      </c>
      <c r="F213" s="0" t="inlineStr">
        <is>
          <t xml:space="preserve">naics:336611</t>
        </is>
      </c>
    </row>
    <row r="214">
      <c r="B214" s="0" t="inlineStr">
        <is>
          <t xml:space="preserve">N4523A20C0550</t>
        </is>
      </c>
      <c r="C214" s="0" t="inlineStr">
        <is>
          <t xml:space="preserve">broad_maritime</t>
        </is>
      </c>
      <c r="D214" s="4">
        <v>155.07278593</v>
      </c>
      <c r="E214" s="0" t="inlineStr">
        <is>
          <t xml:space="preserve">VIGOR MARINE LLC</t>
        </is>
      </c>
      <c r="F214" s="0" t="inlineStr">
        <is>
          <t xml:space="preserve">naics:336611</t>
        </is>
      </c>
    </row>
    <row r="215">
      <c r="B215" s="0" t="inlineStr">
        <is>
          <t xml:space="preserve">N0002417C4426</t>
        </is>
      </c>
      <c r="C215" s="0" t="inlineStr">
        <is>
          <t xml:space="preserve">broad_maritime</t>
        </is>
      </c>
      <c r="D215" s="4">
        <v>154.79178284</v>
      </c>
      <c r="E215" s="0" t="inlineStr">
        <is>
          <t xml:space="preserve">NATIONAL STEEL AND SHIPBUILDING COMPANY</t>
        </is>
      </c>
      <c r="F215" s="0" t="inlineStr">
        <is>
          <t xml:space="preserve">naics:336611</t>
        </is>
      </c>
    </row>
    <row r="216">
      <c r="B216" s="0" t="inlineStr">
        <is>
          <t xml:space="preserve">N0002410C2201</t>
        </is>
      </c>
      <c r="C216" s="0" t="inlineStr">
        <is>
          <t xml:space="preserve">other_small</t>
        </is>
      </c>
      <c r="D216" s="4">
        <v>153.64050672</v>
      </c>
      <c r="E216" s="0" t="inlineStr">
        <is>
          <t xml:space="preserve">DAKOTA CREEK INDUSTRIES INC</t>
        </is>
      </c>
      <c r="F216" s="0" t="inlineStr">
        <is>
          <t xml:space="preserve">naics:336611; psc:1925</t>
        </is>
      </c>
    </row>
    <row r="217">
      <c r="B217" s="0" t="inlineStr">
        <is>
          <t xml:space="preserve">N0002412C4301</t>
        </is>
      </c>
      <c r="C217" s="0" t="inlineStr">
        <is>
          <t xml:space="preserve">broad_maritime</t>
        </is>
      </c>
      <c r="D217" s="4">
        <v>153.566174</v>
      </c>
      <c r="E217" s="0" t="inlineStr">
        <is>
          <t xml:space="preserve">ELECTRIC BOAT CORPORATION</t>
        </is>
      </c>
      <c r="F217" s="0" t="inlineStr">
        <is>
          <t xml:space="preserve">naics:336611; psc:1905</t>
        </is>
      </c>
    </row>
    <row r="218">
      <c r="B218" s="0" t="inlineStr">
        <is>
          <t xml:space="preserve">N4523A21F0305</t>
        </is>
      </c>
      <c r="C218" s="0" t="inlineStr">
        <is>
          <t xml:space="preserve">broad_maritime</t>
        </is>
      </c>
      <c r="D218" s="4">
        <v>153.28113546</v>
      </c>
      <c r="E218" s="0" t="inlineStr">
        <is>
          <t xml:space="preserve">METRO MACHINE CORP</t>
        </is>
      </c>
      <c r="F218" s="0" t="inlineStr">
        <is>
          <t xml:space="preserve">naics:336611</t>
        </is>
      </c>
    </row>
    <row r="219">
      <c r="B219" s="0" t="inlineStr">
        <is>
          <t xml:space="preserve">N0002418C2401</t>
        </is>
      </c>
      <c r="C219" s="0" t="inlineStr">
        <is>
          <t xml:space="preserve">broad_maritime</t>
        </is>
      </c>
      <c r="D219" s="4">
        <v>152.46157506</v>
      </c>
      <c r="E219" s="0" t="inlineStr">
        <is>
          <t xml:space="preserve">SWIFTSHIPS, LLC</t>
        </is>
      </c>
      <c r="F219" s="0" t="inlineStr">
        <is>
          <t xml:space="preserve">naics:336611; psc:1905</t>
        </is>
      </c>
    </row>
    <row r="220">
      <c r="B220" s="0" t="inlineStr">
        <is>
          <t xml:space="preserve">N6238715C2502</t>
        </is>
      </c>
      <c r="C220" s="0" t="inlineStr">
        <is>
          <t xml:space="preserve">small_craft</t>
        </is>
      </c>
      <c r="D220" s="4">
        <v>152.0</v>
      </c>
      <c r="E220" s="0" t="inlineStr">
        <is>
          <t xml:space="preserve">HORNBECK OFFSHORE SERVICES LLC</t>
        </is>
      </c>
      <c r="F220" s="0" t="inlineStr">
        <is>
          <t xml:space="preserve">naics:336611; psc:1940</t>
        </is>
      </c>
    </row>
    <row r="221">
      <c r="B221" s="0" t="inlineStr">
        <is>
          <t xml:space="preserve">N0002424C2134</t>
        </is>
      </c>
      <c r="C221" s="0" t="inlineStr">
        <is>
          <t xml:space="preserve">broad_maritime</t>
        </is>
      </c>
      <c r="D221" s="4">
        <v>151.999</v>
      </c>
      <c r="E221" s="0" t="inlineStr">
        <is>
          <t xml:space="preserve">AUSTAL USA, LLC</t>
        </is>
      </c>
      <c r="F221" s="0" t="inlineStr">
        <is>
          <t xml:space="preserve">naics:336611; psc:1905</t>
        </is>
      </c>
    </row>
    <row r="222">
      <c r="B222" s="0" t="inlineStr">
        <is>
          <t xml:space="preserve">N0002422C2243</t>
        </is>
      </c>
      <c r="C222" s="0" t="inlineStr">
        <is>
          <t xml:space="preserve">broad_maritime</t>
        </is>
      </c>
      <c r="D222" s="4">
        <v>140.79573399999998</v>
      </c>
      <c r="E222" s="0" t="inlineStr">
        <is>
          <t xml:space="preserve">AUSTAL USA, LLC</t>
        </is>
      </c>
      <c r="F222" s="0" t="inlineStr">
        <is>
          <t xml:space="preserve">naics:336611</t>
        </is>
      </c>
    </row>
    <row r="223">
      <c r="B223" s="0" t="inlineStr">
        <is>
          <t xml:space="preserve">N0038325F0NE1</t>
        </is>
      </c>
      <c r="C223" s="0" t="inlineStr">
        <is>
          <t xml:space="preserve">broad_maritime</t>
        </is>
      </c>
      <c r="D223" s="4">
        <v>139.350476</v>
      </c>
      <c r="E223" s="0" t="inlineStr">
        <is>
          <t xml:space="preserve">RAYTHEON COMPANY</t>
        </is>
      </c>
      <c r="F223" s="0" t="inlineStr">
        <is>
          <t xml:space="preserve">naics:336611</t>
        </is>
      </c>
    </row>
    <row r="224">
      <c r="B224" s="0" t="inlineStr">
        <is>
          <t xml:space="preserve">N0002419C4450</t>
        </is>
      </c>
      <c r="C224" s="0" t="inlineStr">
        <is>
          <t xml:space="preserve">broad_maritime</t>
        </is>
      </c>
      <c r="D224" s="4">
        <v>138.97753163</v>
      </c>
      <c r="E224" s="0" t="inlineStr">
        <is>
          <t xml:space="preserve">MARINE HYDRAULICS INTERNATIONAL, LLC</t>
        </is>
      </c>
      <c r="F224" s="0" t="inlineStr">
        <is>
          <t xml:space="preserve">naics:336611</t>
        </is>
      </c>
    </row>
    <row r="225">
      <c r="B225" s="0" t="inlineStr">
        <is>
          <t xml:space="preserve">N0002423C4300</t>
        </is>
      </c>
      <c r="C225" s="0" t="inlineStr">
        <is>
          <t xml:space="preserve">broad_maritime</t>
        </is>
      </c>
      <c r="D225" s="4">
        <v>138.257</v>
      </c>
      <c r="E225" s="0" t="inlineStr">
        <is>
          <t xml:space="preserve">ELECTRIC BOAT CORPORATION</t>
        </is>
      </c>
      <c r="F225" s="0" t="inlineStr">
        <is>
          <t xml:space="preserve">naics:336611; psc:1905</t>
        </is>
      </c>
    </row>
    <row r="226">
      <c r="B226" s="0" t="inlineStr">
        <is>
          <t xml:space="preserve">N0002412C4405</t>
        </is>
      </c>
      <c r="C226" s="0" t="inlineStr">
        <is>
          <t xml:space="preserve">broad_maritime</t>
        </is>
      </c>
      <c r="D226" s="4">
        <v>137.67271202</v>
      </c>
      <c r="E226" s="0" t="inlineStr">
        <is>
          <t xml:space="preserve">BAE SYSTEMS HAWAII SHIPYARDS INC.</t>
        </is>
      </c>
      <c r="F226" s="0" t="inlineStr">
        <is>
          <t xml:space="preserve">naics:336611</t>
        </is>
      </c>
    </row>
    <row r="227">
      <c r="B227" s="0" t="inlineStr">
        <is>
          <t xml:space="preserve">N0002419C4448</t>
        </is>
      </c>
      <c r="C227" s="0" t="inlineStr">
        <is>
          <t xml:space="preserve">broad_maritime</t>
        </is>
      </c>
      <c r="D227" s="4">
        <v>137.3764409</v>
      </c>
      <c r="E227" s="0" t="inlineStr">
        <is>
          <t xml:space="preserve">BAE SYSTEMS MARITIME SOLUTIONS NORFOLK INC.</t>
        </is>
      </c>
      <c r="F227" s="0" t="inlineStr">
        <is>
          <t xml:space="preserve">naics:336611</t>
        </is>
      </c>
    </row>
    <row r="228">
      <c r="B228" s="0" t="inlineStr">
        <is>
          <t xml:space="preserve">N0002417C4409</t>
        </is>
      </c>
      <c r="C228" s="0" t="inlineStr">
        <is>
          <t xml:space="preserve">broad_maritime</t>
        </is>
      </c>
      <c r="D228" s="4">
        <v>136.32350299</v>
      </c>
      <c r="E228" s="0" t="inlineStr">
        <is>
          <t xml:space="preserve">BAE SYSTEMS MARITIME SOLUTIONS NORFOLK INC.</t>
        </is>
      </c>
      <c r="F228" s="0" t="inlineStr">
        <is>
          <t xml:space="preserve">naics:336611</t>
        </is>
      </c>
    </row>
    <row r="229">
      <c r="B229" s="0" t="inlineStr">
        <is>
          <t xml:space="preserve">N0002426C4403</t>
        </is>
      </c>
      <c r="C229" s="0" t="inlineStr">
        <is>
          <t xml:space="preserve">broad_maritime</t>
        </is>
      </c>
      <c r="D229" s="4">
        <v>134.982404</v>
      </c>
      <c r="E229" s="0" t="inlineStr">
        <is>
          <t xml:space="preserve">BAE SYSTEMS MARITIME SOLUTIONS NORFOLK INC.</t>
        </is>
      </c>
      <c r="F229" s="0" t="inlineStr">
        <is>
          <t xml:space="preserve">naics:336611</t>
        </is>
      </c>
    </row>
    <row r="230">
      <c r="B230" s="0" t="inlineStr">
        <is>
          <t xml:space="preserve">N0002425C2127</t>
        </is>
      </c>
      <c r="C230" s="0" t="inlineStr">
        <is>
          <t xml:space="preserve">broad_maritime</t>
        </is>
      </c>
      <c r="D230" s="4">
        <v>134.710841</v>
      </c>
      <c r="E230" s="0" t="inlineStr">
        <is>
          <t xml:space="preserve">HUNTINGTON INGALLS INC</t>
        </is>
      </c>
      <c r="F230" s="0" t="inlineStr">
        <is>
          <t xml:space="preserve">naics:336611; psc:1905</t>
        </is>
      </c>
    </row>
    <row r="231">
      <c r="B231" s="0" t="inlineStr">
        <is>
          <t xml:space="preserve">N0002425C4412</t>
        </is>
      </c>
      <c r="C231" s="0" t="inlineStr">
        <is>
          <t xml:space="preserve">broad_maritime</t>
        </is>
      </c>
      <c r="D231" s="4">
        <v>134.2762614</v>
      </c>
      <c r="E231" s="0" t="inlineStr">
        <is>
          <t xml:space="preserve">BAE SYSTEMS MARITIME SOLUTIONS NORFOLK INC.</t>
        </is>
      </c>
      <c r="F231" s="0" t="inlineStr">
        <is>
          <t xml:space="preserve">naics:336611</t>
        </is>
      </c>
    </row>
    <row r="232">
      <c r="B232" s="0" t="inlineStr">
        <is>
          <t xml:space="preserve">N0002420C4400</t>
        </is>
      </c>
      <c r="C232" s="0" t="inlineStr">
        <is>
          <t xml:space="preserve">broad_maritime</t>
        </is>
      </c>
      <c r="D232" s="4">
        <v>130.75817304</v>
      </c>
      <c r="E232" s="0" t="inlineStr">
        <is>
          <t xml:space="preserve">BAE SYSTEMS MARITIME SOLUTIONS SAN DIEGO INC.</t>
        </is>
      </c>
      <c r="F232" s="0" t="inlineStr">
        <is>
          <t xml:space="preserve">naics:336611</t>
        </is>
      </c>
    </row>
    <row r="233">
      <c r="B233" s="0" t="inlineStr">
        <is>
          <t xml:space="preserve">N0002412C2312</t>
        </is>
      </c>
      <c r="C233" s="0" t="inlineStr">
        <is>
          <t xml:space="preserve">broad_maritime</t>
        </is>
      </c>
      <c r="D233" s="4">
        <v>129.777963</v>
      </c>
      <c r="E233" s="0" t="inlineStr">
        <is>
          <t xml:space="preserve">HUNTINGTON INGALLS INCORPORATED</t>
        </is>
      </c>
      <c r="F233" s="0" t="inlineStr">
        <is>
          <t xml:space="preserve">psc:1905</t>
        </is>
      </c>
    </row>
    <row r="234">
      <c r="B234" s="0" t="inlineStr">
        <is>
          <t xml:space="preserve">N0002425C4400</t>
        </is>
      </c>
      <c r="C234" s="0" t="inlineStr">
        <is>
          <t xml:space="preserve">broad_maritime</t>
        </is>
      </c>
      <c r="D234" s="4">
        <v>128.155842</v>
      </c>
      <c r="E234" s="0" t="inlineStr">
        <is>
          <t xml:space="preserve">METRO MACHINE CORP.</t>
        </is>
      </c>
      <c r="F234" s="0" t="inlineStr">
        <is>
          <t xml:space="preserve">naics:336611</t>
        </is>
      </c>
    </row>
    <row r="235">
      <c r="B235" s="0" t="inlineStr">
        <is>
          <t xml:space="preserve">N0002421C2451</t>
        </is>
      </c>
      <c r="C235" s="0" t="inlineStr">
        <is>
          <t xml:space="preserve">broad_maritime</t>
        </is>
      </c>
      <c r="D235" s="4">
        <v>127.65195456999999</v>
      </c>
      <c r="E235" s="0" t="inlineStr">
        <is>
          <t xml:space="preserve">BAE SYSTEMS MARITIME SOLUTIONS NORFOLK INC.</t>
        </is>
      </c>
      <c r="F235" s="0" t="inlineStr">
        <is>
          <t xml:space="preserve">naics:336611; psc:1905</t>
        </is>
      </c>
    </row>
    <row r="236">
      <c r="B236" s="0" t="inlineStr">
        <is>
          <t xml:space="preserve">N0002407C2302</t>
        </is>
      </c>
      <c r="C236" s="0" t="inlineStr">
        <is>
          <t xml:space="preserve">broad_maritime</t>
        </is>
      </c>
      <c r="D236" s="4">
        <v>127.09006099999999</v>
      </c>
      <c r="E236" s="0" t="inlineStr">
        <is>
          <t xml:space="preserve">HUNTINGTON INGALLS INCORPORATED</t>
        </is>
      </c>
      <c r="F236" s="0" t="inlineStr">
        <is>
          <t xml:space="preserve">naics:336611</t>
        </is>
      </c>
    </row>
    <row r="237">
      <c r="B237" s="0" t="inlineStr">
        <is>
          <t xml:space="preserve">N0002421C4405</t>
        </is>
      </c>
      <c r="C237" s="0" t="inlineStr">
        <is>
          <t xml:space="preserve">broad_maritime</t>
        </is>
      </c>
      <c r="D237" s="4">
        <v>127.06496041</v>
      </c>
      <c r="E237" s="0" t="inlineStr">
        <is>
          <t xml:space="preserve">NATIONAL STEEL AND SHIPBUILDING COMPANY</t>
        </is>
      </c>
      <c r="F237" s="0" t="inlineStr">
        <is>
          <t xml:space="preserve">naics:336611</t>
        </is>
      </c>
    </row>
    <row r="238">
      <c r="B238" s="0" t="inlineStr">
        <is>
          <t xml:space="preserve">N0002423C4486</t>
        </is>
      </c>
      <c r="C238" s="0" t="inlineStr">
        <is>
          <t xml:space="preserve">broad_maritime</t>
        </is>
      </c>
      <c r="D238" s="4">
        <v>127.00744934999999</v>
      </c>
      <c r="E238" s="0" t="inlineStr">
        <is>
          <t xml:space="preserve">BAE SYSTEMS JACKSONVILLE SHIP REPAIR LLC</t>
        </is>
      </c>
      <c r="F238" s="0" t="inlineStr">
        <is>
          <t xml:space="preserve">naics:336611</t>
        </is>
      </c>
    </row>
    <row r="239">
      <c r="B239" s="0" t="inlineStr">
        <is>
          <t xml:space="preserve">N0002420C2320</t>
        </is>
      </c>
      <c r="C239" s="0" t="inlineStr">
        <is>
          <t xml:space="preserve">broad_maritime</t>
        </is>
      </c>
      <c r="D239" s="4">
        <v>126.02301</v>
      </c>
      <c r="E239" s="0" t="inlineStr">
        <is>
          <t xml:space="preserve">BAE SYSTEMS JACKSONVILLE SHIP REPAIR LLC</t>
        </is>
      </c>
      <c r="F239" s="0" t="inlineStr">
        <is>
          <t xml:space="preserve">naics:336611; psc:1905</t>
        </is>
      </c>
    </row>
    <row r="240">
      <c r="B240" s="0" t="inlineStr">
        <is>
          <t xml:space="preserve">N0002420C4315</t>
        </is>
      </c>
      <c r="C240" s="0" t="inlineStr">
        <is>
          <t xml:space="preserve">broad_maritime</t>
        </is>
      </c>
      <c r="D240" s="4">
        <v>125.54503014</v>
      </c>
      <c r="E240" s="0" t="inlineStr">
        <is>
          <t xml:space="preserve">OCEANEERING INTERNATIONAL INC</t>
        </is>
      </c>
      <c r="F240" s="0" t="inlineStr">
        <is>
          <t xml:space="preserve">naics:336611</t>
        </is>
      </c>
    </row>
    <row r="241">
      <c r="B241" s="0" t="inlineStr">
        <is>
          <t xml:space="preserve">N0002421C2443</t>
        </is>
      </c>
      <c r="C241" s="0" t="inlineStr">
        <is>
          <t xml:space="preserve">broad_maritime</t>
        </is>
      </c>
      <c r="D241" s="4">
        <v>124.64912762</v>
      </c>
      <c r="E241" s="0" t="inlineStr">
        <is>
          <t xml:space="preserve">HUNTINGTON INGALLS INCORPORATED</t>
        </is>
      </c>
      <c r="F241" s="0" t="inlineStr">
        <is>
          <t xml:space="preserve">naics:336611</t>
        </is>
      </c>
    </row>
    <row r="242">
      <c r="B242" s="0" t="inlineStr">
        <is>
          <t xml:space="preserve">N0002425C4427</t>
        </is>
      </c>
      <c r="C242" s="0" t="inlineStr">
        <is>
          <t xml:space="preserve">broad_maritime</t>
        </is>
      </c>
      <c r="D242" s="4">
        <v>124.61392201</v>
      </c>
      <c r="E242" s="0" t="inlineStr">
        <is>
          <t xml:space="preserve">METRO MACHINE CORP.</t>
        </is>
      </c>
      <c r="F242" s="0" t="inlineStr">
        <is>
          <t xml:space="preserve">naics:336611</t>
        </is>
      </c>
    </row>
    <row r="243">
      <c r="B243" s="0" t="inlineStr">
        <is>
          <t xml:space="preserve">N0002415C2414</t>
        </is>
      </c>
      <c r="C243" s="0" t="inlineStr">
        <is>
          <t xml:space="preserve">broad_maritime</t>
        </is>
      </c>
      <c r="D243" s="4">
        <v>124.36900468</v>
      </c>
      <c r="E243" s="0" t="inlineStr">
        <is>
          <t xml:space="preserve">RAYTHEON COMPANY</t>
        </is>
      </c>
      <c r="F243" s="0" t="inlineStr">
        <is>
          <t xml:space="preserve">naics:336611</t>
        </is>
      </c>
    </row>
    <row r="244">
      <c r="B244" s="0" t="inlineStr">
        <is>
          <t xml:space="preserve">N0002420C4460</t>
        </is>
      </c>
      <c r="C244" s="0" t="inlineStr">
        <is>
          <t xml:space="preserve">broad_maritime</t>
        </is>
      </c>
      <c r="D244" s="4">
        <v>123.152963</v>
      </c>
      <c r="E244" s="0" t="inlineStr">
        <is>
          <t xml:space="preserve">METRO MACHINE CORP.</t>
        </is>
      </c>
      <c r="F244" s="0" t="inlineStr">
        <is>
          <t xml:space="preserve">naics:336611</t>
        </is>
      </c>
    </row>
    <row r="245">
      <c r="B245" s="0" t="inlineStr">
        <is>
          <t xml:space="preserve">N0002418C2312</t>
        </is>
      </c>
      <c r="C245" s="0" t="inlineStr">
        <is>
          <t xml:space="preserve">broad_maritime</t>
        </is>
      </c>
      <c r="D245" s="4">
        <v>122.862573</v>
      </c>
      <c r="E245" s="0" t="inlineStr">
        <is>
          <t xml:space="preserve">HUNTINGTON INGALLS INCORPORATED</t>
        </is>
      </c>
      <c r="F245" s="0" t="inlineStr">
        <is>
          <t xml:space="preserve">naics:336611; psc:1905</t>
        </is>
      </c>
    </row>
    <row r="246">
      <c r="B246" s="0" t="inlineStr">
        <is>
          <t xml:space="preserve">N5005424FP009</t>
        </is>
      </c>
      <c r="C246" s="0" t="inlineStr">
        <is>
          <t xml:space="preserve">broad_maritime</t>
        </is>
      </c>
      <c r="D246" s="4">
        <v>122.847174</v>
      </c>
      <c r="E246" s="0" t="inlineStr">
        <is>
          <t xml:space="preserve">METRO MACHINE CORP.</t>
        </is>
      </c>
      <c r="F246" s="0" t="inlineStr">
        <is>
          <t xml:space="preserve">naics:336611; psc:1905</t>
        </is>
      </c>
    </row>
    <row r="247">
      <c r="B247" s="0" t="inlineStr">
        <is>
          <t xml:space="preserve">N0002411C4401</t>
        </is>
      </c>
      <c r="C247" s="0" t="inlineStr">
        <is>
          <t xml:space="preserve">broad_maritime</t>
        </is>
      </c>
      <c r="D247" s="4">
        <v>121.54491857999999</v>
      </c>
      <c r="E247" s="0" t="inlineStr">
        <is>
          <t xml:space="preserve">PUGET SOUND COMMERCE CENTER, INC.</t>
        </is>
      </c>
      <c r="F247" s="0" t="inlineStr">
        <is>
          <t xml:space="preserve">naics:336611</t>
        </is>
      </c>
    </row>
    <row r="248">
      <c r="B248" s="0" t="inlineStr">
        <is>
          <t xml:space="preserve">N0002422C4422</t>
        </is>
      </c>
      <c r="C248" s="0" t="inlineStr">
        <is>
          <t xml:space="preserve">broad_maritime</t>
        </is>
      </c>
      <c r="D248" s="4">
        <v>119.67147918999999</v>
      </c>
      <c r="E248" s="0" t="inlineStr">
        <is>
          <t xml:space="preserve">BAE SYSTEMS MARITIME SOLUTIONS NORFOLK INC.</t>
        </is>
      </c>
      <c r="F248" s="0" t="inlineStr">
        <is>
          <t xml:space="preserve">naics:336611</t>
        </is>
      </c>
    </row>
    <row r="249">
      <c r="B249" s="0" t="inlineStr">
        <is>
          <t xml:space="preserve">N0002417C2104</t>
        </is>
      </c>
      <c r="C249" s="0" t="inlineStr">
        <is>
          <t xml:space="preserve">broad_maritime</t>
        </is>
      </c>
      <c r="D249" s="4">
        <v>119.155924</v>
      </c>
      <c r="E249" s="0" t="inlineStr">
        <is>
          <t xml:space="preserve">ELECTRIC BOAT CORPORATION</t>
        </is>
      </c>
      <c r="F249" s="0" t="inlineStr">
        <is>
          <t xml:space="preserve">psc:1905</t>
        </is>
      </c>
    </row>
    <row r="250">
      <c r="B250" s="0" t="inlineStr">
        <is>
          <t xml:space="preserve">N0002421C4478</t>
        </is>
      </c>
      <c r="C250" s="0" t="inlineStr">
        <is>
          <t xml:space="preserve">broad_maritime</t>
        </is>
      </c>
      <c r="D250" s="4">
        <v>118.67477654</v>
      </c>
      <c r="E250" s="0" t="inlineStr">
        <is>
          <t xml:space="preserve">NATIONAL STEEL AND SHIPBUILDING COMPANY</t>
        </is>
      </c>
      <c r="F250" s="0" t="inlineStr">
        <is>
          <t xml:space="preserve">naics:336611</t>
        </is>
      </c>
    </row>
    <row r="251">
      <c r="B251" s="0" t="inlineStr">
        <is>
          <t xml:space="preserve">N0002412C2100</t>
        </is>
      </c>
      <c r="C251" s="0" t="inlineStr">
        <is>
          <t xml:space="preserve">broad_maritime</t>
        </is>
      </c>
      <c r="D251" s="4">
        <v>116.920919</v>
      </c>
      <c r="E251" s="0" t="inlineStr">
        <is>
          <t xml:space="preserve">ELECTRIC BOAT CORPORATION</t>
        </is>
      </c>
      <c r="F251" s="0" t="inlineStr">
        <is>
          <t xml:space="preserve">psc:1905</t>
        </is>
      </c>
    </row>
    <row r="252">
      <c r="B252" s="0" t="inlineStr">
        <is>
          <t xml:space="preserve">N0002425C4421</t>
        </is>
      </c>
      <c r="C252" s="0" t="inlineStr">
        <is>
          <t xml:space="preserve">broad_maritime</t>
        </is>
      </c>
      <c r="D252" s="4">
        <v>116.71614862999999</v>
      </c>
      <c r="E252" s="0" t="inlineStr">
        <is>
          <t xml:space="preserve">BAE SYSTEMS JACKSONVILLE SHIP REPAIR LLC</t>
        </is>
      </c>
      <c r="F252" s="0" t="inlineStr">
        <is>
          <t xml:space="preserve">naics:336611</t>
        </is>
      </c>
    </row>
    <row r="253">
      <c r="B253" s="0" t="inlineStr">
        <is>
          <t xml:space="preserve">N0002422C6305</t>
        </is>
      </c>
      <c r="C253" s="0" t="inlineStr">
        <is>
          <t xml:space="preserve">small_craft</t>
        </is>
      </c>
      <c r="D253" s="4">
        <v>116.47118083</v>
      </c>
      <c r="E253" s="0" t="inlineStr">
        <is>
          <t xml:space="preserve">BOLLINGER SHIPYARDS LOCKPORT, L.L.C.</t>
        </is>
      </c>
      <c r="F253" s="0" t="inlineStr">
        <is>
          <t xml:space="preserve">naics:336611; psc:1940</t>
        </is>
      </c>
    </row>
    <row r="254">
      <c r="B254" s="0" t="inlineStr">
        <is>
          <t xml:space="preserve">N0002413C6403</t>
        </is>
      </c>
      <c r="C254" s="0" t="inlineStr">
        <is>
          <t xml:space="preserve">broad_maritime</t>
        </is>
      </c>
      <c r="D254" s="4">
        <v>116.06839916999999</v>
      </c>
      <c r="E254" s="0" t="inlineStr">
        <is>
          <t xml:space="preserve">OCEANEERING INTERNATIONAL INC</t>
        </is>
      </c>
      <c r="F254" s="0" t="inlineStr">
        <is>
          <t xml:space="preserve">naics:336611</t>
        </is>
      </c>
    </row>
    <row r="255">
      <c r="B255" s="0" t="inlineStr">
        <is>
          <t xml:space="preserve">N0002419C4410</t>
        </is>
      </c>
      <c r="C255" s="0" t="inlineStr">
        <is>
          <t xml:space="preserve">broad_maritime</t>
        </is>
      </c>
      <c r="D255" s="4">
        <v>115.2099126</v>
      </c>
      <c r="E255" s="0" t="inlineStr">
        <is>
          <t xml:space="preserve">CONTINENTAL MARITIME OF SAN DIEGO, LLC</t>
        </is>
      </c>
      <c r="F255" s="0" t="inlineStr">
        <is>
          <t xml:space="preserve">naics:336611</t>
        </is>
      </c>
    </row>
    <row r="256">
      <c r="B256" s="0" t="inlineStr">
        <is>
          <t xml:space="preserve">N0002422C4485</t>
        </is>
      </c>
      <c r="C256" s="0" t="inlineStr">
        <is>
          <t xml:space="preserve">broad_maritime</t>
        </is>
      </c>
      <c r="D256" s="4">
        <v>114.65105709999999</v>
      </c>
      <c r="E256" s="0" t="inlineStr">
        <is>
          <t xml:space="preserve">BAE SYSTEMS MARITIME SOLUTIONS SAN DIEGO INC.</t>
        </is>
      </c>
      <c r="F256" s="0" t="inlineStr">
        <is>
          <t xml:space="preserve">naics:336611</t>
        </is>
      </c>
    </row>
    <row r="257">
      <c r="B257" s="0" t="inlineStr">
        <is>
          <t xml:space="preserve">N0002418C4428</t>
        </is>
      </c>
      <c r="C257" s="0" t="inlineStr">
        <is>
          <t xml:space="preserve">broad_maritime</t>
        </is>
      </c>
      <c r="D257" s="4">
        <v>114.58583899999999</v>
      </c>
      <c r="E257" s="0" t="inlineStr">
        <is>
          <t xml:space="preserve">BAE SYSTEMS MARITIME SOLUTIONS NORFOLK INC.</t>
        </is>
      </c>
      <c r="F257" s="0" t="inlineStr">
        <is>
          <t xml:space="preserve">naics:336611</t>
        </is>
      </c>
    </row>
    <row r="258">
      <c r="B258" s="0" t="inlineStr">
        <is>
          <t xml:space="preserve">N0002418C6413</t>
        </is>
      </c>
      <c r="C258" s="0" t="inlineStr">
        <is>
          <t xml:space="preserve">broad_maritime</t>
        </is>
      </c>
      <c r="D258" s="4">
        <v>114.3705217</v>
      </c>
      <c r="E258" s="0" t="inlineStr">
        <is>
          <t xml:space="preserve">OCEANEERING INTERNATIONAL INC</t>
        </is>
      </c>
      <c r="F258" s="0" t="inlineStr">
        <is>
          <t xml:space="preserve">naics:336611</t>
        </is>
      </c>
    </row>
    <row r="259">
      <c r="B259" s="0" t="inlineStr">
        <is>
          <t xml:space="preserve">N0002425C4419</t>
        </is>
      </c>
      <c r="C259" s="0" t="inlineStr">
        <is>
          <t xml:space="preserve">broad_maritime</t>
        </is>
      </c>
      <c r="D259" s="4">
        <v>114.21456907999999</v>
      </c>
      <c r="E259" s="0" t="inlineStr">
        <is>
          <t xml:space="preserve">CONTINENTAL MARITIME OF SAN DIEGO, LLC</t>
        </is>
      </c>
      <c r="F259" s="0" t="inlineStr">
        <is>
          <t xml:space="preserve">naics:336611</t>
        </is>
      </c>
    </row>
    <row r="260">
      <c r="B260" s="0" t="inlineStr">
        <is>
          <t xml:space="preserve">N4215819C0001</t>
        </is>
      </c>
      <c r="C260" s="0" t="inlineStr">
        <is>
          <t xml:space="preserve">broad_maritime</t>
        </is>
      </c>
      <c r="D260" s="4">
        <v>113.57168406999999</v>
      </c>
      <c r="E260" s="0" t="inlineStr">
        <is>
          <t xml:space="preserve">HUNTINGTON INGALLS INC</t>
        </is>
      </c>
      <c r="F260" s="0" t="inlineStr">
        <is>
          <t xml:space="preserve">naics:336611</t>
        </is>
      </c>
    </row>
    <row r="261">
      <c r="B261" s="0" t="inlineStr">
        <is>
          <t xml:space="preserve">N0002423C6308</t>
        </is>
      </c>
      <c r="C261" s="0" t="inlineStr">
        <is>
          <t xml:space="preserve">small_craft</t>
        </is>
      </c>
      <c r="D261" s="4">
        <v>113.25855329</v>
      </c>
      <c r="E261" s="0" t="inlineStr">
        <is>
          <t xml:space="preserve">HII UNMANNED SYSTEMS, INC</t>
        </is>
      </c>
      <c r="F261" s="0" t="inlineStr">
        <is>
          <t xml:space="preserve">psc:1940</t>
        </is>
      </c>
    </row>
    <row r="262">
      <c r="B262" s="0" t="inlineStr">
        <is>
          <t xml:space="preserve">N0002419C4101</t>
        </is>
      </c>
      <c r="C262" s="0" t="inlineStr">
        <is>
          <t xml:space="preserve">broad_maritime</t>
        </is>
      </c>
      <c r="D262" s="4">
        <v>113.13123376</v>
      </c>
      <c r="E262" s="0" t="inlineStr">
        <is>
          <t xml:space="preserve">NORTHROP GRUMMAN SYSTEMS CORPORATION</t>
        </is>
      </c>
      <c r="F262" s="0" t="inlineStr">
        <is>
          <t xml:space="preserve">psc:2090</t>
        </is>
      </c>
    </row>
    <row r="263">
      <c r="B263" s="0" t="inlineStr">
        <is>
          <t xml:space="preserve">N0002424C4201</t>
        </is>
      </c>
      <c r="C263" s="0" t="inlineStr">
        <is>
          <t xml:space="preserve">broad_maritime</t>
        </is>
      </c>
      <c r="D263" s="4">
        <v>112.35750423</v>
      </c>
      <c r="E263" s="0" t="inlineStr">
        <is>
          <t xml:space="preserve">QED SYSTEMS, INC.</t>
        </is>
      </c>
      <c r="F263" s="0" t="inlineStr">
        <is>
          <t xml:space="preserve">naics:336611</t>
        </is>
      </c>
    </row>
    <row r="264">
      <c r="B264" s="0" t="inlineStr">
        <is>
          <t xml:space="preserve">N0002422C4436</t>
        </is>
      </c>
      <c r="C264" s="0" t="inlineStr">
        <is>
          <t xml:space="preserve">broad_maritime</t>
        </is>
      </c>
      <c r="D264" s="4">
        <v>110.771779</v>
      </c>
      <c r="E264" s="0" t="inlineStr">
        <is>
          <t xml:space="preserve">MARINE HYDRAULICS INTERNATIONAL, LLC</t>
        </is>
      </c>
      <c r="F264" s="0" t="inlineStr">
        <is>
          <t xml:space="preserve">naics:336611</t>
        </is>
      </c>
    </row>
    <row r="265">
      <c r="B265" s="0" t="inlineStr">
        <is>
          <t xml:space="preserve">N0002421C4442</t>
        </is>
      </c>
      <c r="C265" s="0" t="inlineStr">
        <is>
          <t xml:space="preserve">broad_maritime</t>
        </is>
      </c>
      <c r="D265" s="4">
        <v>109.707428</v>
      </c>
      <c r="E265" s="0" t="inlineStr">
        <is>
          <t xml:space="preserve">BAE SYSTEMS MARITIME SOLUTIONS SAN DIEGO INC.</t>
        </is>
      </c>
      <c r="F265" s="0" t="inlineStr">
        <is>
          <t xml:space="preserve">naics:336611</t>
        </is>
      </c>
    </row>
    <row r="266">
      <c r="B266" s="0" t="inlineStr">
        <is>
          <t xml:space="preserve">N0002421F4219</t>
        </is>
      </c>
      <c r="C266" s="0" t="inlineStr">
        <is>
          <t xml:space="preserve">broad_maritime</t>
        </is>
      </c>
      <c r="D266" s="4">
        <v>109.61519773999999</v>
      </c>
      <c r="E266" s="0" t="inlineStr">
        <is>
          <t xml:space="preserve">VSE CORPORATION</t>
        </is>
      </c>
      <c r="F266" s="0" t="inlineStr">
        <is>
          <t xml:space="preserve">naics:336611</t>
        </is>
      </c>
    </row>
    <row r="267">
      <c r="B267" s="0" t="inlineStr">
        <is>
          <t xml:space="preserve">N0002422C4491</t>
        </is>
      </c>
      <c r="C267" s="0" t="inlineStr">
        <is>
          <t xml:space="preserve">broad_maritime</t>
        </is>
      </c>
      <c r="D267" s="4">
        <v>109.00432781999999</v>
      </c>
      <c r="E267" s="0" t="inlineStr">
        <is>
          <t xml:space="preserve">BAE SYSTEMS MARITIME SOLUTIONS NORFOLK INC.</t>
        </is>
      </c>
      <c r="F267" s="0" t="inlineStr">
        <is>
          <t xml:space="preserve">naics:336611</t>
        </is>
      </c>
    </row>
    <row r="268">
      <c r="B268" s="0" t="inlineStr">
        <is>
          <t xml:space="preserve">N0002420C4467</t>
        </is>
      </c>
      <c r="C268" s="0" t="inlineStr">
        <is>
          <t xml:space="preserve">broad_maritime</t>
        </is>
      </c>
      <c r="D268" s="4">
        <v>107.799444</v>
      </c>
      <c r="E268" s="0" t="inlineStr">
        <is>
          <t xml:space="preserve">METRO MACHINE CORP.</t>
        </is>
      </c>
      <c r="F268" s="0" t="inlineStr">
        <is>
          <t xml:space="preserve">naics:336611</t>
        </is>
      </c>
    </row>
    <row r="269">
      <c r="B269" s="0" t="inlineStr">
        <is>
          <t xml:space="preserve">N5005426FC005</t>
        </is>
      </c>
      <c r="C269" s="0" t="inlineStr">
        <is>
          <t xml:space="preserve">broad_maritime</t>
        </is>
      </c>
      <c r="D269" s="4">
        <v>106.262531</v>
      </c>
      <c r="E269" s="0" t="inlineStr">
        <is>
          <t xml:space="preserve">BAE SYSTEMS MARITIME SOLUTIONS NORFOLK INC.</t>
        </is>
      </c>
      <c r="F269" s="0" t="inlineStr">
        <is>
          <t xml:space="preserve">naics:336611</t>
        </is>
      </c>
    </row>
    <row r="270">
      <c r="B270" s="0" t="inlineStr">
        <is>
          <t xml:space="preserve">N0002416C2302</t>
        </is>
      </c>
      <c r="C270" s="0" t="inlineStr">
        <is>
          <t xml:space="preserve">broad_maritime</t>
        </is>
      </c>
      <c r="D270" s="4">
        <v>105.67713499999999</v>
      </c>
      <c r="E270" s="0" t="inlineStr">
        <is>
          <t xml:space="preserve">BAE SYSTEMS JACKSONVILLE SHIP REPAIR LLC</t>
        </is>
      </c>
      <c r="F270" s="0" t="inlineStr">
        <is>
          <t xml:space="preserve">naics:336611; psc:1905</t>
        </is>
      </c>
    </row>
    <row r="271">
      <c r="B271" s="0" t="inlineStr">
        <is>
          <t xml:space="preserve">N0002423C4307</t>
        </is>
      </c>
      <c r="C271" s="0" t="inlineStr">
        <is>
          <t xml:space="preserve">broad_maritime</t>
        </is>
      </c>
      <c r="D271" s="4">
        <v>105.2747</v>
      </c>
      <c r="E271" s="0" t="inlineStr">
        <is>
          <t xml:space="preserve">ELECTRIC BOAT CORPORATION</t>
        </is>
      </c>
      <c r="F271" s="0" t="inlineStr">
        <is>
          <t xml:space="preserve">naics:336611; psc:1905</t>
        </is>
      </c>
    </row>
    <row r="272">
      <c r="B272" s="0" t="inlineStr">
        <is>
          <t xml:space="preserve">N0002414C4217</t>
        </is>
      </c>
      <c r="C272" s="0" t="inlineStr">
        <is>
          <t xml:space="preserve">broad_maritime</t>
        </is>
      </c>
      <c r="D272" s="4">
        <v>105.2578359</v>
      </c>
      <c r="E272" s="0" t="inlineStr">
        <is>
          <t xml:space="preserve">SWIFTSHIPS SHIPBUILDERS, L.L.C.</t>
        </is>
      </c>
      <c r="F272" s="0" t="inlineStr">
        <is>
          <t xml:space="preserve">naics:336611</t>
        </is>
      </c>
    </row>
    <row r="273">
      <c r="B273" s="0" t="inlineStr">
        <is>
          <t xml:space="preserve">N0002418C4438</t>
        </is>
      </c>
      <c r="C273" s="0" t="inlineStr">
        <is>
          <t xml:space="preserve">broad_maritime</t>
        </is>
      </c>
      <c r="D273" s="4">
        <v>104.757437</v>
      </c>
      <c r="E273" s="0" t="inlineStr">
        <is>
          <t xml:space="preserve">BAE SYSTEMS MARITIME SOLUTIONS NORFOLK INC.</t>
        </is>
      </c>
      <c r="F273" s="0" t="inlineStr">
        <is>
          <t xml:space="preserve">naics:336611</t>
        </is>
      </c>
    </row>
    <row r="274">
      <c r="B274" s="0" t="inlineStr">
        <is>
          <t xml:space="preserve">N0002425C4430</t>
        </is>
      </c>
      <c r="C274" s="0" t="inlineStr">
        <is>
          <t xml:space="preserve">broad_maritime</t>
        </is>
      </c>
      <c r="D274" s="4">
        <v>104.71637048</v>
      </c>
      <c r="E274" s="0" t="inlineStr">
        <is>
          <t xml:space="preserve">BAE SYSTEMS MARITIME SOLUTIONS NORFOLK INC.</t>
        </is>
      </c>
      <c r="F274" s="0" t="inlineStr">
        <is>
          <t xml:space="preserve">naics:336611</t>
        </is>
      </c>
    </row>
    <row r="275">
      <c r="B275" s="0" t="inlineStr">
        <is>
          <t xml:space="preserve">N0002420C4454</t>
        </is>
      </c>
      <c r="C275" s="0" t="inlineStr">
        <is>
          <t xml:space="preserve">broad_maritime</t>
        </is>
      </c>
      <c r="D275" s="4">
        <v>103.68215753</v>
      </c>
      <c r="E275" s="0" t="inlineStr">
        <is>
          <t xml:space="preserve">NATIONAL STEEL AND SHIPBUILDING COMPANY</t>
        </is>
      </c>
      <c r="F275" s="0" t="inlineStr">
        <is>
          <t xml:space="preserve">naics:336611</t>
        </is>
      </c>
    </row>
    <row r="276">
      <c r="B276" s="0" t="inlineStr">
        <is>
          <t xml:space="preserve">N5005419FL022</t>
        </is>
      </c>
      <c r="C276" s="0" t="inlineStr">
        <is>
          <t xml:space="preserve">broad_maritime</t>
        </is>
      </c>
      <c r="D276" s="4">
        <v>103.48445643999999</v>
      </c>
      <c r="E276" s="0" t="inlineStr">
        <is>
          <t xml:space="preserve">METRO MACHINE CORP.</t>
        </is>
      </c>
      <c r="F276" s="0" t="inlineStr">
        <is>
          <t xml:space="preserve">naics:336611</t>
        </is>
      </c>
    </row>
    <row r="277">
      <c r="B277" s="0" t="inlineStr">
        <is>
          <t xml:space="preserve">N0002412C4400</t>
        </is>
      </c>
      <c r="C277" s="0" t="inlineStr">
        <is>
          <t xml:space="preserve">broad_maritime</t>
        </is>
      </c>
      <c r="D277" s="4">
        <v>102.30535096999999</v>
      </c>
      <c r="E277" s="0" t="inlineStr">
        <is>
          <t xml:space="preserve">PACIFIC SHIP REPAIR &amp; FABRICATION, INC.</t>
        </is>
      </c>
      <c r="F277" s="0" t="inlineStr">
        <is>
          <t xml:space="preserve">naics:336611</t>
        </is>
      </c>
    </row>
    <row r="278">
      <c r="B278" s="0" t="inlineStr">
        <is>
          <t xml:space="preserve">N0002424C4414</t>
        </is>
      </c>
      <c r="C278" s="0" t="inlineStr">
        <is>
          <t xml:space="preserve">broad_maritime</t>
        </is>
      </c>
      <c r="D278" s="4">
        <v>101.9839526</v>
      </c>
      <c r="E278" s="0" t="inlineStr">
        <is>
          <t xml:space="preserve">BAE SYSTEMS MARITIME SOLUTIONS NORFOLK INC.</t>
        </is>
      </c>
      <c r="F278" s="0" t="inlineStr">
        <is>
          <t xml:space="preserve">naics:336611</t>
        </is>
      </c>
    </row>
    <row r="279">
      <c r="B279" s="0" t="inlineStr">
        <is>
          <t xml:space="preserve">N0002401C4115</t>
        </is>
      </c>
      <c r="C279" s="0" t="inlineStr">
        <is>
          <t xml:space="preserve">broad_maritime</t>
        </is>
      </c>
      <c r="D279" s="4">
        <v>101.97546326999999</v>
      </c>
      <c r="E279" s="0" t="inlineStr">
        <is>
          <t xml:space="preserve">PUGET SOUND COMMERCE CENTER, INC.</t>
        </is>
      </c>
      <c r="F279" s="0" t="inlineStr">
        <is>
          <t xml:space="preserve">naics:336611</t>
        </is>
      </c>
    </row>
    <row r="280">
      <c r="B280" s="0" t="inlineStr">
        <is>
          <t xml:space="preserve">N6339423C0004</t>
        </is>
      </c>
      <c r="C280" s="0" t="inlineStr">
        <is>
          <t xml:space="preserve">broad_maritime</t>
        </is>
      </c>
      <c r="D280" s="4">
        <v>101.2799752</v>
      </c>
      <c r="E280" s="0" t="inlineStr">
        <is>
          <t xml:space="preserve">PRISM MARITIME, INC.</t>
        </is>
      </c>
      <c r="F280" s="0" t="inlineStr">
        <is>
          <t xml:space="preserve">naics:336611</t>
        </is>
      </c>
    </row>
    <row r="281">
      <c r="B281" s="0" t="inlineStr">
        <is>
          <t xml:space="preserve">N0002423C4404</t>
        </is>
      </c>
      <c r="C281" s="0" t="inlineStr">
        <is>
          <t xml:space="preserve">broad_maritime</t>
        </is>
      </c>
      <c r="D281" s="4">
        <v>101.24831962</v>
      </c>
      <c r="E281" s="0" t="inlineStr">
        <is>
          <t xml:space="preserve">NATIONAL STEEL AND SHIPBUILDING COMPANY</t>
        </is>
      </c>
      <c r="F281" s="0" t="inlineStr">
        <is>
          <t xml:space="preserve">naics:336611</t>
        </is>
      </c>
    </row>
    <row r="282">
      <c r="B282" s="0" t="inlineStr">
        <is>
          <t xml:space="preserve">N0002424C4407</t>
        </is>
      </c>
      <c r="C282" s="0" t="inlineStr">
        <is>
          <t xml:space="preserve">broad_maritime</t>
        </is>
      </c>
      <c r="D282" s="4">
        <v>101.12660048999999</v>
      </c>
      <c r="E282" s="0" t="inlineStr">
        <is>
          <t xml:space="preserve">VIGOR MARINE LLC</t>
        </is>
      </c>
      <c r="F282" s="0" t="inlineStr">
        <is>
          <t xml:space="preserve">naics:336611</t>
        </is>
      </c>
    </row>
    <row r="283">
      <c r="B283" s="0" t="inlineStr">
        <is>
          <t xml:space="preserve">N0002425C4431</t>
        </is>
      </c>
      <c r="C283" s="0" t="inlineStr">
        <is>
          <t xml:space="preserve">broad_maritime</t>
        </is>
      </c>
      <c r="D283" s="4">
        <v>99.968482</v>
      </c>
      <c r="E283" s="0" t="inlineStr">
        <is>
          <t xml:space="preserve">MARINE HYDRAULICS INTERNATIONAL, LLC</t>
        </is>
      </c>
      <c r="F283" s="0" t="inlineStr">
        <is>
          <t xml:space="preserve">naics:336611</t>
        </is>
      </c>
    </row>
    <row r="284">
      <c r="B284" s="0" t="inlineStr">
        <is>
          <t xml:space="preserve">N0002418C4451</t>
        </is>
      </c>
      <c r="C284" s="0" t="inlineStr">
        <is>
          <t xml:space="preserve">broad_maritime</t>
        </is>
      </c>
      <c r="D284" s="4">
        <v>99.440603</v>
      </c>
      <c r="E284" s="0" t="inlineStr">
        <is>
          <t xml:space="preserve">BATH IRON WORKS CORPORATION</t>
        </is>
      </c>
      <c r="F284" s="0" t="inlineStr">
        <is>
          <t xml:space="preserve">naics:336611; psc:1905</t>
        </is>
      </c>
    </row>
    <row r="285">
      <c r="B285" s="0" t="inlineStr">
        <is>
          <t xml:space="preserve">N0002422C2505</t>
        </is>
      </c>
      <c r="C285" s="0" t="inlineStr">
        <is>
          <t xml:space="preserve">other_small</t>
        </is>
      </c>
      <c r="D285" s="4">
        <v>98.69787185999999</v>
      </c>
      <c r="E285" s="0" t="inlineStr">
        <is>
          <t xml:space="preserve">NATIONAL STEEL AND SHIPBUILDING COMPANY</t>
        </is>
      </c>
      <c r="F285" s="0" t="inlineStr">
        <is>
          <t xml:space="preserve">naics:336611; psc:1925</t>
        </is>
      </c>
    </row>
    <row r="286">
      <c r="B286" s="0" t="inlineStr">
        <is>
          <t xml:space="preserve">N0002421C4440</t>
        </is>
      </c>
      <c r="C286" s="0" t="inlineStr">
        <is>
          <t xml:space="preserve">broad_maritime</t>
        </is>
      </c>
      <c r="D286" s="4">
        <v>97.72341899999999</v>
      </c>
      <c r="E286" s="0" t="inlineStr">
        <is>
          <t xml:space="preserve">BAE SYSTEMS MARITIME SOLUTIONS NORFOLK INC.</t>
        </is>
      </c>
      <c r="F286" s="0" t="inlineStr">
        <is>
          <t xml:space="preserve">naics:336611</t>
        </is>
      </c>
    </row>
    <row r="287">
      <c r="B287" s="0" t="inlineStr">
        <is>
          <t xml:space="preserve">N0002407C2309</t>
        </is>
      </c>
      <c r="C287" s="0" t="inlineStr">
        <is>
          <t xml:space="preserve">broad_maritime</t>
        </is>
      </c>
      <c r="D287" s="4">
        <v>97.65844399999999</v>
      </c>
      <c r="E287" s="0" t="inlineStr">
        <is>
          <t xml:space="preserve">HUNTINGTON INGALLS INCORPORATED</t>
        </is>
      </c>
      <c r="F287" s="0" t="inlineStr">
        <is>
          <t xml:space="preserve">naics:336611</t>
        </is>
      </c>
    </row>
    <row r="288">
      <c r="B288" s="0" t="inlineStr">
        <is>
          <t xml:space="preserve">N0002410C2239</t>
        </is>
      </c>
      <c r="C288" s="0" t="inlineStr">
        <is>
          <t xml:space="preserve">other_small</t>
        </is>
      </c>
      <c r="D288" s="4">
        <v>97.58790473</v>
      </c>
      <c r="E288" s="0" t="inlineStr">
        <is>
          <t xml:space="preserve">BOLLINGER MISSISSIPPI SHIPBUILDING, LLC</t>
        </is>
      </c>
      <c r="F288" s="0" t="inlineStr">
        <is>
          <t xml:space="preserve">naics:336611; psc:1990</t>
        </is>
      </c>
    </row>
    <row r="289">
      <c r="B289" s="0" t="inlineStr">
        <is>
          <t xml:space="preserve">N0025324F5514</t>
        </is>
      </c>
      <c r="C289" s="0" t="inlineStr">
        <is>
          <t xml:space="preserve">broad_maritime</t>
        </is>
      </c>
      <c r="D289" s="4">
        <v>95.41928560999999</v>
      </c>
      <c r="E289" s="0" t="inlineStr">
        <is>
          <t xml:space="preserve">AMENTUM SERVICES, INC.</t>
        </is>
      </c>
      <c r="F289" s="0" t="inlineStr">
        <is>
          <t xml:space="preserve">naics:336611</t>
        </is>
      </c>
    </row>
    <row r="290">
      <c r="B290" s="0" t="inlineStr">
        <is>
          <t xml:space="preserve">N0002422C2313</t>
        </is>
      </c>
      <c r="C290" s="0" t="inlineStr">
        <is>
          <t xml:space="preserve">broad_maritime</t>
        </is>
      </c>
      <c r="D290" s="4">
        <v>95.323335</v>
      </c>
      <c r="E290" s="0" t="inlineStr">
        <is>
          <t xml:space="preserve">GIBBS &amp; COX INC</t>
        </is>
      </c>
      <c r="F290" s="0" t="inlineStr">
        <is>
          <t xml:space="preserve">psc:1905</t>
        </is>
      </c>
    </row>
    <row r="291">
      <c r="B291" s="0" t="inlineStr">
        <is>
          <t xml:space="preserve">N0002409C4417</t>
        </is>
      </c>
      <c r="C291" s="0" t="inlineStr">
        <is>
          <t xml:space="preserve">broad_maritime</t>
        </is>
      </c>
      <c r="D291" s="4">
        <v>93.906801</v>
      </c>
      <c r="E291" s="0" t="inlineStr">
        <is>
          <t xml:space="preserve">ELECTRIC BOAT CORPORATION</t>
        </is>
      </c>
      <c r="F291" s="0" t="inlineStr">
        <is>
          <t xml:space="preserve">naics:336611</t>
        </is>
      </c>
    </row>
    <row r="292">
      <c r="B292" s="0" t="inlineStr">
        <is>
          <t xml:space="preserve">N4002718F0113</t>
        </is>
      </c>
      <c r="C292" s="0" t="inlineStr">
        <is>
          <t xml:space="preserve">broad_maritime</t>
        </is>
      </c>
      <c r="D292" s="4">
        <v>92.71917069</v>
      </c>
      <c r="E292" s="0" t="inlineStr">
        <is>
          <t xml:space="preserve">METRO MACHINE CORP</t>
        </is>
      </c>
      <c r="F292" s="0" t="inlineStr">
        <is>
          <t xml:space="preserve">naics:336611</t>
        </is>
      </c>
    </row>
    <row r="293">
      <c r="B293" s="0" t="inlineStr">
        <is>
          <t xml:space="preserve">N0002414C4200</t>
        </is>
      </c>
      <c r="C293" s="0" t="inlineStr">
        <is>
          <t xml:space="preserve">broad_maritime</t>
        </is>
      </c>
      <c r="D293" s="4">
        <v>92.55923929000001</v>
      </c>
      <c r="E293" s="0" t="inlineStr">
        <is>
          <t xml:space="preserve">DRS NAVAL POWER SYSTEMS INC</t>
        </is>
      </c>
      <c r="F293" s="0" t="inlineStr">
        <is>
          <t xml:space="preserve">psc:2090</t>
        </is>
      </c>
    </row>
    <row r="294">
      <c r="B294" s="0" t="inlineStr">
        <is>
          <t xml:space="preserve">N0002420C4464</t>
        </is>
      </c>
      <c r="C294" s="0" t="inlineStr">
        <is>
          <t xml:space="preserve">broad_maritime</t>
        </is>
      </c>
      <c r="D294" s="4">
        <v>92.54210404</v>
      </c>
      <c r="E294" s="0" t="inlineStr">
        <is>
          <t xml:space="preserve">VIGOR MARINE LLC</t>
        </is>
      </c>
      <c r="F294" s="0" t="inlineStr">
        <is>
          <t xml:space="preserve">naics:336611</t>
        </is>
      </c>
    </row>
    <row r="295">
      <c r="B295" s="0" t="inlineStr">
        <is>
          <t xml:space="preserve">N0002419C4459</t>
        </is>
      </c>
      <c r="C295" s="0" t="inlineStr">
        <is>
          <t xml:space="preserve">broad_maritime</t>
        </is>
      </c>
      <c r="D295" s="4">
        <v>91.55950579</v>
      </c>
      <c r="E295" s="0" t="inlineStr">
        <is>
          <t xml:space="preserve">BAE SYSTEMS MARITIME SOLUTIONS SAN DIEGO INC.</t>
        </is>
      </c>
      <c r="F295" s="0" t="inlineStr">
        <is>
          <t xml:space="preserve">naics:336611</t>
        </is>
      </c>
    </row>
    <row r="296">
      <c r="B296" s="0" t="inlineStr">
        <is>
          <t xml:space="preserve">N0002425C4422</t>
        </is>
      </c>
      <c r="C296" s="0" t="inlineStr">
        <is>
          <t xml:space="preserve">broad_maritime</t>
        </is>
      </c>
      <c r="D296" s="4">
        <v>91.52475534</v>
      </c>
      <c r="E296" s="0" t="inlineStr">
        <is>
          <t xml:space="preserve">NATIONAL STEEL AND SHIPBUILDING COMPANY</t>
        </is>
      </c>
      <c r="F296" s="0" t="inlineStr">
        <is>
          <t xml:space="preserve">naics:336611</t>
        </is>
      </c>
    </row>
    <row r="297">
      <c r="B297" s="0" t="inlineStr">
        <is>
          <t xml:space="preserve">N0002410C4306</t>
        </is>
      </c>
      <c r="C297" s="0" t="inlineStr">
        <is>
          <t xml:space="preserve">broad_maritime</t>
        </is>
      </c>
      <c r="D297" s="4">
        <v>90.677095</v>
      </c>
      <c r="E297" s="0" t="inlineStr">
        <is>
          <t xml:space="preserve">METRO MACHINE CORP.</t>
        </is>
      </c>
      <c r="F297" s="0" t="inlineStr">
        <is>
          <t xml:space="preserve">naics:336611</t>
        </is>
      </c>
    </row>
    <row r="298">
      <c r="B298" s="0" t="inlineStr">
        <is>
          <t xml:space="preserve">N5523614C0014</t>
        </is>
      </c>
      <c r="C298" s="0" t="inlineStr">
        <is>
          <t xml:space="preserve">broad_maritime</t>
        </is>
      </c>
      <c r="D298" s="4">
        <v>89.60469495</v>
      </c>
      <c r="E298" s="0" t="inlineStr">
        <is>
          <t xml:space="preserve">EPSILON SYSTEMS SOLUTIONS, INC.</t>
        </is>
      </c>
      <c r="F298" s="0" t="inlineStr">
        <is>
          <t xml:space="preserve">naics:336611</t>
        </is>
      </c>
    </row>
    <row r="299">
      <c r="B299" s="0" t="inlineStr">
        <is>
          <t xml:space="preserve">N3220526C0006</t>
        </is>
      </c>
      <c r="C299" s="0" t="inlineStr">
        <is>
          <t xml:space="preserve">broad_maritime</t>
        </is>
      </c>
      <c r="D299" s="4">
        <v>89.00348206999999</v>
      </c>
      <c r="E299" s="0" t="inlineStr">
        <is>
          <t xml:space="preserve">VIGOR MARINE LLC</t>
        </is>
      </c>
      <c r="F299" s="0" t="inlineStr">
        <is>
          <t xml:space="preserve">naics:336611</t>
        </is>
      </c>
    </row>
    <row r="300">
      <c r="B300" s="0" t="inlineStr">
        <is>
          <t xml:space="preserve">N0002423C4407</t>
        </is>
      </c>
      <c r="C300" s="0" t="inlineStr">
        <is>
          <t xml:space="preserve">broad_maritime</t>
        </is>
      </c>
      <c r="D300" s="4">
        <v>88.61165279000001</v>
      </c>
      <c r="E300" s="0" t="inlineStr">
        <is>
          <t xml:space="preserve">NATIONAL STEEL AND SHIPBUILDING COMPANY</t>
        </is>
      </c>
      <c r="F300" s="0" t="inlineStr">
        <is>
          <t xml:space="preserve">naics:336611</t>
        </is>
      </c>
    </row>
    <row r="301">
      <c r="B301" s="0" t="inlineStr">
        <is>
          <t xml:space="preserve">N5005414C1403</t>
        </is>
      </c>
      <c r="C301" s="0" t="inlineStr">
        <is>
          <t xml:space="preserve">broad_maritime</t>
        </is>
      </c>
      <c r="D301" s="4">
        <v>88.44358238</v>
      </c>
      <c r="E301" s="0" t="inlineStr">
        <is>
          <t xml:space="preserve">MHI/TECNICO JV</t>
        </is>
      </c>
      <c r="F301" s="0" t="inlineStr">
        <is>
          <t xml:space="preserve">naics:336611</t>
        </is>
      </c>
    </row>
    <row r="302">
      <c r="B302" s="0" t="inlineStr">
        <is>
          <t xml:space="preserve">N0002425C4409</t>
        </is>
      </c>
      <c r="C302" s="0" t="inlineStr">
        <is>
          <t xml:space="preserve">broad_maritime</t>
        </is>
      </c>
      <c r="D302" s="4">
        <v>87.45515424999999</v>
      </c>
      <c r="E302" s="0" t="inlineStr">
        <is>
          <t xml:space="preserve">VIGOR MARINE LLC</t>
        </is>
      </c>
      <c r="F302" s="0" t="inlineStr">
        <is>
          <t xml:space="preserve">naics:336611</t>
        </is>
      </c>
    </row>
    <row r="303">
      <c r="B303" s="0" t="inlineStr">
        <is>
          <t xml:space="preserve">N0002424C4417</t>
        </is>
      </c>
      <c r="C303" s="0" t="inlineStr">
        <is>
          <t xml:space="preserve">broad_maritime</t>
        </is>
      </c>
      <c r="D303" s="4">
        <v>86.69270361</v>
      </c>
      <c r="E303" s="0" t="inlineStr">
        <is>
          <t xml:space="preserve">BAE SYSTEMS JACKSONVILLE SHIP REPAIR LLC</t>
        </is>
      </c>
      <c r="F303" s="0" t="inlineStr">
        <is>
          <t xml:space="preserve">naics:336611</t>
        </is>
      </c>
    </row>
    <row r="304">
      <c r="B304" s="0" t="inlineStr">
        <is>
          <t xml:space="preserve">N5005423C0002</t>
        </is>
      </c>
      <c r="C304" s="0" t="inlineStr">
        <is>
          <t xml:space="preserve">broad_maritime</t>
        </is>
      </c>
      <c r="D304" s="4">
        <v>86.555307</v>
      </c>
      <c r="E304" s="0" t="inlineStr">
        <is>
          <t xml:space="preserve">METRO MACHINE CORP.</t>
        </is>
      </c>
      <c r="F304" s="0" t="inlineStr">
        <is>
          <t xml:space="preserve">naics:336611</t>
        </is>
      </c>
    </row>
    <row r="305">
      <c r="B305" s="0" t="inlineStr">
        <is>
          <t xml:space="preserve">N0002421C4106</t>
        </is>
      </c>
      <c r="C305" s="0" t="inlineStr">
        <is>
          <t xml:space="preserve">broad_maritime</t>
        </is>
      </c>
      <c r="D305" s="4">
        <v>85.21457124999999</v>
      </c>
      <c r="E305" s="0" t="inlineStr">
        <is>
          <t xml:space="preserve">BAE SYSTEMS LAND &amp; ARMAMENTS L.P.</t>
        </is>
      </c>
      <c r="F305" s="0" t="inlineStr">
        <is>
          <t xml:space="preserve">naics:336611</t>
        </is>
      </c>
    </row>
    <row r="306">
      <c r="B306" s="0" t="inlineStr">
        <is>
          <t xml:space="preserve">N4523A19F0300</t>
        </is>
      </c>
      <c r="C306" s="0" t="inlineStr">
        <is>
          <t xml:space="preserve">broad_maritime</t>
        </is>
      </c>
      <c r="D306" s="4">
        <v>84.55975436</v>
      </c>
      <c r="E306" s="0" t="inlineStr">
        <is>
          <t xml:space="preserve">IMIA, LLC</t>
        </is>
      </c>
      <c r="F306" s="0" t="inlineStr">
        <is>
          <t xml:space="preserve">naics:336611</t>
        </is>
      </c>
    </row>
    <row r="307">
      <c r="B307" s="0" t="inlineStr">
        <is>
          <t xml:space="preserve">N0002419C4455</t>
        </is>
      </c>
      <c r="C307" s="0" t="inlineStr">
        <is>
          <t xml:space="preserve">broad_maritime</t>
        </is>
      </c>
      <c r="D307" s="4">
        <v>84.164853</v>
      </c>
      <c r="E307" s="0" t="inlineStr">
        <is>
          <t xml:space="preserve">BAE SYSTEMS MARITIME SOLUTIONS SAN DIEGO INC.</t>
        </is>
      </c>
      <c r="F307" s="0" t="inlineStr">
        <is>
          <t xml:space="preserve">naics:336611</t>
        </is>
      </c>
    </row>
    <row r="308">
      <c r="B308" s="0" t="inlineStr">
        <is>
          <t xml:space="preserve">N0002419C4407</t>
        </is>
      </c>
      <c r="C308" s="0" t="inlineStr">
        <is>
          <t xml:space="preserve">broad_maritime</t>
        </is>
      </c>
      <c r="D308" s="4">
        <v>83.56699744</v>
      </c>
      <c r="E308" s="0" t="inlineStr">
        <is>
          <t xml:space="preserve">BAE SYSTEMS MARITIME SOLUTIONS SAN DIEGO INC.</t>
        </is>
      </c>
      <c r="F308" s="0" t="inlineStr">
        <is>
          <t xml:space="preserve">naics:336611</t>
        </is>
      </c>
    </row>
    <row r="309">
      <c r="B309" s="0" t="inlineStr">
        <is>
          <t xml:space="preserve">N4002718F0035</t>
        </is>
      </c>
      <c r="C309" s="0" t="inlineStr">
        <is>
          <t xml:space="preserve">broad_maritime</t>
        </is>
      </c>
      <c r="D309" s="4">
        <v>83.43451359</v>
      </c>
      <c r="E309" s="0" t="inlineStr">
        <is>
          <t xml:space="preserve">BAE SYSTEMS JACKSONVILLE SHIP REPAIR LLC</t>
        </is>
      </c>
      <c r="F309" s="0" t="inlineStr">
        <is>
          <t xml:space="preserve">naics:336611</t>
        </is>
      </c>
    </row>
    <row r="310">
      <c r="B310" s="0" t="inlineStr">
        <is>
          <t xml:space="preserve">N0002421C4408</t>
        </is>
      </c>
      <c r="C310" s="0" t="inlineStr">
        <is>
          <t xml:space="preserve">broad_maritime</t>
        </is>
      </c>
      <c r="D310" s="4">
        <v>83.38717199999999</v>
      </c>
      <c r="E310" s="0" t="inlineStr">
        <is>
          <t xml:space="preserve">MARINE HYDRAULICS INTERNATIONAL, LLC</t>
        </is>
      </c>
      <c r="F310" s="0" t="inlineStr">
        <is>
          <t xml:space="preserve">naics:336611</t>
        </is>
      </c>
    </row>
    <row r="311">
      <c r="B311" s="0" t="inlineStr">
        <is>
          <t xml:space="preserve">N0002425C4229</t>
        </is>
      </c>
      <c r="C311" s="0" t="inlineStr">
        <is>
          <t xml:space="preserve">broad_maritime</t>
        </is>
      </c>
      <c r="D311" s="4">
        <v>82.870363</v>
      </c>
      <c r="E311" s="0" t="inlineStr">
        <is>
          <t xml:space="preserve">HUNTINGTON INGALLS INCORPORATED</t>
        </is>
      </c>
      <c r="F311" s="0" t="inlineStr">
        <is>
          <t xml:space="preserve">naics:336611; psc:1905</t>
        </is>
      </c>
    </row>
    <row r="312">
      <c r="B312" s="0" t="inlineStr">
        <is>
          <t xml:space="preserve">N3225321F0003</t>
        </is>
      </c>
      <c r="C312" s="0" t="inlineStr">
        <is>
          <t xml:space="preserve">broad_maritime</t>
        </is>
      </c>
      <c r="D312" s="4">
        <v>82.79378559999999</v>
      </c>
      <c r="E312" s="0" t="inlineStr">
        <is>
          <t xml:space="preserve">VIGOR MARINE LLC</t>
        </is>
      </c>
      <c r="F312" s="0" t="inlineStr">
        <is>
          <t xml:space="preserve">naics:336611</t>
        </is>
      </c>
    </row>
    <row r="313">
      <c r="B313" s="0" t="inlineStr">
        <is>
          <t xml:space="preserve">N0002418C2205</t>
        </is>
      </c>
      <c r="C313" s="0" t="inlineStr">
        <is>
          <t xml:space="preserve">other_small</t>
        </is>
      </c>
      <c r="D313" s="4">
        <v>81.84833481999999</v>
      </c>
      <c r="E313" s="0" t="inlineStr">
        <is>
          <t xml:space="preserve">DAKOTA CREEK INDUSTRIES INC</t>
        </is>
      </c>
      <c r="F313" s="0" t="inlineStr">
        <is>
          <t xml:space="preserve">naics:336611; psc:1925</t>
        </is>
      </c>
    </row>
    <row r="314">
      <c r="B314" s="0" t="inlineStr">
        <is>
          <t xml:space="preserve">4T62</t>
        </is>
      </c>
      <c r="C314" s="0" t="inlineStr">
        <is>
          <t xml:space="preserve">broad_maritime</t>
        </is>
      </c>
      <c r="D314" s="4">
        <v>81.5863775</v>
      </c>
      <c r="E314" s="0" t="inlineStr">
        <is>
          <t xml:space="preserve">HUNTINGTON INGALLS INC</t>
        </is>
      </c>
      <c r="F314" s="0" t="inlineStr">
        <is>
          <t xml:space="preserve">naics:336611</t>
        </is>
      </c>
    </row>
    <row r="315">
      <c r="B315" s="0" t="inlineStr">
        <is>
          <t xml:space="preserve">N5523620C0003</t>
        </is>
      </c>
      <c r="C315" s="0" t="inlineStr">
        <is>
          <t xml:space="preserve">broad_maritime</t>
        </is>
      </c>
      <c r="D315" s="4">
        <v>81.57499383</v>
      </c>
      <c r="E315" s="0" t="inlineStr">
        <is>
          <t xml:space="preserve">EPSILON SYSTEMS SOLUTIONS, INC.</t>
        </is>
      </c>
      <c r="F315" s="0" t="inlineStr">
        <is>
          <t xml:space="preserve">naics:336611</t>
        </is>
      </c>
    </row>
    <row r="316">
      <c r="B316" s="0" t="inlineStr">
        <is>
          <t xml:space="preserve">N0002424C2312</t>
        </is>
      </c>
      <c r="C316" s="0" t="inlineStr">
        <is>
          <t xml:space="preserve">broad_maritime</t>
        </is>
      </c>
      <c r="D316" s="4">
        <v>80.62391199999999</v>
      </c>
      <c r="E316" s="0" t="inlineStr">
        <is>
          <t xml:space="preserve">HUNTINGTON INGALLS INCORPORATED</t>
        </is>
      </c>
      <c r="F316" s="0" t="inlineStr">
        <is>
          <t xml:space="preserve">naics:336611; psc:1905</t>
        </is>
      </c>
    </row>
    <row r="317">
      <c r="B317" s="0" t="inlineStr">
        <is>
          <t xml:space="preserve">0020</t>
        </is>
      </c>
      <c r="C317" s="0" t="inlineStr">
        <is>
          <t xml:space="preserve">broad_maritime</t>
        </is>
      </c>
      <c r="D317" s="4">
        <v>80.46804929</v>
      </c>
      <c r="E317" s="0" t="inlineStr">
        <is>
          <t xml:space="preserve">LOCKHEED MARTIN CORPORATION</t>
        </is>
      </c>
      <c r="F317" s="0" t="inlineStr">
        <is>
          <t xml:space="preserve">naics:336611; psc:1905</t>
        </is>
      </c>
    </row>
    <row r="318">
      <c r="B318" s="0" t="inlineStr">
        <is>
          <t xml:space="preserve">N6279321F7800</t>
        </is>
      </c>
      <c r="C318" s="0" t="inlineStr">
        <is>
          <t xml:space="preserve">broad_maritime</t>
        </is>
      </c>
      <c r="D318" s="4">
        <v>80.229483</v>
      </c>
      <c r="E318" s="0" t="inlineStr">
        <is>
          <t xml:space="preserve">HUNTINGTON INGALLS INC</t>
        </is>
      </c>
      <c r="F318" s="0" t="inlineStr">
        <is>
          <t xml:space="preserve">naics:336611; psc:1905</t>
        </is>
      </c>
    </row>
    <row r="319">
      <c r="B319" s="0" t="inlineStr">
        <is>
          <t xml:space="preserve">N0002415C2121</t>
        </is>
      </c>
      <c r="C319" s="0" t="inlineStr">
        <is>
          <t xml:space="preserve">broad_maritime</t>
        </is>
      </c>
      <c r="D319" s="4">
        <v>79.88950912</v>
      </c>
      <c r="E319" s="0" t="inlineStr">
        <is>
          <t xml:space="preserve">HUNTINGTON INGALLS INC</t>
        </is>
      </c>
      <c r="F319" s="0" t="inlineStr">
        <is>
          <t xml:space="preserve">naics:336611; psc:1905</t>
        </is>
      </c>
    </row>
    <row r="320">
      <c r="B320" s="0" t="inlineStr">
        <is>
          <t xml:space="preserve">N5523621F8167</t>
        </is>
      </c>
      <c r="C320" s="0" t="inlineStr">
        <is>
          <t xml:space="preserve">broad_maritime</t>
        </is>
      </c>
      <c r="D320" s="4">
        <v>79.51964971</v>
      </c>
      <c r="E320" s="0" t="inlineStr">
        <is>
          <t xml:space="preserve">VIGOR MARINE LLC</t>
        </is>
      </c>
      <c r="F320" s="0" t="inlineStr">
        <is>
          <t xml:space="preserve">naics:336611</t>
        </is>
      </c>
    </row>
    <row r="321">
      <c r="B321" s="0" t="inlineStr">
        <is>
          <t xml:space="preserve">N0002418C4400</t>
        </is>
      </c>
      <c r="C321" s="0" t="inlineStr">
        <is>
          <t xml:space="preserve">broad_maritime</t>
        </is>
      </c>
      <c r="D321" s="4">
        <v>79.01221976000001</v>
      </c>
      <c r="E321" s="0" t="inlineStr">
        <is>
          <t xml:space="preserve">NATIONAL STEEL AND SHIPBUILDING COMPANY</t>
        </is>
      </c>
      <c r="F321" s="0" t="inlineStr">
        <is>
          <t xml:space="preserve">naics:336611</t>
        </is>
      </c>
    </row>
    <row r="322">
      <c r="B322" s="0" t="inlineStr">
        <is>
          <t xml:space="preserve">N0002421F4222</t>
        </is>
      </c>
      <c r="C322" s="0" t="inlineStr">
        <is>
          <t xml:space="preserve">broad_maritime</t>
        </is>
      </c>
      <c r="D322" s="4">
        <v>78.60392</v>
      </c>
      <c r="E322" s="0" t="inlineStr">
        <is>
          <t xml:space="preserve">VSE CORPORATION</t>
        </is>
      </c>
      <c r="F322" s="0" t="inlineStr">
        <is>
          <t xml:space="preserve">naics:336611</t>
        </is>
      </c>
    </row>
    <row r="323">
      <c r="B323" s="0" t="inlineStr">
        <is>
          <t xml:space="preserve">N0002416C2309</t>
        </is>
      </c>
      <c r="C323" s="0" t="inlineStr">
        <is>
          <t xml:space="preserve">broad_maritime</t>
        </is>
      </c>
      <c r="D323" s="4">
        <v>77.55243145</v>
      </c>
      <c r="E323" s="0" t="inlineStr">
        <is>
          <t xml:space="preserve">BAE SYSTEMS MARITIME SOLUTIONS SAN DIEGO INC.</t>
        </is>
      </c>
      <c r="F323" s="0" t="inlineStr">
        <is>
          <t xml:space="preserve">naics:336611; psc:1905</t>
        </is>
      </c>
    </row>
    <row r="324">
      <c r="B324" s="0" t="inlineStr">
        <is>
          <t xml:space="preserve">N0002418F4221</t>
        </is>
      </c>
      <c r="C324" s="0" t="inlineStr">
        <is>
          <t xml:space="preserve">broad_maritime</t>
        </is>
      </c>
      <c r="D324" s="4">
        <v>77.506554</v>
      </c>
      <c r="E324" s="0" t="inlineStr">
        <is>
          <t xml:space="preserve">VSE CORPORATION</t>
        </is>
      </c>
      <c r="F324" s="0" t="inlineStr">
        <is>
          <t xml:space="preserve">naics:336611</t>
        </is>
      </c>
    </row>
    <row r="325">
      <c r="B325" s="0" t="inlineStr">
        <is>
          <t xml:space="preserve">N0002409C2252</t>
        </is>
      </c>
      <c r="C325" s="0" t="inlineStr">
        <is>
          <t xml:space="preserve">small_craft</t>
        </is>
      </c>
      <c r="D325" s="4">
        <v>77.27650673999999</v>
      </c>
      <c r="E325" s="0" t="inlineStr">
        <is>
          <t xml:space="preserve">UNITED STATES MARINE INC</t>
        </is>
      </c>
      <c r="F325" s="0" t="inlineStr">
        <is>
          <t xml:space="preserve">naics:336611; psc:1940</t>
        </is>
      </c>
    </row>
    <row r="326">
      <c r="B326" s="0" t="inlineStr">
        <is>
          <t xml:space="preserve">N0002420C4401</t>
        </is>
      </c>
      <c r="C326" s="0" t="inlineStr">
        <is>
          <t xml:space="preserve">broad_maritime</t>
        </is>
      </c>
      <c r="D326" s="4">
        <v>77.16588101999999</v>
      </c>
      <c r="E326" s="0" t="inlineStr">
        <is>
          <t xml:space="preserve">NATIONAL STEEL AND SHIPBUILDING COMPANY</t>
        </is>
      </c>
      <c r="F326" s="0" t="inlineStr">
        <is>
          <t xml:space="preserve">naics:336611</t>
        </is>
      </c>
    </row>
    <row r="327">
      <c r="B327" s="0" t="inlineStr">
        <is>
          <t xml:space="preserve">N0002425C4429</t>
        </is>
      </c>
      <c r="C327" s="0" t="inlineStr">
        <is>
          <t xml:space="preserve">broad_maritime</t>
        </is>
      </c>
      <c r="D327" s="4">
        <v>76.0750352</v>
      </c>
      <c r="E327" s="0" t="inlineStr">
        <is>
          <t xml:space="preserve">CONTINENTAL MARITIME OF SAN DIEGO, LLC</t>
        </is>
      </c>
      <c r="F327" s="0" t="inlineStr">
        <is>
          <t xml:space="preserve">naics:336611</t>
        </is>
      </c>
    </row>
    <row r="328">
      <c r="B328" s="0" t="inlineStr">
        <is>
          <t xml:space="preserve">N0002425C4406</t>
        </is>
      </c>
      <c r="C328" s="0" t="inlineStr">
        <is>
          <t xml:space="preserve">broad_maritime</t>
        </is>
      </c>
      <c r="D328" s="4">
        <v>74.95921284999999</v>
      </c>
      <c r="E328" s="0" t="inlineStr">
        <is>
          <t xml:space="preserve">BAE SYSTEMS MARITIME SOLUTIONS SAN DIEGO INC.</t>
        </is>
      </c>
      <c r="F328" s="0" t="inlineStr">
        <is>
          <t xml:space="preserve">naics:336611</t>
        </is>
      </c>
    </row>
    <row r="329">
      <c r="B329" s="0" t="inlineStr">
        <is>
          <t xml:space="preserve">N3220520C6500</t>
        </is>
      </c>
      <c r="C329" s="0" t="inlineStr">
        <is>
          <t xml:space="preserve">broad_maritime</t>
        </is>
      </c>
      <c r="D329" s="4">
        <v>74.40903607999999</v>
      </c>
      <c r="E329" s="0" t="inlineStr">
        <is>
          <t xml:space="preserve">VIGOR MARINE LLC</t>
        </is>
      </c>
      <c r="F329" s="0" t="inlineStr">
        <is>
          <t xml:space="preserve">naics:336611</t>
        </is>
      </c>
    </row>
    <row r="330">
      <c r="B330" s="0" t="inlineStr">
        <is>
          <t xml:space="preserve">N3225324F0028</t>
        </is>
      </c>
      <c r="C330" s="0" t="inlineStr">
        <is>
          <t xml:space="preserve">broad_maritime</t>
        </is>
      </c>
      <c r="D330" s="4">
        <v>74.4008782</v>
      </c>
      <c r="E330" s="0" t="inlineStr">
        <is>
          <t xml:space="preserve">PACIFIC SHIPYARDS INTERNATIONAL, LLC</t>
        </is>
      </c>
      <c r="F330" s="0" t="inlineStr">
        <is>
          <t xml:space="preserve">naics:336611</t>
        </is>
      </c>
    </row>
    <row r="331">
      <c r="B331" s="0" t="inlineStr">
        <is>
          <t xml:space="preserve">0229</t>
        </is>
      </c>
      <c r="C331" s="0" t="inlineStr">
        <is>
          <t xml:space="preserve">broad_maritime</t>
        </is>
      </c>
      <c r="D331" s="4">
        <v>73.49887534999999</v>
      </c>
      <c r="E331" s="0" t="inlineStr">
        <is>
          <t xml:space="preserve">VSE CORPORATION</t>
        </is>
      </c>
      <c r="F331" s="0" t="inlineStr">
        <is>
          <t xml:space="preserve">naics:336611</t>
        </is>
      </c>
    </row>
    <row r="332">
      <c r="B332" s="0" t="inlineStr">
        <is>
          <t xml:space="preserve">N3220526C1223</t>
        </is>
      </c>
      <c r="C332" s="0" t="inlineStr">
        <is>
          <t xml:space="preserve">broad_maritime</t>
        </is>
      </c>
      <c r="D332" s="4">
        <v>73.42435637</v>
      </c>
      <c r="E332" s="0" t="inlineStr">
        <is>
          <t xml:space="preserve">VIGOR MARINE LLC</t>
        </is>
      </c>
      <c r="F332" s="0" t="inlineStr">
        <is>
          <t xml:space="preserve">naics:336611</t>
        </is>
      </c>
    </row>
    <row r="333">
      <c r="B333" s="0" t="inlineStr">
        <is>
          <t xml:space="preserve">N0002422C2319</t>
        </is>
      </c>
      <c r="C333" s="0" t="inlineStr">
        <is>
          <t xml:space="preserve">broad_maritime</t>
        </is>
      </c>
      <c r="D333" s="4">
        <v>73.35379676999999</v>
      </c>
      <c r="E333" s="0" t="inlineStr">
        <is>
          <t xml:space="preserve">HUNTINGTON INGALLS INCORPORATED</t>
        </is>
      </c>
      <c r="F333" s="0" t="inlineStr">
        <is>
          <t xml:space="preserve">naics:336611; psc:1905</t>
        </is>
      </c>
    </row>
    <row r="334">
      <c r="B334" s="0" t="inlineStr">
        <is>
          <t xml:space="preserve">0006</t>
        </is>
      </c>
      <c r="C334" s="0" t="inlineStr">
        <is>
          <t xml:space="preserve">broad_maritime</t>
        </is>
      </c>
      <c r="D334" s="4">
        <v>73.017269</v>
      </c>
      <c r="E334" s="0" t="inlineStr">
        <is>
          <t xml:space="preserve">VSE CORPORATION</t>
        </is>
      </c>
      <c r="F334" s="0" t="inlineStr">
        <is>
          <t xml:space="preserve">naics:336611</t>
        </is>
      </c>
    </row>
    <row r="335">
      <c r="B335" s="0" t="inlineStr">
        <is>
          <t xml:space="preserve">N5523621F8244</t>
        </is>
      </c>
      <c r="C335" s="0" t="inlineStr">
        <is>
          <t xml:space="preserve">broad_maritime</t>
        </is>
      </c>
      <c r="D335" s="4">
        <v>72.98405005</v>
      </c>
      <c r="E335" s="0" t="inlineStr">
        <is>
          <t xml:space="preserve">VIGOR MARINE LLC</t>
        </is>
      </c>
      <c r="F335" s="0" t="inlineStr">
        <is>
          <t xml:space="preserve">naics:336611</t>
        </is>
      </c>
    </row>
    <row r="336">
      <c r="B336" s="0" t="inlineStr">
        <is>
          <t xml:space="preserve">N5005421FC017</t>
        </is>
      </c>
      <c r="C336" s="0" t="inlineStr">
        <is>
          <t xml:space="preserve">broad_maritime</t>
        </is>
      </c>
      <c r="D336" s="4">
        <v>72.22808599999999</v>
      </c>
      <c r="E336" s="0" t="inlineStr">
        <is>
          <t xml:space="preserve">MARINE HYDRAULICS INTERNATIONAL, LLC</t>
        </is>
      </c>
      <c r="F336" s="0" t="inlineStr">
        <is>
          <t xml:space="preserve">naics:336611</t>
        </is>
      </c>
    </row>
    <row r="337">
      <c r="B337" s="0" t="inlineStr">
        <is>
          <t xml:space="preserve">N0002421C2427</t>
        </is>
      </c>
      <c r="C337" s="0" t="inlineStr">
        <is>
          <t xml:space="preserve">broad_maritime</t>
        </is>
      </c>
      <c r="D337" s="4">
        <v>72.14882959999998</v>
      </c>
      <c r="E337" s="0" t="inlineStr">
        <is>
          <t xml:space="preserve">WALASHEK INDUSTRIAL &amp; MARINE, INC.</t>
        </is>
      </c>
      <c r="F337" s="0" t="inlineStr">
        <is>
          <t xml:space="preserve">naics:336611; psc:1905</t>
        </is>
      </c>
    </row>
    <row r="338">
      <c r="B338" s="0" t="inlineStr">
        <is>
          <t xml:space="preserve">N0002418C6262</t>
        </is>
      </c>
      <c r="C338" s="0" t="inlineStr">
        <is>
          <t xml:space="preserve">broad_maritime</t>
        </is>
      </c>
      <c r="D338" s="4">
        <v>71.957711</v>
      </c>
      <c r="E338" s="0" t="inlineStr">
        <is>
          <t xml:space="preserve">GENERAL DYNAMICS MISSION SYSTEMS, INC.</t>
        </is>
      </c>
      <c r="F338" s="0" t="inlineStr">
        <is>
          <t xml:space="preserve">psc:1905</t>
        </is>
      </c>
    </row>
    <row r="339">
      <c r="B339" s="0" t="inlineStr">
        <is>
          <t xml:space="preserve">N0002418C4312</t>
        </is>
      </c>
      <c r="C339" s="0" t="inlineStr">
        <is>
          <t xml:space="preserve">broad_maritime</t>
        </is>
      </c>
      <c r="D339" s="4">
        <v>71.8204981</v>
      </c>
      <c r="E339" s="0" t="inlineStr">
        <is>
          <t xml:space="preserve">QED SYSTEMS, INC.</t>
        </is>
      </c>
      <c r="F339" s="0" t="inlineStr">
        <is>
          <t xml:space="preserve">naics:336611; psc:1905</t>
        </is>
      </c>
    </row>
    <row r="340">
      <c r="B340" s="0" t="inlineStr">
        <is>
          <t xml:space="preserve">N5523622C0001</t>
        </is>
      </c>
      <c r="C340" s="0" t="inlineStr">
        <is>
          <t xml:space="preserve">broad_maritime</t>
        </is>
      </c>
      <c r="D340" s="4">
        <v>71.2859773</v>
      </c>
      <c r="E340" s="0" t="inlineStr">
        <is>
          <t xml:space="preserve">NATIONAL STEEL AND SHIPBUILDING COMPANY</t>
        </is>
      </c>
      <c r="F340" s="0" t="inlineStr">
        <is>
          <t xml:space="preserve">naics:336611</t>
        </is>
      </c>
    </row>
    <row r="341">
      <c r="B341" s="0" t="inlineStr">
        <is>
          <t xml:space="preserve">4T14</t>
        </is>
      </c>
      <c r="C341" s="0" t="inlineStr">
        <is>
          <t xml:space="preserve">broad_maritime</t>
        </is>
      </c>
      <c r="D341" s="4">
        <v>70.576398</v>
      </c>
      <c r="E341" s="0" t="inlineStr">
        <is>
          <t xml:space="preserve">HUNTINGTON INGALLS INC</t>
        </is>
      </c>
      <c r="F341" s="0" t="inlineStr">
        <is>
          <t xml:space="preserve">naics:336611</t>
        </is>
      </c>
    </row>
    <row r="342">
      <c r="B342" s="0" t="inlineStr">
        <is>
          <t xml:space="preserve">N0002417C4414</t>
        </is>
      </c>
      <c r="C342" s="0" t="inlineStr">
        <is>
          <t xml:space="preserve">broad_maritime</t>
        </is>
      </c>
      <c r="D342" s="4">
        <v>68.424573</v>
      </c>
      <c r="E342" s="0" t="inlineStr">
        <is>
          <t xml:space="preserve">BAE SYSTEMS MARITIME SOLUTIONS SAN DIEGO INC.</t>
        </is>
      </c>
      <c r="F342" s="0" t="inlineStr">
        <is>
          <t xml:space="preserve">naics:336611</t>
        </is>
      </c>
    </row>
    <row r="343">
      <c r="B343" s="0" t="inlineStr">
        <is>
          <t xml:space="preserve">N0002407C2236</t>
        </is>
      </c>
      <c r="C343" s="0" t="inlineStr">
        <is>
          <t xml:space="preserve">small_craft</t>
        </is>
      </c>
      <c r="D343" s="4">
        <v>68.28851636</v>
      </c>
      <c r="E343" s="0" t="inlineStr">
        <is>
          <t xml:space="preserve">C &amp; G BOAT WORKS, INC.</t>
        </is>
      </c>
      <c r="F343" s="0" t="inlineStr">
        <is>
          <t xml:space="preserve">naics:336612; psc:1925</t>
        </is>
      </c>
    </row>
    <row r="344">
      <c r="B344" s="0" t="inlineStr">
        <is>
          <t xml:space="preserve">N0002417F4138</t>
        </is>
      </c>
      <c r="C344" s="0" t="inlineStr">
        <is>
          <t xml:space="preserve">broad_maritime</t>
        </is>
      </c>
      <c r="D344" s="4">
        <v>68.228479</v>
      </c>
      <c r="E344" s="0" t="inlineStr">
        <is>
          <t xml:space="preserve">BAE SYSTEMS MARITIME SOLUTIONS NORFOLK INC.</t>
        </is>
      </c>
      <c r="F344" s="0" t="inlineStr">
        <is>
          <t xml:space="preserve">naics:336611</t>
        </is>
      </c>
    </row>
    <row r="345">
      <c r="B345" s="0" t="inlineStr">
        <is>
          <t xml:space="preserve">N4523A18F0300</t>
        </is>
      </c>
      <c r="C345" s="0" t="inlineStr">
        <is>
          <t xml:space="preserve">broad_maritime</t>
        </is>
      </c>
      <c r="D345" s="4">
        <v>68.034655</v>
      </c>
      <c r="E345" s="0" t="inlineStr">
        <is>
          <t xml:space="preserve">IMIA, LLC</t>
        </is>
      </c>
      <c r="F345" s="0" t="inlineStr">
        <is>
          <t xml:space="preserve">naics:336611</t>
        </is>
      </c>
    </row>
    <row r="346">
      <c r="B346" s="0" t="inlineStr">
        <is>
          <t xml:space="preserve">N5005418FC032</t>
        </is>
      </c>
      <c r="C346" s="0" t="inlineStr">
        <is>
          <t xml:space="preserve">broad_maritime</t>
        </is>
      </c>
      <c r="D346" s="4">
        <v>67.78612799999999</v>
      </c>
      <c r="E346" s="0" t="inlineStr">
        <is>
          <t xml:space="preserve">BAE SYSTEMS MARITIME SOLUTIONS NORFOLK INC.</t>
        </is>
      </c>
      <c r="F346" s="0" t="inlineStr">
        <is>
          <t xml:space="preserve">naics:336611</t>
        </is>
      </c>
    </row>
    <row r="347">
      <c r="B347" s="0" t="inlineStr">
        <is>
          <t xml:space="preserve">N0002416C4400</t>
        </is>
      </c>
      <c r="C347" s="0" t="inlineStr">
        <is>
          <t xml:space="preserve">broad_maritime</t>
        </is>
      </c>
      <c r="D347" s="4">
        <v>66.91559615999999</v>
      </c>
      <c r="E347" s="0" t="inlineStr">
        <is>
          <t xml:space="preserve">BAE SYSTEMS MARITIME SOLUTIONS SAN DIEGO INC.</t>
        </is>
      </c>
      <c r="F347" s="0" t="inlineStr">
        <is>
          <t xml:space="preserve">naics:336611</t>
        </is>
      </c>
    </row>
    <row r="348">
      <c r="B348" s="0" t="inlineStr">
        <is>
          <t xml:space="preserve">H9240520F0022</t>
        </is>
      </c>
      <c r="C348" s="0" t="inlineStr">
        <is>
          <t xml:space="preserve">small_craft</t>
        </is>
      </c>
      <c r="D348" s="4">
        <v>66.87582602</v>
      </c>
      <c r="E348" s="0" t="inlineStr">
        <is>
          <t xml:space="preserve">VIGOR WORKS LLC</t>
        </is>
      </c>
      <c r="F348" s="0" t="inlineStr">
        <is>
          <t xml:space="preserve">naics:336612; psc:1940</t>
        </is>
      </c>
    </row>
    <row r="349">
      <c r="B349" s="0" t="inlineStr">
        <is>
          <t xml:space="preserve">N0002419C4449</t>
        </is>
      </c>
      <c r="C349" s="0" t="inlineStr">
        <is>
          <t xml:space="preserve">broad_maritime</t>
        </is>
      </c>
      <c r="D349" s="4">
        <v>66.59535199999999</v>
      </c>
      <c r="E349" s="0" t="inlineStr">
        <is>
          <t xml:space="preserve">METRO MACHINE CORP.</t>
        </is>
      </c>
      <c r="F349" s="0" t="inlineStr">
        <is>
          <t xml:space="preserve">naics:336611</t>
        </is>
      </c>
    </row>
    <row r="350">
      <c r="B350" s="0" t="inlineStr">
        <is>
          <t xml:space="preserve">N5005417FL000</t>
        </is>
      </c>
      <c r="C350" s="0" t="inlineStr">
        <is>
          <t xml:space="preserve">broad_maritime</t>
        </is>
      </c>
      <c r="D350" s="4">
        <v>66.58853665999999</v>
      </c>
      <c r="E350" s="0" t="inlineStr">
        <is>
          <t xml:space="preserve">MARINE HYDRAULICS INTERNATIONAL, LLC</t>
        </is>
      </c>
      <c r="F350" s="0" t="inlineStr">
        <is>
          <t xml:space="preserve">naics:336611</t>
        </is>
      </c>
    </row>
    <row r="351">
      <c r="B351" s="0" t="inlineStr">
        <is>
          <t xml:space="preserve">N0002416C4403</t>
        </is>
      </c>
      <c r="C351" s="0" t="inlineStr">
        <is>
          <t xml:space="preserve">broad_maritime</t>
        </is>
      </c>
      <c r="D351" s="4">
        <v>66.03409856</v>
      </c>
      <c r="E351" s="0" t="inlineStr">
        <is>
          <t xml:space="preserve">BAE SYSTEMS MARITIME SOLUTIONS NORFOLK INC.</t>
        </is>
      </c>
      <c r="F351" s="0" t="inlineStr">
        <is>
          <t xml:space="preserve">naics:336611</t>
        </is>
      </c>
    </row>
    <row r="352">
      <c r="B352" s="0" t="inlineStr">
        <is>
          <t xml:space="preserve">0001</t>
        </is>
      </c>
      <c r="C352" s="0" t="inlineStr">
        <is>
          <t xml:space="preserve">broad_maritime</t>
        </is>
      </c>
      <c r="D352" s="4">
        <v>64.5</v>
      </c>
      <c r="E352" s="0" t="inlineStr">
        <is>
          <t xml:space="preserve">ELECTRIC BOAT CORPORATION</t>
        </is>
      </c>
      <c r="F352" s="0" t="inlineStr">
        <is>
          <t xml:space="preserve">naics:336611; psc:1905</t>
        </is>
      </c>
    </row>
    <row r="353">
      <c r="B353" s="0" t="inlineStr">
        <is>
          <t xml:space="preserve">N0002412C2400</t>
        </is>
      </c>
      <c r="C353" s="0" t="inlineStr">
        <is>
          <t xml:space="preserve">broad_maritime</t>
        </is>
      </c>
      <c r="D353" s="4">
        <v>64.05020999999999</v>
      </c>
      <c r="E353" s="0" t="inlineStr">
        <is>
          <t xml:space="preserve">NATIONAL STEEL AND SHIPBUILDING COMPANY</t>
        </is>
      </c>
      <c r="F353" s="0" t="inlineStr">
        <is>
          <t xml:space="preserve">naics:336611; psc:1905</t>
        </is>
      </c>
    </row>
    <row r="354">
      <c r="B354" s="0" t="inlineStr">
        <is>
          <t xml:space="preserve">N0002417C4415</t>
        </is>
      </c>
      <c r="C354" s="0" t="inlineStr">
        <is>
          <t xml:space="preserve">broad_maritime</t>
        </is>
      </c>
      <c r="D354" s="4">
        <v>62.552900529999995</v>
      </c>
      <c r="E354" s="0" t="inlineStr">
        <is>
          <t xml:space="preserve">BAE SYSTEMS JACKSONVILLE SHIP REPAIR LLC</t>
        </is>
      </c>
      <c r="F354" s="0" t="inlineStr">
        <is>
          <t xml:space="preserve">naics:336611</t>
        </is>
      </c>
    </row>
    <row r="355">
      <c r="B355" s="0" t="inlineStr">
        <is>
          <t xml:space="preserve">N0002421C4455</t>
        </is>
      </c>
      <c r="C355" s="0" t="inlineStr">
        <is>
          <t xml:space="preserve">broad_maritime</t>
        </is>
      </c>
      <c r="D355" s="4">
        <v>62.11269125</v>
      </c>
      <c r="E355" s="0" t="inlineStr">
        <is>
          <t xml:space="preserve">BAE SYSTEMS MARITIME SOLUTIONS SAN DIEGO INC.</t>
        </is>
      </c>
      <c r="F355" s="0" t="inlineStr">
        <is>
          <t xml:space="preserve">naics:336611</t>
        </is>
      </c>
    </row>
    <row r="356">
      <c r="B356" s="0" t="inlineStr">
        <is>
          <t xml:space="preserve">N0016721C0006</t>
        </is>
      </c>
      <c r="C356" s="0" t="inlineStr">
        <is>
          <t xml:space="preserve">broad_maritime</t>
        </is>
      </c>
      <c r="D356" s="4">
        <v>61.909215429999996</v>
      </c>
      <c r="E356" s="0" t="inlineStr">
        <is>
          <t xml:space="preserve">GOODRICH CORPORATION</t>
        </is>
      </c>
      <c r="F356" s="0" t="inlineStr">
        <is>
          <t xml:space="preserve">naics:336611</t>
        </is>
      </c>
    </row>
    <row r="357">
      <c r="B357" s="0" t="inlineStr">
        <is>
          <t xml:space="preserve">N5523622F8286</t>
        </is>
      </c>
      <c r="C357" s="0" t="inlineStr">
        <is>
          <t xml:space="preserve">broad_maritime</t>
        </is>
      </c>
      <c r="D357" s="4">
        <v>61.347687709999995</v>
      </c>
      <c r="E357" s="0" t="inlineStr">
        <is>
          <t xml:space="preserve">VIGOR MARINE LLC</t>
        </is>
      </c>
      <c r="F357" s="0" t="inlineStr">
        <is>
          <t xml:space="preserve">naics:336611</t>
        </is>
      </c>
    </row>
    <row r="358">
      <c r="B358" s="0" t="inlineStr">
        <is>
          <t xml:space="preserve">N0002426C4409</t>
        </is>
      </c>
      <c r="C358" s="0" t="inlineStr">
        <is>
          <t xml:space="preserve">broad_maritime</t>
        </is>
      </c>
      <c r="D358" s="4">
        <v>61.307019</v>
      </c>
      <c r="E358" s="0" t="inlineStr">
        <is>
          <t xml:space="preserve">BAE SYSTEMS MARITIME SOLUTIONS SAN DIEGO INC.</t>
        </is>
      </c>
      <c r="F358" s="0" t="inlineStr">
        <is>
          <t xml:space="preserve">naics:336611</t>
        </is>
      </c>
    </row>
    <row r="359">
      <c r="B359" s="0" t="inlineStr">
        <is>
          <t xml:space="preserve">N5523620F8160</t>
        </is>
      </c>
      <c r="C359" s="0" t="inlineStr">
        <is>
          <t xml:space="preserve">broad_maritime</t>
        </is>
      </c>
      <c r="D359" s="4">
        <v>61.089860529999996</v>
      </c>
      <c r="E359" s="0" t="inlineStr">
        <is>
          <t xml:space="preserve">NATIONAL STEEL AND SHIPBUILDING COMPANY</t>
        </is>
      </c>
      <c r="F359" s="0" t="inlineStr">
        <is>
          <t xml:space="preserve">naics:336611</t>
        </is>
      </c>
    </row>
    <row r="360">
      <c r="B360" s="0" t="inlineStr">
        <is>
          <t xml:space="preserve">0001</t>
        </is>
      </c>
      <c r="C360" s="0" t="inlineStr">
        <is>
          <t xml:space="preserve">broad_maritime</t>
        </is>
      </c>
      <c r="D360" s="4">
        <v>60.912977999999995</v>
      </c>
      <c r="E360" s="0" t="inlineStr">
        <is>
          <t xml:space="preserve">BATH IRON WORKS CORPORATION</t>
        </is>
      </c>
      <c r="F360" s="0" t="inlineStr">
        <is>
          <t xml:space="preserve">naics:336611; psc:1905</t>
        </is>
      </c>
    </row>
    <row r="361">
      <c r="B361" s="0" t="inlineStr">
        <is>
          <t xml:space="preserve">N3225322F0045</t>
        </is>
      </c>
      <c r="C361" s="0" t="inlineStr">
        <is>
          <t xml:space="preserve">broad_maritime</t>
        </is>
      </c>
      <c r="D361" s="4">
        <v>60.79956688</v>
      </c>
      <c r="E361" s="0" t="inlineStr">
        <is>
          <t xml:space="preserve">VIGOR MARINE LLC</t>
        </is>
      </c>
      <c r="F361" s="0" t="inlineStr">
        <is>
          <t xml:space="preserve">naics:336611</t>
        </is>
      </c>
    </row>
    <row r="362">
      <c r="B362" s="0" t="inlineStr">
        <is>
          <t xml:space="preserve">N5523625F9922</t>
        </is>
      </c>
      <c r="C362" s="0" t="inlineStr">
        <is>
          <t xml:space="preserve">broad_maritime</t>
        </is>
      </c>
      <c r="D362" s="4">
        <v>60.592924</v>
      </c>
      <c r="E362" s="0" t="inlineStr">
        <is>
          <t xml:space="preserve">HUNTINGTON INGALLS INC</t>
        </is>
      </c>
      <c r="F362" s="0" t="inlineStr">
        <is>
          <t xml:space="preserve">naics:336611</t>
        </is>
      </c>
    </row>
    <row r="363">
      <c r="B363" s="0" t="inlineStr">
        <is>
          <t xml:space="preserve">N5523619F8034</t>
        </is>
      </c>
      <c r="C363" s="0" t="inlineStr">
        <is>
          <t xml:space="preserve">broad_maritime</t>
        </is>
      </c>
      <c r="D363" s="4">
        <v>60.109086</v>
      </c>
      <c r="E363" s="0" t="inlineStr">
        <is>
          <t xml:space="preserve">VIGOR MARINE LLC</t>
        </is>
      </c>
      <c r="F363" s="0" t="inlineStr">
        <is>
          <t xml:space="preserve">naics:336611</t>
        </is>
      </c>
    </row>
    <row r="364">
      <c r="B364" s="0" t="inlineStr">
        <is>
          <t xml:space="preserve">N0002421C4109</t>
        </is>
      </c>
      <c r="C364" s="0" t="inlineStr">
        <is>
          <t xml:space="preserve">broad_maritime</t>
        </is>
      </c>
      <c r="D364" s="4">
        <v>60.03207</v>
      </c>
      <c r="E364" s="0" t="inlineStr">
        <is>
          <t xml:space="preserve">RCT SYSTEMS, INC</t>
        </is>
      </c>
      <c r="F364" s="0" t="inlineStr">
        <is>
          <t xml:space="preserve">psc:1905</t>
        </is>
      </c>
    </row>
    <row r="365">
      <c r="B365" s="0" t="inlineStr">
        <is>
          <t xml:space="preserve">N4523A21F0580</t>
        </is>
      </c>
      <c r="C365" s="0" t="inlineStr">
        <is>
          <t xml:space="preserve">broad_maritime</t>
        </is>
      </c>
      <c r="D365" s="4">
        <v>59.813101950000004</v>
      </c>
      <c r="E365" s="0" t="inlineStr">
        <is>
          <t xml:space="preserve">METRO MACHINE CORP</t>
        </is>
      </c>
      <c r="F365" s="0" t="inlineStr">
        <is>
          <t xml:space="preserve">naics:336611</t>
        </is>
      </c>
    </row>
    <row r="366">
      <c r="B366" s="0" t="inlineStr">
        <is>
          <t xml:space="preserve">N0002418C4432</t>
        </is>
      </c>
      <c r="C366" s="0" t="inlineStr">
        <is>
          <t xml:space="preserve">broad_maritime</t>
        </is>
      </c>
      <c r="D366" s="4">
        <v>58.809675469999995</v>
      </c>
      <c r="E366" s="0" t="inlineStr">
        <is>
          <t xml:space="preserve">BAE SYSTEMS MARITIME SOLUTIONS SAN DIEGO INC.</t>
        </is>
      </c>
      <c r="F366" s="0" t="inlineStr">
        <is>
          <t xml:space="preserve">naics:336611</t>
        </is>
      </c>
    </row>
    <row r="367">
      <c r="B367" s="0" t="inlineStr">
        <is>
          <t xml:space="preserve">N0002420C6312</t>
        </is>
      </c>
      <c r="C367" s="0" t="inlineStr">
        <is>
          <t xml:space="preserve">broad_maritime</t>
        </is>
      </c>
      <c r="D367" s="4">
        <v>58.655312450000004</v>
      </c>
      <c r="E367" s="0" t="inlineStr">
        <is>
          <t xml:space="preserve">L3 TECHNOLOGIES, INC.</t>
        </is>
      </c>
      <c r="F367" s="0" t="inlineStr">
        <is>
          <t xml:space="preserve">naics:336611; psc:1905</t>
        </is>
      </c>
    </row>
    <row r="368">
      <c r="B368" s="0" t="inlineStr">
        <is>
          <t xml:space="preserve">N5523624F9918</t>
        </is>
      </c>
      <c r="C368" s="0" t="inlineStr">
        <is>
          <t xml:space="preserve">broad_maritime</t>
        </is>
      </c>
      <c r="D368" s="4">
        <v>58.50727</v>
      </c>
      <c r="E368" s="0" t="inlineStr">
        <is>
          <t xml:space="preserve">HUNTINGTON INGALLS INC</t>
        </is>
      </c>
      <c r="F368" s="0" t="inlineStr">
        <is>
          <t xml:space="preserve">naics:336611</t>
        </is>
      </c>
    </row>
    <row r="369">
      <c r="B369" s="0" t="inlineStr">
        <is>
          <t xml:space="preserve">N6279322F7800</t>
        </is>
      </c>
      <c r="C369" s="0" t="inlineStr">
        <is>
          <t xml:space="preserve">broad_maritime</t>
        </is>
      </c>
      <c r="D369" s="4">
        <v>58.43357353</v>
      </c>
      <c r="E369" s="0" t="inlineStr">
        <is>
          <t xml:space="preserve">HUNTINGTON INGALLS INC</t>
        </is>
      </c>
      <c r="F369" s="0" t="inlineStr">
        <is>
          <t xml:space="preserve">naics:336611; psc:1905</t>
        </is>
      </c>
    </row>
    <row r="370">
      <c r="B370" s="0" t="inlineStr">
        <is>
          <t xml:space="preserve">N0002425C4420</t>
        </is>
      </c>
      <c r="C370" s="0" t="inlineStr">
        <is>
          <t xml:space="preserve">broad_maritime</t>
        </is>
      </c>
      <c r="D370" s="4">
        <v>58.27201133</v>
      </c>
      <c r="E370" s="0" t="inlineStr">
        <is>
          <t xml:space="preserve">VIGOR MARINE LLC</t>
        </is>
      </c>
      <c r="F370" s="0" t="inlineStr">
        <is>
          <t xml:space="preserve">naics:336611</t>
        </is>
      </c>
    </row>
    <row r="371">
      <c r="B371" s="0" t="inlineStr">
        <is>
          <t xml:space="preserve">N0002414C2230</t>
        </is>
      </c>
      <c r="C371" s="0" t="inlineStr">
        <is>
          <t xml:space="preserve">small_craft</t>
        </is>
      </c>
      <c r="D371" s="4">
        <v>58.21942113</v>
      </c>
      <c r="E371" s="0" t="inlineStr">
        <is>
          <t xml:space="preserve">SAFE BOATS INTERNATIONAL LLC</t>
        </is>
      </c>
      <c r="F371" s="0" t="inlineStr">
        <is>
          <t xml:space="preserve">naics:336612; psc:1940</t>
        </is>
      </c>
    </row>
    <row r="372">
      <c r="B372" s="0" t="inlineStr">
        <is>
          <t xml:space="preserve">N0002422C4319</t>
        </is>
      </c>
      <c r="C372" s="0" t="inlineStr">
        <is>
          <t xml:space="preserve">broad_maritime</t>
        </is>
      </c>
      <c r="D372" s="4">
        <v>57.864141999999994</v>
      </c>
      <c r="E372" s="0" t="inlineStr">
        <is>
          <t xml:space="preserve">COLONNA'S SHIP YARD, INCORPORATED</t>
        </is>
      </c>
      <c r="F372" s="0" t="inlineStr">
        <is>
          <t xml:space="preserve">naics:336611</t>
        </is>
      </c>
    </row>
    <row r="373">
      <c r="B373" s="0" t="inlineStr">
        <is>
          <t xml:space="preserve">N0002422C4203</t>
        </is>
      </c>
      <c r="C373" s="0" t="inlineStr">
        <is>
          <t xml:space="preserve">broad_maritime</t>
        </is>
      </c>
      <c r="D373" s="4">
        <v>57.484989899999995</v>
      </c>
      <c r="E373" s="0" t="inlineStr">
        <is>
          <t xml:space="preserve">OWL INTERNATIONAL INC.</t>
        </is>
      </c>
      <c r="F373" s="0" t="inlineStr">
        <is>
          <t xml:space="preserve">naics:336611</t>
        </is>
      </c>
    </row>
    <row r="374">
      <c r="B374" s="0" t="inlineStr">
        <is>
          <t xml:space="preserve">N5005419FC067</t>
        </is>
      </c>
      <c r="C374" s="0" t="inlineStr">
        <is>
          <t xml:space="preserve">broad_maritime</t>
        </is>
      </c>
      <c r="D374" s="4">
        <v>57.393268</v>
      </c>
      <c r="E374" s="0" t="inlineStr">
        <is>
          <t xml:space="preserve">METRO MACHINE CORP.</t>
        </is>
      </c>
      <c r="F374" s="0" t="inlineStr">
        <is>
          <t xml:space="preserve">naics:336611</t>
        </is>
      </c>
    </row>
    <row r="375">
      <c r="B375" s="0" t="inlineStr">
        <is>
          <t xml:space="preserve">N0002416C4404</t>
        </is>
      </c>
      <c r="C375" s="0" t="inlineStr">
        <is>
          <t xml:space="preserve">broad_maritime</t>
        </is>
      </c>
      <c r="D375" s="4">
        <v>57.317617999999996</v>
      </c>
      <c r="E375" s="0" t="inlineStr">
        <is>
          <t xml:space="preserve">METRO MACHINE CORP.</t>
        </is>
      </c>
      <c r="F375" s="0" t="inlineStr">
        <is>
          <t xml:space="preserve">naics:336611</t>
        </is>
      </c>
    </row>
    <row r="376">
      <c r="B376" s="0" t="inlineStr">
        <is>
          <t xml:space="preserve">N3220522C4055</t>
        </is>
      </c>
      <c r="C376" s="0" t="inlineStr">
        <is>
          <t xml:space="preserve">broad_maritime</t>
        </is>
      </c>
      <c r="D376" s="4">
        <v>56.65372088</v>
      </c>
      <c r="E376" s="0" t="inlineStr">
        <is>
          <t xml:space="preserve">MARE ISLAND DRY DOCK LLC</t>
        </is>
      </c>
      <c r="F376" s="0" t="inlineStr">
        <is>
          <t xml:space="preserve">naics:336611</t>
        </is>
      </c>
    </row>
    <row r="377">
      <c r="B377" s="0" t="inlineStr">
        <is>
          <t xml:space="preserve">N0002414C2410</t>
        </is>
      </c>
      <c r="C377" s="0" t="inlineStr">
        <is>
          <t xml:space="preserve">broad_maritime</t>
        </is>
      </c>
      <c r="D377" s="4">
        <v>56.10159006</v>
      </c>
      <c r="E377" s="0" t="inlineStr">
        <is>
          <t xml:space="preserve">HUNTINGTON INGALLS INCORPORATED</t>
        </is>
      </c>
      <c r="F377" s="0" t="inlineStr">
        <is>
          <t xml:space="preserve">naics:336611</t>
        </is>
      </c>
    </row>
    <row r="378">
      <c r="B378" s="0" t="inlineStr">
        <is>
          <t xml:space="preserve">N3220525C5000</t>
        </is>
      </c>
      <c r="C378" s="0" t="inlineStr">
        <is>
          <t xml:space="preserve">broad_maritime</t>
        </is>
      </c>
      <c r="D378" s="4">
        <v>55.9889426</v>
      </c>
      <c r="E378" s="0" t="inlineStr">
        <is>
          <t xml:space="preserve">DETYENS SHIPYARDS INC</t>
        </is>
      </c>
      <c r="F378" s="0" t="inlineStr">
        <is>
          <t xml:space="preserve">naics:336611</t>
        </is>
      </c>
    </row>
    <row r="379">
      <c r="B379" s="0" t="inlineStr">
        <is>
          <t xml:space="preserve">N3220517C4406</t>
        </is>
      </c>
      <c r="C379" s="0" t="inlineStr">
        <is>
          <t xml:space="preserve">other_small</t>
        </is>
      </c>
      <c r="D379" s="4">
        <v>55.47897259</v>
      </c>
      <c r="E379" s="0" t="inlineStr">
        <is>
          <t xml:space="preserve">VIGOR MARINE LLC</t>
        </is>
      </c>
      <c r="F379" s="0" t="inlineStr">
        <is>
          <t xml:space="preserve">naics:336611; psc:1925</t>
        </is>
      </c>
    </row>
    <row r="380">
      <c r="B380" s="0" t="inlineStr">
        <is>
          <t xml:space="preserve">N0002423C2201</t>
        </is>
      </c>
      <c r="C380" s="0" t="inlineStr">
        <is>
          <t xml:space="preserve">small_craft</t>
        </is>
      </c>
      <c r="D380" s="4">
        <v>55.048603</v>
      </c>
      <c r="E380" s="0" t="inlineStr">
        <is>
          <t xml:space="preserve">RECONCRAFT, LLC</t>
        </is>
      </c>
      <c r="F380" s="0" t="inlineStr">
        <is>
          <t xml:space="preserve">naics:336612; psc:1940</t>
        </is>
      </c>
    </row>
    <row r="381">
      <c r="B381" s="0" t="inlineStr">
        <is>
          <t xml:space="preserve">N5523619F2031</t>
        </is>
      </c>
      <c r="C381" s="0" t="inlineStr">
        <is>
          <t xml:space="preserve">broad_maritime</t>
        </is>
      </c>
      <c r="D381" s="4">
        <v>54.96444268</v>
      </c>
      <c r="E381" s="0" t="inlineStr">
        <is>
          <t xml:space="preserve">NATIONAL STEEL AND SHIPBUILDING COMPANY</t>
        </is>
      </c>
      <c r="F381" s="0" t="inlineStr">
        <is>
          <t xml:space="preserve">naics:336611</t>
        </is>
      </c>
    </row>
    <row r="382">
      <c r="B382" s="0" t="inlineStr">
        <is>
          <t xml:space="preserve">N0002423F6313</t>
        </is>
      </c>
      <c r="C382" s="0" t="inlineStr">
        <is>
          <t xml:space="preserve">broad_maritime</t>
        </is>
      </c>
      <c r="D382" s="4">
        <v>54.923558439999994</v>
      </c>
      <c r="E382" s="0" t="inlineStr">
        <is>
          <t xml:space="preserve">LEIDOS, INC.</t>
        </is>
      </c>
      <c r="F382" s="0" t="inlineStr">
        <is>
          <t xml:space="preserve">psc:1905</t>
        </is>
      </c>
    </row>
    <row r="383">
      <c r="B383" s="0" t="inlineStr">
        <is>
          <t xml:space="preserve">N3220520C6501</t>
        </is>
      </c>
      <c r="C383" s="0" t="inlineStr">
        <is>
          <t xml:space="preserve">broad_maritime</t>
        </is>
      </c>
      <c r="D383" s="4">
        <v>54.76384453</v>
      </c>
      <c r="E383" s="0" t="inlineStr">
        <is>
          <t xml:space="preserve">MARE ISLAND DRY DOCK LLC</t>
        </is>
      </c>
      <c r="F383" s="0" t="inlineStr">
        <is>
          <t xml:space="preserve">naics:336611</t>
        </is>
      </c>
    </row>
    <row r="384">
      <c r="B384" s="0" t="inlineStr">
        <is>
          <t xml:space="preserve">0010</t>
        </is>
      </c>
      <c r="C384" s="0" t="inlineStr">
        <is>
          <t xml:space="preserve">broad_maritime</t>
        </is>
      </c>
      <c r="D384" s="4">
        <v>54.735799</v>
      </c>
      <c r="E384" s="0" t="inlineStr">
        <is>
          <t xml:space="preserve">BAE SYSTEMS MARITIME SOLUTIONS NORFOLK INC.</t>
        </is>
      </c>
      <c r="F384" s="0" t="inlineStr">
        <is>
          <t xml:space="preserve">naics:336611</t>
        </is>
      </c>
    </row>
    <row r="385">
      <c r="B385" s="0" t="inlineStr">
        <is>
          <t xml:space="preserve">N0002424C2461</t>
        </is>
      </c>
      <c r="C385" s="0" t="inlineStr">
        <is>
          <t xml:space="preserve">broad_maritime</t>
        </is>
      </c>
      <c r="D385" s="4">
        <v>54.305518039999995</v>
      </c>
      <c r="E385" s="0" t="inlineStr">
        <is>
          <t xml:space="preserve">SEEMANN COMPOSITES, LLC</t>
        </is>
      </c>
      <c r="F385" s="0" t="inlineStr">
        <is>
          <t xml:space="preserve">psc:1905</t>
        </is>
      </c>
    </row>
    <row r="386">
      <c r="B386" s="0" t="inlineStr">
        <is>
          <t xml:space="preserve">N0002410C2204</t>
        </is>
      </c>
      <c r="C386" s="0" t="inlineStr">
        <is>
          <t xml:space="preserve">broad_maritime</t>
        </is>
      </c>
      <c r="D386" s="4">
        <v>54.26714</v>
      </c>
      <c r="E386" s="0" t="inlineStr">
        <is>
          <t xml:space="preserve">BAE SYSTEMS MARITIME SOLUTIONS NORFOLK INC.</t>
        </is>
      </c>
      <c r="F386" s="0" t="inlineStr">
        <is>
          <t xml:space="preserve">naics:336611</t>
        </is>
      </c>
    </row>
    <row r="387">
      <c r="B387" s="0" t="inlineStr">
        <is>
          <t xml:space="preserve">N0002419C4406</t>
        </is>
      </c>
      <c r="C387" s="0" t="inlineStr">
        <is>
          <t xml:space="preserve">broad_maritime</t>
        </is>
      </c>
      <c r="D387" s="4">
        <v>53.77064757</v>
      </c>
      <c r="E387" s="0" t="inlineStr">
        <is>
          <t xml:space="preserve">CONTINENTAL MARITIME OF SAN DIEGO, LLC</t>
        </is>
      </c>
      <c r="F387" s="0" t="inlineStr">
        <is>
          <t xml:space="preserve">naics:336611</t>
        </is>
      </c>
    </row>
    <row r="388">
      <c r="B388" s="0" t="inlineStr">
        <is>
          <t xml:space="preserve">N0003314C7508</t>
        </is>
      </c>
      <c r="C388" s="0" t="inlineStr">
        <is>
          <t xml:space="preserve">broad_maritime</t>
        </is>
      </c>
      <c r="D388" s="4">
        <v>53.53404193</v>
      </c>
      <c r="E388" s="0" t="inlineStr">
        <is>
          <t xml:space="preserve">BAE SYSTEMS SOUTHEAST SHIPYARDS ALABAMA LLC</t>
        </is>
      </c>
      <c r="F388" s="0" t="inlineStr">
        <is>
          <t xml:space="preserve">naics:336611</t>
        </is>
      </c>
    </row>
    <row r="389">
      <c r="B389" s="0" t="inlineStr">
        <is>
          <t xml:space="preserve">N0002423C4405</t>
        </is>
      </c>
      <c r="C389" s="0" t="inlineStr">
        <is>
          <t xml:space="preserve">broad_maritime</t>
        </is>
      </c>
      <c r="D389" s="4">
        <v>53.52292015</v>
      </c>
      <c r="E389" s="0" t="inlineStr">
        <is>
          <t xml:space="preserve">BAE SYSTEMS MARITIME SOLUTIONS SAN DIEGO INC.</t>
        </is>
      </c>
      <c r="F389" s="0" t="inlineStr">
        <is>
          <t xml:space="preserve">naics:336611</t>
        </is>
      </c>
    </row>
    <row r="390">
      <c r="B390" s="0" t="inlineStr">
        <is>
          <t xml:space="preserve">N0002418C2223</t>
        </is>
      </c>
      <c r="C390" s="0" t="inlineStr">
        <is>
          <t xml:space="preserve">small_craft</t>
        </is>
      </c>
      <c r="D390" s="4">
        <v>53.45682136</v>
      </c>
      <c r="E390" s="0" t="inlineStr">
        <is>
          <t xml:space="preserve">MARINE GROUP BOAT WORKS, LLC</t>
        </is>
      </c>
      <c r="F390" s="0" t="inlineStr">
        <is>
          <t xml:space="preserve">naics:336612; psc:1940</t>
        </is>
      </c>
    </row>
    <row r="391">
      <c r="B391" s="0" t="inlineStr">
        <is>
          <t xml:space="preserve">N0025323F5000</t>
        </is>
      </c>
      <c r="C391" s="0" t="inlineStr">
        <is>
          <t xml:space="preserve">broad_maritime</t>
        </is>
      </c>
      <c r="D391" s="4">
        <v>53.38054045</v>
      </c>
      <c r="E391" s="0" t="inlineStr">
        <is>
          <t xml:space="preserve">VECTRUS SYSTEMS LLC</t>
        </is>
      </c>
      <c r="F391" s="0" t="inlineStr">
        <is>
          <t xml:space="preserve">naics:336611</t>
        </is>
      </c>
    </row>
    <row r="392">
      <c r="B392" s="0" t="inlineStr">
        <is>
          <t xml:space="preserve">N0002401C2302</t>
        </is>
      </c>
      <c r="C392" s="0" t="inlineStr">
        <is>
          <t xml:space="preserve">broad_maritime</t>
        </is>
      </c>
      <c r="D392" s="4">
        <v>53.057241</v>
      </c>
      <c r="E392" s="0" t="inlineStr">
        <is>
          <t xml:space="preserve">HUNTINGTON INGALLS INCORPORATED</t>
        </is>
      </c>
      <c r="F392" s="0" t="inlineStr">
        <is>
          <t xml:space="preserve">naics:336611</t>
        </is>
      </c>
    </row>
    <row r="393">
      <c r="B393" s="0" t="inlineStr">
        <is>
          <t xml:space="preserve">N0002421C2310</t>
        </is>
      </c>
      <c r="C393" s="0" t="inlineStr">
        <is>
          <t xml:space="preserve">broad_maritime</t>
        </is>
      </c>
      <c r="D393" s="4">
        <v>52.92133475999999</v>
      </c>
      <c r="E393" s="0" t="inlineStr">
        <is>
          <t xml:space="preserve">PACIFIC SHIPYARDS INTERNATIONAL, LLC</t>
        </is>
      </c>
      <c r="F393" s="0" t="inlineStr">
        <is>
          <t xml:space="preserve">naics:336611; psc:1905</t>
        </is>
      </c>
    </row>
    <row r="394">
      <c r="B394" s="0" t="inlineStr">
        <is>
          <t xml:space="preserve">N5005418FC020</t>
        </is>
      </c>
      <c r="C394" s="0" t="inlineStr">
        <is>
          <t xml:space="preserve">broad_maritime</t>
        </is>
      </c>
      <c r="D394" s="4">
        <v>52.740277999999996</v>
      </c>
      <c r="E394" s="0" t="inlineStr">
        <is>
          <t xml:space="preserve">BAE SYSTEMS MARITIME SOLUTIONS NORFOLK INC.</t>
        </is>
      </c>
      <c r="F394" s="0" t="inlineStr">
        <is>
          <t xml:space="preserve">naics:336611</t>
        </is>
      </c>
    </row>
    <row r="395">
      <c r="B395" s="0" t="inlineStr">
        <is>
          <t xml:space="preserve">N4002722F0057</t>
        </is>
      </c>
      <c r="C395" s="0" t="inlineStr">
        <is>
          <t xml:space="preserve">broad_maritime</t>
        </is>
      </c>
      <c r="D395" s="4">
        <v>52.62898292</v>
      </c>
      <c r="E395" s="0" t="inlineStr">
        <is>
          <t xml:space="preserve">BAE SYSTEMS JACKSONVILLE SHIP REPAIR LLC</t>
        </is>
      </c>
      <c r="F395" s="0" t="inlineStr">
        <is>
          <t xml:space="preserve">naics:336611</t>
        </is>
      </c>
    </row>
    <row r="396">
      <c r="B396" s="0" t="inlineStr">
        <is>
          <t xml:space="preserve">N4002716C0002</t>
        </is>
      </c>
      <c r="C396" s="0" t="inlineStr">
        <is>
          <t xml:space="preserve">broad_maritime</t>
        </is>
      </c>
      <c r="D396" s="4">
        <v>52.468107950000004</v>
      </c>
      <c r="E396" s="0" t="inlineStr">
        <is>
          <t xml:space="preserve">METRO MACHINE CORP</t>
        </is>
      </c>
      <c r="F396" s="0" t="inlineStr">
        <is>
          <t xml:space="preserve">naics:336611</t>
        </is>
      </c>
    </row>
    <row r="397">
      <c r="B397" s="0" t="inlineStr">
        <is>
          <t xml:space="preserve">0002</t>
        </is>
      </c>
      <c r="C397" s="0" t="inlineStr">
        <is>
          <t xml:space="preserve">broad_maritime</t>
        </is>
      </c>
      <c r="D397" s="4">
        <v>52.34039278</v>
      </c>
      <c r="E397" s="0" t="inlineStr">
        <is>
          <t xml:space="preserve">BAE SYSTEMS MARITIME SOLUTIONS SAN DIEGO INC.</t>
        </is>
      </c>
      <c r="F397" s="0" t="inlineStr">
        <is>
          <t xml:space="preserve">naics:336611; psc:1905</t>
        </is>
      </c>
    </row>
    <row r="398">
      <c r="B398" s="0" t="inlineStr">
        <is>
          <t xml:space="preserve">N5005419FC066</t>
        </is>
      </c>
      <c r="C398" s="0" t="inlineStr">
        <is>
          <t xml:space="preserve">broad_maritime</t>
        </is>
      </c>
      <c r="D398" s="4">
        <v>49.862941</v>
      </c>
      <c r="E398" s="0" t="inlineStr">
        <is>
          <t xml:space="preserve">BAE SYSTEMS MARITIME SOLUTIONS NORFOLK INC.</t>
        </is>
      </c>
      <c r="F398" s="0" t="inlineStr">
        <is>
          <t xml:space="preserve">naics:336611</t>
        </is>
      </c>
    </row>
    <row r="399">
      <c r="B399" s="0" t="inlineStr">
        <is>
          <t xml:space="preserve">N5523623F9939</t>
        </is>
      </c>
      <c r="C399" s="0" t="inlineStr">
        <is>
          <t xml:space="preserve">broad_maritime</t>
        </is>
      </c>
      <c r="D399" s="4">
        <v>49.654467999999994</v>
      </c>
      <c r="E399" s="0" t="inlineStr">
        <is>
          <t xml:space="preserve">HUNTINGTON INGALLS INC</t>
        </is>
      </c>
      <c r="F399" s="0" t="inlineStr">
        <is>
          <t xml:space="preserve">naics:336611</t>
        </is>
      </c>
    </row>
    <row r="400">
      <c r="B400" s="0" t="inlineStr">
        <is>
          <t xml:space="preserve">N5523617FNU02</t>
        </is>
      </c>
      <c r="C400" s="0" t="inlineStr">
        <is>
          <t xml:space="preserve">broad_maritime</t>
        </is>
      </c>
      <c r="D400" s="4">
        <v>49.45222863</v>
      </c>
      <c r="E400" s="0" t="inlineStr">
        <is>
          <t xml:space="preserve">NATIONAL STEEL AND SHIPBUILDING COMPANY</t>
        </is>
      </c>
      <c r="F400" s="0" t="inlineStr">
        <is>
          <t xml:space="preserve">naics:336611</t>
        </is>
      </c>
    </row>
    <row r="401">
      <c r="B401" s="0" t="inlineStr">
        <is>
          <t xml:space="preserve">N6279321F2001</t>
        </is>
      </c>
      <c r="C401" s="0" t="inlineStr">
        <is>
          <t xml:space="preserve">broad_maritime</t>
        </is>
      </c>
      <c r="D401" s="4">
        <v>49.33163939</v>
      </c>
      <c r="E401" s="0" t="inlineStr">
        <is>
          <t xml:space="preserve">HUNTINGTON INGALLS INC</t>
        </is>
      </c>
      <c r="F401" s="0" t="inlineStr">
        <is>
          <t xml:space="preserve">naics:336611; psc:1905</t>
        </is>
      </c>
    </row>
    <row r="402">
      <c r="B402" s="0" t="inlineStr">
        <is>
          <t xml:space="preserve">N0002416C4327</t>
        </is>
      </c>
      <c r="C402" s="0" t="inlineStr">
        <is>
          <t xml:space="preserve">broad_maritime</t>
        </is>
      </c>
      <c r="D402" s="4">
        <v>49.24789369</v>
      </c>
      <c r="E402" s="0" t="inlineStr">
        <is>
          <t xml:space="preserve">HUNTINGTON INGALLS INC</t>
        </is>
      </c>
      <c r="F402" s="0" t="inlineStr">
        <is>
          <t xml:space="preserve">naics:336611; psc:1905</t>
        </is>
      </c>
    </row>
    <row r="403">
      <c r="B403" s="0" t="inlineStr">
        <is>
          <t xml:space="preserve">N5523617F4019</t>
        </is>
      </c>
      <c r="C403" s="0" t="inlineStr">
        <is>
          <t xml:space="preserve">broad_maritime</t>
        </is>
      </c>
      <c r="D403" s="4">
        <v>48.818030029999996</v>
      </c>
      <c r="E403" s="0" t="inlineStr">
        <is>
          <t xml:space="preserve">CONTINENTAL MARITIME OF SAN DIEGO, LLC</t>
        </is>
      </c>
      <c r="F403" s="0" t="inlineStr">
        <is>
          <t xml:space="preserve">naics:336611</t>
        </is>
      </c>
    </row>
    <row r="404">
      <c r="B404" s="0" t="inlineStr">
        <is>
          <t xml:space="preserve">N0024421C0003</t>
        </is>
      </c>
      <c r="C404" s="0" t="inlineStr">
        <is>
          <t xml:space="preserve">broad_maritime</t>
        </is>
      </c>
      <c r="D404" s="4">
        <v>48.7904611</v>
      </c>
      <c r="E404" s="0" t="inlineStr">
        <is>
          <t xml:space="preserve">UNITED SUPPORT SERVICES, INC.</t>
        </is>
      </c>
      <c r="F404" s="0" t="inlineStr">
        <is>
          <t xml:space="preserve">naics:336611</t>
        </is>
      </c>
    </row>
    <row r="405">
      <c r="B405" s="0" t="inlineStr">
        <is>
          <t xml:space="preserve">N5523623F8352</t>
        </is>
      </c>
      <c r="C405" s="0" t="inlineStr">
        <is>
          <t xml:space="preserve">broad_maritime</t>
        </is>
      </c>
      <c r="D405" s="4">
        <v>48.71993033</v>
      </c>
      <c r="E405" s="0" t="inlineStr">
        <is>
          <t xml:space="preserve">BAE SYSTEMS MARITIME SOLUTIONS SAN DIEGO INC.</t>
        </is>
      </c>
      <c r="F405" s="0" t="inlineStr">
        <is>
          <t xml:space="preserve">naics:336611</t>
        </is>
      </c>
    </row>
    <row r="406">
      <c r="B406" s="0" t="inlineStr">
        <is>
          <t xml:space="preserve">N0002422C2318</t>
        </is>
      </c>
      <c r="C406" s="0" t="inlineStr">
        <is>
          <t xml:space="preserve">broad_maritime</t>
        </is>
      </c>
      <c r="D406" s="4">
        <v>47.675368</v>
      </c>
      <c r="E406" s="0" t="inlineStr">
        <is>
          <t xml:space="preserve">BATH IRON WORKS CORPORATION</t>
        </is>
      </c>
      <c r="F406" s="0" t="inlineStr">
        <is>
          <t xml:space="preserve">naics:336611; psc:1905</t>
        </is>
      </c>
    </row>
    <row r="407">
      <c r="B407" s="0" t="inlineStr">
        <is>
          <t xml:space="preserve">N0002415C4305</t>
        </is>
      </c>
      <c r="C407" s="0" t="inlineStr">
        <is>
          <t xml:space="preserve">broad_maritime</t>
        </is>
      </c>
      <c r="D407" s="4">
        <v>47.45868</v>
      </c>
      <c r="E407" s="0" t="inlineStr">
        <is>
          <t xml:space="preserve">ELECTRIC BOAT CORPORATION</t>
        </is>
      </c>
      <c r="F407" s="0" t="inlineStr">
        <is>
          <t xml:space="preserve">naics:336611</t>
        </is>
      </c>
    </row>
    <row r="408">
      <c r="B408" s="0" t="inlineStr">
        <is>
          <t xml:space="preserve">N0002424C4408</t>
        </is>
      </c>
      <c r="C408" s="0" t="inlineStr">
        <is>
          <t xml:space="preserve">broad_maritime</t>
        </is>
      </c>
      <c r="D408" s="4">
        <v>47.39040428</v>
      </c>
      <c r="E408" s="0" t="inlineStr">
        <is>
          <t xml:space="preserve">BAE SYSTEMS MARITIME SOLUTIONS SAN DIEGO INC.</t>
        </is>
      </c>
      <c r="F408" s="0" t="inlineStr">
        <is>
          <t xml:space="preserve">naics:336611</t>
        </is>
      </c>
    </row>
    <row r="409">
      <c r="B409" s="0" t="inlineStr">
        <is>
          <t xml:space="preserve">N4215817C0002</t>
        </is>
      </c>
      <c r="C409" s="0" t="inlineStr">
        <is>
          <t xml:space="preserve">broad_maritime</t>
        </is>
      </c>
      <c r="D409" s="4">
        <v>47.276683999999996</v>
      </c>
      <c r="E409" s="0" t="inlineStr">
        <is>
          <t xml:space="preserve">HUNTINGTON INGALLS INC</t>
        </is>
      </c>
      <c r="F409" s="0" t="inlineStr">
        <is>
          <t xml:space="preserve">naics:336611</t>
        </is>
      </c>
    </row>
    <row r="410">
      <c r="B410" s="0" t="inlineStr">
        <is>
          <t xml:space="preserve">0018</t>
        </is>
      </c>
      <c r="C410" s="0" t="inlineStr">
        <is>
          <t xml:space="preserve">broad_maritime</t>
        </is>
      </c>
      <c r="D410" s="4">
        <v>47.11713382999999</v>
      </c>
      <c r="E410" s="0" t="inlineStr">
        <is>
          <t xml:space="preserve">LOCKHEED MARTIN CORPORATION</t>
        </is>
      </c>
      <c r="F410" s="0" t="inlineStr">
        <is>
          <t xml:space="preserve">naics:336611; psc:1905</t>
        </is>
      </c>
    </row>
    <row r="411">
      <c r="B411" s="0" t="inlineStr">
        <is>
          <t xml:space="preserve">N5523623C0001</t>
        </is>
      </c>
      <c r="C411" s="0" t="inlineStr">
        <is>
          <t xml:space="preserve">broad_maritime</t>
        </is>
      </c>
      <c r="D411" s="4">
        <v>47.04615396</v>
      </c>
      <c r="E411" s="0" t="inlineStr">
        <is>
          <t xml:space="preserve">CONTINENTAL MARITIME OF SAN DIEGO, LLC</t>
        </is>
      </c>
      <c r="F411" s="0" t="inlineStr">
        <is>
          <t xml:space="preserve">naics:336611</t>
        </is>
      </c>
    </row>
    <row r="412">
      <c r="B412" s="0" t="inlineStr">
        <is>
          <t xml:space="preserve">N0038320F0W80</t>
        </is>
      </c>
      <c r="C412" s="0" t="inlineStr">
        <is>
          <t xml:space="preserve">broad_maritime</t>
        </is>
      </c>
      <c r="D412" s="4">
        <v>46.711717</v>
      </c>
      <c r="E412" s="0" t="inlineStr">
        <is>
          <t xml:space="preserve">RAYTHEON COMPANY</t>
        </is>
      </c>
      <c r="F412" s="0" t="inlineStr">
        <is>
          <t xml:space="preserve">naics:336611</t>
        </is>
      </c>
    </row>
    <row r="413">
      <c r="B413" s="0" t="inlineStr">
        <is>
          <t xml:space="preserve">N3220525C2148</t>
        </is>
      </c>
      <c r="C413" s="0" t="inlineStr">
        <is>
          <t xml:space="preserve">broad_maritime</t>
        </is>
      </c>
      <c r="D413" s="4">
        <v>46.695549799999995</v>
      </c>
      <c r="E413" s="0" t="inlineStr">
        <is>
          <t xml:space="preserve">VIGOR MARINE LLC</t>
        </is>
      </c>
      <c r="F413" s="0" t="inlineStr">
        <is>
          <t xml:space="preserve">naics:336611</t>
        </is>
      </c>
    </row>
    <row r="414">
      <c r="B414" s="0" t="inlineStr">
        <is>
          <t xml:space="preserve">N0002419C4411</t>
        </is>
      </c>
      <c r="C414" s="0" t="inlineStr">
        <is>
          <t xml:space="preserve">broad_maritime</t>
        </is>
      </c>
      <c r="D414" s="4">
        <v>46.5681812</v>
      </c>
      <c r="E414" s="0" t="inlineStr">
        <is>
          <t xml:space="preserve">BAE SYSTEMS MARITIME SOLUTIONS SAN DIEGO INC.</t>
        </is>
      </c>
      <c r="F414" s="0" t="inlineStr">
        <is>
          <t xml:space="preserve">naics:336611</t>
        </is>
      </c>
    </row>
    <row r="415">
      <c r="B415" s="0" t="inlineStr">
        <is>
          <t xml:space="preserve">N0002419F8406</t>
        </is>
      </c>
      <c r="C415" s="0" t="inlineStr">
        <is>
          <t xml:space="preserve">usv_core</t>
        </is>
      </c>
      <c r="D415" s="4">
        <v>46.438407999999995</v>
      </c>
      <c r="E415" s="0" t="inlineStr">
        <is>
          <t xml:space="preserve">THE PENNSYLVANIA STATE UNIVERSITY</t>
        </is>
      </c>
      <c r="F415" s="0" t="inlineStr">
        <is>
          <t xml:space="preserve">keyword</t>
        </is>
      </c>
    </row>
    <row r="416">
      <c r="B416" s="0" t="inlineStr">
        <is>
          <t xml:space="preserve">N5523621F8190</t>
        </is>
      </c>
      <c r="C416" s="0" t="inlineStr">
        <is>
          <t xml:space="preserve">broad_maritime</t>
        </is>
      </c>
      <c r="D416" s="4">
        <v>46.394082399999995</v>
      </c>
      <c r="E416" s="0" t="inlineStr">
        <is>
          <t xml:space="preserve">BAE SYSTEMS MARITIME SOLUTIONS SAN DIEGO INC.</t>
        </is>
      </c>
      <c r="F416" s="0" t="inlineStr">
        <is>
          <t xml:space="preserve">naics:336611</t>
        </is>
      </c>
    </row>
    <row r="417">
      <c r="B417" s="0" t="inlineStr">
        <is>
          <t xml:space="preserve">N5523622F9930</t>
        </is>
      </c>
      <c r="C417" s="0" t="inlineStr">
        <is>
          <t xml:space="preserve">broad_maritime</t>
        </is>
      </c>
      <c r="D417" s="4">
        <v>46.315338999999994</v>
      </c>
      <c r="E417" s="0" t="inlineStr">
        <is>
          <t xml:space="preserve">HUNTINGTON INGALLS INC</t>
        </is>
      </c>
      <c r="F417" s="0" t="inlineStr">
        <is>
          <t xml:space="preserve">naics:336611</t>
        </is>
      </c>
    </row>
    <row r="418">
      <c r="B418" s="0" t="inlineStr">
        <is>
          <t xml:space="preserve">N5523620F9911</t>
        </is>
      </c>
      <c r="C418" s="0" t="inlineStr">
        <is>
          <t xml:space="preserve">broad_maritime</t>
        </is>
      </c>
      <c r="D418" s="4">
        <v>46.312703</v>
      </c>
      <c r="E418" s="0" t="inlineStr">
        <is>
          <t xml:space="preserve">HUNTINGTON INGALLS INC</t>
        </is>
      </c>
      <c r="F418" s="0" t="inlineStr">
        <is>
          <t xml:space="preserve">naics:336611</t>
        </is>
      </c>
    </row>
    <row r="419">
      <c r="B419" s="0" t="inlineStr">
        <is>
          <t xml:space="preserve">N3220516C4601</t>
        </is>
      </c>
      <c r="C419" s="0" t="inlineStr">
        <is>
          <t xml:space="preserve">broad_maritime</t>
        </is>
      </c>
      <c r="D419" s="4">
        <v>46.24403185</v>
      </c>
      <c r="E419" s="0" t="inlineStr">
        <is>
          <t xml:space="preserve">BRODOGRADILISTE VIKTOR LENAC D.D.</t>
        </is>
      </c>
      <c r="F419" s="0" t="inlineStr">
        <is>
          <t xml:space="preserve">naics:336611</t>
        </is>
      </c>
    </row>
    <row r="420">
      <c r="B420" s="0" t="inlineStr">
        <is>
          <t xml:space="preserve">N0002422C6303</t>
        </is>
      </c>
      <c r="C420" s="0" t="inlineStr">
        <is>
          <t xml:space="preserve">broad_maritime</t>
        </is>
      </c>
      <c r="D420" s="4">
        <v>45.969428869999994</v>
      </c>
      <c r="E420" s="0" t="inlineStr">
        <is>
          <t xml:space="preserve">LEIDOS, INC.</t>
        </is>
      </c>
      <c r="F420" s="0" t="inlineStr">
        <is>
          <t xml:space="preserve">naics:336611</t>
        </is>
      </c>
    </row>
    <row r="421">
      <c r="B421" s="0" t="inlineStr">
        <is>
          <t xml:space="preserve">N4523A18C0551</t>
        </is>
      </c>
      <c r="C421" s="0" t="inlineStr">
        <is>
          <t xml:space="preserve">broad_maritime</t>
        </is>
      </c>
      <c r="D421" s="4">
        <v>45.747290639999996</v>
      </c>
      <c r="E421" s="0" t="inlineStr">
        <is>
          <t xml:space="preserve">VIGOR MARINE LLC</t>
        </is>
      </c>
      <c r="F421" s="0" t="inlineStr">
        <is>
          <t xml:space="preserve">naics:336611</t>
        </is>
      </c>
    </row>
    <row r="422">
      <c r="B422" s="0" t="inlineStr">
        <is>
          <t xml:space="preserve">N5523618F5067</t>
        </is>
      </c>
      <c r="C422" s="0" t="inlineStr">
        <is>
          <t xml:space="preserve">broad_maritime</t>
        </is>
      </c>
      <c r="D422" s="4">
        <v>45.501661999999996</v>
      </c>
      <c r="E422" s="0" t="inlineStr">
        <is>
          <t xml:space="preserve">BAE SYSTEMS MARITIME SOLUTIONS SAN DIEGO INC.</t>
        </is>
      </c>
      <c r="F422" s="0" t="inlineStr">
        <is>
          <t xml:space="preserve">naics:336611</t>
        </is>
      </c>
    </row>
    <row r="423">
      <c r="B423" s="0" t="inlineStr">
        <is>
          <t xml:space="preserve">N0002417C4404</t>
        </is>
      </c>
      <c r="C423" s="0" t="inlineStr">
        <is>
          <t xml:space="preserve">broad_maritime</t>
        </is>
      </c>
      <c r="D423" s="4">
        <v>45.17874266</v>
      </c>
      <c r="E423" s="0" t="inlineStr">
        <is>
          <t xml:space="preserve">OWL INTERNATIONAL INC.</t>
        </is>
      </c>
      <c r="F423" s="0" t="inlineStr">
        <is>
          <t xml:space="preserve">naics:336611</t>
        </is>
      </c>
    </row>
    <row r="424">
      <c r="B424" s="0" t="inlineStr">
        <is>
          <t xml:space="preserve">N5005414C1401</t>
        </is>
      </c>
      <c r="C424" s="0" t="inlineStr">
        <is>
          <t xml:space="preserve">broad_maritime</t>
        </is>
      </c>
      <c r="D424" s="4">
        <v>45.16020164</v>
      </c>
      <c r="E424" s="0" t="inlineStr">
        <is>
          <t xml:space="preserve">METRO MACHINE CORP.</t>
        </is>
      </c>
      <c r="F424" s="0" t="inlineStr">
        <is>
          <t xml:space="preserve">naics:336611</t>
        </is>
      </c>
    </row>
    <row r="425">
      <c r="B425" s="0" t="inlineStr">
        <is>
          <t xml:space="preserve">N0002416C2439</t>
        </is>
      </c>
      <c r="C425" s="0" t="inlineStr">
        <is>
          <t xml:space="preserve">broad_maritime</t>
        </is>
      </c>
      <c r="D425" s="4">
        <v>45.018257</v>
      </c>
      <c r="E425" s="0" t="inlineStr">
        <is>
          <t xml:space="preserve">BAE SYSTEMS MARITIME SOLUTIONS SAN DIEGO INC.</t>
        </is>
      </c>
      <c r="F425" s="0" t="inlineStr">
        <is>
          <t xml:space="preserve">naics:336611; psc:1905</t>
        </is>
      </c>
    </row>
    <row r="426">
      <c r="B426" s="0" t="inlineStr">
        <is>
          <t xml:space="preserve">N0002414C4420</t>
        </is>
      </c>
      <c r="C426" s="0" t="inlineStr">
        <is>
          <t xml:space="preserve">broad_maritime</t>
        </is>
      </c>
      <c r="D426" s="4">
        <v>45.006592</v>
      </c>
      <c r="E426" s="0" t="inlineStr">
        <is>
          <t xml:space="preserve">BAE SYSTEMS MARITIME SOLUTIONS SAN DIEGO INC.</t>
        </is>
      </c>
      <c r="F426" s="0" t="inlineStr">
        <is>
          <t xml:space="preserve">naics:336611</t>
        </is>
      </c>
    </row>
    <row r="427">
      <c r="B427" s="0" t="inlineStr">
        <is>
          <t xml:space="preserve">N4523A23C0561</t>
        </is>
      </c>
      <c r="C427" s="0" t="inlineStr">
        <is>
          <t xml:space="preserve">broad_maritime</t>
        </is>
      </c>
      <c r="D427" s="4">
        <v>44.80537561</v>
      </c>
      <c r="E427" s="0" t="inlineStr">
        <is>
          <t xml:space="preserve">METRO MACHINE CORP</t>
        </is>
      </c>
      <c r="F427" s="0" t="inlineStr">
        <is>
          <t xml:space="preserve">naics:336611</t>
        </is>
      </c>
    </row>
    <row r="428">
      <c r="B428" s="0" t="inlineStr">
        <is>
          <t xml:space="preserve">N0002418C2101</t>
        </is>
      </c>
      <c r="C428" s="0" t="inlineStr">
        <is>
          <t xml:space="preserve">broad_maritime</t>
        </is>
      </c>
      <c r="D428" s="4">
        <v>44.724944</v>
      </c>
      <c r="E428" s="0" t="inlineStr">
        <is>
          <t xml:space="preserve">ELECTRIC BOAT CORPORATION</t>
        </is>
      </c>
      <c r="F428" s="0" t="inlineStr">
        <is>
          <t xml:space="preserve">naics:336611; psc:1905</t>
        </is>
      </c>
    </row>
    <row r="429">
      <c r="B429" s="0" t="inlineStr">
        <is>
          <t xml:space="preserve">N0002414C4411</t>
        </is>
      </c>
      <c r="C429" s="0" t="inlineStr">
        <is>
          <t xml:space="preserve">broad_maritime</t>
        </is>
      </c>
      <c r="D429" s="4">
        <v>44.301289999999995</v>
      </c>
      <c r="E429" s="0" t="inlineStr">
        <is>
          <t xml:space="preserve">BAE SYSTEMS HAWAII SHIPYARDS INC.</t>
        </is>
      </c>
      <c r="F429" s="0" t="inlineStr">
        <is>
          <t xml:space="preserve">naics:336611</t>
        </is>
      </c>
    </row>
    <row r="430">
      <c r="B430" s="0" t="inlineStr">
        <is>
          <t xml:space="preserve">0006</t>
        </is>
      </c>
      <c r="C430" s="0" t="inlineStr">
        <is>
          <t xml:space="preserve">broad_maritime</t>
        </is>
      </c>
      <c r="D430" s="4">
        <v>44.008292999999995</v>
      </c>
      <c r="E430" s="0" t="inlineStr">
        <is>
          <t xml:space="preserve">ELECTRIC BOAT CORPORATION</t>
        </is>
      </c>
      <c r="F430" s="0" t="inlineStr">
        <is>
          <t xml:space="preserve">naics:336611</t>
        </is>
      </c>
    </row>
    <row r="431">
      <c r="B431" s="0" t="inlineStr">
        <is>
          <t xml:space="preserve">N4215821C0004</t>
        </is>
      </c>
      <c r="C431" s="0" t="inlineStr">
        <is>
          <t xml:space="preserve">broad_maritime</t>
        </is>
      </c>
      <c r="D431" s="4">
        <v>43.99883563</v>
      </c>
      <c r="E431" s="0" t="inlineStr">
        <is>
          <t xml:space="preserve">PERMA-FIX ENVIRONMENTAL SERVICES, INC.</t>
        </is>
      </c>
      <c r="F431" s="0" t="inlineStr">
        <is>
          <t xml:space="preserve">naics:336611</t>
        </is>
      </c>
    </row>
    <row r="432">
      <c r="B432" s="0" t="inlineStr">
        <is>
          <t xml:space="preserve">N0038321F0W80</t>
        </is>
      </c>
      <c r="C432" s="0" t="inlineStr">
        <is>
          <t xml:space="preserve">broad_maritime</t>
        </is>
      </c>
      <c r="D432" s="4">
        <v>43.840500999999996</v>
      </c>
      <c r="E432" s="0" t="inlineStr">
        <is>
          <t xml:space="preserve">RAYTHEON COMPANY</t>
        </is>
      </c>
      <c r="F432" s="0" t="inlineStr">
        <is>
          <t xml:space="preserve">naics:336611</t>
        </is>
      </c>
    </row>
    <row r="433">
      <c r="B433" s="0" t="inlineStr">
        <is>
          <t xml:space="preserve">N0001418C2006</t>
        </is>
      </c>
      <c r="C433" s="0" t="inlineStr">
        <is>
          <t xml:space="preserve">usv_core</t>
        </is>
      </c>
      <c r="D433" s="4">
        <v>43.559069</v>
      </c>
      <c r="E433" s="0" t="inlineStr">
        <is>
          <t xml:space="preserve">LEIDOS, INC.</t>
        </is>
      </c>
      <c r="F433" s="0" t="inlineStr">
        <is>
          <t xml:space="preserve">keyword</t>
        </is>
      </c>
    </row>
    <row r="434">
      <c r="B434" s="0" t="inlineStr">
        <is>
          <t xml:space="preserve">N0002415C4406</t>
        </is>
      </c>
      <c r="C434" s="0" t="inlineStr">
        <is>
          <t xml:space="preserve">broad_maritime</t>
        </is>
      </c>
      <c r="D434" s="4">
        <v>43.420342</v>
      </c>
      <c r="E434" s="0" t="inlineStr">
        <is>
          <t xml:space="preserve">METRO MACHINE CORP.</t>
        </is>
      </c>
      <c r="F434" s="0" t="inlineStr">
        <is>
          <t xml:space="preserve">naics:336611</t>
        </is>
      </c>
    </row>
    <row r="435">
      <c r="B435" s="0" t="inlineStr">
        <is>
          <t xml:space="preserve">N4002715C0012</t>
        </is>
      </c>
      <c r="C435" s="0" t="inlineStr">
        <is>
          <t xml:space="preserve">broad_maritime</t>
        </is>
      </c>
      <c r="D435" s="4">
        <v>43.41387757</v>
      </c>
      <c r="E435" s="0" t="inlineStr">
        <is>
          <t xml:space="preserve">BAE SYSTEMS JACKSONVILLE SHIP REPAIR LLC</t>
        </is>
      </c>
      <c r="F435" s="0" t="inlineStr">
        <is>
          <t xml:space="preserve">naics:336611</t>
        </is>
      </c>
    </row>
    <row r="436">
      <c r="B436" s="0" t="inlineStr">
        <is>
          <t xml:space="preserve">N0002417C2212</t>
        </is>
      </c>
      <c r="C436" s="0" t="inlineStr">
        <is>
          <t xml:space="preserve">broad_maritime</t>
        </is>
      </c>
      <c r="D436" s="4">
        <v>43.135835</v>
      </c>
      <c r="E436" s="0" t="inlineStr">
        <is>
          <t xml:space="preserve">METRO MACHINE CORP.</t>
        </is>
      </c>
      <c r="F436" s="0" t="inlineStr">
        <is>
          <t xml:space="preserve">naics:336611</t>
        </is>
      </c>
    </row>
    <row r="437">
      <c r="B437" s="0" t="inlineStr">
        <is>
          <t xml:space="preserve">N5005417FC028</t>
        </is>
      </c>
      <c r="C437" s="0" t="inlineStr">
        <is>
          <t xml:space="preserve">broad_maritime</t>
        </is>
      </c>
      <c r="D437" s="4">
        <v>42.968762999999996</v>
      </c>
      <c r="E437" s="0" t="inlineStr">
        <is>
          <t xml:space="preserve">METRO MACHINE CORP.</t>
        </is>
      </c>
      <c r="F437" s="0" t="inlineStr">
        <is>
          <t xml:space="preserve">naics:336611</t>
        </is>
      </c>
    </row>
    <row r="438">
      <c r="B438" s="0" t="inlineStr">
        <is>
          <t xml:space="preserve">N5005420FC021</t>
        </is>
      </c>
      <c r="C438" s="0" t="inlineStr">
        <is>
          <t xml:space="preserve">broad_maritime</t>
        </is>
      </c>
      <c r="D438" s="4">
        <v>42.917916999999996</v>
      </c>
      <c r="E438" s="0" t="inlineStr">
        <is>
          <t xml:space="preserve">METRO MACHINE CORP.</t>
        </is>
      </c>
      <c r="F438" s="0" t="inlineStr">
        <is>
          <t xml:space="preserve">naics:336611</t>
        </is>
      </c>
    </row>
    <row r="439">
      <c r="B439" s="0" t="inlineStr">
        <is>
          <t xml:space="preserve">N0002415C4304</t>
        </is>
      </c>
      <c r="C439" s="0" t="inlineStr">
        <is>
          <t xml:space="preserve">broad_maritime</t>
        </is>
      </c>
      <c r="D439" s="4">
        <v>42.76517784</v>
      </c>
      <c r="E439" s="0" t="inlineStr">
        <is>
          <t xml:space="preserve">HUNTINGTON INGALLS INC</t>
        </is>
      </c>
      <c r="F439" s="0" t="inlineStr">
        <is>
          <t xml:space="preserve">naics:336611</t>
        </is>
      </c>
    </row>
    <row r="440">
      <c r="B440" s="0" t="inlineStr">
        <is>
          <t xml:space="preserve">N0002412F2223</t>
        </is>
      </c>
      <c r="C440" s="0" t="inlineStr">
        <is>
          <t xml:space="preserve">small_craft</t>
        </is>
      </c>
      <c r="D440" s="4">
        <v>42.75522093</v>
      </c>
      <c r="E440" s="0" t="inlineStr">
        <is>
          <t xml:space="preserve">SAFE BOATS INTERNATIONAL LLC</t>
        </is>
      </c>
      <c r="F440" s="0" t="inlineStr">
        <is>
          <t xml:space="preserve">naics:336611; psc:1940</t>
        </is>
      </c>
    </row>
    <row r="441">
      <c r="B441" s="0" t="inlineStr">
        <is>
          <t xml:space="preserve">N5523620F5155</t>
        </is>
      </c>
      <c r="C441" s="0" t="inlineStr">
        <is>
          <t xml:space="preserve">broad_maritime</t>
        </is>
      </c>
      <c r="D441" s="4">
        <v>42.70623838</v>
      </c>
      <c r="E441" s="0" t="inlineStr">
        <is>
          <t xml:space="preserve">BAE SYSTEMS MARITIME SOLUTIONS SAN DIEGO INC.</t>
        </is>
      </c>
      <c r="F441" s="0" t="inlineStr">
        <is>
          <t xml:space="preserve">naics:336611</t>
        </is>
      </c>
    </row>
    <row r="442">
      <c r="B442" s="0" t="inlineStr">
        <is>
          <t xml:space="preserve">N5523621F4011</t>
        </is>
      </c>
      <c r="C442" s="0" t="inlineStr">
        <is>
          <t xml:space="preserve">broad_maritime</t>
        </is>
      </c>
      <c r="D442" s="4">
        <v>42.69920843999999</v>
      </c>
      <c r="E442" s="0" t="inlineStr">
        <is>
          <t xml:space="preserve">NATIONAL STEEL AND SHIPBUILDING COMPANY</t>
        </is>
      </c>
      <c r="F442" s="0" t="inlineStr">
        <is>
          <t xml:space="preserve">naics:336611</t>
        </is>
      </c>
    </row>
    <row r="443">
      <c r="B443" s="0" t="inlineStr">
        <is>
          <t xml:space="preserve">N3220525C4008</t>
        </is>
      </c>
      <c r="C443" s="0" t="inlineStr">
        <is>
          <t xml:space="preserve">broad_maritime</t>
        </is>
      </c>
      <c r="D443" s="4">
        <v>42.5915245</v>
      </c>
      <c r="E443" s="0" t="inlineStr">
        <is>
          <t xml:space="preserve">VIGOR MARINE LLC</t>
        </is>
      </c>
      <c r="F443" s="0" t="inlineStr">
        <is>
          <t xml:space="preserve">naics:336611</t>
        </is>
      </c>
    </row>
    <row r="444">
      <c r="B444" s="0" t="inlineStr">
        <is>
          <t xml:space="preserve">N0002423F2201</t>
        </is>
      </c>
      <c r="C444" s="0" t="inlineStr">
        <is>
          <t xml:space="preserve">small_craft</t>
        </is>
      </c>
      <c r="D444" s="4">
        <v>42.345864999999996</v>
      </c>
      <c r="E444" s="0" t="inlineStr">
        <is>
          <t xml:space="preserve">SILVER SHIPS, INC</t>
        </is>
      </c>
      <c r="F444" s="0" t="inlineStr">
        <is>
          <t xml:space="preserve">naics:336611; psc:1940</t>
        </is>
      </c>
    </row>
    <row r="445">
      <c r="B445" s="0" t="inlineStr">
        <is>
          <t xml:space="preserve">N5523619C0007</t>
        </is>
      </c>
      <c r="C445" s="0" t="inlineStr">
        <is>
          <t xml:space="preserve">broad_maritime</t>
        </is>
      </c>
      <c r="D445" s="4">
        <v>42.174642999999996</v>
      </c>
      <c r="E445" s="0" t="inlineStr">
        <is>
          <t xml:space="preserve">BAE SYSTEMS MARITIME SOLUTIONS SAN DIEGO INC.</t>
        </is>
      </c>
      <c r="F445" s="0" t="inlineStr">
        <is>
          <t xml:space="preserve">naics:336611</t>
        </is>
      </c>
    </row>
    <row r="446">
      <c r="B446" s="0" t="inlineStr">
        <is>
          <t xml:space="preserve">0012</t>
        </is>
      </c>
      <c r="C446" s="0" t="inlineStr">
        <is>
          <t xml:space="preserve">broad_maritime</t>
        </is>
      </c>
      <c r="D446" s="4">
        <v>42.103995</v>
      </c>
      <c r="E446" s="0" t="inlineStr">
        <is>
          <t xml:space="preserve">BATH IRON WORKS CORPORATION</t>
        </is>
      </c>
      <c r="F446" s="0" t="inlineStr">
        <is>
          <t xml:space="preserve">naics:336611; psc:1905</t>
        </is>
      </c>
    </row>
    <row r="447">
      <c r="B447" s="0" t="inlineStr">
        <is>
          <t xml:space="preserve">N4523A19C0803</t>
        </is>
      </c>
      <c r="C447" s="0" t="inlineStr">
        <is>
          <t xml:space="preserve">broad_maritime</t>
        </is>
      </c>
      <c r="D447" s="4">
        <v>41.567741649999995</v>
      </c>
      <c r="E447" s="0" t="inlineStr">
        <is>
          <t xml:space="preserve">IMIA, LLC</t>
        </is>
      </c>
      <c r="F447" s="0" t="inlineStr">
        <is>
          <t xml:space="preserve">naics:336611</t>
        </is>
      </c>
    </row>
    <row r="448">
      <c r="B448" s="0" t="inlineStr">
        <is>
          <t xml:space="preserve">N5005418FC023</t>
        </is>
      </c>
      <c r="C448" s="0" t="inlineStr">
        <is>
          <t xml:space="preserve">broad_maritime</t>
        </is>
      </c>
      <c r="D448" s="4">
        <v>41.559267</v>
      </c>
      <c r="E448" s="0" t="inlineStr">
        <is>
          <t xml:space="preserve">MARINE HYDRAULICS INTERNATIONAL, LLC</t>
        </is>
      </c>
      <c r="F448" s="0" t="inlineStr">
        <is>
          <t xml:space="preserve">naics:336611</t>
        </is>
      </c>
    </row>
    <row r="449">
      <c r="B449" s="0" t="inlineStr">
        <is>
          <t xml:space="preserve">N5523619F5080</t>
        </is>
      </c>
      <c r="C449" s="0" t="inlineStr">
        <is>
          <t xml:space="preserve">broad_maritime</t>
        </is>
      </c>
      <c r="D449" s="4">
        <v>41.454795999999995</v>
      </c>
      <c r="E449" s="0" t="inlineStr">
        <is>
          <t xml:space="preserve">BAE SYSTEMS MARITIME SOLUTIONS SAN DIEGO INC.</t>
        </is>
      </c>
      <c r="F449" s="0" t="inlineStr">
        <is>
          <t xml:space="preserve">naics:336611</t>
        </is>
      </c>
    </row>
    <row r="450">
      <c r="B450" s="0" t="inlineStr">
        <is>
          <t xml:space="preserve">N0002412C2101</t>
        </is>
      </c>
      <c r="C450" s="0" t="inlineStr">
        <is>
          <t xml:space="preserve">broad_maritime</t>
        </is>
      </c>
      <c r="D450" s="4">
        <v>41.441683</v>
      </c>
      <c r="E450" s="0" t="inlineStr">
        <is>
          <t xml:space="preserve">HUNTINGTON INGALLS INC</t>
        </is>
      </c>
      <c r="F450" s="0" t="inlineStr">
        <is>
          <t xml:space="preserve">psc:1905</t>
        </is>
      </c>
    </row>
    <row r="451">
      <c r="B451" s="0" t="inlineStr">
        <is>
          <t xml:space="preserve">N0002418C4443</t>
        </is>
      </c>
      <c r="C451" s="0" t="inlineStr">
        <is>
          <t xml:space="preserve">broad_maritime</t>
        </is>
      </c>
      <c r="D451" s="4">
        <v>41.41893851</v>
      </c>
      <c r="E451" s="0" t="inlineStr">
        <is>
          <t xml:space="preserve">BAE SYSTEMS MARITIME SOLUTIONS SAN DIEGO INC.</t>
        </is>
      </c>
      <c r="F451" s="0" t="inlineStr">
        <is>
          <t xml:space="preserve">naics:336611</t>
        </is>
      </c>
    </row>
    <row r="452">
      <c r="B452" s="0" t="inlineStr">
        <is>
          <t xml:space="preserve">N0014007C0005</t>
        </is>
      </c>
      <c r="C452" s="0" t="inlineStr">
        <is>
          <t xml:space="preserve">broad_maritime</t>
        </is>
      </c>
      <c r="D452" s="4">
        <v>41.09264355</v>
      </c>
      <c r="E452" s="0" t="inlineStr">
        <is>
          <t xml:space="preserve">OWL INTERNATIONAL INC.</t>
        </is>
      </c>
      <c r="F452" s="0" t="inlineStr">
        <is>
          <t xml:space="preserve">naics:336611</t>
        </is>
      </c>
    </row>
    <row r="453">
      <c r="B453" s="0" t="inlineStr">
        <is>
          <t xml:space="preserve">N4002716C0013</t>
        </is>
      </c>
      <c r="C453" s="0" t="inlineStr">
        <is>
          <t xml:space="preserve">broad_maritime</t>
        </is>
      </c>
      <c r="D453" s="4">
        <v>41.05807852</v>
      </c>
      <c r="E453" s="0" t="inlineStr">
        <is>
          <t xml:space="preserve">BAE SYSTEMS JACKSONVILLE SHIP REPAIR LLC</t>
        </is>
      </c>
      <c r="F453" s="0" t="inlineStr">
        <is>
          <t xml:space="preserve">naics:336611</t>
        </is>
      </c>
    </row>
    <row r="454">
      <c r="B454" s="0" t="inlineStr">
        <is>
          <t xml:space="preserve">N0002422C4202</t>
        </is>
      </c>
      <c r="C454" s="0" t="inlineStr">
        <is>
          <t xml:space="preserve">broad_maritime</t>
        </is>
      </c>
      <c r="D454" s="4">
        <v>41.031828319999995</v>
      </c>
      <c r="E454" s="0" t="inlineStr">
        <is>
          <t xml:space="preserve">OWL INTERNATIONAL INC.</t>
        </is>
      </c>
      <c r="F454" s="0" t="inlineStr">
        <is>
          <t xml:space="preserve">naics:336611</t>
        </is>
      </c>
    </row>
    <row r="455">
      <c r="B455" s="0" t="inlineStr">
        <is>
          <t xml:space="preserve">N0038323F0W80</t>
        </is>
      </c>
      <c r="C455" s="0" t="inlineStr">
        <is>
          <t xml:space="preserve">broad_maritime</t>
        </is>
      </c>
      <c r="D455" s="4">
        <v>40.788619</v>
      </c>
      <c r="E455" s="0" t="inlineStr">
        <is>
          <t xml:space="preserve">RAYTHEON COMPANY</t>
        </is>
      </c>
      <c r="F455" s="0" t="inlineStr">
        <is>
          <t xml:space="preserve">naics:336611</t>
        </is>
      </c>
    </row>
    <row r="456">
      <c r="B456" s="0" t="inlineStr">
        <is>
          <t xml:space="preserve">N5005425FC049</t>
        </is>
      </c>
      <c r="C456" s="0" t="inlineStr">
        <is>
          <t xml:space="preserve">broad_maritime</t>
        </is>
      </c>
      <c r="D456" s="4">
        <v>40.667127130000004</v>
      </c>
      <c r="E456" s="0" t="inlineStr">
        <is>
          <t xml:space="preserve">EAST COAST REPAIR &amp; FABRICATION, LLC</t>
        </is>
      </c>
      <c r="F456" s="0" t="inlineStr">
        <is>
          <t xml:space="preserve">naics:336611</t>
        </is>
      </c>
    </row>
    <row r="457">
      <c r="B457" s="0" t="inlineStr">
        <is>
          <t xml:space="preserve">N4034524F0592</t>
        </is>
      </c>
      <c r="C457" s="0" t="inlineStr">
        <is>
          <t xml:space="preserve">broad_maritime</t>
        </is>
      </c>
      <c r="D457" s="4">
        <v>40.36755828</v>
      </c>
      <c r="E457" s="0" t="inlineStr">
        <is>
          <t xml:space="preserve">MITSUBISHI HEAVY INDUSTRIES, LTD</t>
        </is>
      </c>
      <c r="F457" s="0" t="inlineStr">
        <is>
          <t xml:space="preserve">naics:336611</t>
        </is>
      </c>
    </row>
    <row r="458">
      <c r="B458" s="0" t="inlineStr">
        <is>
          <t xml:space="preserve">N0010424CZA51</t>
        </is>
      </c>
      <c r="C458" s="0" t="inlineStr">
        <is>
          <t xml:space="preserve">small_craft</t>
        </is>
      </c>
      <c r="D458" s="4">
        <v>40.266044</v>
      </c>
      <c r="E458" s="0" t="inlineStr">
        <is>
          <t xml:space="preserve">ERIE FORGE &amp; STEEL INC</t>
        </is>
      </c>
      <c r="F458" s="0" t="inlineStr">
        <is>
          <t xml:space="preserve">naics:336612</t>
        </is>
      </c>
    </row>
    <row r="459">
      <c r="B459" s="0" t="inlineStr">
        <is>
          <t xml:space="preserve">N3220524C4073</t>
        </is>
      </c>
      <c r="C459" s="0" t="inlineStr">
        <is>
          <t xml:space="preserve">broad_maritime</t>
        </is>
      </c>
      <c r="D459" s="4">
        <v>40.1033781</v>
      </c>
      <c r="E459" s="0" t="inlineStr">
        <is>
          <t xml:space="preserve">ALABAMA SHIPYARD LLC</t>
        </is>
      </c>
      <c r="F459" s="0" t="inlineStr">
        <is>
          <t xml:space="preserve">naics:336611</t>
        </is>
      </c>
    </row>
    <row r="460">
      <c r="B460" s="0" t="inlineStr">
        <is>
          <t xml:space="preserve">N3220522C4031</t>
        </is>
      </c>
      <c r="C460" s="0" t="inlineStr">
        <is>
          <t xml:space="preserve">broad_maritime</t>
        </is>
      </c>
      <c r="D460" s="4">
        <v>40.091128999999995</v>
      </c>
      <c r="E460" s="0" t="inlineStr">
        <is>
          <t xml:space="preserve">ALABAMA SHIPYARD LLC</t>
        </is>
      </c>
      <c r="F460" s="0" t="inlineStr">
        <is>
          <t xml:space="preserve">naics:336611</t>
        </is>
      </c>
    </row>
    <row r="461">
      <c r="B461" s="0" t="inlineStr">
        <is>
          <t xml:space="preserve">0207</t>
        </is>
      </c>
      <c r="C461" s="0" t="inlineStr">
        <is>
          <t xml:space="preserve">broad_maritime</t>
        </is>
      </c>
      <c r="D461" s="4">
        <v>40.01126616</v>
      </c>
      <c r="E461" s="0" t="inlineStr">
        <is>
          <t xml:space="preserve">VSE CORPORATION</t>
        </is>
      </c>
      <c r="F461" s="0" t="inlineStr">
        <is>
          <t xml:space="preserve">naics:336611</t>
        </is>
      </c>
    </row>
    <row r="462">
      <c r="B462" s="0" t="inlineStr">
        <is>
          <t xml:space="preserve">N0002421C4456</t>
        </is>
      </c>
      <c r="C462" s="0" t="inlineStr">
        <is>
          <t xml:space="preserve">broad_maritime</t>
        </is>
      </c>
      <c r="D462" s="4">
        <v>40.00743865999999</v>
      </c>
      <c r="E462" s="0" t="inlineStr">
        <is>
          <t xml:space="preserve">CONTINENTAL MARITIME OF SAN DIEGO, LLC</t>
        </is>
      </c>
      <c r="F462" s="0" t="inlineStr">
        <is>
          <t xml:space="preserve">naics:336611</t>
        </is>
      </c>
    </row>
    <row r="463">
      <c r="B463" s="0" t="inlineStr">
        <is>
          <t xml:space="preserve">N0002421C4311</t>
        </is>
      </c>
      <c r="C463" s="0" t="inlineStr">
        <is>
          <t xml:space="preserve">broad_maritime</t>
        </is>
      </c>
      <c r="D463" s="4">
        <v>39.992979</v>
      </c>
      <c r="E463" s="0" t="inlineStr">
        <is>
          <t xml:space="preserve">ELECTRIC BOAT CORPORATION</t>
        </is>
      </c>
      <c r="F463" s="0" t="inlineStr">
        <is>
          <t xml:space="preserve">naics:336611</t>
        </is>
      </c>
    </row>
    <row r="464">
      <c r="B464" s="0" t="inlineStr">
        <is>
          <t xml:space="preserve">N3220523C4211</t>
        </is>
      </c>
      <c r="C464" s="0" t="inlineStr">
        <is>
          <t xml:space="preserve">broad_maritime</t>
        </is>
      </c>
      <c r="D464" s="4">
        <v>39.83815803</v>
      </c>
      <c r="E464" s="0" t="inlineStr">
        <is>
          <t xml:space="preserve">VIGOR MARINE LLC</t>
        </is>
      </c>
      <c r="F464" s="0" t="inlineStr">
        <is>
          <t xml:space="preserve">naics:336611</t>
        </is>
      </c>
    </row>
    <row r="465">
      <c r="B465" s="0" t="inlineStr">
        <is>
          <t xml:space="preserve">N4523A16C5014</t>
        </is>
      </c>
      <c r="C465" s="0" t="inlineStr">
        <is>
          <t xml:space="preserve">broad_maritime</t>
        </is>
      </c>
      <c r="D465" s="4">
        <v>39.80733323</v>
      </c>
      <c r="E465" s="0" t="inlineStr">
        <is>
          <t xml:space="preserve">VIGOR MARINE LLC</t>
        </is>
      </c>
      <c r="F465" s="0" t="inlineStr">
        <is>
          <t xml:space="preserve">naics:336611</t>
        </is>
      </c>
    </row>
    <row r="466">
      <c r="B466" s="0" t="inlineStr">
        <is>
          <t xml:space="preserve">N3220526C1201</t>
        </is>
      </c>
      <c r="C466" s="0" t="inlineStr">
        <is>
          <t xml:space="preserve">broad_maritime</t>
        </is>
      </c>
      <c r="D466" s="4">
        <v>39.738219189999995</v>
      </c>
      <c r="E466" s="0" t="inlineStr">
        <is>
          <t xml:space="preserve">VIGOR MARINE LLC</t>
        </is>
      </c>
      <c r="F466" s="0" t="inlineStr">
        <is>
          <t xml:space="preserve">naics:336611</t>
        </is>
      </c>
    </row>
    <row r="467">
      <c r="B467" s="0" t="inlineStr">
        <is>
          <t xml:space="preserve">N5005426FC012</t>
        </is>
      </c>
      <c r="C467" s="0" t="inlineStr">
        <is>
          <t xml:space="preserve">broad_maritime</t>
        </is>
      </c>
      <c r="D467" s="4">
        <v>39.39291</v>
      </c>
      <c r="E467" s="0" t="inlineStr">
        <is>
          <t xml:space="preserve">EAST COAST REPAIR &amp; FABRICATION, LLC</t>
        </is>
      </c>
      <c r="F467" s="0" t="inlineStr">
        <is>
          <t xml:space="preserve">naics:336611</t>
        </is>
      </c>
    </row>
    <row r="468">
      <c r="B468" s="0" t="inlineStr">
        <is>
          <t xml:space="preserve">N4523A23C0555</t>
        </is>
      </c>
      <c r="C468" s="0" t="inlineStr">
        <is>
          <t xml:space="preserve">broad_maritime</t>
        </is>
      </c>
      <c r="D468" s="4">
        <v>39.09174963</v>
      </c>
      <c r="E468" s="0" t="inlineStr">
        <is>
          <t xml:space="preserve">VIGOR MARINE LLC</t>
        </is>
      </c>
      <c r="F468" s="0" t="inlineStr">
        <is>
          <t xml:space="preserve">naics:336611</t>
        </is>
      </c>
    </row>
    <row r="469">
      <c r="B469" s="0" t="inlineStr">
        <is>
          <t xml:space="preserve">N0002415C4100</t>
        </is>
      </c>
      <c r="C469" s="0" t="inlineStr">
        <is>
          <t xml:space="preserve">broad_maritime</t>
        </is>
      </c>
      <c r="D469" s="4">
        <v>38.960063999999996</v>
      </c>
      <c r="E469" s="0" t="inlineStr">
        <is>
          <t xml:space="preserve">VERICOR POWER SYSTEMS LLC</t>
        </is>
      </c>
      <c r="F469" s="0" t="inlineStr">
        <is>
          <t xml:space="preserve">naics:336611</t>
        </is>
      </c>
    </row>
    <row r="470">
      <c r="B470" s="0" t="inlineStr">
        <is>
          <t xml:space="preserve">N5523623F8433</t>
        </is>
      </c>
      <c r="C470" s="0" t="inlineStr">
        <is>
          <t xml:space="preserve">broad_maritime</t>
        </is>
      </c>
      <c r="D470" s="4">
        <v>38.812166590000004</v>
      </c>
      <c r="E470" s="0" t="inlineStr">
        <is>
          <t xml:space="preserve">BAE SYSTEMS MARITIME SOLUTIONS SAN DIEGO INC.</t>
        </is>
      </c>
      <c r="F470" s="0" t="inlineStr">
        <is>
          <t xml:space="preserve">naics:336611</t>
        </is>
      </c>
    </row>
    <row r="471">
      <c r="B471" s="0" t="inlineStr">
        <is>
          <t xml:space="preserve">N0016724F0281</t>
        </is>
      </c>
      <c r="C471" s="0" t="inlineStr">
        <is>
          <t xml:space="preserve">broad_maritime</t>
        </is>
      </c>
      <c r="D471" s="4">
        <v>38.61319674</v>
      </c>
      <c r="E471" s="0" t="inlineStr">
        <is>
          <t xml:space="preserve">BAE SYSTEMS LAND &amp; ARMAMENTS L.P.</t>
        </is>
      </c>
      <c r="F471" s="0" t="inlineStr">
        <is>
          <t xml:space="preserve">naics:336611</t>
        </is>
      </c>
    </row>
    <row r="472">
      <c r="B472" s="0" t="inlineStr">
        <is>
          <t xml:space="preserve">N4002714C0011</t>
        </is>
      </c>
      <c r="C472" s="0" t="inlineStr">
        <is>
          <t xml:space="preserve">broad_maritime</t>
        </is>
      </c>
      <c r="D472" s="4">
        <v>38.2778847</v>
      </c>
      <c r="E472" s="0" t="inlineStr">
        <is>
          <t xml:space="preserve">METRO MACHINE CORP</t>
        </is>
      </c>
      <c r="F472" s="0" t="inlineStr">
        <is>
          <t xml:space="preserve">naics:336611</t>
        </is>
      </c>
    </row>
    <row r="473">
      <c r="B473" s="0" t="inlineStr">
        <is>
          <t xml:space="preserve">0006</t>
        </is>
      </c>
      <c r="C473" s="0" t="inlineStr">
        <is>
          <t xml:space="preserve">broad_maritime</t>
        </is>
      </c>
      <c r="D473" s="4">
        <v>38.10314836</v>
      </c>
      <c r="E473" s="0" t="inlineStr">
        <is>
          <t xml:space="preserve">IMIA, LLC</t>
        </is>
      </c>
      <c r="F473" s="0" t="inlineStr">
        <is>
          <t xml:space="preserve">naics:336611</t>
        </is>
      </c>
    </row>
    <row r="474">
      <c r="B474" s="0" t="inlineStr">
        <is>
          <t xml:space="preserve">N0002413C2401</t>
        </is>
      </c>
      <c r="C474" s="0" t="inlineStr">
        <is>
          <t xml:space="preserve">broad_maritime</t>
        </is>
      </c>
      <c r="D474" s="4">
        <v>38.056453</v>
      </c>
      <c r="E474" s="0" t="inlineStr">
        <is>
          <t xml:space="preserve">NATIONAL STEEL AND SHIPBUILDING COMPANY</t>
        </is>
      </c>
      <c r="F474" s="0" t="inlineStr">
        <is>
          <t xml:space="preserve">naics:336611; psc:1905</t>
        </is>
      </c>
    </row>
    <row r="475">
      <c r="B475" s="0" t="inlineStr">
        <is>
          <t xml:space="preserve">N5523614C0006</t>
        </is>
      </c>
      <c r="C475" s="0" t="inlineStr">
        <is>
          <t xml:space="preserve">broad_maritime</t>
        </is>
      </c>
      <c r="D475" s="4">
        <v>38.054558119999996</v>
      </c>
      <c r="E475" s="0" t="inlineStr">
        <is>
          <t xml:space="preserve">CHAE AND NAM UNIVERSE INC.</t>
        </is>
      </c>
      <c r="F475" s="0" t="inlineStr">
        <is>
          <t xml:space="preserve">naics:336611</t>
        </is>
      </c>
    </row>
    <row r="476">
      <c r="B476" s="0" t="inlineStr">
        <is>
          <t xml:space="preserve">N6133120C0018</t>
        </is>
      </c>
      <c r="C476" s="0" t="inlineStr">
        <is>
          <t xml:space="preserve">other_small</t>
        </is>
      </c>
      <c r="D476" s="4">
        <v>37.95135626</v>
      </c>
      <c r="E476" s="0" t="inlineStr">
        <is>
          <t xml:space="preserve">YULISTA SUPPORT SERVICES LLC</t>
        </is>
      </c>
      <c r="F476" s="0" t="inlineStr">
        <is>
          <t xml:space="preserve">psc:1990</t>
        </is>
      </c>
    </row>
    <row r="477">
      <c r="B477" s="0" t="inlineStr">
        <is>
          <t xml:space="preserve">N0002422C4204</t>
        </is>
      </c>
      <c r="C477" s="0" t="inlineStr">
        <is>
          <t xml:space="preserve">broad_maritime</t>
        </is>
      </c>
      <c r="D477" s="4">
        <v>37.789595829999996</v>
      </c>
      <c r="E477" s="0" t="inlineStr">
        <is>
          <t xml:space="preserve">OWL INTERNATIONAL INC.</t>
        </is>
      </c>
      <c r="F477" s="0" t="inlineStr">
        <is>
          <t xml:space="preserve">naics:336611</t>
        </is>
      </c>
    </row>
    <row r="478">
      <c r="B478" s="0" t="inlineStr">
        <is>
          <t xml:space="preserve">N5523618F4006</t>
        </is>
      </c>
      <c r="C478" s="0" t="inlineStr">
        <is>
          <t xml:space="preserve">broad_maritime</t>
        </is>
      </c>
      <c r="D478" s="4">
        <v>37.640426719999994</v>
      </c>
      <c r="E478" s="0" t="inlineStr">
        <is>
          <t xml:space="preserve">BAE SYSTEMS MARITIME SOLUTIONS SAN DIEGO INC.</t>
        </is>
      </c>
      <c r="F478" s="0" t="inlineStr">
        <is>
          <t xml:space="preserve">naics:336611</t>
        </is>
      </c>
    </row>
    <row r="479">
      <c r="B479" s="0" t="inlineStr">
        <is>
          <t xml:space="preserve">N3220525C4115</t>
        </is>
      </c>
      <c r="C479" s="0" t="inlineStr">
        <is>
          <t xml:space="preserve">broad_maritime</t>
        </is>
      </c>
      <c r="D479" s="4">
        <v>37.553000729999994</v>
      </c>
      <c r="E479" s="0" t="inlineStr">
        <is>
          <t xml:space="preserve">VIGOR MARINE LLC</t>
        </is>
      </c>
      <c r="F479" s="0" t="inlineStr">
        <is>
          <t xml:space="preserve">naics:336611</t>
        </is>
      </c>
    </row>
    <row r="480">
      <c r="B480" s="0" t="inlineStr">
        <is>
          <t xml:space="preserve">N0002426C4408</t>
        </is>
      </c>
      <c r="C480" s="0" t="inlineStr">
        <is>
          <t xml:space="preserve">broad_maritime</t>
        </is>
      </c>
      <c r="D480" s="4">
        <v>37.434087999999996</v>
      </c>
      <c r="E480" s="0" t="inlineStr">
        <is>
          <t xml:space="preserve">BAE SYSTEMS MARITIME SOLUTIONS SAN DIEGO INC.</t>
        </is>
      </c>
      <c r="F480" s="0" t="inlineStr">
        <is>
          <t xml:space="preserve">naics:336611</t>
        </is>
      </c>
    </row>
    <row r="481">
      <c r="B481" s="0" t="inlineStr">
        <is>
          <t xml:space="preserve">N0002409C4404</t>
        </is>
      </c>
      <c r="C481" s="0" t="inlineStr">
        <is>
          <t xml:space="preserve">broad_maritime</t>
        </is>
      </c>
      <c r="D481" s="4">
        <v>37.427322</v>
      </c>
      <c r="E481" s="0" t="inlineStr">
        <is>
          <t xml:space="preserve">ELECTRIC BOAT CORPORATION</t>
        </is>
      </c>
      <c r="F481" s="0" t="inlineStr">
        <is>
          <t xml:space="preserve">naics:336611</t>
        </is>
      </c>
    </row>
    <row r="482">
      <c r="B482" s="0" t="inlineStr">
        <is>
          <t xml:space="preserve">N4002717F0042</t>
        </is>
      </c>
      <c r="C482" s="0" t="inlineStr">
        <is>
          <t xml:space="preserve">broad_maritime</t>
        </is>
      </c>
      <c r="D482" s="4">
        <v>37.162263939999995</v>
      </c>
      <c r="E482" s="0" t="inlineStr">
        <is>
          <t xml:space="preserve">BAE SYSTEMS JACKSONVILLE SHIP REPAIR LLC</t>
        </is>
      </c>
      <c r="F482" s="0" t="inlineStr">
        <is>
          <t xml:space="preserve">naics:336611</t>
        </is>
      </c>
    </row>
    <row r="483">
      <c r="B483" s="0" t="inlineStr">
        <is>
          <t xml:space="preserve">N0002413C2235</t>
        </is>
      </c>
      <c r="C483" s="0" t="inlineStr">
        <is>
          <t xml:space="preserve">broad_maritime</t>
        </is>
      </c>
      <c r="D483" s="4">
        <v>37.034934</v>
      </c>
      <c r="E483" s="0" t="inlineStr">
        <is>
          <t xml:space="preserve">VIGOR MARINE LLC</t>
        </is>
      </c>
      <c r="F483" s="0" t="inlineStr">
        <is>
          <t xml:space="preserve">naics:336611</t>
        </is>
      </c>
    </row>
    <row r="484">
      <c r="B484" s="0" t="inlineStr">
        <is>
          <t xml:space="preserve">N0002413C2402</t>
        </is>
      </c>
      <c r="C484" s="0" t="inlineStr">
        <is>
          <t xml:space="preserve">broad_maritime</t>
        </is>
      </c>
      <c r="D484" s="4">
        <v>36.90268</v>
      </c>
      <c r="E484" s="0" t="inlineStr">
        <is>
          <t xml:space="preserve">HUNTINGTON INGALLS INCORPORATED</t>
        </is>
      </c>
      <c r="F484" s="0" t="inlineStr">
        <is>
          <t xml:space="preserve">naics:336611; psc:1905</t>
        </is>
      </c>
    </row>
    <row r="485">
      <c r="B485" s="0" t="inlineStr">
        <is>
          <t xml:space="preserve">N0038325F0NE0</t>
        </is>
      </c>
      <c r="C485" s="0" t="inlineStr">
        <is>
          <t xml:space="preserve">broad_maritime</t>
        </is>
      </c>
      <c r="D485" s="4">
        <v>36.877685</v>
      </c>
      <c r="E485" s="0" t="inlineStr">
        <is>
          <t xml:space="preserve">RAYTHEON COMPANY</t>
        </is>
      </c>
      <c r="F485" s="0" t="inlineStr">
        <is>
          <t xml:space="preserve">naics:336611</t>
        </is>
      </c>
    </row>
    <row r="486">
      <c r="B486" s="0" t="inlineStr">
        <is>
          <t xml:space="preserve">N3220524C4100</t>
        </is>
      </c>
      <c r="C486" s="0" t="inlineStr">
        <is>
          <t xml:space="preserve">broad_maritime</t>
        </is>
      </c>
      <c r="D486" s="4">
        <v>36.64295</v>
      </c>
      <c r="E486" s="0" t="inlineStr">
        <is>
          <t xml:space="preserve">DETYENS SHIPYARDS INC</t>
        </is>
      </c>
      <c r="F486" s="0" t="inlineStr">
        <is>
          <t xml:space="preserve">naics:336611</t>
        </is>
      </c>
    </row>
    <row r="487">
      <c r="B487" s="0" t="inlineStr">
        <is>
          <t xml:space="preserve">N0038323F0W81</t>
        </is>
      </c>
      <c r="C487" s="0" t="inlineStr">
        <is>
          <t xml:space="preserve">broad_maritime</t>
        </is>
      </c>
      <c r="D487" s="4">
        <v>36.613088</v>
      </c>
      <c r="E487" s="0" t="inlineStr">
        <is>
          <t xml:space="preserve">RAYTHEON COMPANY</t>
        </is>
      </c>
      <c r="F487" s="0" t="inlineStr">
        <is>
          <t xml:space="preserve">naics:336611</t>
        </is>
      </c>
    </row>
    <row r="488">
      <c r="B488" s="0" t="inlineStr">
        <is>
          <t xml:space="preserve">N4215822FST01</t>
        </is>
      </c>
      <c r="C488" s="0" t="inlineStr">
        <is>
          <t xml:space="preserve">broad_maritime</t>
        </is>
      </c>
      <c r="D488" s="4">
        <v>36.58422674</v>
      </c>
      <c r="E488" s="0" t="inlineStr">
        <is>
          <t xml:space="preserve">IMIA, LLC</t>
        </is>
      </c>
      <c r="F488" s="0" t="inlineStr">
        <is>
          <t xml:space="preserve">naics:336611</t>
        </is>
      </c>
    </row>
    <row r="489">
      <c r="B489" s="0" t="inlineStr">
        <is>
          <t xml:space="preserve">N6449818FBB32</t>
        </is>
      </c>
      <c r="C489" s="0" t="inlineStr">
        <is>
          <t xml:space="preserve">broad_maritime</t>
        </is>
      </c>
      <c r="D489" s="4">
        <v>36.24861317</v>
      </c>
      <c r="E489" s="0" t="inlineStr">
        <is>
          <t xml:space="preserve">DELPHINUS ENGINEERING, INC.</t>
        </is>
      </c>
      <c r="F489" s="0" t="inlineStr">
        <is>
          <t xml:space="preserve">naics:336611</t>
        </is>
      </c>
    </row>
    <row r="490">
      <c r="B490" s="0" t="inlineStr">
        <is>
          <t xml:space="preserve">N5005416C0005</t>
        </is>
      </c>
      <c r="C490" s="0" t="inlineStr">
        <is>
          <t xml:space="preserve">broad_maritime</t>
        </is>
      </c>
      <c r="D490" s="4">
        <v>35.94972719</v>
      </c>
      <c r="E490" s="0" t="inlineStr">
        <is>
          <t xml:space="preserve">BAE SYSTEMS MARITIME SOLUTIONS NORFOLK INC.</t>
        </is>
      </c>
      <c r="F490" s="0" t="inlineStr">
        <is>
          <t xml:space="preserve">naics:336611</t>
        </is>
      </c>
    </row>
    <row r="491">
      <c r="B491" s="0" t="inlineStr">
        <is>
          <t xml:space="preserve">N0002423C4403</t>
        </is>
      </c>
      <c r="C491" s="0" t="inlineStr">
        <is>
          <t xml:space="preserve">broad_maritime</t>
        </is>
      </c>
      <c r="D491" s="4">
        <v>35.91364406</v>
      </c>
      <c r="E491" s="0" t="inlineStr">
        <is>
          <t xml:space="preserve">CONTINENTAL MARITIME OF SAN DIEGO, LLC</t>
        </is>
      </c>
      <c r="F491" s="0" t="inlineStr">
        <is>
          <t xml:space="preserve">naics:336611</t>
        </is>
      </c>
    </row>
    <row r="492">
      <c r="B492" s="0" t="inlineStr">
        <is>
          <t xml:space="preserve">N5005418F2052</t>
        </is>
      </c>
      <c r="C492" s="0" t="inlineStr">
        <is>
          <t xml:space="preserve">broad_maritime</t>
        </is>
      </c>
      <c r="D492" s="4">
        <v>35.77463135</v>
      </c>
      <c r="E492" s="0" t="inlineStr">
        <is>
          <t xml:space="preserve">IMIA, LLC</t>
        </is>
      </c>
      <c r="F492" s="0" t="inlineStr">
        <is>
          <t xml:space="preserve">naics:336611</t>
        </is>
      </c>
    </row>
    <row r="493">
      <c r="B493" s="0" t="inlineStr">
        <is>
          <t xml:space="preserve">N5523619F8052</t>
        </is>
      </c>
      <c r="C493" s="0" t="inlineStr">
        <is>
          <t xml:space="preserve">broad_maritime</t>
        </is>
      </c>
      <c r="D493" s="4">
        <v>35.76833591</v>
      </c>
      <c r="E493" s="0" t="inlineStr">
        <is>
          <t xml:space="preserve">LIFE CYCLE ENGINEERING INC</t>
        </is>
      </c>
      <c r="F493" s="0" t="inlineStr">
        <is>
          <t xml:space="preserve">naics:336611</t>
        </is>
      </c>
    </row>
    <row r="494">
      <c r="B494" s="0" t="inlineStr">
        <is>
          <t xml:space="preserve">N0002417C4100</t>
        </is>
      </c>
      <c r="C494" s="0" t="inlineStr">
        <is>
          <t xml:space="preserve">broad_maritime</t>
        </is>
      </c>
      <c r="D494" s="4">
        <v>35.75898729</v>
      </c>
      <c r="E494" s="0" t="inlineStr">
        <is>
          <t xml:space="preserve">OWL INTERNATIONAL INC.</t>
        </is>
      </c>
      <c r="F494" s="0" t="inlineStr">
        <is>
          <t xml:space="preserve">naics:336611</t>
        </is>
      </c>
    </row>
    <row r="495">
      <c r="B495" s="0" t="inlineStr">
        <is>
          <t xml:space="preserve">N0002423C2316</t>
        </is>
      </c>
      <c r="C495" s="0" t="inlineStr">
        <is>
          <t xml:space="preserve">broad_maritime</t>
        </is>
      </c>
      <c r="D495" s="4">
        <v>35.64998532</v>
      </c>
      <c r="E495" s="0" t="inlineStr">
        <is>
          <t xml:space="preserve">BAE SYSTEMS MARITIME SOLUTIONS SAN DIEGO INC.</t>
        </is>
      </c>
      <c r="F495" s="0" t="inlineStr">
        <is>
          <t xml:space="preserve">naics:336611; psc:1905</t>
        </is>
      </c>
    </row>
    <row r="496">
      <c r="B496" s="0" t="inlineStr">
        <is>
          <t xml:space="preserve">N0002409C2210</t>
        </is>
      </c>
      <c r="C496" s="0" t="inlineStr">
        <is>
          <t xml:space="preserve">small_craft</t>
        </is>
      </c>
      <c r="D496" s="4">
        <v>35.55721549</v>
      </c>
      <c r="E496" s="0" t="inlineStr">
        <is>
          <t xml:space="preserve">SWIFTSHIPS SHIPBUILDERS, L.L.C.</t>
        </is>
      </c>
      <c r="F496" s="0" t="inlineStr">
        <is>
          <t xml:space="preserve">naics:336612; psc:1940</t>
        </is>
      </c>
    </row>
    <row r="497">
      <c r="B497" s="0" t="inlineStr">
        <is>
          <t xml:space="preserve">N0001416C3054</t>
        </is>
      </c>
      <c r="C497" s="0" t="inlineStr">
        <is>
          <t xml:space="preserve">broad_maritime</t>
        </is>
      </c>
      <c r="D497" s="4">
        <v>35.37015646</v>
      </c>
      <c r="E497" s="0" t="inlineStr">
        <is>
          <t xml:space="preserve">UNIVERSITY OF CALIFORNIA SAN DIEGO</t>
        </is>
      </c>
      <c r="F497" s="0" t="inlineStr">
        <is>
          <t xml:space="preserve">naics:336611</t>
        </is>
      </c>
    </row>
    <row r="498">
      <c r="B498" s="0" t="inlineStr">
        <is>
          <t xml:space="preserve">N0025324F5510</t>
        </is>
      </c>
      <c r="C498" s="0" t="inlineStr">
        <is>
          <t xml:space="preserve">broad_maritime</t>
        </is>
      </c>
      <c r="D498" s="4">
        <v>35.33145264</v>
      </c>
      <c r="E498" s="0" t="inlineStr">
        <is>
          <t xml:space="preserve">AMENTUM SERVICES, INC.</t>
        </is>
      </c>
      <c r="F498" s="0" t="inlineStr">
        <is>
          <t xml:space="preserve">naics:336611</t>
        </is>
      </c>
    </row>
    <row r="499">
      <c r="B499" s="0" t="inlineStr">
        <is>
          <t xml:space="preserve">N4008522C0010</t>
        </is>
      </c>
      <c r="C499" s="0" t="inlineStr">
        <is>
          <t xml:space="preserve">broad_maritime</t>
        </is>
      </c>
      <c r="D499" s="4">
        <v>35.259369</v>
      </c>
      <c r="E499" s="0" t="inlineStr">
        <is>
          <t xml:space="preserve">BOLLINGER SHIPYARDS LOCKPORT, L.L.C.</t>
        </is>
      </c>
      <c r="F499" s="0" t="inlineStr">
        <is>
          <t xml:space="preserve">naics:336611</t>
        </is>
      </c>
    </row>
    <row r="500">
      <c r="B500" s="0" t="inlineStr">
        <is>
          <t xml:space="preserve">N4523A24F0302</t>
        </is>
      </c>
      <c r="C500" s="0" t="inlineStr">
        <is>
          <t xml:space="preserve">broad_maritime</t>
        </is>
      </c>
      <c r="D500" s="4">
        <v>35.25416523</v>
      </c>
      <c r="E500" s="0" t="inlineStr">
        <is>
          <t xml:space="preserve">METRO MACHINE CORP</t>
        </is>
      </c>
      <c r="F500" s="0" t="inlineStr">
        <is>
          <t xml:space="preserve">naics:336611</t>
        </is>
      </c>
    </row>
    <row r="501">
      <c r="B501" s="0" t="inlineStr">
        <is>
          <t xml:space="preserve">N6817125C0002</t>
        </is>
      </c>
      <c r="C501" s="0" t="inlineStr">
        <is>
          <t xml:space="preserve">broad_maritime</t>
        </is>
      </c>
      <c r="D501" s="4">
        <v>35.00917538</v>
      </c>
      <c r="E501" s="0" t="inlineStr">
        <is>
          <t xml:space="preserve">BRODOGRADILISTE VIKTOR LENAC D.D.</t>
        </is>
      </c>
      <c r="F501" s="0" t="inlineStr">
        <is>
          <t xml:space="preserve">naics:336611</t>
        </is>
      </c>
    </row>
    <row r="502">
      <c r="B502" s="0" t="inlineStr">
        <is>
          <t xml:space="preserve">N5523624F5013</t>
        </is>
      </c>
      <c r="C502" s="0" t="inlineStr">
        <is>
          <t xml:space="preserve">broad_maritime</t>
        </is>
      </c>
      <c r="D502" s="4">
        <v>34.914116729999996</v>
      </c>
      <c r="E502" s="0" t="inlineStr">
        <is>
          <t xml:space="preserve">CONTINENTAL MARITIME OF SAN DIEGO, LLC</t>
        </is>
      </c>
      <c r="F502" s="0" t="inlineStr">
        <is>
          <t xml:space="preserve">naics:336611</t>
        </is>
      </c>
    </row>
    <row r="503">
      <c r="B503" s="0" t="inlineStr">
        <is>
          <t xml:space="preserve">N5523620F4001</t>
        </is>
      </c>
      <c r="C503" s="0" t="inlineStr">
        <is>
          <t xml:space="preserve">broad_maritime</t>
        </is>
      </c>
      <c r="D503" s="4">
        <v>34.766272</v>
      </c>
      <c r="E503" s="0" t="inlineStr">
        <is>
          <t xml:space="preserve">BAE SYSTEMS MARITIME SOLUTIONS SAN DIEGO INC.</t>
        </is>
      </c>
      <c r="F503" s="0" t="inlineStr">
        <is>
          <t xml:space="preserve">naics:336611</t>
        </is>
      </c>
    </row>
    <row r="504">
      <c r="B504" s="0" t="inlineStr">
        <is>
          <t xml:space="preserve">N5005415C0006</t>
        </is>
      </c>
      <c r="C504" s="0" t="inlineStr">
        <is>
          <t xml:space="preserve">broad_maritime</t>
        </is>
      </c>
      <c r="D504" s="4">
        <v>34.744696649999995</v>
      </c>
      <c r="E504" s="0" t="inlineStr">
        <is>
          <t xml:space="preserve">BAE SYSTEMS MARITIME SOLUTIONS NORFOLK INC.</t>
        </is>
      </c>
      <c r="F504" s="0" t="inlineStr">
        <is>
          <t xml:space="preserve">naics:336611</t>
        </is>
      </c>
    </row>
    <row r="505">
      <c r="B505" s="0" t="inlineStr">
        <is>
          <t xml:space="preserve">N0002418C2404</t>
        </is>
      </c>
      <c r="C505" s="0" t="inlineStr">
        <is>
          <t xml:space="preserve">broad_maritime</t>
        </is>
      </c>
      <c r="D505" s="4">
        <v>34.64277988</v>
      </c>
      <c r="E505" s="0" t="inlineStr">
        <is>
          <t xml:space="preserve">NATIONAL STEEL AND SHIPBUILDING COMPANY</t>
        </is>
      </c>
      <c r="F505" s="0" t="inlineStr">
        <is>
          <t xml:space="preserve">naics:336611; psc:1905</t>
        </is>
      </c>
    </row>
    <row r="506">
      <c r="B506" s="0" t="inlineStr">
        <is>
          <t xml:space="preserve">0002</t>
        </is>
      </c>
      <c r="C506" s="0" t="inlineStr">
        <is>
          <t xml:space="preserve">broad_maritime</t>
        </is>
      </c>
      <c r="D506" s="4">
        <v>34.558811999999996</v>
      </c>
      <c r="E506" s="0" t="inlineStr">
        <is>
          <t xml:space="preserve">NATIONAL STEEL AND SHIPBUILDING COMPANY</t>
        </is>
      </c>
      <c r="F506" s="0" t="inlineStr">
        <is>
          <t xml:space="preserve">naics:336611</t>
        </is>
      </c>
    </row>
    <row r="507">
      <c r="B507" s="0" t="inlineStr">
        <is>
          <t xml:space="preserve">N5005420FC057</t>
        </is>
      </c>
      <c r="C507" s="0" t="inlineStr">
        <is>
          <t xml:space="preserve">broad_maritime</t>
        </is>
      </c>
      <c r="D507" s="4">
        <v>34.500797</v>
      </c>
      <c r="E507" s="0" t="inlineStr">
        <is>
          <t xml:space="preserve">METRO MACHINE CORP.</t>
        </is>
      </c>
      <c r="F507" s="0" t="inlineStr">
        <is>
          <t xml:space="preserve">naics:336611</t>
        </is>
      </c>
    </row>
    <row r="508">
      <c r="B508" s="0" t="inlineStr">
        <is>
          <t xml:space="preserve">N0002412C2402</t>
        </is>
      </c>
      <c r="C508" s="0" t="inlineStr">
        <is>
          <t xml:space="preserve">broad_maritime</t>
        </is>
      </c>
      <c r="D508" s="4">
        <v>34.47903256</v>
      </c>
      <c r="E508" s="0" t="inlineStr">
        <is>
          <t xml:space="preserve">L3HARRIS MARITIME SERVICES INC</t>
        </is>
      </c>
      <c r="F508" s="0" t="inlineStr">
        <is>
          <t xml:space="preserve">naics:336611; psc:1905</t>
        </is>
      </c>
    </row>
    <row r="509">
      <c r="B509" s="0" t="inlineStr">
        <is>
          <t xml:space="preserve">N0002423C2245</t>
        </is>
      </c>
      <c r="C509" s="0" t="inlineStr">
        <is>
          <t xml:space="preserve">broad_maritime</t>
        </is>
      </c>
      <c r="D509" s="4">
        <v>34.419464</v>
      </c>
      <c r="E509" s="0" t="inlineStr">
        <is>
          <t xml:space="preserve">GUNDERSON MARINE LLC</t>
        </is>
      </c>
      <c r="F509" s="0" t="inlineStr">
        <is>
          <t xml:space="preserve">naics:336611</t>
        </is>
      </c>
    </row>
    <row r="510">
      <c r="B510" s="0" t="inlineStr">
        <is>
          <t xml:space="preserve">N5005416C0002</t>
        </is>
      </c>
      <c r="C510" s="0" t="inlineStr">
        <is>
          <t xml:space="preserve">broad_maritime</t>
        </is>
      </c>
      <c r="D510" s="4">
        <v>34.33088</v>
      </c>
      <c r="E510" s="0" t="inlineStr">
        <is>
          <t xml:space="preserve">BAE SYSTEMS MARITIME SOLUTIONS NORFOLK INC.</t>
        </is>
      </c>
      <c r="F510" s="0" t="inlineStr">
        <is>
          <t xml:space="preserve">naics:336611</t>
        </is>
      </c>
    </row>
    <row r="511">
      <c r="B511" s="0" t="inlineStr">
        <is>
          <t xml:space="preserve">N5523618F2007</t>
        </is>
      </c>
      <c r="C511" s="0" t="inlineStr">
        <is>
          <t xml:space="preserve">broad_maritime</t>
        </is>
      </c>
      <c r="D511" s="4">
        <v>34.303481999999995</v>
      </c>
      <c r="E511" s="0" t="inlineStr">
        <is>
          <t xml:space="preserve">BAE SYSTEMS MARITIME SOLUTIONS SAN DIEGO INC.</t>
        </is>
      </c>
      <c r="F511" s="0" t="inlineStr">
        <is>
          <t xml:space="preserve">naics:336611</t>
        </is>
      </c>
    </row>
    <row r="512">
      <c r="B512" s="0" t="inlineStr">
        <is>
          <t xml:space="preserve">N5005420FC018</t>
        </is>
      </c>
      <c r="C512" s="0" t="inlineStr">
        <is>
          <t xml:space="preserve">broad_maritime</t>
        </is>
      </c>
      <c r="D512" s="4">
        <v>34.072305</v>
      </c>
      <c r="E512" s="0" t="inlineStr">
        <is>
          <t xml:space="preserve">MARINE HYDRAULICS INTERNATIONAL, LLC</t>
        </is>
      </c>
      <c r="F512" s="0" t="inlineStr">
        <is>
          <t xml:space="preserve">naics:336611</t>
        </is>
      </c>
    </row>
    <row r="513">
      <c r="B513" s="0" t="inlineStr">
        <is>
          <t xml:space="preserve">N0003314C7504</t>
        </is>
      </c>
      <c r="C513" s="0" t="inlineStr">
        <is>
          <t xml:space="preserve">broad_maritime</t>
        </is>
      </c>
      <c r="D513" s="4">
        <v>34.03864835</v>
      </c>
      <c r="E513" s="0" t="inlineStr">
        <is>
          <t xml:space="preserve">BRODOGRADILISTE VIKTOR LENAC D.D.</t>
        </is>
      </c>
      <c r="F513" s="0" t="inlineStr">
        <is>
          <t xml:space="preserve">naics:336611</t>
        </is>
      </c>
    </row>
    <row r="514">
      <c r="B514" s="0" t="inlineStr">
        <is>
          <t xml:space="preserve">N0025325F9001</t>
        </is>
      </c>
      <c r="C514" s="0" t="inlineStr">
        <is>
          <t xml:space="preserve">broad_maritime</t>
        </is>
      </c>
      <c r="D514" s="4">
        <v>34.0207085</v>
      </c>
      <c r="E514" s="0" t="inlineStr">
        <is>
          <t xml:space="preserve">AMENTUM SERVICES, INC.</t>
        </is>
      </c>
      <c r="F514" s="0" t="inlineStr">
        <is>
          <t xml:space="preserve">naics:336611</t>
        </is>
      </c>
    </row>
    <row r="515">
      <c r="B515" s="0" t="inlineStr">
        <is>
          <t xml:space="preserve">N4002716C0025</t>
        </is>
      </c>
      <c r="C515" s="0" t="inlineStr">
        <is>
          <t xml:space="preserve">broad_maritime</t>
        </is>
      </c>
      <c r="D515" s="4">
        <v>33.99400454</v>
      </c>
      <c r="E515" s="0" t="inlineStr">
        <is>
          <t xml:space="preserve">BAE SYSTEMS JACKSONVILLE SHIP REPAIR LLC</t>
        </is>
      </c>
      <c r="F515" s="0" t="inlineStr">
        <is>
          <t xml:space="preserve">naics:336611</t>
        </is>
      </c>
    </row>
    <row r="516">
      <c r="B516" s="0" t="inlineStr">
        <is>
          <t xml:space="preserve">N5523620F8131</t>
        </is>
      </c>
      <c r="C516" s="0" t="inlineStr">
        <is>
          <t xml:space="preserve">broad_maritime</t>
        </is>
      </c>
      <c r="D516" s="4">
        <v>33.95115351</v>
      </c>
      <c r="E516" s="0" t="inlineStr">
        <is>
          <t xml:space="preserve">NATIONAL STEEL AND SHIPBUILDING COMPANY</t>
        </is>
      </c>
      <c r="F516" s="0" t="inlineStr">
        <is>
          <t xml:space="preserve">naics:336611</t>
        </is>
      </c>
    </row>
    <row r="517">
      <c r="B517" s="0" t="inlineStr">
        <is>
          <t xml:space="preserve">N0002422C4112</t>
        </is>
      </c>
      <c r="C517" s="0" t="inlineStr">
        <is>
          <t xml:space="preserve">broad_maritime</t>
        </is>
      </c>
      <c r="D517" s="4">
        <v>33.80849588</v>
      </c>
      <c r="E517" s="0" t="inlineStr">
        <is>
          <t xml:space="preserve">DRS NAVAL POWER SYSTEMS INC</t>
        </is>
      </c>
      <c r="F517" s="0" t="inlineStr">
        <is>
          <t xml:space="preserve">psc:1905</t>
        </is>
      </c>
    </row>
    <row r="518">
      <c r="B518" s="0" t="inlineStr">
        <is>
          <t xml:space="preserve">N5523625F8451</t>
        </is>
      </c>
      <c r="C518" s="0" t="inlineStr">
        <is>
          <t xml:space="preserve">broad_maritime</t>
        </is>
      </c>
      <c r="D518" s="4">
        <v>33.485277579999995</v>
      </c>
      <c r="E518" s="0" t="inlineStr">
        <is>
          <t xml:space="preserve">NATIONAL STEEL AND SHIPBUILDING COMPANY</t>
        </is>
      </c>
      <c r="F518" s="0" t="inlineStr">
        <is>
          <t xml:space="preserve">naics:336611</t>
        </is>
      </c>
    </row>
    <row r="519">
      <c r="B519" s="0" t="inlineStr">
        <is>
          <t xml:space="preserve">N0002423C2205</t>
        </is>
      </c>
      <c r="C519" s="0" t="inlineStr">
        <is>
          <t xml:space="preserve">small_craft</t>
        </is>
      </c>
      <c r="D519" s="4">
        <v>33.45023698999999</v>
      </c>
      <c r="E519" s="0" t="inlineStr">
        <is>
          <t xml:space="preserve">RECONCRAFT, LLC</t>
        </is>
      </c>
      <c r="F519" s="0" t="inlineStr">
        <is>
          <t xml:space="preserve">naics:336612; psc:1940</t>
        </is>
      </c>
    </row>
    <row r="520">
      <c r="B520" s="0" t="inlineStr">
        <is>
          <t xml:space="preserve">N5005418FL007</t>
        </is>
      </c>
      <c r="C520" s="0" t="inlineStr">
        <is>
          <t xml:space="preserve">broad_maritime</t>
        </is>
      </c>
      <c r="D520" s="4">
        <v>33.414161</v>
      </c>
      <c r="E520" s="0" t="inlineStr">
        <is>
          <t xml:space="preserve">METRO MACHINE CORP.</t>
        </is>
      </c>
      <c r="F520" s="0" t="inlineStr">
        <is>
          <t xml:space="preserve">naics:336611</t>
        </is>
      </c>
    </row>
    <row r="521">
      <c r="B521" s="0" t="inlineStr">
        <is>
          <t xml:space="preserve">N3220520C4037</t>
        </is>
      </c>
      <c r="C521" s="0" t="inlineStr">
        <is>
          <t xml:space="preserve">broad_maritime</t>
        </is>
      </c>
      <c r="D521" s="4">
        <v>33.38201837</v>
      </c>
      <c r="E521" s="0" t="inlineStr">
        <is>
          <t xml:space="preserve">VIGOR MARINE LLC</t>
        </is>
      </c>
      <c r="F521" s="0" t="inlineStr">
        <is>
          <t xml:space="preserve">naics:336611</t>
        </is>
      </c>
    </row>
    <row r="522">
      <c r="B522" s="0" t="inlineStr">
        <is>
          <t xml:space="preserve">ER02</t>
        </is>
      </c>
      <c r="C522" s="0" t="inlineStr">
        <is>
          <t xml:space="preserve">broad_maritime</t>
        </is>
      </c>
      <c r="D522" s="4">
        <v>33.367180999999995</v>
      </c>
      <c r="E522" s="0" t="inlineStr">
        <is>
          <t xml:space="preserve">LOCKHEED MARTIN CORPORATION</t>
        </is>
      </c>
      <c r="F522" s="0" t="inlineStr">
        <is>
          <t xml:space="preserve">naics:336611; psc:1905</t>
        </is>
      </c>
    </row>
    <row r="523">
      <c r="B523" s="0" t="inlineStr">
        <is>
          <t xml:space="preserve">N3225324F0020</t>
        </is>
      </c>
      <c r="C523" s="0" t="inlineStr">
        <is>
          <t xml:space="preserve">broad_maritime</t>
        </is>
      </c>
      <c r="D523" s="4">
        <v>33.21633859</v>
      </c>
      <c r="E523" s="0" t="inlineStr">
        <is>
          <t xml:space="preserve">PACIFIC SHIPYARDS INTERNATIONAL, LLC</t>
        </is>
      </c>
      <c r="F523" s="0" t="inlineStr">
        <is>
          <t xml:space="preserve">naics:336611</t>
        </is>
      </c>
    </row>
    <row r="524">
      <c r="B524" s="0" t="inlineStr">
        <is>
          <t xml:space="preserve">N0001421C1009</t>
        </is>
      </c>
      <c r="C524" s="0" t="inlineStr">
        <is>
          <t xml:space="preserve">usv_core</t>
        </is>
      </c>
      <c r="D524" s="4">
        <v>33.140146</v>
      </c>
      <c r="E524" s="0" t="inlineStr">
        <is>
          <t xml:space="preserve">RAYTHEON COMPANY</t>
        </is>
      </c>
      <c r="F524" s="0" t="inlineStr">
        <is>
          <t xml:space="preserve">keyword</t>
        </is>
      </c>
    </row>
    <row r="525">
      <c r="B525" s="0" t="inlineStr">
        <is>
          <t xml:space="preserve">0010</t>
        </is>
      </c>
      <c r="C525" s="0" t="inlineStr">
        <is>
          <t xml:space="preserve">broad_maritime</t>
        </is>
      </c>
      <c r="D525" s="4">
        <v>33.121643</v>
      </c>
      <c r="E525" s="0" t="inlineStr">
        <is>
          <t xml:space="preserve">BATH IRON WORKS CORPORATION</t>
        </is>
      </c>
      <c r="F525" s="0" t="inlineStr">
        <is>
          <t xml:space="preserve">naics:336611; psc:1905</t>
        </is>
      </c>
    </row>
    <row r="526">
      <c r="B526" s="0" t="inlineStr">
        <is>
          <t xml:space="preserve">N3220525C5002</t>
        </is>
      </c>
      <c r="C526" s="0" t="inlineStr">
        <is>
          <t xml:space="preserve">broad_maritime</t>
        </is>
      </c>
      <c r="D526" s="4">
        <v>33.07957568</v>
      </c>
      <c r="E526" s="0" t="inlineStr">
        <is>
          <t xml:space="preserve">EAST COAST REPAIR &amp; FABRICATION, LLC</t>
        </is>
      </c>
      <c r="F526" s="0" t="inlineStr">
        <is>
          <t xml:space="preserve">naics:336611</t>
        </is>
      </c>
    </row>
    <row r="527">
      <c r="B527" s="0" t="inlineStr">
        <is>
          <t xml:space="preserve">N0001414C5021</t>
        </is>
      </c>
      <c r="C527" s="0" t="inlineStr">
        <is>
          <t xml:space="preserve">broad_maritime</t>
        </is>
      </c>
      <c r="D527" s="4">
        <v>33.052993</v>
      </c>
      <c r="E527" s="0" t="inlineStr">
        <is>
          <t xml:space="preserve">UNIVERSITY OF WASHINGTON</t>
        </is>
      </c>
      <c r="F527" s="0" t="inlineStr">
        <is>
          <t xml:space="preserve">naics:336611</t>
        </is>
      </c>
    </row>
    <row r="528">
      <c r="B528" s="0" t="inlineStr">
        <is>
          <t xml:space="preserve">N4002721F0035</t>
        </is>
      </c>
      <c r="C528" s="0" t="inlineStr">
        <is>
          <t xml:space="preserve">broad_maritime</t>
        </is>
      </c>
      <c r="D528" s="4">
        <v>33.01100692</v>
      </c>
      <c r="E528" s="0" t="inlineStr">
        <is>
          <t xml:space="preserve">BAE SYSTEMS JACKSONVILLE SHIP REPAIR LLC</t>
        </is>
      </c>
      <c r="F528" s="0" t="inlineStr">
        <is>
          <t xml:space="preserve">naics:336611</t>
        </is>
      </c>
    </row>
    <row r="529">
      <c r="B529" s="0" t="inlineStr">
        <is>
          <t xml:space="preserve">0007</t>
        </is>
      </c>
      <c r="C529" s="0" t="inlineStr">
        <is>
          <t xml:space="preserve">broad_maritime</t>
        </is>
      </c>
      <c r="D529" s="4">
        <v>32.83881838</v>
      </c>
      <c r="E529" s="0" t="inlineStr">
        <is>
          <t xml:space="preserve">QED SYSTEMS, INC.</t>
        </is>
      </c>
      <c r="F529" s="0" t="inlineStr">
        <is>
          <t xml:space="preserve">naics:336611; psc:1905</t>
        </is>
      </c>
    </row>
    <row r="530">
      <c r="B530" s="0" t="inlineStr">
        <is>
          <t xml:space="preserve">N4002720F0097</t>
        </is>
      </c>
      <c r="C530" s="0" t="inlineStr">
        <is>
          <t xml:space="preserve">broad_maritime</t>
        </is>
      </c>
      <c r="D530" s="4">
        <v>32.776893199999996</v>
      </c>
      <c r="E530" s="0" t="inlineStr">
        <is>
          <t xml:space="preserve">BAE SYSTEMS JACKSONVILLE SHIP REPAIR LLC</t>
        </is>
      </c>
      <c r="F530" s="0" t="inlineStr">
        <is>
          <t xml:space="preserve">naics:336611</t>
        </is>
      </c>
    </row>
    <row r="531">
      <c r="B531" s="0" t="inlineStr">
        <is>
          <t xml:space="preserve">N5005416C0004</t>
        </is>
      </c>
      <c r="C531" s="0" t="inlineStr">
        <is>
          <t xml:space="preserve">broad_maritime</t>
        </is>
      </c>
      <c r="D531" s="4">
        <v>32.765031</v>
      </c>
      <c r="E531" s="0" t="inlineStr">
        <is>
          <t xml:space="preserve">BAE SYSTEMS MARITIME SOLUTIONS NORFOLK INC.</t>
        </is>
      </c>
      <c r="F531" s="0" t="inlineStr">
        <is>
          <t xml:space="preserve">naics:336611</t>
        </is>
      </c>
    </row>
    <row r="532">
      <c r="B532" s="0" t="inlineStr">
        <is>
          <t xml:space="preserve">N5523620F5192</t>
        </is>
      </c>
      <c r="C532" s="0" t="inlineStr">
        <is>
          <t xml:space="preserve">broad_maritime</t>
        </is>
      </c>
      <c r="D532" s="4">
        <v>32.709997</v>
      </c>
      <c r="E532" s="0" t="inlineStr">
        <is>
          <t xml:space="preserve">CONTINENTAL MARITIME OF SAN DIEGO, LLC</t>
        </is>
      </c>
      <c r="F532" s="0" t="inlineStr">
        <is>
          <t xml:space="preserve">naics:336611</t>
        </is>
      </c>
    </row>
    <row r="533">
      <c r="B533" s="0" t="inlineStr">
        <is>
          <t xml:space="preserve">N4215824FST01</t>
        </is>
      </c>
      <c r="C533" s="0" t="inlineStr">
        <is>
          <t xml:space="preserve">broad_maritime</t>
        </is>
      </c>
      <c r="D533" s="4">
        <v>32.684025909999995</v>
      </c>
      <c r="E533" s="0" t="inlineStr">
        <is>
          <t xml:space="preserve">IMIA, LLC</t>
        </is>
      </c>
      <c r="F533" s="0" t="inlineStr">
        <is>
          <t xml:space="preserve">naics:336611</t>
        </is>
      </c>
    </row>
    <row r="534">
      <c r="B534" s="0" t="inlineStr">
        <is>
          <t xml:space="preserve">N5005419FC044</t>
        </is>
      </c>
      <c r="C534" s="0" t="inlineStr">
        <is>
          <t xml:space="preserve">broad_maritime</t>
        </is>
      </c>
      <c r="D534" s="4">
        <v>32.65888113</v>
      </c>
      <c r="E534" s="0" t="inlineStr">
        <is>
          <t xml:space="preserve">MARINE HYDRAULICS INTERNATIONAL, LLC</t>
        </is>
      </c>
      <c r="F534" s="0" t="inlineStr">
        <is>
          <t xml:space="preserve">naics:336611</t>
        </is>
      </c>
    </row>
    <row r="535">
      <c r="B535" s="0" t="inlineStr">
        <is>
          <t xml:space="preserve">N3220524C4126</t>
        </is>
      </c>
      <c r="C535" s="0" t="inlineStr">
        <is>
          <t xml:space="preserve">broad_maritime</t>
        </is>
      </c>
      <c r="D535" s="4">
        <v>32.647523</v>
      </c>
      <c r="E535" s="0" t="inlineStr">
        <is>
          <t xml:space="preserve">BOSTON SHIP REPAIR LLC</t>
        </is>
      </c>
      <c r="F535" s="0" t="inlineStr">
        <is>
          <t xml:space="preserve">naics:336611</t>
        </is>
      </c>
    </row>
    <row r="536">
      <c r="B536" s="0" t="inlineStr">
        <is>
          <t xml:space="preserve">N0001417L0354</t>
        </is>
      </c>
      <c r="C536" s="0" t="inlineStr">
        <is>
          <t xml:space="preserve">broad_maritime</t>
        </is>
      </c>
      <c r="D536" s="4">
        <v>32.602242</v>
      </c>
      <c r="E536" s="0" t="inlineStr">
        <is>
          <t xml:space="preserve">WOODS HOLE OCEANOGRAPHIC INSTITUTION</t>
        </is>
      </c>
      <c r="F536" s="0" t="inlineStr">
        <is>
          <t xml:space="preserve">naics:336611</t>
        </is>
      </c>
    </row>
    <row r="537">
      <c r="B537" s="0" t="inlineStr">
        <is>
          <t xml:space="preserve">N0002410C4301</t>
        </is>
      </c>
      <c r="C537" s="0" t="inlineStr">
        <is>
          <t xml:space="preserve">broad_maritime</t>
        </is>
      </c>
      <c r="D537" s="4">
        <v>32.467602</v>
      </c>
      <c r="E537" s="0" t="inlineStr">
        <is>
          <t xml:space="preserve">ELECTRIC BOAT CORPORATION</t>
        </is>
      </c>
      <c r="F537" s="0" t="inlineStr">
        <is>
          <t xml:space="preserve">naics:336611</t>
        </is>
      </c>
    </row>
    <row r="538">
      <c r="B538" s="0" t="inlineStr">
        <is>
          <t xml:space="preserve">N6133120F3009</t>
        </is>
      </c>
      <c r="C538" s="0" t="inlineStr">
        <is>
          <t xml:space="preserve">usv_core</t>
        </is>
      </c>
      <c r="D538" s="4">
        <v>32.37049559</v>
      </c>
      <c r="E538" s="0" t="inlineStr">
        <is>
          <t xml:space="preserve">AVIAN, LLC</t>
        </is>
      </c>
      <c r="F538" s="0" t="inlineStr">
        <is>
          <t xml:space="preserve">keyword</t>
        </is>
      </c>
    </row>
    <row r="539">
      <c r="B539" s="0" t="inlineStr">
        <is>
          <t xml:space="preserve">N0002419F4123</t>
        </is>
      </c>
      <c r="C539" s="0" t="inlineStr">
        <is>
          <t xml:space="preserve">broad_maritime</t>
        </is>
      </c>
      <c r="D539" s="4">
        <v>32.339753</v>
      </c>
      <c r="E539" s="0" t="inlineStr">
        <is>
          <t xml:space="preserve">ROLLS-ROYCE MARINE NORTH AMERICA INC.</t>
        </is>
      </c>
      <c r="F539" s="0" t="inlineStr">
        <is>
          <t xml:space="preserve">naics:336611</t>
        </is>
      </c>
    </row>
    <row r="540">
      <c r="B540" s="0" t="inlineStr">
        <is>
          <t xml:space="preserve">N3220523C4032</t>
        </is>
      </c>
      <c r="C540" s="0" t="inlineStr">
        <is>
          <t xml:space="preserve">broad_maritime</t>
        </is>
      </c>
      <c r="D540" s="4">
        <v>32.31796024</v>
      </c>
      <c r="E540" s="0" t="inlineStr">
        <is>
          <t xml:space="preserve">VIGOR MARINE LLC</t>
        </is>
      </c>
      <c r="F540" s="0" t="inlineStr">
        <is>
          <t xml:space="preserve">naics:336611</t>
        </is>
      </c>
    </row>
    <row r="541">
      <c r="B541" s="0" t="inlineStr">
        <is>
          <t xml:space="preserve">N0002419C4404</t>
        </is>
      </c>
      <c r="C541" s="0" t="inlineStr">
        <is>
          <t xml:space="preserve">broad_maritime</t>
        </is>
      </c>
      <c r="D541" s="4">
        <v>32.26543248</v>
      </c>
      <c r="E541" s="0" t="inlineStr">
        <is>
          <t xml:space="preserve">PACIFIC SHIPYARDS INTERNATIONAL, LLC</t>
        </is>
      </c>
      <c r="F541" s="0" t="inlineStr">
        <is>
          <t xml:space="preserve">naics:336611</t>
        </is>
      </c>
    </row>
    <row r="542">
      <c r="B542" s="0" t="inlineStr">
        <is>
          <t xml:space="preserve">N5523624F5022</t>
        </is>
      </c>
      <c r="C542" s="0" t="inlineStr">
        <is>
          <t xml:space="preserve">broad_maritime</t>
        </is>
      </c>
      <c r="D542" s="4">
        <v>32.26185926</v>
      </c>
      <c r="E542" s="0" t="inlineStr">
        <is>
          <t xml:space="preserve">BAE SYSTEMS MARITIME SOLUTIONS SAN DIEGO INC.</t>
        </is>
      </c>
      <c r="F542" s="0" t="inlineStr">
        <is>
          <t xml:space="preserve">naics:336611</t>
        </is>
      </c>
    </row>
    <row r="543">
      <c r="B543" s="0" t="inlineStr">
        <is>
          <t xml:space="preserve">N4044625F2002</t>
        </is>
      </c>
      <c r="C543" s="0" t="inlineStr">
        <is>
          <t xml:space="preserve">broad_maritime</t>
        </is>
      </c>
      <c r="D543" s="4">
        <v>32.200626719999995</v>
      </c>
      <c r="E543" s="0" t="inlineStr">
        <is>
          <t xml:space="preserve">CABRAS MARINE CORPORATION</t>
        </is>
      </c>
      <c r="F543" s="0" t="inlineStr">
        <is>
          <t xml:space="preserve">naics:336611</t>
        </is>
      </c>
    </row>
    <row r="544">
      <c r="B544" s="0" t="inlineStr">
        <is>
          <t xml:space="preserve">0009</t>
        </is>
      </c>
      <c r="C544" s="0" t="inlineStr">
        <is>
          <t xml:space="preserve">broad_maritime</t>
        </is>
      </c>
      <c r="D544" s="4">
        <v>31.76184627</v>
      </c>
      <c r="E544" s="0" t="inlineStr">
        <is>
          <t xml:space="preserve">QED SYSTEMS, INC.</t>
        </is>
      </c>
      <c r="F544" s="0" t="inlineStr">
        <is>
          <t xml:space="preserve">naics:336611</t>
        </is>
      </c>
    </row>
    <row r="545">
      <c r="B545" s="0" t="inlineStr">
        <is>
          <t xml:space="preserve">N5523622F5315</t>
        </is>
      </c>
      <c r="C545" s="0" t="inlineStr">
        <is>
          <t xml:space="preserve">broad_maritime</t>
        </is>
      </c>
      <c r="D545" s="4">
        <v>31.68020844</v>
      </c>
      <c r="E545" s="0" t="inlineStr">
        <is>
          <t xml:space="preserve">BAE SYSTEMS MARITIME SOLUTIONS SAN DIEGO INC.</t>
        </is>
      </c>
      <c r="F545" s="0" t="inlineStr">
        <is>
          <t xml:space="preserve">naics:336611</t>
        </is>
      </c>
    </row>
    <row r="546">
      <c r="B546" s="0" t="inlineStr">
        <is>
          <t xml:space="preserve">N4215821C0002</t>
        </is>
      </c>
      <c r="C546" s="0" t="inlineStr">
        <is>
          <t xml:space="preserve">broad_maritime</t>
        </is>
      </c>
      <c r="D546" s="4">
        <v>31.382860039999997</v>
      </c>
      <c r="E546" s="0" t="inlineStr">
        <is>
          <t xml:space="preserve">HUNTINGTON INGALLS INC</t>
        </is>
      </c>
      <c r="F546" s="0" t="inlineStr">
        <is>
          <t xml:space="preserve">naics:336611</t>
        </is>
      </c>
    </row>
    <row r="547">
      <c r="B547" s="0" t="inlineStr">
        <is>
          <t xml:space="preserve">N3220526C1231</t>
        </is>
      </c>
      <c r="C547" s="0" t="inlineStr">
        <is>
          <t xml:space="preserve">broad_maritime</t>
        </is>
      </c>
      <c r="D547" s="4">
        <v>31.378287999999998</v>
      </c>
      <c r="E547" s="0" t="inlineStr">
        <is>
          <t xml:space="preserve">DETYENS SHIPYARDS INC</t>
        </is>
      </c>
      <c r="F547" s="0" t="inlineStr">
        <is>
          <t xml:space="preserve">naics:336611</t>
        </is>
      </c>
    </row>
    <row r="548">
      <c r="B548" s="0" t="inlineStr">
        <is>
          <t xml:space="preserve">N4215821CS001</t>
        </is>
      </c>
      <c r="C548" s="0" t="inlineStr">
        <is>
          <t xml:space="preserve">broad_maritime</t>
        </is>
      </c>
      <c r="D548" s="4">
        <v>31.357018519999997</v>
      </c>
      <c r="E548" s="0" t="inlineStr">
        <is>
          <t xml:space="preserve">IMIA, LLC</t>
        </is>
      </c>
      <c r="F548" s="0" t="inlineStr">
        <is>
          <t xml:space="preserve">naics:336611</t>
        </is>
      </c>
    </row>
    <row r="549">
      <c r="B549" s="0" t="inlineStr">
        <is>
          <t xml:space="preserve">N5005421FC035</t>
        </is>
      </c>
      <c r="C549" s="0" t="inlineStr">
        <is>
          <t xml:space="preserve">broad_maritime</t>
        </is>
      </c>
      <c r="D549" s="4">
        <v>31.304343999999997</v>
      </c>
      <c r="E549" s="0" t="inlineStr">
        <is>
          <t xml:space="preserve">MARINE HYDRAULICS INTERNATIONAL, LLC</t>
        </is>
      </c>
      <c r="F549" s="0" t="inlineStr">
        <is>
          <t xml:space="preserve">naics:336611</t>
        </is>
      </c>
    </row>
    <row r="550">
      <c r="B550" s="0" t="inlineStr">
        <is>
          <t xml:space="preserve">0023</t>
        </is>
      </c>
      <c r="C550" s="0" t="inlineStr">
        <is>
          <t xml:space="preserve">broad_maritime</t>
        </is>
      </c>
      <c r="D550" s="4">
        <v>31.268649999999997</v>
      </c>
      <c r="E550" s="0" t="inlineStr">
        <is>
          <t xml:space="preserve">VSE CORPORATION</t>
        </is>
      </c>
      <c r="F550" s="0" t="inlineStr">
        <is>
          <t xml:space="preserve">naics:336611</t>
        </is>
      </c>
    </row>
    <row r="551">
      <c r="B551" s="0" t="inlineStr">
        <is>
          <t xml:space="preserve">N6278619F0044</t>
        </is>
      </c>
      <c r="C551" s="0" t="inlineStr">
        <is>
          <t xml:space="preserve">broad_maritime</t>
        </is>
      </c>
      <c r="D551" s="4">
        <v>31.180999</v>
      </c>
      <c r="E551" s="0" t="inlineStr">
        <is>
          <t xml:space="preserve">BAE SYSTEMS MARITIME SOLUTIONS SAN DIEGO INC.</t>
        </is>
      </c>
      <c r="F551" s="0" t="inlineStr">
        <is>
          <t xml:space="preserve">naics:336611; psc:1905</t>
        </is>
      </c>
    </row>
    <row r="552">
      <c r="B552" s="0" t="inlineStr">
        <is>
          <t xml:space="preserve">N0002419C2317</t>
        </is>
      </c>
      <c r="C552" s="0" t="inlineStr">
        <is>
          <t xml:space="preserve">broad_maritime</t>
        </is>
      </c>
      <c r="D552" s="4">
        <v>31.139454309999998</v>
      </c>
      <c r="E552" s="0" t="inlineStr">
        <is>
          <t xml:space="preserve">BAE SYSTEMS JACKSONVILLE SHIP REPAIR LLC</t>
        </is>
      </c>
      <c r="F552" s="0" t="inlineStr">
        <is>
          <t xml:space="preserve">naics:336611; psc:1905</t>
        </is>
      </c>
    </row>
    <row r="553">
      <c r="B553" s="0" t="inlineStr">
        <is>
          <t xml:space="preserve">N5523625F2013</t>
        </is>
      </c>
      <c r="C553" s="0" t="inlineStr">
        <is>
          <t xml:space="preserve">broad_maritime</t>
        </is>
      </c>
      <c r="D553" s="4">
        <v>31.113724679999997</v>
      </c>
      <c r="E553" s="0" t="inlineStr">
        <is>
          <t xml:space="preserve">NATIONAL STEEL AND SHIPBUILDING COMPANY</t>
        </is>
      </c>
      <c r="F553" s="0" t="inlineStr">
        <is>
          <t xml:space="preserve">naics:336611</t>
        </is>
      </c>
    </row>
    <row r="554">
      <c r="B554" s="0" t="inlineStr">
        <is>
          <t xml:space="preserve">N3220523C2143</t>
        </is>
      </c>
      <c r="C554" s="0" t="inlineStr">
        <is>
          <t xml:space="preserve">broad_maritime</t>
        </is>
      </c>
      <c r="D554" s="4">
        <v>31.105103999999997</v>
      </c>
      <c r="E554" s="0" t="inlineStr">
        <is>
          <t xml:space="preserve">ALABAMA SHIPYARD LLC</t>
        </is>
      </c>
      <c r="F554" s="0" t="inlineStr">
        <is>
          <t xml:space="preserve">naics:336611</t>
        </is>
      </c>
    </row>
    <row r="555">
      <c r="B555" s="0" t="inlineStr">
        <is>
          <t xml:space="preserve">N5005422FC047</t>
        </is>
      </c>
      <c r="C555" s="0" t="inlineStr">
        <is>
          <t xml:space="preserve">broad_maritime</t>
        </is>
      </c>
      <c r="D555" s="4">
        <v>30.99691437</v>
      </c>
      <c r="E555" s="0" t="inlineStr">
        <is>
          <t xml:space="preserve">EAST COAST REPAIR &amp; FABRICATION, LLC</t>
        </is>
      </c>
      <c r="F555" s="0" t="inlineStr">
        <is>
          <t xml:space="preserve">naics:336611</t>
        </is>
      </c>
    </row>
    <row r="556">
      <c r="B556" s="0" t="inlineStr">
        <is>
          <t xml:space="preserve">N3220520C4003</t>
        </is>
      </c>
      <c r="C556" s="0" t="inlineStr">
        <is>
          <t xml:space="preserve">broad_maritime</t>
        </is>
      </c>
      <c r="D556" s="4">
        <v>30.803628</v>
      </c>
      <c r="E556" s="0" t="inlineStr">
        <is>
          <t xml:space="preserve">DETYENS SHIPYARDS INC</t>
        </is>
      </c>
      <c r="F556" s="0" t="inlineStr">
        <is>
          <t xml:space="preserve">naics:336611</t>
        </is>
      </c>
    </row>
    <row r="557">
      <c r="B557" s="0" t="inlineStr">
        <is>
          <t xml:space="preserve">N5005421FC034</t>
        </is>
      </c>
      <c r="C557" s="0" t="inlineStr">
        <is>
          <t xml:space="preserve">broad_maritime</t>
        </is>
      </c>
      <c r="D557" s="4">
        <v>30.77920517</v>
      </c>
      <c r="E557" s="0" t="inlineStr">
        <is>
          <t xml:space="preserve">MARINE HYDRAULICS INTERNATIONAL, LLC</t>
        </is>
      </c>
      <c r="F557" s="0" t="inlineStr">
        <is>
          <t xml:space="preserve">naics:336611</t>
        </is>
      </c>
    </row>
    <row r="558">
      <c r="B558" s="0" t="inlineStr">
        <is>
          <t xml:space="preserve">N6278622F0018</t>
        </is>
      </c>
      <c r="C558" s="0" t="inlineStr">
        <is>
          <t xml:space="preserve">broad_maritime</t>
        </is>
      </c>
      <c r="D558" s="4">
        <v>30.717526999999997</v>
      </c>
      <c r="E558" s="0" t="inlineStr">
        <is>
          <t xml:space="preserve">BAE SYSTEMS MARITIME SOLUTIONS SAN DIEGO INC.</t>
        </is>
      </c>
      <c r="F558" s="0" t="inlineStr">
        <is>
          <t xml:space="preserve">naics:336611; psc:1905</t>
        </is>
      </c>
    </row>
    <row r="559">
      <c r="B559" s="0" t="inlineStr">
        <is>
          <t xml:space="preserve">N0002422F8306</t>
        </is>
      </c>
      <c r="C559" s="0" t="inlineStr">
        <is>
          <t xml:space="preserve">usv_core</t>
        </is>
      </c>
      <c r="D559" s="4">
        <v>30.698104089999998</v>
      </c>
      <c r="E559" s="0" t="inlineStr">
        <is>
          <t xml:space="preserve">THE PENNSYLVANIA STATE UNIVERSITY</t>
        </is>
      </c>
      <c r="F559" s="0" t="inlineStr">
        <is>
          <t xml:space="preserve">keyword</t>
        </is>
      </c>
    </row>
    <row r="560">
      <c r="B560" s="0" t="inlineStr">
        <is>
          <t xml:space="preserve">N0002417C4410</t>
        </is>
      </c>
      <c r="C560" s="0" t="inlineStr">
        <is>
          <t xml:space="preserve">broad_maritime</t>
        </is>
      </c>
      <c r="D560" s="4">
        <v>30.68239823</v>
      </c>
      <c r="E560" s="0" t="inlineStr">
        <is>
          <t xml:space="preserve">OWL INTERNATIONAL INC.</t>
        </is>
      </c>
      <c r="F560" s="0" t="inlineStr">
        <is>
          <t xml:space="preserve">naics:336611</t>
        </is>
      </c>
    </row>
    <row r="561">
      <c r="B561" s="0" t="inlineStr">
        <is>
          <t xml:space="preserve">N0002413C4301</t>
        </is>
      </c>
      <c r="C561" s="0" t="inlineStr">
        <is>
          <t xml:space="preserve">broad_maritime</t>
        </is>
      </c>
      <c r="D561" s="4">
        <v>30.658161999999997</v>
      </c>
      <c r="E561" s="0" t="inlineStr">
        <is>
          <t xml:space="preserve">ELECTRIC BOAT CORPORATION</t>
        </is>
      </c>
      <c r="F561" s="0" t="inlineStr">
        <is>
          <t xml:space="preserve">naics:336611; psc:1905</t>
        </is>
      </c>
    </row>
    <row r="562">
      <c r="B562" s="0" t="inlineStr">
        <is>
          <t xml:space="preserve">N0002422F4301</t>
        </is>
      </c>
      <c r="C562" s="0" t="inlineStr">
        <is>
          <t xml:space="preserve">broad_maritime</t>
        </is>
      </c>
      <c r="D562" s="4">
        <v>30.639067999999998</v>
      </c>
      <c r="E562" s="0" t="inlineStr">
        <is>
          <t xml:space="preserve">ELECTRIC BOAT CORPORATION</t>
        </is>
      </c>
      <c r="F562" s="0" t="inlineStr">
        <is>
          <t xml:space="preserve">naics:336611; psc:1905</t>
        </is>
      </c>
    </row>
    <row r="563">
      <c r="B563" s="0" t="inlineStr">
        <is>
          <t xml:space="preserve">N6279325F0003</t>
        </is>
      </c>
      <c r="C563" s="0" t="inlineStr">
        <is>
          <t xml:space="preserve">broad_maritime</t>
        </is>
      </c>
      <c r="D563" s="4">
        <v>30.576981999999997</v>
      </c>
      <c r="E563" s="0" t="inlineStr">
        <is>
          <t xml:space="preserve">HUNTINGTON INGALLS INC</t>
        </is>
      </c>
      <c r="F563" s="0" t="inlineStr">
        <is>
          <t xml:space="preserve">naics:336611; psc:1905</t>
        </is>
      </c>
    </row>
    <row r="564">
      <c r="B564" s="0" t="inlineStr">
        <is>
          <t xml:space="preserve">N0002413F2320</t>
        </is>
      </c>
      <c r="C564" s="0" t="inlineStr">
        <is>
          <t xml:space="preserve">broad_maritime</t>
        </is>
      </c>
      <c r="D564" s="4">
        <v>30.542156</v>
      </c>
      <c r="E564" s="0" t="inlineStr">
        <is>
          <t xml:space="preserve">FORETHOUGHT, INC.</t>
        </is>
      </c>
      <c r="F564" s="0" t="inlineStr">
        <is>
          <t xml:space="preserve">psc:1905</t>
        </is>
      </c>
    </row>
    <row r="565">
      <c r="B565" s="0" t="inlineStr">
        <is>
          <t xml:space="preserve">N5005418FC068</t>
        </is>
      </c>
      <c r="C565" s="0" t="inlineStr">
        <is>
          <t xml:space="preserve">broad_maritime</t>
        </is>
      </c>
      <c r="D565" s="4">
        <v>30.433307</v>
      </c>
      <c r="E565" s="0" t="inlineStr">
        <is>
          <t xml:space="preserve">METRO MACHINE CORP.</t>
        </is>
      </c>
      <c r="F565" s="0" t="inlineStr">
        <is>
          <t xml:space="preserve">naics:336611</t>
        </is>
      </c>
    </row>
    <row r="566">
      <c r="B566" s="0" t="inlineStr">
        <is>
          <t xml:space="preserve">N3220522C4254</t>
        </is>
      </c>
      <c r="C566" s="0" t="inlineStr">
        <is>
          <t xml:space="preserve">broad_maritime</t>
        </is>
      </c>
      <c r="D566" s="4">
        <v>30.346771</v>
      </c>
      <c r="E566" s="0" t="inlineStr">
        <is>
          <t xml:space="preserve">DETYENS SHIPYARDS INC</t>
        </is>
      </c>
      <c r="F566" s="0" t="inlineStr">
        <is>
          <t xml:space="preserve">naics:336611</t>
        </is>
      </c>
    </row>
    <row r="567">
      <c r="B567" s="0" t="inlineStr">
        <is>
          <t xml:space="preserve">N3220524C4227</t>
        </is>
      </c>
      <c r="C567" s="0" t="inlineStr">
        <is>
          <t xml:space="preserve">broad_maritime</t>
        </is>
      </c>
      <c r="D567" s="4">
        <v>30.21294594</v>
      </c>
      <c r="E567" s="0" t="inlineStr">
        <is>
          <t xml:space="preserve">ALABAMA SHIPYARD LLC</t>
        </is>
      </c>
      <c r="F567" s="0" t="inlineStr">
        <is>
          <t xml:space="preserve">naics:336611</t>
        </is>
      </c>
    </row>
    <row r="568">
      <c r="B568" s="0" t="inlineStr">
        <is>
          <t xml:space="preserve">N0002419F22X1</t>
        </is>
      </c>
      <c r="C568" s="0" t="inlineStr">
        <is>
          <t xml:space="preserve">small_craft</t>
        </is>
      </c>
      <c r="D568" s="4">
        <v>30.20474446</v>
      </c>
      <c r="E568" s="0" t="inlineStr">
        <is>
          <t xml:space="preserve">GRAVOIS ALUMINUM BOATS LLC</t>
        </is>
      </c>
      <c r="F568" s="0" t="inlineStr">
        <is>
          <t xml:space="preserve">naics:336612; psc:1940</t>
        </is>
      </c>
    </row>
    <row r="569">
      <c r="B569" s="0" t="inlineStr">
        <is>
          <t xml:space="preserve">N3220524C4097</t>
        </is>
      </c>
      <c r="C569" s="0" t="inlineStr">
        <is>
          <t xml:space="preserve">broad_maritime</t>
        </is>
      </c>
      <c r="D569" s="4">
        <v>30.14100776</v>
      </c>
      <c r="E569" s="0" t="inlineStr">
        <is>
          <t xml:space="preserve">VIGOR MARINE LLC</t>
        </is>
      </c>
      <c r="F569" s="0" t="inlineStr">
        <is>
          <t xml:space="preserve">naics:336611</t>
        </is>
      </c>
    </row>
    <row r="570">
      <c r="B570" s="0" t="inlineStr">
        <is>
          <t xml:space="preserve">N0002418C2400</t>
        </is>
      </c>
      <c r="C570" s="0" t="inlineStr">
        <is>
          <t xml:space="preserve">broad_maritime</t>
        </is>
      </c>
      <c r="D570" s="4">
        <v>30.041959249999998</v>
      </c>
      <c r="E570" s="0" t="inlineStr">
        <is>
          <t xml:space="preserve">TECNICO CORPORATION</t>
        </is>
      </c>
      <c r="F570" s="0" t="inlineStr">
        <is>
          <t xml:space="preserve">naics:336611; psc:1905</t>
        </is>
      </c>
    </row>
    <row r="571">
      <c r="B571" s="0" t="inlineStr">
        <is>
          <t xml:space="preserve">N0002423C2244</t>
        </is>
      </c>
      <c r="C571" s="0" t="inlineStr">
        <is>
          <t xml:space="preserve">small_craft</t>
        </is>
      </c>
      <c r="D571" s="4">
        <v>30.0005031</v>
      </c>
      <c r="E571" s="0" t="inlineStr">
        <is>
          <t xml:space="preserve">STERLING SHIPYARD LP</t>
        </is>
      </c>
      <c r="F571" s="0" t="inlineStr">
        <is>
          <t xml:space="preserve">naics:336612</t>
        </is>
      </c>
    </row>
    <row r="572">
      <c r="B572" s="0" t="inlineStr">
        <is>
          <t xml:space="preserve">N0002420F4209</t>
        </is>
      </c>
      <c r="C572" s="0" t="inlineStr">
        <is>
          <t xml:space="preserve">broad_maritime</t>
        </is>
      </c>
      <c r="D572" s="4">
        <v>29.77555772</v>
      </c>
      <c r="E572" s="0" t="inlineStr">
        <is>
          <t xml:space="preserve">VSE CORPORATION</t>
        </is>
      </c>
      <c r="F572" s="0" t="inlineStr">
        <is>
          <t xml:space="preserve">naics:336611</t>
        </is>
      </c>
    </row>
    <row r="573">
      <c r="B573" s="0" t="inlineStr">
        <is>
          <t xml:space="preserve">N6931620F4000</t>
        </is>
      </c>
      <c r="C573" s="0" t="inlineStr">
        <is>
          <t xml:space="preserve">broad_maritime</t>
        </is>
      </c>
      <c r="D573" s="4">
        <v>29.741851999999998</v>
      </c>
      <c r="E573" s="0" t="inlineStr">
        <is>
          <t xml:space="preserve">AUSTAL USA, LLC</t>
        </is>
      </c>
      <c r="F573" s="0" t="inlineStr">
        <is>
          <t xml:space="preserve">naics:336611</t>
        </is>
      </c>
    </row>
    <row r="574">
      <c r="B574" s="0" t="inlineStr">
        <is>
          <t xml:space="preserve">N6660418F3022</t>
        </is>
      </c>
      <c r="C574" s="0" t="inlineStr">
        <is>
          <t xml:space="preserve">usv_core</t>
        </is>
      </c>
      <c r="D574" s="4">
        <v>29.70405303</v>
      </c>
      <c r="E574" s="0" t="inlineStr">
        <is>
          <t xml:space="preserve">SERCO-IPS CORPORATION</t>
        </is>
      </c>
      <c r="F574" s="0" t="inlineStr">
        <is>
          <t xml:space="preserve">keyword</t>
        </is>
      </c>
    </row>
    <row r="575">
      <c r="B575" s="0" t="inlineStr">
        <is>
          <t xml:space="preserve">N3225325F1013</t>
        </is>
      </c>
      <c r="C575" s="0" t="inlineStr">
        <is>
          <t xml:space="preserve">broad_maritime</t>
        </is>
      </c>
      <c r="D575" s="4">
        <v>29.601672329999996</v>
      </c>
      <c r="E575" s="0" t="inlineStr">
        <is>
          <t xml:space="preserve">PACIFIC SHIPYARDS INTERNATIONAL, LLC</t>
        </is>
      </c>
      <c r="F575" s="0" t="inlineStr">
        <is>
          <t xml:space="preserve">naics:336611</t>
        </is>
      </c>
    </row>
    <row r="576">
      <c r="B576" s="0" t="inlineStr">
        <is>
          <t xml:space="preserve">N4002723C0001</t>
        </is>
      </c>
      <c r="C576" s="0" t="inlineStr">
        <is>
          <t xml:space="preserve">broad_maritime</t>
        </is>
      </c>
      <c r="D576" s="4">
        <v>29.46172115</v>
      </c>
      <c r="E576" s="0" t="inlineStr">
        <is>
          <t xml:space="preserve">BAE SYSTEMS JACKSONVILLE SHIP REPAIR LLC</t>
        </is>
      </c>
      <c r="F576" s="0" t="inlineStr">
        <is>
          <t xml:space="preserve">naics:336611</t>
        </is>
      </c>
    </row>
    <row r="577">
      <c r="B577" s="0" t="inlineStr">
        <is>
          <t xml:space="preserve">N0002419F2304</t>
        </is>
      </c>
      <c r="C577" s="0" t="inlineStr">
        <is>
          <t xml:space="preserve">broad_maritime</t>
        </is>
      </c>
      <c r="D577" s="4">
        <v>29.405536879999996</v>
      </c>
      <c r="E577" s="0" t="inlineStr">
        <is>
          <t xml:space="preserve">L3 TECHNOLOGIES, INC.</t>
        </is>
      </c>
      <c r="F577" s="0" t="inlineStr">
        <is>
          <t xml:space="preserve">psc:1905</t>
        </is>
      </c>
    </row>
    <row r="578">
      <c r="B578" s="0" t="inlineStr">
        <is>
          <t xml:space="preserve">N3220521C4001</t>
        </is>
      </c>
      <c r="C578" s="0" t="inlineStr">
        <is>
          <t xml:space="preserve">broad_maritime</t>
        </is>
      </c>
      <c r="D578" s="4">
        <v>29.380578999999997</v>
      </c>
      <c r="E578" s="0" t="inlineStr">
        <is>
          <t xml:space="preserve">DETYENS SHIPYARDS INC</t>
        </is>
      </c>
      <c r="F578" s="0" t="inlineStr">
        <is>
          <t xml:space="preserve">naics:336611</t>
        </is>
      </c>
    </row>
    <row r="579">
      <c r="B579" s="0" t="inlineStr">
        <is>
          <t xml:space="preserve">N0002420F4205</t>
        </is>
      </c>
      <c r="C579" s="0" t="inlineStr">
        <is>
          <t xml:space="preserve">broad_maritime</t>
        </is>
      </c>
      <c r="D579" s="4">
        <v>29.337501</v>
      </c>
      <c r="E579" s="0" t="inlineStr">
        <is>
          <t xml:space="preserve">VSE CORPORATION</t>
        </is>
      </c>
      <c r="F579" s="0" t="inlineStr">
        <is>
          <t xml:space="preserve">naics:336611</t>
        </is>
      </c>
    </row>
    <row r="580">
      <c r="B580" s="0" t="inlineStr">
        <is>
          <t xml:space="preserve">N5005418F2018</t>
        </is>
      </c>
      <c r="C580" s="0" t="inlineStr">
        <is>
          <t xml:space="preserve">broad_maritime</t>
        </is>
      </c>
      <c r="D580" s="4">
        <v>29.3295876</v>
      </c>
      <c r="E580" s="0" t="inlineStr">
        <is>
          <t xml:space="preserve">IMIA, LLC</t>
        </is>
      </c>
      <c r="F580" s="0" t="inlineStr">
        <is>
          <t xml:space="preserve">naics:336611</t>
        </is>
      </c>
    </row>
    <row r="581">
      <c r="B581" s="0" t="inlineStr">
        <is>
          <t xml:space="preserve">N5005420FC041</t>
        </is>
      </c>
      <c r="C581" s="0" t="inlineStr">
        <is>
          <t xml:space="preserve">broad_maritime</t>
        </is>
      </c>
      <c r="D581" s="4">
        <v>29.267106</v>
      </c>
      <c r="E581" s="0" t="inlineStr">
        <is>
          <t xml:space="preserve">MARINE HYDRAULICS INTERNATIONAL, LLC</t>
        </is>
      </c>
      <c r="F581" s="0" t="inlineStr">
        <is>
          <t xml:space="preserve">naics:336611</t>
        </is>
      </c>
    </row>
    <row r="582">
      <c r="B582" s="0" t="inlineStr">
        <is>
          <t xml:space="preserve">N3225325F0020</t>
        </is>
      </c>
      <c r="C582" s="0" t="inlineStr">
        <is>
          <t xml:space="preserve">broad_maritime</t>
        </is>
      </c>
      <c r="D582" s="4">
        <v>29.2518702</v>
      </c>
      <c r="E582" s="0" t="inlineStr">
        <is>
          <t xml:space="preserve">PACIFIC SHIPYARDS INTERNATIONAL, LLC</t>
        </is>
      </c>
      <c r="F582" s="0" t="inlineStr">
        <is>
          <t xml:space="preserve">naics:336611</t>
        </is>
      </c>
    </row>
    <row r="583">
      <c r="B583" s="0" t="inlineStr">
        <is>
          <t xml:space="preserve">N5523625F5023</t>
        </is>
      </c>
      <c r="C583" s="0" t="inlineStr">
        <is>
          <t xml:space="preserve">broad_maritime</t>
        </is>
      </c>
      <c r="D583" s="4">
        <v>29.220918149999996</v>
      </c>
      <c r="E583" s="0" t="inlineStr">
        <is>
          <t xml:space="preserve">CONTINENTAL MARITIME OF SAN DIEGO, LLC</t>
        </is>
      </c>
      <c r="F583" s="0" t="inlineStr">
        <is>
          <t xml:space="preserve">naics:336611</t>
        </is>
      </c>
    </row>
    <row r="584">
      <c r="B584" s="0" t="inlineStr">
        <is>
          <t xml:space="preserve">N5523621F5286</t>
        </is>
      </c>
      <c r="C584" s="0" t="inlineStr">
        <is>
          <t xml:space="preserve">broad_maritime</t>
        </is>
      </c>
      <c r="D584" s="4">
        <v>29.009513639999998</v>
      </c>
      <c r="E584" s="0" t="inlineStr">
        <is>
          <t xml:space="preserve">CONTINENTAL MARITIME OF SAN DIEGO, LLC</t>
        </is>
      </c>
      <c r="F584" s="0" t="inlineStr">
        <is>
          <t xml:space="preserve">naics:336611</t>
        </is>
      </c>
    </row>
    <row r="585">
      <c r="B585" s="0" t="inlineStr">
        <is>
          <t xml:space="preserve">N0002421C4111</t>
        </is>
      </c>
      <c r="C585" s="0" t="inlineStr">
        <is>
          <t xml:space="preserve">broad_maritime</t>
        </is>
      </c>
      <c r="D585" s="4">
        <v>28.94406011</v>
      </c>
      <c r="E585" s="0" t="inlineStr">
        <is>
          <t xml:space="preserve">BIRD-JOHNSON PROPELLER COMPANY, LLC</t>
        </is>
      </c>
      <c r="F585" s="0" t="inlineStr">
        <is>
          <t xml:space="preserve">naics:336611</t>
        </is>
      </c>
    </row>
    <row r="586">
      <c r="B586" s="0" t="inlineStr">
        <is>
          <t xml:space="preserve">N3220519C4150</t>
        </is>
      </c>
      <c r="C586" s="0" t="inlineStr">
        <is>
          <t xml:space="preserve">broad_maritime</t>
        </is>
      </c>
      <c r="D586" s="4">
        <v>28.892500829999996</v>
      </c>
      <c r="E586" s="0" t="inlineStr">
        <is>
          <t xml:space="preserve">DETYENS SHIPYARDS INC</t>
        </is>
      </c>
      <c r="F586" s="0" t="inlineStr">
        <is>
          <t xml:space="preserve">naics:336611</t>
        </is>
      </c>
    </row>
    <row r="587">
      <c r="B587" s="0" t="inlineStr">
        <is>
          <t xml:space="preserve">N4523A21F0570</t>
        </is>
      </c>
      <c r="C587" s="0" t="inlineStr">
        <is>
          <t xml:space="preserve">broad_maritime</t>
        </is>
      </c>
      <c r="D587" s="4">
        <v>28.869928489999996</v>
      </c>
      <c r="E587" s="0" t="inlineStr">
        <is>
          <t xml:space="preserve">PACIFIC SHIP REPAIR &amp; FABRICATION INC</t>
        </is>
      </c>
      <c r="F587" s="0" t="inlineStr">
        <is>
          <t xml:space="preserve">naics:336611</t>
        </is>
      </c>
    </row>
    <row r="588">
      <c r="B588" s="0" t="inlineStr">
        <is>
          <t xml:space="preserve">N0002414C2406</t>
        </is>
      </c>
      <c r="C588" s="0" t="inlineStr">
        <is>
          <t xml:space="preserve">broad_maritime</t>
        </is>
      </c>
      <c r="D588" s="4">
        <v>28.746505829999997</v>
      </c>
      <c r="E588" s="0" t="inlineStr">
        <is>
          <t xml:space="preserve">L3HARRIS MARITIME SERVICES INC</t>
        </is>
      </c>
      <c r="F588" s="0" t="inlineStr">
        <is>
          <t xml:space="preserve">naics:336611; psc:1905</t>
        </is>
      </c>
    </row>
    <row r="589">
      <c r="B589" s="0" t="inlineStr">
        <is>
          <t xml:space="preserve">N6817126FT002</t>
        </is>
      </c>
      <c r="C589" s="0" t="inlineStr">
        <is>
          <t xml:space="preserve">broad_maritime</t>
        </is>
      </c>
      <c r="D589" s="4">
        <v>28.73518922</v>
      </c>
      <c r="E589" s="0" t="inlineStr">
        <is>
          <t xml:space="preserve">NAVANTIA, S.A., S.M.E.</t>
        </is>
      </c>
      <c r="F589" s="0" t="inlineStr">
        <is>
          <t xml:space="preserve">naics:336611</t>
        </is>
      </c>
    </row>
    <row r="590">
      <c r="B590" s="0" t="inlineStr">
        <is>
          <t xml:space="preserve">N5523625F5040</t>
        </is>
      </c>
      <c r="C590" s="0" t="inlineStr">
        <is>
          <t xml:space="preserve">broad_maritime</t>
        </is>
      </c>
      <c r="D590" s="4">
        <v>28.45089319</v>
      </c>
      <c r="E590" s="0" t="inlineStr">
        <is>
          <t xml:space="preserve">CONTINENTAL MARITIME OF SAN DIEGO, LLC</t>
        </is>
      </c>
      <c r="F590" s="0" t="inlineStr">
        <is>
          <t xml:space="preserve">naics:336611</t>
        </is>
      </c>
    </row>
    <row r="591">
      <c r="B591" s="0" t="inlineStr">
        <is>
          <t xml:space="preserve">N0002412C4320</t>
        </is>
      </c>
      <c r="C591" s="0" t="inlineStr">
        <is>
          <t xml:space="preserve">broad_maritime</t>
        </is>
      </c>
      <c r="D591" s="4">
        <v>28.397792</v>
      </c>
      <c r="E591" s="0" t="inlineStr">
        <is>
          <t xml:space="preserve">ELECTRIC BOAT CORPORATION</t>
        </is>
      </c>
      <c r="F591" s="0" t="inlineStr">
        <is>
          <t xml:space="preserve">naics:336611; psc:1905</t>
        </is>
      </c>
    </row>
    <row r="592">
      <c r="B592" s="0" t="inlineStr">
        <is>
          <t xml:space="preserve">N6133115C0025</t>
        </is>
      </c>
      <c r="C592" s="0" t="inlineStr">
        <is>
          <t xml:space="preserve">other_small</t>
        </is>
      </c>
      <c r="D592" s="4">
        <v>28.289504089999998</v>
      </c>
      <c r="E592" s="0" t="inlineStr">
        <is>
          <t xml:space="preserve">Y-TECH SERVICES, INC.</t>
        </is>
      </c>
      <c r="F592" s="0" t="inlineStr">
        <is>
          <t xml:space="preserve">psc:1990</t>
        </is>
      </c>
    </row>
    <row r="593">
      <c r="B593" s="0" t="inlineStr">
        <is>
          <t xml:space="preserve">N3220526C1222</t>
        </is>
      </c>
      <c r="C593" s="0" t="inlineStr">
        <is>
          <t xml:space="preserve">broad_maritime</t>
        </is>
      </c>
      <c r="D593" s="4">
        <v>28.193866999999997</v>
      </c>
      <c r="E593" s="0" t="inlineStr">
        <is>
          <t xml:space="preserve">DETYENS SHIPYARDS INC</t>
        </is>
      </c>
      <c r="F593" s="0" t="inlineStr">
        <is>
          <t xml:space="preserve">naics:336611</t>
        </is>
      </c>
    </row>
    <row r="594">
      <c r="B594" s="0" t="inlineStr">
        <is>
          <t xml:space="preserve">N6279320F2012</t>
        </is>
      </c>
      <c r="C594" s="0" t="inlineStr">
        <is>
          <t xml:space="preserve">broad_maritime</t>
        </is>
      </c>
      <c r="D594" s="4">
        <v>28.165723999999997</v>
      </c>
      <c r="E594" s="0" t="inlineStr">
        <is>
          <t xml:space="preserve">HUNTINGTON INGALLS INC</t>
        </is>
      </c>
      <c r="F594" s="0" t="inlineStr">
        <is>
          <t xml:space="preserve">naics:336611</t>
        </is>
      </c>
    </row>
    <row r="595">
      <c r="B595" s="0" t="inlineStr">
        <is>
          <t xml:space="preserve">N3220524C4226</t>
        </is>
      </c>
      <c r="C595" s="0" t="inlineStr">
        <is>
          <t xml:space="preserve">broad_maritime</t>
        </is>
      </c>
      <c r="D595" s="4">
        <v>28.128957829999997</v>
      </c>
      <c r="E595" s="0" t="inlineStr">
        <is>
          <t xml:space="preserve">VIGOR MARINE LLC</t>
        </is>
      </c>
      <c r="F595" s="0" t="inlineStr">
        <is>
          <t xml:space="preserve">naics:336611</t>
        </is>
      </c>
    </row>
    <row r="596">
      <c r="B596" s="0" t="inlineStr">
        <is>
          <t xml:space="preserve">N3220525C4153</t>
        </is>
      </c>
      <c r="C596" s="0" t="inlineStr">
        <is>
          <t xml:space="preserve">broad_maritime</t>
        </is>
      </c>
      <c r="D596" s="4">
        <v>28.127107</v>
      </c>
      <c r="E596" s="0" t="inlineStr">
        <is>
          <t xml:space="preserve">ALABAMA SHIPYARD LLC</t>
        </is>
      </c>
      <c r="F596" s="0" t="inlineStr">
        <is>
          <t xml:space="preserve">naics:336611</t>
        </is>
      </c>
    </row>
    <row r="597">
      <c r="B597" s="0" t="inlineStr">
        <is>
          <t xml:space="preserve">N3220524C4089</t>
        </is>
      </c>
      <c r="C597" s="0" t="inlineStr">
        <is>
          <t xml:space="preserve">broad_maritime</t>
        </is>
      </c>
      <c r="D597" s="4">
        <v>28.124060229999998</v>
      </c>
      <c r="E597" s="0" t="inlineStr">
        <is>
          <t xml:space="preserve">VIGOR MARINE LLC</t>
        </is>
      </c>
      <c r="F597" s="0" t="inlineStr">
        <is>
          <t xml:space="preserve">naics:336611</t>
        </is>
      </c>
    </row>
    <row r="598">
      <c r="B598" s="0" t="inlineStr">
        <is>
          <t xml:space="preserve">N3225320F0052</t>
        </is>
      </c>
      <c r="C598" s="0" t="inlineStr">
        <is>
          <t xml:space="preserve">broad_maritime</t>
        </is>
      </c>
      <c r="D598" s="4">
        <v>27.89968734</v>
      </c>
      <c r="E598" s="0" t="inlineStr">
        <is>
          <t xml:space="preserve">PACIFIC SHIPYARDS INTERNATIONAL, LLC</t>
        </is>
      </c>
      <c r="F598" s="0" t="inlineStr">
        <is>
          <t xml:space="preserve">naics:336611</t>
        </is>
      </c>
    </row>
    <row r="599">
      <c r="B599" s="0" t="inlineStr">
        <is>
          <t xml:space="preserve">N3220523C4084</t>
        </is>
      </c>
      <c r="C599" s="0" t="inlineStr">
        <is>
          <t xml:space="preserve">broad_maritime</t>
        </is>
      </c>
      <c r="D599" s="4">
        <v>27.710210999999997</v>
      </c>
      <c r="E599" s="0" t="inlineStr">
        <is>
          <t xml:space="preserve">ALABAMA SHIPYARD LLC</t>
        </is>
      </c>
      <c r="F599" s="0" t="inlineStr">
        <is>
          <t xml:space="preserve">naics:336611</t>
        </is>
      </c>
    </row>
    <row r="600">
      <c r="B600" s="0" t="inlineStr">
        <is>
          <t xml:space="preserve">N6931619F4000</t>
        </is>
      </c>
      <c r="C600" s="0" t="inlineStr">
        <is>
          <t xml:space="preserve">broad_maritime</t>
        </is>
      </c>
      <c r="D600" s="4">
        <v>27.706128999999997</v>
      </c>
      <c r="E600" s="0" t="inlineStr">
        <is>
          <t xml:space="preserve">AUSTAL USA, LLC</t>
        </is>
      </c>
      <c r="F600" s="0" t="inlineStr">
        <is>
          <t xml:space="preserve">naics:336611</t>
        </is>
      </c>
    </row>
    <row r="601">
      <c r="B601" s="0" t="inlineStr">
        <is>
          <t xml:space="preserve">N0002422C2449</t>
        </is>
      </c>
      <c r="C601" s="0" t="inlineStr">
        <is>
          <t xml:space="preserve">broad_maritime</t>
        </is>
      </c>
      <c r="D601" s="4">
        <v>27.586451999999998</v>
      </c>
      <c r="E601" s="0" t="inlineStr">
        <is>
          <t xml:space="preserve">SEEMANN COMPOSITES, LLC</t>
        </is>
      </c>
      <c r="F601" s="0" t="inlineStr">
        <is>
          <t xml:space="preserve">naics:336611; psc:1905</t>
        </is>
      </c>
    </row>
    <row r="602">
      <c r="B602" s="0" t="inlineStr">
        <is>
          <t xml:space="preserve">N0001419C1020</t>
        </is>
      </c>
      <c r="C602" s="0" t="inlineStr">
        <is>
          <t xml:space="preserve">usv_core</t>
        </is>
      </c>
      <c r="D602" s="4">
        <v>27.57282381</v>
      </c>
      <c r="E602" s="0" t="inlineStr">
        <is>
          <t xml:space="preserve">LEIDOS, INC.</t>
        </is>
      </c>
      <c r="F602" s="0" t="inlineStr">
        <is>
          <t xml:space="preserve">keyword</t>
        </is>
      </c>
    </row>
    <row r="603">
      <c r="B603" s="0" t="inlineStr">
        <is>
          <t xml:space="preserve">N3220525C4122</t>
        </is>
      </c>
      <c r="C603" s="0" t="inlineStr">
        <is>
          <t xml:space="preserve">broad_maritime</t>
        </is>
      </c>
      <c r="D603" s="4">
        <v>27.54348417</v>
      </c>
      <c r="E603" s="0" t="inlineStr">
        <is>
          <t xml:space="preserve">BAYONNE DRYDOCK &amp; REPAIR CORP.</t>
        </is>
      </c>
      <c r="F603" s="0" t="inlineStr">
        <is>
          <t xml:space="preserve">naics:336611</t>
        </is>
      </c>
    </row>
    <row r="604">
      <c r="B604" s="0" t="inlineStr">
        <is>
          <t xml:space="preserve">0004</t>
        </is>
      </c>
      <c r="C604" s="0" t="inlineStr">
        <is>
          <t xml:space="preserve">broad_maritime</t>
        </is>
      </c>
      <c r="D604" s="4">
        <v>27.520875999999998</v>
      </c>
      <c r="E604" s="0" t="inlineStr">
        <is>
          <t xml:space="preserve">ELECTRIC BOAT CORPORATION</t>
        </is>
      </c>
      <c r="F604" s="0" t="inlineStr">
        <is>
          <t xml:space="preserve">naics:336611</t>
        </is>
      </c>
    </row>
    <row r="605">
      <c r="B605" s="0" t="inlineStr">
        <is>
          <t xml:space="preserve">N4008522C0015</t>
        </is>
      </c>
      <c r="C605" s="0" t="inlineStr">
        <is>
          <t xml:space="preserve">broad_maritime</t>
        </is>
      </c>
      <c r="D605" s="4">
        <v>27.484402</v>
      </c>
      <c r="E605" s="0" t="inlineStr">
        <is>
          <t xml:space="preserve">COLONNA'S SHIP YARD, INCORPORATED</t>
        </is>
      </c>
      <c r="F605" s="0" t="inlineStr">
        <is>
          <t xml:space="preserve">naics:336611</t>
        </is>
      </c>
    </row>
    <row r="606">
      <c r="B606" s="0" t="inlineStr">
        <is>
          <t xml:space="preserve">N3220525C4144</t>
        </is>
      </c>
      <c r="C606" s="0" t="inlineStr">
        <is>
          <t xml:space="preserve">broad_maritime</t>
        </is>
      </c>
      <c r="D606" s="4">
        <v>27.446424999999998</v>
      </c>
      <c r="E606" s="0" t="inlineStr">
        <is>
          <t xml:space="preserve">DETYENS SHIPYARDS INC</t>
        </is>
      </c>
      <c r="F606" s="0" t="inlineStr">
        <is>
          <t xml:space="preserve">naics:336611</t>
        </is>
      </c>
    </row>
    <row r="607">
      <c r="B607" s="0" t="inlineStr">
        <is>
          <t xml:space="preserve">N4523A21F0303</t>
        </is>
      </c>
      <c r="C607" s="0" t="inlineStr">
        <is>
          <t xml:space="preserve">broad_maritime</t>
        </is>
      </c>
      <c r="D607" s="4">
        <v>27.293518969999997</v>
      </c>
      <c r="E607" s="0" t="inlineStr">
        <is>
          <t xml:space="preserve">METRO MACHINE CORP</t>
        </is>
      </c>
      <c r="F607" s="0" t="inlineStr">
        <is>
          <t xml:space="preserve">naics:336611</t>
        </is>
      </c>
    </row>
    <row r="608">
      <c r="B608" s="0" t="inlineStr">
        <is>
          <t xml:space="preserve">N6931619F4002</t>
        </is>
      </c>
      <c r="C608" s="0" t="inlineStr">
        <is>
          <t xml:space="preserve">broad_maritime</t>
        </is>
      </c>
      <c r="D608" s="4">
        <v>27.194015999999998</v>
      </c>
      <c r="E608" s="0" t="inlineStr">
        <is>
          <t xml:space="preserve">AUSTAL USA, LLC</t>
        </is>
      </c>
      <c r="F608" s="0" t="inlineStr">
        <is>
          <t xml:space="preserve">naics:336611</t>
        </is>
      </c>
    </row>
    <row r="609">
      <c r="B609" s="0" t="inlineStr">
        <is>
          <t xml:space="preserve">N6264925FL025</t>
        </is>
      </c>
      <c r="C609" s="0" t="inlineStr">
        <is>
          <t xml:space="preserve">broad_maritime</t>
        </is>
      </c>
      <c r="D609" s="4">
        <v>27.18304684</v>
      </c>
      <c r="E609" s="0" t="inlineStr">
        <is>
          <t xml:space="preserve">HANWHA OCEAN CO., LTD.</t>
        </is>
      </c>
      <c r="F609" s="0" t="inlineStr">
        <is>
          <t xml:space="preserve">naics:336611</t>
        </is>
      </c>
    </row>
    <row r="610">
      <c r="B610" s="0" t="inlineStr">
        <is>
          <t xml:space="preserve">N5523621F5287</t>
        </is>
      </c>
      <c r="C610" s="0" t="inlineStr">
        <is>
          <t xml:space="preserve">broad_maritime</t>
        </is>
      </c>
      <c r="D610" s="4">
        <v>27.150263499999998</v>
      </c>
      <c r="E610" s="0" t="inlineStr">
        <is>
          <t xml:space="preserve">CONTINENTAL MARITIME OF SAN DIEGO, LLC</t>
        </is>
      </c>
      <c r="F610" s="0" t="inlineStr">
        <is>
          <t xml:space="preserve">naics:336611</t>
        </is>
      </c>
    </row>
    <row r="611">
      <c r="B611" s="0" t="inlineStr">
        <is>
          <t xml:space="preserve">N3220519C4012</t>
        </is>
      </c>
      <c r="C611" s="0" t="inlineStr">
        <is>
          <t xml:space="preserve">broad_maritime</t>
        </is>
      </c>
      <c r="D611" s="4">
        <v>26.881937999999998</v>
      </c>
      <c r="E611" s="0" t="inlineStr">
        <is>
          <t xml:space="preserve">VIGOR MARINE LLC</t>
        </is>
      </c>
      <c r="F611" s="0" t="inlineStr">
        <is>
          <t xml:space="preserve">naics:336611</t>
        </is>
      </c>
    </row>
    <row r="612">
      <c r="B612" s="0" t="inlineStr">
        <is>
          <t xml:space="preserve">ER01</t>
        </is>
      </c>
      <c r="C612" s="0" t="inlineStr">
        <is>
          <t xml:space="preserve">broad_maritime</t>
        </is>
      </c>
      <c r="D612" s="4">
        <v>26.824941</v>
      </c>
      <c r="E612" s="0" t="inlineStr">
        <is>
          <t xml:space="preserve">LOCKHEED MARTIN CORPORATION</t>
        </is>
      </c>
      <c r="F612" s="0" t="inlineStr">
        <is>
          <t xml:space="preserve">naics:336611; psc:1905</t>
        </is>
      </c>
    </row>
    <row r="613">
      <c r="B613" s="0" t="inlineStr">
        <is>
          <t xml:space="preserve">N0018907CZ102</t>
        </is>
      </c>
      <c r="C613" s="0" t="inlineStr">
        <is>
          <t xml:space="preserve">broad_maritime</t>
        </is>
      </c>
      <c r="D613" s="4">
        <v>26.778404449999996</v>
      </c>
      <c r="E613" s="0" t="inlineStr">
        <is>
          <t xml:space="preserve">GEORGE G. SHARP, INC.</t>
        </is>
      </c>
      <c r="F613" s="0" t="inlineStr">
        <is>
          <t xml:space="preserve">naics:336611</t>
        </is>
      </c>
    </row>
    <row r="614">
      <c r="B614" s="0" t="inlineStr">
        <is>
          <t xml:space="preserve">0025</t>
        </is>
      </c>
      <c r="C614" s="0" t="inlineStr">
        <is>
          <t xml:space="preserve">broad_maritime</t>
        </is>
      </c>
      <c r="D614" s="4">
        <v>26.542396999999998</v>
      </c>
      <c r="E614" s="0" t="inlineStr">
        <is>
          <t xml:space="preserve">DELPHINUS ENGINEERING, INC.</t>
        </is>
      </c>
      <c r="F614" s="0" t="inlineStr">
        <is>
          <t xml:space="preserve">naics:336611</t>
        </is>
      </c>
    </row>
    <row r="615">
      <c r="B615" s="0" t="inlineStr">
        <is>
          <t xml:space="preserve">0015</t>
        </is>
      </c>
      <c r="C615" s="0" t="inlineStr">
        <is>
          <t xml:space="preserve">broad_maritime</t>
        </is>
      </c>
      <c r="D615" s="4">
        <v>26.487067</v>
      </c>
      <c r="E615" s="0" t="inlineStr">
        <is>
          <t xml:space="preserve">LOCKHEED MARTIN CORPORATION</t>
        </is>
      </c>
      <c r="F615" s="0" t="inlineStr">
        <is>
          <t xml:space="preserve">naics:336611</t>
        </is>
      </c>
    </row>
    <row r="616">
      <c r="B616" s="0" t="inlineStr">
        <is>
          <t xml:space="preserve">N5523620F8168</t>
        </is>
      </c>
      <c r="C616" s="0" t="inlineStr">
        <is>
          <t xml:space="preserve">broad_maritime</t>
        </is>
      </c>
      <c r="D616" s="4">
        <v>26.410010399999997</v>
      </c>
      <c r="E616" s="0" t="inlineStr">
        <is>
          <t xml:space="preserve">EPSILON SYSTEMS SOLUTIONS, INC.</t>
        </is>
      </c>
      <c r="F616" s="0" t="inlineStr">
        <is>
          <t xml:space="preserve">naics:336611</t>
        </is>
      </c>
    </row>
    <row r="617">
      <c r="B617" s="0" t="inlineStr">
        <is>
          <t xml:space="preserve">N0002419F4124</t>
        </is>
      </c>
      <c r="C617" s="0" t="inlineStr">
        <is>
          <t xml:space="preserve">broad_maritime</t>
        </is>
      </c>
      <c r="D617" s="4">
        <v>26.376678</v>
      </c>
      <c r="E617" s="0" t="inlineStr">
        <is>
          <t xml:space="preserve">GENERAL ELECTRIC COMPANY</t>
        </is>
      </c>
      <c r="F617" s="0" t="inlineStr">
        <is>
          <t xml:space="preserve">naics:336611</t>
        </is>
      </c>
    </row>
    <row r="618">
      <c r="B618" s="0" t="inlineStr">
        <is>
          <t xml:space="preserve">N6817122C0007</t>
        </is>
      </c>
      <c r="C618" s="0" t="inlineStr">
        <is>
          <t xml:space="preserve">broad_maritime</t>
        </is>
      </c>
      <c r="D618" s="4">
        <v>26.365667679999998</v>
      </c>
      <c r="E618" s="0" t="inlineStr">
        <is>
          <t xml:space="preserve">OFFICINE MECCANICHE NAVALI E FONDERIE SAN GIORGIO DEL PORTO S.P.A.</t>
        </is>
      </c>
      <c r="F618" s="0" t="inlineStr">
        <is>
          <t xml:space="preserve">naics:336611</t>
        </is>
      </c>
    </row>
    <row r="619">
      <c r="B619" s="0" t="inlineStr">
        <is>
          <t xml:space="preserve">N0002422C2201</t>
        </is>
      </c>
      <c r="C619" s="0" t="inlineStr">
        <is>
          <t xml:space="preserve">small_craft</t>
        </is>
      </c>
      <c r="D619" s="4">
        <v>26.357027</v>
      </c>
      <c r="E619" s="0" t="inlineStr">
        <is>
          <t xml:space="preserve">SWIFTSHIPS, LLC</t>
        </is>
      </c>
      <c r="F619" s="0" t="inlineStr">
        <is>
          <t xml:space="preserve">naics:336612; psc:1940</t>
        </is>
      </c>
    </row>
    <row r="620">
      <c r="B620" s="0" t="inlineStr">
        <is>
          <t xml:space="preserve">N3220520C4005</t>
        </is>
      </c>
      <c r="C620" s="0" t="inlineStr">
        <is>
          <t xml:space="preserve">broad_maritime</t>
        </is>
      </c>
      <c r="D620" s="4">
        <v>26.26917526</v>
      </c>
      <c r="E620" s="0" t="inlineStr">
        <is>
          <t xml:space="preserve">VIGOR MARINE LLC</t>
        </is>
      </c>
      <c r="F620" s="0" t="inlineStr">
        <is>
          <t xml:space="preserve">naics:336611</t>
        </is>
      </c>
    </row>
    <row r="621">
      <c r="B621" s="0" t="inlineStr">
        <is>
          <t xml:space="preserve">0001</t>
        </is>
      </c>
      <c r="C621" s="0" t="inlineStr">
        <is>
          <t xml:space="preserve">broad_maritime</t>
        </is>
      </c>
      <c r="D621" s="4">
        <v>26.204855</v>
      </c>
      <c r="E621" s="0" t="inlineStr">
        <is>
          <t xml:space="preserve">HUNTINGTON INGALLS INC</t>
        </is>
      </c>
      <c r="F621" s="0" t="inlineStr">
        <is>
          <t xml:space="preserve">naics:336611</t>
        </is>
      </c>
    </row>
    <row r="622">
      <c r="B622" s="0" t="inlineStr">
        <is>
          <t xml:space="preserve">N0016422CJQ86</t>
        </is>
      </c>
      <c r="C622" s="0" t="inlineStr">
        <is>
          <t xml:space="preserve">broad_maritime</t>
        </is>
      </c>
      <c r="D622" s="4">
        <v>26.17039634</v>
      </c>
      <c r="E622" s="0" t="inlineStr">
        <is>
          <t xml:space="preserve">PRISM MARITIME, INC.</t>
        </is>
      </c>
      <c r="F622" s="0" t="inlineStr">
        <is>
          <t xml:space="preserve">naics:336611</t>
        </is>
      </c>
    </row>
    <row r="623">
      <c r="B623" s="0" t="inlineStr">
        <is>
          <t xml:space="preserve">N5523618F4007</t>
        </is>
      </c>
      <c r="C623" s="0" t="inlineStr">
        <is>
          <t xml:space="preserve">broad_maritime</t>
        </is>
      </c>
      <c r="D623" s="4">
        <v>26.166363999999998</v>
      </c>
      <c r="E623" s="0" t="inlineStr">
        <is>
          <t xml:space="preserve">BAE SYSTEMS MARITIME SOLUTIONS SAN DIEGO INC.</t>
        </is>
      </c>
      <c r="F623" s="0" t="inlineStr">
        <is>
          <t xml:space="preserve">naics:336611</t>
        </is>
      </c>
    </row>
    <row r="624">
      <c r="B624" s="0" t="inlineStr">
        <is>
          <t xml:space="preserve">N6264925CL015</t>
        </is>
      </c>
      <c r="C624" s="0" t="inlineStr">
        <is>
          <t xml:space="preserve">broad_maritime</t>
        </is>
      </c>
      <c r="D624" s="4">
        <v>26.027459999999998</v>
      </c>
      <c r="E624" s="0" t="inlineStr">
        <is>
          <t xml:space="preserve">HANWHA OCEAN CO., LTD.</t>
        </is>
      </c>
      <c r="F624" s="0" t="inlineStr">
        <is>
          <t xml:space="preserve">naics:336611</t>
        </is>
      </c>
    </row>
    <row r="625">
      <c r="B625" s="0" t="inlineStr">
        <is>
          <t xml:space="preserve">N4034524F0559</t>
        </is>
      </c>
      <c r="C625" s="0" t="inlineStr">
        <is>
          <t xml:space="preserve">broad_maritime</t>
        </is>
      </c>
      <c r="D625" s="4">
        <v>26.02497332</v>
      </c>
      <c r="E625" s="0" t="inlineStr">
        <is>
          <t xml:space="preserve">HANWHA OCEAN CO., LTD.</t>
        </is>
      </c>
      <c r="F625" s="0" t="inlineStr">
        <is>
          <t xml:space="preserve">naics:336611</t>
        </is>
      </c>
    </row>
    <row r="626">
      <c r="B626" s="0" t="inlineStr">
        <is>
          <t xml:space="preserve">N0016725F1185</t>
        </is>
      </c>
      <c r="C626" s="0" t="inlineStr">
        <is>
          <t xml:space="preserve">broad_maritime</t>
        </is>
      </c>
      <c r="D626" s="4">
        <v>25.89174096</v>
      </c>
      <c r="E626" s="0" t="inlineStr">
        <is>
          <t xml:space="preserve">BAE SYSTEMS LAND &amp; ARMAMENTS L.P.</t>
        </is>
      </c>
      <c r="F626" s="0" t="inlineStr">
        <is>
          <t xml:space="preserve">naics:336611</t>
        </is>
      </c>
    </row>
    <row r="627">
      <c r="B627" s="0" t="inlineStr">
        <is>
          <t xml:space="preserve">N3220522C4066</t>
        </is>
      </c>
      <c r="C627" s="0" t="inlineStr">
        <is>
          <t xml:space="preserve">broad_maritime</t>
        </is>
      </c>
      <c r="D627" s="4">
        <v>25.837889</v>
      </c>
      <c r="E627" s="0" t="inlineStr">
        <is>
          <t xml:space="preserve">VIGOR MARINE LLC</t>
        </is>
      </c>
      <c r="F627" s="0" t="inlineStr">
        <is>
          <t xml:space="preserve">naics:336611</t>
        </is>
      </c>
    </row>
    <row r="628">
      <c r="B628" s="0" t="inlineStr">
        <is>
          <t xml:space="preserve">0124</t>
        </is>
      </c>
      <c r="C628" s="0" t="inlineStr">
        <is>
          <t xml:space="preserve">broad_maritime</t>
        </is>
      </c>
      <c r="D628" s="4">
        <v>25.802283</v>
      </c>
      <c r="E628" s="0" t="inlineStr">
        <is>
          <t xml:space="preserve">VSE CORPORATION</t>
        </is>
      </c>
      <c r="F628" s="0" t="inlineStr">
        <is>
          <t xml:space="preserve">naics:336611</t>
        </is>
      </c>
    </row>
    <row r="629">
      <c r="B629" s="0" t="inlineStr">
        <is>
          <t xml:space="preserve">N4002719F0028</t>
        </is>
      </c>
      <c r="C629" s="0" t="inlineStr">
        <is>
          <t xml:space="preserve">broad_maritime</t>
        </is>
      </c>
      <c r="D629" s="4">
        <v>25.701907</v>
      </c>
      <c r="E629" s="0" t="inlineStr">
        <is>
          <t xml:space="preserve">BAE SYSTEMS JACKSONVILLE SHIP REPAIR LLC</t>
        </is>
      </c>
      <c r="F629" s="0" t="inlineStr">
        <is>
          <t xml:space="preserve">naics:336611</t>
        </is>
      </c>
    </row>
    <row r="630">
      <c r="B630" s="0" t="inlineStr">
        <is>
          <t xml:space="preserve">N3220525C4113</t>
        </is>
      </c>
      <c r="C630" s="0" t="inlineStr">
        <is>
          <t xml:space="preserve">broad_maritime</t>
        </is>
      </c>
      <c r="D630" s="4">
        <v>25.524659999999997</v>
      </c>
      <c r="E630" s="0" t="inlineStr">
        <is>
          <t xml:space="preserve">DETYENS SHIPYARDS INC</t>
        </is>
      </c>
      <c r="F630" s="0" t="inlineStr">
        <is>
          <t xml:space="preserve">naics:336611</t>
        </is>
      </c>
    </row>
    <row r="631">
      <c r="B631" s="0" t="inlineStr">
        <is>
          <t xml:space="preserve">N3220523C4016</t>
        </is>
      </c>
      <c r="C631" s="0" t="inlineStr">
        <is>
          <t xml:space="preserve">broad_maritime</t>
        </is>
      </c>
      <c r="D631" s="4">
        <v>25.45441496</v>
      </c>
      <c r="E631" s="0" t="inlineStr">
        <is>
          <t xml:space="preserve">VIGOR MARINE LLC</t>
        </is>
      </c>
      <c r="F631" s="0" t="inlineStr">
        <is>
          <t xml:space="preserve">naics:336611</t>
        </is>
      </c>
    </row>
    <row r="632">
      <c r="B632" s="0" t="inlineStr">
        <is>
          <t xml:space="preserve">N4034524F0441</t>
        </is>
      </c>
      <c r="C632" s="0" t="inlineStr">
        <is>
          <t xml:space="preserve">broad_maritime</t>
        </is>
      </c>
      <c r="D632" s="4">
        <v>25.394323999999997</v>
      </c>
      <c r="E632" s="0" t="inlineStr">
        <is>
          <t xml:space="preserve">SEATRIUM REPAIRS &amp; UPGRADES PTE. LTD.</t>
        </is>
      </c>
      <c r="F632" s="0" t="inlineStr">
        <is>
          <t xml:space="preserve">naics:336611</t>
        </is>
      </c>
    </row>
    <row r="633">
      <c r="B633" s="0" t="inlineStr">
        <is>
          <t xml:space="preserve">N0002423F6311</t>
        </is>
      </c>
      <c r="C633" s="0" t="inlineStr">
        <is>
          <t xml:space="preserve">broad_maritime</t>
        </is>
      </c>
      <c r="D633" s="4">
        <v>25.2857088</v>
      </c>
      <c r="E633" s="0" t="inlineStr">
        <is>
          <t xml:space="preserve">OASIS SYSTEMS, LLC</t>
        </is>
      </c>
      <c r="F633" s="0" t="inlineStr">
        <is>
          <t xml:space="preserve">psc:1905</t>
        </is>
      </c>
    </row>
    <row r="634">
      <c r="B634" s="0" t="inlineStr">
        <is>
          <t xml:space="preserve">N6817125F6087</t>
        </is>
      </c>
      <c r="C634" s="0" t="inlineStr">
        <is>
          <t xml:space="preserve">broad_maritime</t>
        </is>
      </c>
      <c r="D634" s="4">
        <v>25.19279105</v>
      </c>
      <c r="E634" s="0" t="inlineStr">
        <is>
          <t xml:space="preserve">NAVANTIA, S.A., S.M.E.</t>
        </is>
      </c>
      <c r="F634" s="0" t="inlineStr">
        <is>
          <t xml:space="preserve">naics:336611</t>
        </is>
      </c>
    </row>
    <row r="635">
      <c r="B635" s="0" t="inlineStr">
        <is>
          <t xml:space="preserve">0209</t>
        </is>
      </c>
      <c r="C635" s="0" t="inlineStr">
        <is>
          <t xml:space="preserve">broad_maritime</t>
        </is>
      </c>
      <c r="D635" s="4">
        <v>25.177759</v>
      </c>
      <c r="E635" s="0" t="inlineStr">
        <is>
          <t xml:space="preserve">VSE CORPORATION</t>
        </is>
      </c>
      <c r="F635" s="0" t="inlineStr">
        <is>
          <t xml:space="preserve">naics:336611</t>
        </is>
      </c>
    </row>
    <row r="636">
      <c r="B636" s="0" t="inlineStr">
        <is>
          <t xml:space="preserve">N5523618F6016</t>
        </is>
      </c>
      <c r="C636" s="0" t="inlineStr">
        <is>
          <t xml:space="preserve">broad_maritime</t>
        </is>
      </c>
      <c r="D636" s="4">
        <v>24.963161</v>
      </c>
      <c r="E636" s="0" t="inlineStr">
        <is>
          <t xml:space="preserve">BAE SYSTEMS MARITIME SOLUTIONS SAN DIEGO INC.</t>
        </is>
      </c>
      <c r="F636" s="0" t="inlineStr">
        <is>
          <t xml:space="preserve">naics:336611</t>
        </is>
      </c>
    </row>
    <row r="637">
      <c r="B637" s="0" t="inlineStr">
        <is>
          <t xml:space="preserve">0196</t>
        </is>
      </c>
      <c r="C637" s="0" t="inlineStr">
        <is>
          <t xml:space="preserve">broad_maritime</t>
        </is>
      </c>
      <c r="D637" s="4">
        <v>24.906565</v>
      </c>
      <c r="E637" s="0" t="inlineStr">
        <is>
          <t xml:space="preserve">VSE CORPORATION</t>
        </is>
      </c>
      <c r="F637" s="0" t="inlineStr">
        <is>
          <t xml:space="preserve">naics:336611</t>
        </is>
      </c>
    </row>
    <row r="638">
      <c r="B638" s="0" t="inlineStr">
        <is>
          <t xml:space="preserve">N5523622F8346</t>
        </is>
      </c>
      <c r="C638" s="0" t="inlineStr">
        <is>
          <t xml:space="preserve">broad_maritime</t>
        </is>
      </c>
      <c r="D638" s="4">
        <v>24.901046049999998</v>
      </c>
      <c r="E638" s="0" t="inlineStr">
        <is>
          <t xml:space="preserve">EPSILON SYSTEMS SOLUTIONS, INC.</t>
        </is>
      </c>
      <c r="F638" s="0" t="inlineStr">
        <is>
          <t xml:space="preserve">naics:336611</t>
        </is>
      </c>
    </row>
    <row r="639">
      <c r="B639" s="0" t="inlineStr">
        <is>
          <t xml:space="preserve">N0016724C0014</t>
        </is>
      </c>
      <c r="C639" s="0" t="inlineStr">
        <is>
          <t xml:space="preserve">broad_maritime</t>
        </is>
      </c>
      <c r="D639" s="4">
        <v>24.847284</v>
      </c>
      <c r="E639" s="0" t="inlineStr">
        <is>
          <t xml:space="preserve">THE BOEING COMPANY</t>
        </is>
      </c>
      <c r="F639" s="0" t="inlineStr">
        <is>
          <t xml:space="preserve">naics:336611</t>
        </is>
      </c>
    </row>
    <row r="640">
      <c r="B640" s="0" t="inlineStr">
        <is>
          <t xml:space="preserve">0039</t>
        </is>
      </c>
      <c r="C640" s="0" t="inlineStr">
        <is>
          <t xml:space="preserve">broad_maritime</t>
        </is>
      </c>
      <c r="D640" s="4">
        <v>24.82940198</v>
      </c>
      <c r="E640" s="0" t="inlineStr">
        <is>
          <t xml:space="preserve">DELPHINUS ENGINEERING, INC.</t>
        </is>
      </c>
      <c r="F640" s="0" t="inlineStr">
        <is>
          <t xml:space="preserve">naics:336611</t>
        </is>
      </c>
    </row>
    <row r="641">
      <c r="B641" s="0" t="inlineStr">
        <is>
          <t xml:space="preserve">N5005420FC052</t>
        </is>
      </c>
      <c r="C641" s="0" t="inlineStr">
        <is>
          <t xml:space="preserve">broad_maritime</t>
        </is>
      </c>
      <c r="D641" s="4">
        <v>24.742137</v>
      </c>
      <c r="E641" s="0" t="inlineStr">
        <is>
          <t xml:space="preserve">MARINE HYDRAULICS INTERNATIONAL, LLC</t>
        </is>
      </c>
      <c r="F641" s="0" t="inlineStr">
        <is>
          <t xml:space="preserve">naics:336611</t>
        </is>
      </c>
    </row>
    <row r="642">
      <c r="B642" s="0" t="inlineStr">
        <is>
          <t xml:space="preserve">N5523623F9970</t>
        </is>
      </c>
      <c r="C642" s="0" t="inlineStr">
        <is>
          <t xml:space="preserve">broad_maritime</t>
        </is>
      </c>
      <c r="D642" s="4">
        <v>24.72972652</v>
      </c>
      <c r="E642" s="0" t="inlineStr">
        <is>
          <t xml:space="preserve">HII FLEET SUPPORT GROUP LLC</t>
        </is>
      </c>
      <c r="F642" s="0" t="inlineStr">
        <is>
          <t xml:space="preserve">naics:336611; psc:1905</t>
        </is>
      </c>
    </row>
    <row r="643">
      <c r="B643" s="0" t="inlineStr">
        <is>
          <t xml:space="preserve">N5523622F5314</t>
        </is>
      </c>
      <c r="C643" s="0" t="inlineStr">
        <is>
          <t xml:space="preserve">broad_maritime</t>
        </is>
      </c>
      <c r="D643" s="4">
        <v>24.641553879999996</v>
      </c>
      <c r="E643" s="0" t="inlineStr">
        <is>
          <t xml:space="preserve">BAE SYSTEMS MARITIME SOLUTIONS SAN DIEGO INC.</t>
        </is>
      </c>
      <c r="F643" s="0" t="inlineStr">
        <is>
          <t xml:space="preserve">naics:336611</t>
        </is>
      </c>
    </row>
    <row r="644">
      <c r="B644" s="0" t="inlineStr">
        <is>
          <t xml:space="preserve">N4523A18F0802</t>
        </is>
      </c>
      <c r="C644" s="0" t="inlineStr">
        <is>
          <t xml:space="preserve">broad_maritime</t>
        </is>
      </c>
      <c r="D644" s="4">
        <v>24.587177999999998</v>
      </c>
      <c r="E644" s="0" t="inlineStr">
        <is>
          <t xml:space="preserve">IMIA, LLC</t>
        </is>
      </c>
      <c r="F644" s="0" t="inlineStr">
        <is>
          <t xml:space="preserve">naics:336611</t>
        </is>
      </c>
    </row>
    <row r="645">
      <c r="B645" s="0" t="inlineStr">
        <is>
          <t xml:space="preserve">N6449821F3114</t>
        </is>
      </c>
      <c r="C645" s="0" t="inlineStr">
        <is>
          <t xml:space="preserve">broad_maritime</t>
        </is>
      </c>
      <c r="D645" s="4">
        <v>24.54487484</v>
      </c>
      <c r="E645" s="0" t="inlineStr">
        <is>
          <t xml:space="preserve">DELPHINUS ENGINEERING, INC.</t>
        </is>
      </c>
      <c r="F645" s="0" t="inlineStr">
        <is>
          <t xml:space="preserve">naics:336611</t>
        </is>
      </c>
    </row>
    <row r="646">
      <c r="B646" s="0" t="inlineStr">
        <is>
          <t xml:space="preserve">N3220525C4132</t>
        </is>
      </c>
      <c r="C646" s="0" t="inlineStr">
        <is>
          <t xml:space="preserve">broad_maritime</t>
        </is>
      </c>
      <c r="D646" s="4">
        <v>24.480658</v>
      </c>
      <c r="E646" s="0" t="inlineStr">
        <is>
          <t xml:space="preserve">DETYENS SHIPYARDS INC</t>
        </is>
      </c>
      <c r="F646" s="0" t="inlineStr">
        <is>
          <t xml:space="preserve">naics:336611</t>
        </is>
      </c>
    </row>
    <row r="647">
      <c r="B647" s="0" t="inlineStr">
        <is>
          <t xml:space="preserve">0001</t>
        </is>
      </c>
      <c r="C647" s="0" t="inlineStr">
        <is>
          <t xml:space="preserve">broad_maritime</t>
        </is>
      </c>
      <c r="D647" s="4">
        <v>24.47457927</v>
      </c>
      <c r="E647" s="0" t="inlineStr">
        <is>
          <t xml:space="preserve">QED SYSTEMS, INC.</t>
        </is>
      </c>
      <c r="F647" s="0" t="inlineStr">
        <is>
          <t xml:space="preserve">naics:336611</t>
        </is>
      </c>
    </row>
    <row r="648">
      <c r="B648" s="0" t="inlineStr">
        <is>
          <t xml:space="preserve">N6817122F6006</t>
        </is>
      </c>
      <c r="C648" s="0" t="inlineStr">
        <is>
          <t xml:space="preserve">broad_maritime</t>
        </is>
      </c>
      <c r="D648" s="4">
        <v>24.39191598</v>
      </c>
      <c r="E648" s="0" t="inlineStr">
        <is>
          <t xml:space="preserve">NAVANTIA, S.A., S.M.E.</t>
        </is>
      </c>
      <c r="F648" s="0" t="inlineStr">
        <is>
          <t xml:space="preserve">naics:336611</t>
        </is>
      </c>
    </row>
    <row r="649">
      <c r="B649" s="0" t="inlineStr">
        <is>
          <t xml:space="preserve">0006</t>
        </is>
      </c>
      <c r="C649" s="0" t="inlineStr">
        <is>
          <t xml:space="preserve">broad_maritime</t>
        </is>
      </c>
      <c r="D649" s="4">
        <v>24.37518462</v>
      </c>
      <c r="E649" s="0" t="inlineStr">
        <is>
          <t xml:space="preserve">QED SYSTEMS, INC.</t>
        </is>
      </c>
      <c r="F649" s="0" t="inlineStr">
        <is>
          <t xml:space="preserve">naics:336611</t>
        </is>
      </c>
    </row>
    <row r="650">
      <c r="B650" s="0" t="inlineStr">
        <is>
          <t xml:space="preserve">N3220523C4017</t>
        </is>
      </c>
      <c r="C650" s="0" t="inlineStr">
        <is>
          <t xml:space="preserve">broad_maritime</t>
        </is>
      </c>
      <c r="D650" s="4">
        <v>24.344171</v>
      </c>
      <c r="E650" s="0" t="inlineStr">
        <is>
          <t xml:space="preserve">DETYENS SHIPYARDS INC</t>
        </is>
      </c>
      <c r="F650" s="0" t="inlineStr">
        <is>
          <t xml:space="preserve">naics:336611</t>
        </is>
      </c>
    </row>
    <row r="651">
      <c r="B651" s="0" t="inlineStr">
        <is>
          <t xml:space="preserve">N3220514C5005</t>
        </is>
      </c>
      <c r="C651" s="0" t="inlineStr">
        <is>
          <t xml:space="preserve">broad_maritime</t>
        </is>
      </c>
      <c r="D651" s="4">
        <v>24.34287199</v>
      </c>
      <c r="E651" s="0" t="inlineStr">
        <is>
          <t xml:space="preserve">VIGOR MARINE LLC</t>
        </is>
      </c>
      <c r="F651" s="0" t="inlineStr">
        <is>
          <t xml:space="preserve">naics:336611</t>
        </is>
      </c>
    </row>
    <row r="652">
      <c r="B652" s="0" t="inlineStr">
        <is>
          <t xml:space="preserve">N4523A20F0553</t>
        </is>
      </c>
      <c r="C652" s="0" t="inlineStr">
        <is>
          <t xml:space="preserve">broad_maritime</t>
        </is>
      </c>
      <c r="D652" s="4">
        <v>24.338193429999997</v>
      </c>
      <c r="E652" s="0" t="inlineStr">
        <is>
          <t xml:space="preserve">METRO MACHINE CORP</t>
        </is>
      </c>
      <c r="F652" s="0" t="inlineStr">
        <is>
          <t xml:space="preserve">naics:336611</t>
        </is>
      </c>
    </row>
    <row r="653">
      <c r="B653" s="0" t="inlineStr">
        <is>
          <t xml:space="preserve">N5005420FC049</t>
        </is>
      </c>
      <c r="C653" s="0" t="inlineStr">
        <is>
          <t xml:space="preserve">broad_maritime</t>
        </is>
      </c>
      <c r="D653" s="4">
        <v>24.252883</v>
      </c>
      <c r="E653" s="0" t="inlineStr">
        <is>
          <t xml:space="preserve">METRO MACHINE CORP.</t>
        </is>
      </c>
      <c r="F653" s="0" t="inlineStr">
        <is>
          <t xml:space="preserve">naics:336611</t>
        </is>
      </c>
    </row>
    <row r="654">
      <c r="B654" s="0" t="inlineStr">
        <is>
          <t xml:space="preserve">ER04</t>
        </is>
      </c>
      <c r="C654" s="0" t="inlineStr">
        <is>
          <t xml:space="preserve">broad_maritime</t>
        </is>
      </c>
      <c r="D654" s="4">
        <v>24.175867</v>
      </c>
      <c r="E654" s="0" t="inlineStr">
        <is>
          <t xml:space="preserve">LOCKHEED MARTIN CORPORATION</t>
        </is>
      </c>
      <c r="F654" s="0" t="inlineStr">
        <is>
          <t xml:space="preserve">naics:336611; psc:1905</t>
        </is>
      </c>
    </row>
    <row r="655">
      <c r="B655" s="0" t="inlineStr">
        <is>
          <t xml:space="preserve">N3220522C4030</t>
        </is>
      </c>
      <c r="C655" s="0" t="inlineStr">
        <is>
          <t xml:space="preserve">broad_maritime</t>
        </is>
      </c>
      <c r="D655" s="4">
        <v>24.154149999999998</v>
      </c>
      <c r="E655" s="0" t="inlineStr">
        <is>
          <t xml:space="preserve">DETYENS SHIPYARDS INC</t>
        </is>
      </c>
      <c r="F655" s="0" t="inlineStr">
        <is>
          <t xml:space="preserve">naics:336611</t>
        </is>
      </c>
    </row>
    <row r="656">
      <c r="B656" s="0" t="inlineStr">
        <is>
          <t xml:space="preserve">N3220522C4211</t>
        </is>
      </c>
      <c r="C656" s="0" t="inlineStr">
        <is>
          <t xml:space="preserve">broad_maritime</t>
        </is>
      </c>
      <c r="D656" s="4">
        <v>24.147934</v>
      </c>
      <c r="E656" s="0" t="inlineStr">
        <is>
          <t xml:space="preserve">MARE ISLAND DRY DOCK LLC</t>
        </is>
      </c>
      <c r="F656" s="0" t="inlineStr">
        <is>
          <t xml:space="preserve">naics:336611</t>
        </is>
      </c>
    </row>
    <row r="657">
      <c r="B657" s="0" t="inlineStr">
        <is>
          <t xml:space="preserve">N4002720F0011</t>
        </is>
      </c>
      <c r="C657" s="0" t="inlineStr">
        <is>
          <t xml:space="preserve">broad_maritime</t>
        </is>
      </c>
      <c r="D657" s="4">
        <v>24.07345973</v>
      </c>
      <c r="E657" s="0" t="inlineStr">
        <is>
          <t xml:space="preserve">BAE SYSTEMS JACKSONVILLE SHIP REPAIR LLC</t>
        </is>
      </c>
      <c r="F657" s="0" t="inlineStr">
        <is>
          <t xml:space="preserve">naics:336611</t>
        </is>
      </c>
    </row>
    <row r="658">
      <c r="B658" s="0" t="inlineStr">
        <is>
          <t xml:space="preserve">0283</t>
        </is>
      </c>
      <c r="C658" s="0" t="inlineStr">
        <is>
          <t xml:space="preserve">broad_maritime</t>
        </is>
      </c>
      <c r="D658" s="4">
        <v>24.052871999999997</v>
      </c>
      <c r="E658" s="0" t="inlineStr">
        <is>
          <t xml:space="preserve">VSE CORPORATION</t>
        </is>
      </c>
      <c r="F658" s="0" t="inlineStr">
        <is>
          <t xml:space="preserve">naics:336611</t>
        </is>
      </c>
    </row>
    <row r="659">
      <c r="B659" s="0" t="inlineStr">
        <is>
          <t xml:space="preserve">N3220520C4038</t>
        </is>
      </c>
      <c r="C659" s="0" t="inlineStr">
        <is>
          <t xml:space="preserve">broad_maritime</t>
        </is>
      </c>
      <c r="D659" s="4">
        <v>24.012947999999998</v>
      </c>
      <c r="E659" s="0" t="inlineStr">
        <is>
          <t xml:space="preserve">ALABAMA SHIPYARD LLC</t>
        </is>
      </c>
      <c r="F659" s="0" t="inlineStr">
        <is>
          <t xml:space="preserve">naics:336611</t>
        </is>
      </c>
    </row>
    <row r="660">
      <c r="B660" s="0" t="inlineStr">
        <is>
          <t xml:space="preserve">N4523A17C0001</t>
        </is>
      </c>
      <c r="C660" s="0" t="inlineStr">
        <is>
          <t xml:space="preserve">broad_maritime</t>
        </is>
      </c>
      <c r="D660" s="4">
        <v>23.97116461</v>
      </c>
      <c r="E660" s="0" t="inlineStr">
        <is>
          <t xml:space="preserve">IMIA, LLC</t>
        </is>
      </c>
      <c r="F660" s="0" t="inlineStr">
        <is>
          <t xml:space="preserve">naics:336611</t>
        </is>
      </c>
    </row>
    <row r="661">
      <c r="B661" s="0" t="inlineStr">
        <is>
          <t xml:space="preserve">N3220523C4142</t>
        </is>
      </c>
      <c r="C661" s="0" t="inlineStr">
        <is>
          <t xml:space="preserve">broad_maritime</t>
        </is>
      </c>
      <c r="D661" s="4">
        <v>23.831538149999997</v>
      </c>
      <c r="E661" s="0" t="inlineStr">
        <is>
          <t xml:space="preserve">VIGOR MARINE LLC</t>
        </is>
      </c>
      <c r="F661" s="0" t="inlineStr">
        <is>
          <t xml:space="preserve">naics:336611</t>
        </is>
      </c>
    </row>
    <row r="662">
      <c r="B662" s="0" t="inlineStr">
        <is>
          <t xml:space="preserve">N3220525C4123</t>
        </is>
      </c>
      <c r="C662" s="0" t="inlineStr">
        <is>
          <t xml:space="preserve">broad_maritime</t>
        </is>
      </c>
      <c r="D662" s="4">
        <v>23.700765</v>
      </c>
      <c r="E662" s="0" t="inlineStr">
        <is>
          <t xml:space="preserve">DETYENS SHIPYARDS INC</t>
        </is>
      </c>
      <c r="F662" s="0" t="inlineStr">
        <is>
          <t xml:space="preserve">naics:336611</t>
        </is>
      </c>
    </row>
    <row r="663">
      <c r="B663" s="0" t="inlineStr">
        <is>
          <t xml:space="preserve">N5005420FC012</t>
        </is>
      </c>
      <c r="C663" s="0" t="inlineStr">
        <is>
          <t xml:space="preserve">broad_maritime</t>
        </is>
      </c>
      <c r="D663" s="4">
        <v>23.678682</v>
      </c>
      <c r="E663" s="0" t="inlineStr">
        <is>
          <t xml:space="preserve">MARINE HYDRAULICS INTERNATIONAL, LLC</t>
        </is>
      </c>
      <c r="F663" s="0" t="inlineStr">
        <is>
          <t xml:space="preserve">naics:336611</t>
        </is>
      </c>
    </row>
    <row r="664">
      <c r="B664" s="0" t="inlineStr">
        <is>
          <t xml:space="preserve">N0002416C4402</t>
        </is>
      </c>
      <c r="C664" s="0" t="inlineStr">
        <is>
          <t xml:space="preserve">broad_maritime</t>
        </is>
      </c>
      <c r="D664" s="4">
        <v>23.674819989999996</v>
      </c>
      <c r="E664" s="0" t="inlineStr">
        <is>
          <t xml:space="preserve">HUNTINGTON INGALLS INCORPORATED</t>
        </is>
      </c>
      <c r="F664" s="0" t="inlineStr">
        <is>
          <t xml:space="preserve">naics:336611</t>
        </is>
      </c>
    </row>
    <row r="665">
      <c r="B665" s="0" t="inlineStr">
        <is>
          <t xml:space="preserve">N0002419C2226</t>
        </is>
      </c>
      <c r="C665" s="0" t="inlineStr">
        <is>
          <t xml:space="preserve">small_craft</t>
        </is>
      </c>
      <c r="D665" s="4">
        <v>23.657005260000002</v>
      </c>
      <c r="E665" s="0" t="inlineStr">
        <is>
          <t xml:space="preserve">UNITED STATES MARINE INC</t>
        </is>
      </c>
      <c r="F665" s="0" t="inlineStr">
        <is>
          <t xml:space="preserve">naics:336611; psc:1940</t>
        </is>
      </c>
    </row>
    <row r="666">
      <c r="B666" s="0" t="inlineStr">
        <is>
          <t xml:space="preserve">N0002412C4305</t>
        </is>
      </c>
      <c r="C666" s="0" t="inlineStr">
        <is>
          <t xml:space="preserve">broad_maritime</t>
        </is>
      </c>
      <c r="D666" s="4">
        <v>23.646155999999998</v>
      </c>
      <c r="E666" s="0" t="inlineStr">
        <is>
          <t xml:space="preserve">ELECTRIC BOAT CORPORATION</t>
        </is>
      </c>
      <c r="F666" s="0" t="inlineStr">
        <is>
          <t xml:space="preserve">naics:336611; psc:1905</t>
        </is>
      </c>
    </row>
    <row r="667">
      <c r="B667" s="0" t="inlineStr">
        <is>
          <t xml:space="preserve">N3220523C4006</t>
        </is>
      </c>
      <c r="C667" s="0" t="inlineStr">
        <is>
          <t xml:space="preserve">broad_maritime</t>
        </is>
      </c>
      <c r="D667" s="4">
        <v>23.57159576</v>
      </c>
      <c r="E667" s="0" t="inlineStr">
        <is>
          <t xml:space="preserve">ALABAMA SHIPYARD LLC</t>
        </is>
      </c>
      <c r="F667" s="0" t="inlineStr">
        <is>
          <t xml:space="preserve">naics:336611</t>
        </is>
      </c>
    </row>
    <row r="668">
      <c r="B668" s="0" t="inlineStr">
        <is>
          <t xml:space="preserve">0002</t>
        </is>
      </c>
      <c r="C668" s="0" t="inlineStr">
        <is>
          <t xml:space="preserve">other_small</t>
        </is>
      </c>
      <c r="D668" s="4">
        <v>23.458599</v>
      </c>
      <c r="E668" s="0" t="inlineStr">
        <is>
          <t xml:space="preserve">LOCKHEED MARTIN CORPORATION</t>
        </is>
      </c>
      <c r="F668" s="0" t="inlineStr">
        <is>
          <t xml:space="preserve">naics:336611; psc:1990</t>
        </is>
      </c>
    </row>
    <row r="669">
      <c r="B669" s="0" t="inlineStr">
        <is>
          <t xml:space="preserve">N0002417C2310</t>
        </is>
      </c>
      <c r="C669" s="0" t="inlineStr">
        <is>
          <t xml:space="preserve">broad_maritime</t>
        </is>
      </c>
      <c r="D669" s="4">
        <v>23.433210329999998</v>
      </c>
      <c r="E669" s="0" t="inlineStr">
        <is>
          <t xml:space="preserve">BAE SYSTEMS MARITIME SOLUTIONS SAN DIEGO INC.</t>
        </is>
      </c>
      <c r="F669" s="0" t="inlineStr">
        <is>
          <t xml:space="preserve">naics:336611; psc:1905</t>
        </is>
      </c>
    </row>
    <row r="670">
      <c r="B670" s="0" t="inlineStr">
        <is>
          <t xml:space="preserve">N3220523C4003</t>
        </is>
      </c>
      <c r="C670" s="0" t="inlineStr">
        <is>
          <t xml:space="preserve">broad_maritime</t>
        </is>
      </c>
      <c r="D670" s="4">
        <v>23.36433369</v>
      </c>
      <c r="E670" s="0" t="inlineStr">
        <is>
          <t xml:space="preserve">VIGOR MARINE LLC</t>
        </is>
      </c>
      <c r="F670" s="0" t="inlineStr">
        <is>
          <t xml:space="preserve">naics:336611</t>
        </is>
      </c>
    </row>
    <row r="671">
      <c r="B671" s="0" t="inlineStr">
        <is>
          <t xml:space="preserve">N3220521C4128</t>
        </is>
      </c>
      <c r="C671" s="0" t="inlineStr">
        <is>
          <t xml:space="preserve">broad_maritime</t>
        </is>
      </c>
      <c r="D671" s="4">
        <v>23.363747999999998</v>
      </c>
      <c r="E671" s="0" t="inlineStr">
        <is>
          <t xml:space="preserve">ALABAMA SHIPYARD LLC</t>
        </is>
      </c>
      <c r="F671" s="0" t="inlineStr">
        <is>
          <t xml:space="preserve">naics:336611</t>
        </is>
      </c>
    </row>
    <row r="672">
      <c r="B672" s="0" t="inlineStr">
        <is>
          <t xml:space="preserve">N6279324F7804</t>
        </is>
      </c>
      <c r="C672" s="0" t="inlineStr">
        <is>
          <t xml:space="preserve">broad_maritime</t>
        </is>
      </c>
      <c r="D672" s="4">
        <v>23.338199</v>
      </c>
      <c r="E672" s="0" t="inlineStr">
        <is>
          <t xml:space="preserve">HUNTINGTON INGALLS INC</t>
        </is>
      </c>
      <c r="F672" s="0" t="inlineStr">
        <is>
          <t xml:space="preserve">naics:336611; psc:1905</t>
        </is>
      </c>
    </row>
    <row r="673">
      <c r="B673" s="0" t="inlineStr">
        <is>
          <t xml:space="preserve">0044</t>
        </is>
      </c>
      <c r="C673" s="0" t="inlineStr">
        <is>
          <t xml:space="preserve">broad_maritime</t>
        </is>
      </c>
      <c r="D673" s="4">
        <v>23.288577129999997</v>
      </c>
      <c r="E673" s="0" t="inlineStr">
        <is>
          <t xml:space="preserve">VSE CORPORATION</t>
        </is>
      </c>
      <c r="F673" s="0" t="inlineStr">
        <is>
          <t xml:space="preserve">naics:336611</t>
        </is>
      </c>
    </row>
    <row r="674">
      <c r="B674" s="0" t="inlineStr">
        <is>
          <t xml:space="preserve">N4523A19F0572</t>
        </is>
      </c>
      <c r="C674" s="0" t="inlineStr">
        <is>
          <t xml:space="preserve">broad_maritime</t>
        </is>
      </c>
      <c r="D674" s="4">
        <v>23.27053214</v>
      </c>
      <c r="E674" s="0" t="inlineStr">
        <is>
          <t xml:space="preserve">VIGOR MARINE LLC</t>
        </is>
      </c>
      <c r="F674" s="0" t="inlineStr">
        <is>
          <t xml:space="preserve">naics:336611</t>
        </is>
      </c>
    </row>
    <row r="675">
      <c r="B675" s="0" t="inlineStr">
        <is>
          <t xml:space="preserve">N5005420FC016</t>
        </is>
      </c>
      <c r="C675" s="0" t="inlineStr">
        <is>
          <t xml:space="preserve">broad_maritime</t>
        </is>
      </c>
      <c r="D675" s="4">
        <v>23.262038999999998</v>
      </c>
      <c r="E675" s="0" t="inlineStr">
        <is>
          <t xml:space="preserve">MARINE HYDRAULICS INTERNATIONAL, LLC</t>
        </is>
      </c>
      <c r="F675" s="0" t="inlineStr">
        <is>
          <t xml:space="preserve">naics:336611</t>
        </is>
      </c>
    </row>
    <row r="676">
      <c r="B676" s="0" t="inlineStr">
        <is>
          <t xml:space="preserve">N3220520C6012</t>
        </is>
      </c>
      <c r="C676" s="0" t="inlineStr">
        <is>
          <t xml:space="preserve">broad_maritime</t>
        </is>
      </c>
      <c r="D676" s="4">
        <v>23.12961119</v>
      </c>
      <c r="E676" s="0" t="inlineStr">
        <is>
          <t xml:space="preserve">DETYENS SHIPYARDS INC</t>
        </is>
      </c>
      <c r="F676" s="0" t="inlineStr">
        <is>
          <t xml:space="preserve">naics:336611</t>
        </is>
      </c>
    </row>
    <row r="677">
      <c r="B677" s="0" t="inlineStr">
        <is>
          <t xml:space="preserve">7F05</t>
        </is>
      </c>
      <c r="C677" s="0" t="inlineStr">
        <is>
          <t xml:space="preserve">broad_maritime</t>
        </is>
      </c>
      <c r="D677" s="4">
        <v>23.097503</v>
      </c>
      <c r="E677" s="0" t="inlineStr">
        <is>
          <t xml:space="preserve">AUSTAL USA, LLC</t>
        </is>
      </c>
      <c r="F677" s="0" t="inlineStr">
        <is>
          <t xml:space="preserve">naics:336611; psc:1905</t>
        </is>
      </c>
    </row>
    <row r="678">
      <c r="B678" s="0" t="inlineStr">
        <is>
          <t xml:space="preserve">N6817123F6153</t>
        </is>
      </c>
      <c r="C678" s="0" t="inlineStr">
        <is>
          <t xml:space="preserve">broad_maritime</t>
        </is>
      </c>
      <c r="D678" s="4">
        <v>23.064098579999996</v>
      </c>
      <c r="E678" s="0" t="inlineStr">
        <is>
          <t xml:space="preserve">NAVANTIA, S.A., S.M.E.</t>
        </is>
      </c>
      <c r="F678" s="0" t="inlineStr">
        <is>
          <t xml:space="preserve">naics:336611</t>
        </is>
      </c>
    </row>
    <row r="679">
      <c r="B679" s="0" t="inlineStr">
        <is>
          <t xml:space="preserve">N4034521F0007</t>
        </is>
      </c>
      <c r="C679" s="0" t="inlineStr">
        <is>
          <t xml:space="preserve">broad_maritime</t>
        </is>
      </c>
      <c r="D679" s="4">
        <v>23.008614429999998</v>
      </c>
      <c r="E679" s="0" t="inlineStr">
        <is>
          <t xml:space="preserve">MITSUBISHI HEAVY INDUSTRIES, LTD</t>
        </is>
      </c>
      <c r="F679" s="0" t="inlineStr">
        <is>
          <t xml:space="preserve">naics:336611</t>
        </is>
      </c>
    </row>
    <row r="680">
      <c r="B680" s="0" t="inlineStr">
        <is>
          <t xml:space="preserve">N0002418C2327</t>
        </is>
      </c>
      <c r="C680" s="0" t="inlineStr">
        <is>
          <t xml:space="preserve">broad_maritime</t>
        </is>
      </c>
      <c r="D680" s="4">
        <v>22.997329999999998</v>
      </c>
      <c r="E680" s="0" t="inlineStr">
        <is>
          <t xml:space="preserve">HUNTINGTON INGALLS INCORPORATED</t>
        </is>
      </c>
      <c r="F680" s="0" t="inlineStr">
        <is>
          <t xml:space="preserve">naics:336611; psc:1905</t>
        </is>
      </c>
    </row>
    <row r="681">
      <c r="B681" s="0" t="inlineStr">
        <is>
          <t xml:space="preserve">N0016723F0083</t>
        </is>
      </c>
      <c r="C681" s="0" t="inlineStr">
        <is>
          <t xml:space="preserve">broad_maritime</t>
        </is>
      </c>
      <c r="D681" s="4">
        <v>22.99381619</v>
      </c>
      <c r="E681" s="0" t="inlineStr">
        <is>
          <t xml:space="preserve">BAE SYSTEMS LAND &amp; ARMAMENTS L.P.</t>
        </is>
      </c>
      <c r="F681" s="0" t="inlineStr">
        <is>
          <t xml:space="preserve">naics:336611</t>
        </is>
      </c>
    </row>
    <row r="682">
      <c r="B682" s="0" t="inlineStr">
        <is>
          <t xml:space="preserve">0002</t>
        </is>
      </c>
      <c r="C682" s="0" t="inlineStr">
        <is>
          <t xml:space="preserve">broad_maritime</t>
        </is>
      </c>
      <c r="D682" s="4">
        <v>22.985568</v>
      </c>
      <c r="E682" s="0" t="inlineStr">
        <is>
          <t xml:space="preserve">BAE SYSTEMS MARITIME SOLUTIONS SAN DIEGO INC.</t>
        </is>
      </c>
      <c r="F682" s="0" t="inlineStr">
        <is>
          <t xml:space="preserve">naics:336611</t>
        </is>
      </c>
    </row>
    <row r="683">
      <c r="B683" s="0" t="inlineStr">
        <is>
          <t xml:space="preserve">N0002418C2328</t>
        </is>
      </c>
      <c r="C683" s="0" t="inlineStr">
        <is>
          <t xml:space="preserve">broad_maritime</t>
        </is>
      </c>
      <c r="D683" s="4">
        <v>22.977617</v>
      </c>
      <c r="E683" s="0" t="inlineStr">
        <is>
          <t xml:space="preserve">MARINETTE MARINE CORPORATION</t>
        </is>
      </c>
      <c r="F683" s="0" t="inlineStr">
        <is>
          <t xml:space="preserve">naics:336611; psc:1905</t>
        </is>
      </c>
    </row>
    <row r="684">
      <c r="B684" s="0" t="inlineStr">
        <is>
          <t xml:space="preserve">N6279320F2018</t>
        </is>
      </c>
      <c r="C684" s="0" t="inlineStr">
        <is>
          <t xml:space="preserve">broad_maritime</t>
        </is>
      </c>
      <c r="D684" s="4">
        <v>22.97456417</v>
      </c>
      <c r="E684" s="0" t="inlineStr">
        <is>
          <t xml:space="preserve">HUNTINGTON INGALLS INC</t>
        </is>
      </c>
      <c r="F684" s="0" t="inlineStr">
        <is>
          <t xml:space="preserve">naics:336611</t>
        </is>
      </c>
    </row>
    <row r="685">
      <c r="B685" s="0" t="inlineStr">
        <is>
          <t xml:space="preserve">N6278620F0013</t>
        </is>
      </c>
      <c r="C685" s="0" t="inlineStr">
        <is>
          <t xml:space="preserve">broad_maritime</t>
        </is>
      </c>
      <c r="D685" s="4">
        <v>22.934518999999998</v>
      </c>
      <c r="E685" s="0" t="inlineStr">
        <is>
          <t xml:space="preserve">LOCKHEED MARTIN CORPORATION</t>
        </is>
      </c>
      <c r="F685" s="0" t="inlineStr">
        <is>
          <t xml:space="preserve">naics:336611; psc:1905</t>
        </is>
      </c>
    </row>
    <row r="686">
      <c r="B686" s="0" t="inlineStr">
        <is>
          <t xml:space="preserve">N0002411C2103</t>
        </is>
      </c>
      <c r="C686" s="0" t="inlineStr">
        <is>
          <t xml:space="preserve">broad_maritime</t>
        </is>
      </c>
      <c r="D686" s="4">
        <v>22.923847979999998</v>
      </c>
      <c r="E686" s="0" t="inlineStr">
        <is>
          <t xml:space="preserve">HUNTINGTON INGALLS INC</t>
        </is>
      </c>
      <c r="F686" s="0" t="inlineStr">
        <is>
          <t xml:space="preserve">psc:1905</t>
        </is>
      </c>
    </row>
    <row r="687">
      <c r="B687" s="0" t="inlineStr">
        <is>
          <t xml:space="preserve">N0002418C2326</t>
        </is>
      </c>
      <c r="C687" s="0" t="inlineStr">
        <is>
          <t xml:space="preserve">broad_maritime</t>
        </is>
      </c>
      <c r="D687" s="4">
        <v>22.9</v>
      </c>
      <c r="E687" s="0" t="inlineStr">
        <is>
          <t xml:space="preserve">BATH IRON WORKS CORPORATION</t>
        </is>
      </c>
      <c r="F687" s="0" t="inlineStr">
        <is>
          <t xml:space="preserve">naics:336611; psc:1905</t>
        </is>
      </c>
    </row>
    <row r="688">
      <c r="B688" s="0" t="inlineStr">
        <is>
          <t xml:space="preserve">N3220519C6006</t>
        </is>
      </c>
      <c r="C688" s="0" t="inlineStr">
        <is>
          <t xml:space="preserve">broad_maritime</t>
        </is>
      </c>
      <c r="D688" s="4">
        <v>22.892955</v>
      </c>
      <c r="E688" s="0" t="inlineStr">
        <is>
          <t xml:space="preserve">DETYENS SHIPYARDS INC</t>
        </is>
      </c>
      <c r="F688" s="0" t="inlineStr">
        <is>
          <t xml:space="preserve">naics:336611</t>
        </is>
      </c>
    </row>
    <row r="689">
      <c r="B689" s="0" t="inlineStr">
        <is>
          <t xml:space="preserve">N0002425C2301</t>
        </is>
      </c>
      <c r="C689" s="0" t="inlineStr">
        <is>
          <t xml:space="preserve">broad_maritime</t>
        </is>
      </c>
      <c r="D689" s="4">
        <v>22.820719999999998</v>
      </c>
      <c r="E689" s="0" t="inlineStr">
        <is>
          <t xml:space="preserve">BAE SYSTEMS MARITIME SOLUTIONS NORFOLK INC.</t>
        </is>
      </c>
      <c r="F689" s="0" t="inlineStr">
        <is>
          <t xml:space="preserve">naics:336611; psc:1905</t>
        </is>
      </c>
    </row>
    <row r="690">
      <c r="B690" s="0" t="inlineStr">
        <is>
          <t xml:space="preserve">N4034524F0012</t>
        </is>
      </c>
      <c r="C690" s="0" t="inlineStr">
        <is>
          <t xml:space="preserve">broad_maritime</t>
        </is>
      </c>
      <c r="D690" s="4">
        <v>22.785072</v>
      </c>
      <c r="E690" s="0" t="inlineStr">
        <is>
          <t xml:space="preserve">SEATRIUM REPAIRS &amp; UPGRADES PTE. LTD.</t>
        </is>
      </c>
      <c r="F690" s="0" t="inlineStr">
        <is>
          <t xml:space="preserve">naics:336611</t>
        </is>
      </c>
    </row>
    <row r="691">
      <c r="B691" s="0" t="inlineStr">
        <is>
          <t xml:space="preserve">N4002714C0015</t>
        </is>
      </c>
      <c r="C691" s="0" t="inlineStr">
        <is>
          <t xml:space="preserve">broad_maritime</t>
        </is>
      </c>
      <c r="D691" s="4">
        <v>22.74916</v>
      </c>
      <c r="E691" s="0" t="inlineStr">
        <is>
          <t xml:space="preserve">METRO MACHINE CORP</t>
        </is>
      </c>
      <c r="F691" s="0" t="inlineStr">
        <is>
          <t xml:space="preserve">naics:336611</t>
        </is>
      </c>
    </row>
    <row r="692">
      <c r="B692" s="0" t="inlineStr">
        <is>
          <t xml:space="preserve">N3220525C4014</t>
        </is>
      </c>
      <c r="C692" s="0" t="inlineStr">
        <is>
          <t xml:space="preserve">broad_maritime</t>
        </is>
      </c>
      <c r="D692" s="4">
        <v>22.734274</v>
      </c>
      <c r="E692" s="0" t="inlineStr">
        <is>
          <t xml:space="preserve">ALABAMA SHIPYARD LLC</t>
        </is>
      </c>
      <c r="F692" s="0" t="inlineStr">
        <is>
          <t xml:space="preserve">naics:336611</t>
        </is>
      </c>
    </row>
    <row r="693">
      <c r="B693" s="0" t="inlineStr">
        <is>
          <t xml:space="preserve">N3220524C4007</t>
        </is>
      </c>
      <c r="C693" s="0" t="inlineStr">
        <is>
          <t xml:space="preserve">broad_maritime</t>
        </is>
      </c>
      <c r="D693" s="4">
        <v>22.67672864</v>
      </c>
      <c r="E693" s="0" t="inlineStr">
        <is>
          <t xml:space="preserve">VIGOR MARINE LLC</t>
        </is>
      </c>
      <c r="F693" s="0" t="inlineStr">
        <is>
          <t xml:space="preserve">naics:336611</t>
        </is>
      </c>
    </row>
    <row r="694">
      <c r="B694" s="0" t="inlineStr">
        <is>
          <t xml:space="preserve">N3220515C5000</t>
        </is>
      </c>
      <c r="C694" s="0" t="inlineStr">
        <is>
          <t xml:space="preserve">broad_maritime</t>
        </is>
      </c>
      <c r="D694" s="4">
        <v>22.634522999999998</v>
      </c>
      <c r="E694" s="0" t="inlineStr">
        <is>
          <t xml:space="preserve">VIGOR MARINE LLC</t>
        </is>
      </c>
      <c r="F694" s="0" t="inlineStr">
        <is>
          <t xml:space="preserve">naics:336611</t>
        </is>
      </c>
    </row>
    <row r="695">
      <c r="B695" s="0" t="inlineStr">
        <is>
          <t xml:space="preserve">4T45</t>
        </is>
      </c>
      <c r="C695" s="0" t="inlineStr">
        <is>
          <t xml:space="preserve">broad_maritime</t>
        </is>
      </c>
      <c r="D695" s="4">
        <v>22.4639</v>
      </c>
      <c r="E695" s="0" t="inlineStr">
        <is>
          <t xml:space="preserve">HUNTINGTON INGALLS INC</t>
        </is>
      </c>
      <c r="F695" s="0" t="inlineStr">
        <is>
          <t xml:space="preserve">naics:336611</t>
        </is>
      </c>
    </row>
    <row r="696">
      <c r="B696" s="0" t="inlineStr">
        <is>
          <t xml:space="preserve">N3220521C4014</t>
        </is>
      </c>
      <c r="C696" s="0" t="inlineStr">
        <is>
          <t xml:space="preserve">broad_maritime</t>
        </is>
      </c>
      <c r="D696" s="4">
        <v>22.41175803</v>
      </c>
      <c r="E696" s="0" t="inlineStr">
        <is>
          <t xml:space="preserve">VIGOR MARINE LLC</t>
        </is>
      </c>
      <c r="F696" s="0" t="inlineStr">
        <is>
          <t xml:space="preserve">naics:336611</t>
        </is>
      </c>
    </row>
    <row r="697">
      <c r="B697" s="0" t="inlineStr">
        <is>
          <t xml:space="preserve">N6264926CL001</t>
        </is>
      </c>
      <c r="C697" s="0" t="inlineStr">
        <is>
          <t xml:space="preserve">broad_maritime</t>
        </is>
      </c>
      <c r="D697" s="4">
        <v>22.406081999999998</v>
      </c>
      <c r="E697" s="0" t="inlineStr">
        <is>
          <t xml:space="preserve">SEATRIUM REPAIRS &amp; UPGRADES PTE. LTD.</t>
        </is>
      </c>
      <c r="F697" s="0" t="inlineStr">
        <is>
          <t xml:space="preserve">naics:336611</t>
        </is>
      </c>
    </row>
    <row r="698">
      <c r="B698" s="0" t="inlineStr">
        <is>
          <t xml:space="preserve">N6817123F6015</t>
        </is>
      </c>
      <c r="C698" s="0" t="inlineStr">
        <is>
          <t xml:space="preserve">broad_maritime</t>
        </is>
      </c>
      <c r="D698" s="4">
        <v>22.33894101</v>
      </c>
      <c r="E698" s="0" t="inlineStr">
        <is>
          <t xml:space="preserve">NAVANTIA, S.A., S.M.E.</t>
        </is>
      </c>
      <c r="F698" s="0" t="inlineStr">
        <is>
          <t xml:space="preserve">naics:336611</t>
        </is>
      </c>
    </row>
    <row r="699">
      <c r="B699" s="0" t="inlineStr">
        <is>
          <t xml:space="preserve">N3220524C4221</t>
        </is>
      </c>
      <c r="C699" s="0" t="inlineStr">
        <is>
          <t xml:space="preserve">broad_maritime</t>
        </is>
      </c>
      <c r="D699" s="4">
        <v>22.302329699999998</v>
      </c>
      <c r="E699" s="0" t="inlineStr">
        <is>
          <t xml:space="preserve">DETYENS SHIPYARDS INC</t>
        </is>
      </c>
      <c r="F699" s="0" t="inlineStr">
        <is>
          <t xml:space="preserve">naics:336611</t>
        </is>
      </c>
    </row>
    <row r="700">
      <c r="B700" s="0" t="inlineStr">
        <is>
          <t xml:space="preserve">N5523620F6016</t>
        </is>
      </c>
      <c r="C700" s="0" t="inlineStr">
        <is>
          <t xml:space="preserve">broad_maritime</t>
        </is>
      </c>
      <c r="D700" s="4">
        <v>22.269907999999997</v>
      </c>
      <c r="E700" s="0" t="inlineStr">
        <is>
          <t xml:space="preserve">BAE SYSTEMS MARITIME SOLUTIONS SAN DIEGO INC.</t>
        </is>
      </c>
      <c r="F700" s="0" t="inlineStr">
        <is>
          <t xml:space="preserve">naics:336611</t>
        </is>
      </c>
    </row>
    <row r="701">
      <c r="B701" s="0" t="inlineStr">
        <is>
          <t xml:space="preserve">N0002411C4300</t>
        </is>
      </c>
      <c r="C701" s="0" t="inlineStr">
        <is>
          <t xml:space="preserve">broad_maritime</t>
        </is>
      </c>
      <c r="D701" s="4">
        <v>22.25730078</v>
      </c>
      <c r="E701" s="0" t="inlineStr">
        <is>
          <t xml:space="preserve">HUNTINGTON INGALLS INC</t>
        </is>
      </c>
      <c r="F701" s="0" t="inlineStr">
        <is>
          <t xml:space="preserve">naics:336611</t>
        </is>
      </c>
    </row>
    <row r="702">
      <c r="B702" s="0" t="inlineStr">
        <is>
          <t xml:space="preserve">N3220524C4094</t>
        </is>
      </c>
      <c r="C702" s="0" t="inlineStr">
        <is>
          <t xml:space="preserve">broad_maritime</t>
        </is>
      </c>
      <c r="D702" s="4">
        <v>22.160249999999998</v>
      </c>
      <c r="E702" s="0" t="inlineStr">
        <is>
          <t xml:space="preserve">DETYENS SHIPYARDS INC</t>
        </is>
      </c>
      <c r="F702" s="0" t="inlineStr">
        <is>
          <t xml:space="preserve">naics:336611</t>
        </is>
      </c>
    </row>
    <row r="703">
      <c r="B703" s="0" t="inlineStr">
        <is>
          <t xml:space="preserve">N3220519C4007</t>
        </is>
      </c>
      <c r="C703" s="0" t="inlineStr">
        <is>
          <t xml:space="preserve">broad_maritime</t>
        </is>
      </c>
      <c r="D703" s="4">
        <v>22.11701</v>
      </c>
      <c r="E703" s="0" t="inlineStr">
        <is>
          <t xml:space="preserve">DETYENS SHIPYARDS INC</t>
        </is>
      </c>
      <c r="F703" s="0" t="inlineStr">
        <is>
          <t xml:space="preserve">naics:336611</t>
        </is>
      </c>
    </row>
    <row r="704">
      <c r="B704" s="0" t="inlineStr">
        <is>
          <t xml:space="preserve">0002</t>
        </is>
      </c>
      <c r="C704" s="0" t="inlineStr">
        <is>
          <t xml:space="preserve">broad_maritime</t>
        </is>
      </c>
      <c r="D704" s="4">
        <v>22.084978649999996</v>
      </c>
      <c r="E704" s="0" t="inlineStr">
        <is>
          <t xml:space="preserve">HII SAN DIEGO SHIPYARD INC.</t>
        </is>
      </c>
      <c r="F704" s="0" t="inlineStr">
        <is>
          <t xml:space="preserve">naics:336611</t>
        </is>
      </c>
    </row>
    <row r="705">
      <c r="B705" s="0" t="inlineStr">
        <is>
          <t xml:space="preserve">N3220521C4015</t>
        </is>
      </c>
      <c r="C705" s="0" t="inlineStr">
        <is>
          <t xml:space="preserve">broad_maritime</t>
        </is>
      </c>
      <c r="D705" s="4">
        <v>21.97615542</v>
      </c>
      <c r="E705" s="0" t="inlineStr">
        <is>
          <t xml:space="preserve">DETYENS SHIPYARDS INC</t>
        </is>
      </c>
      <c r="F705" s="0" t="inlineStr">
        <is>
          <t xml:space="preserve">naics:336611</t>
        </is>
      </c>
    </row>
    <row r="706">
      <c r="B706" s="0" t="inlineStr">
        <is>
          <t xml:space="preserve">N0002418C2329</t>
        </is>
      </c>
      <c r="C706" s="0" t="inlineStr">
        <is>
          <t xml:space="preserve">broad_maritime</t>
        </is>
      </c>
      <c r="D706" s="4">
        <v>21.97263</v>
      </c>
      <c r="E706" s="0" t="inlineStr">
        <is>
          <t xml:space="preserve">LOCKHEED MARTIN CORPORATION</t>
        </is>
      </c>
      <c r="F706" s="0" t="inlineStr">
        <is>
          <t xml:space="preserve">naics:336611; psc:1905</t>
        </is>
      </c>
    </row>
    <row r="707">
      <c r="B707" s="0" t="inlineStr">
        <is>
          <t xml:space="preserve">N5005424FC006</t>
        </is>
      </c>
      <c r="C707" s="0" t="inlineStr">
        <is>
          <t xml:space="preserve">broad_maritime</t>
        </is>
      </c>
      <c r="D707" s="4">
        <v>21.95093507</v>
      </c>
      <c r="E707" s="0" t="inlineStr">
        <is>
          <t xml:space="preserve">EAST COAST REPAIR &amp; FABRICATION, LLC</t>
        </is>
      </c>
      <c r="F707" s="0" t="inlineStr">
        <is>
          <t xml:space="preserve">naics:336611</t>
        </is>
      </c>
    </row>
    <row r="708">
      <c r="B708" s="0" t="inlineStr">
        <is>
          <t xml:space="preserve">N5005412C1203</t>
        </is>
      </c>
      <c r="C708" s="0" t="inlineStr">
        <is>
          <t xml:space="preserve">broad_maritime</t>
        </is>
      </c>
      <c r="D708" s="4">
        <v>21.95075502</v>
      </c>
      <c r="E708" s="0" t="inlineStr">
        <is>
          <t xml:space="preserve">MHI/TECNICO JV</t>
        </is>
      </c>
      <c r="F708" s="0" t="inlineStr">
        <is>
          <t xml:space="preserve">naics:336611</t>
        </is>
      </c>
    </row>
    <row r="709">
      <c r="B709" s="0" t="inlineStr">
        <is>
          <t xml:space="preserve">N4002724F0059</t>
        </is>
      </c>
      <c r="C709" s="0" t="inlineStr">
        <is>
          <t xml:space="preserve">broad_maritime</t>
        </is>
      </c>
      <c r="D709" s="4">
        <v>21.79287725</v>
      </c>
      <c r="E709" s="0" t="inlineStr">
        <is>
          <t xml:space="preserve">EAST COAST REPAIR &amp; FABRICATION, LLC</t>
        </is>
      </c>
      <c r="F709" s="0" t="inlineStr">
        <is>
          <t xml:space="preserve">naics:336611</t>
        </is>
      </c>
    </row>
    <row r="710">
      <c r="B710" s="0" t="inlineStr">
        <is>
          <t xml:space="preserve">N0016722F0184</t>
        </is>
      </c>
      <c r="C710" s="0" t="inlineStr">
        <is>
          <t xml:space="preserve">broad_maritime</t>
        </is>
      </c>
      <c r="D710" s="4">
        <v>21.71103963</v>
      </c>
      <c r="E710" s="0" t="inlineStr">
        <is>
          <t xml:space="preserve">BAE SYSTEMS LAND &amp; ARMAMENTS L.P.</t>
        </is>
      </c>
      <c r="F710" s="0" t="inlineStr">
        <is>
          <t xml:space="preserve">naics:336611</t>
        </is>
      </c>
    </row>
    <row r="711">
      <c r="B711" s="0" t="inlineStr">
        <is>
          <t xml:space="preserve">N3220520C4017</t>
        </is>
      </c>
      <c r="C711" s="0" t="inlineStr">
        <is>
          <t xml:space="preserve">broad_maritime</t>
        </is>
      </c>
      <c r="D711" s="4">
        <v>21.629683</v>
      </c>
      <c r="E711" s="0" t="inlineStr">
        <is>
          <t xml:space="preserve">DETYENS SHIPYARDS INC</t>
        </is>
      </c>
      <c r="F711" s="0" t="inlineStr">
        <is>
          <t xml:space="preserve">naics:336611</t>
        </is>
      </c>
    </row>
    <row r="712">
      <c r="B712" s="0" t="inlineStr">
        <is>
          <t xml:space="preserve">N6133121F3008</t>
        </is>
      </c>
      <c r="C712" s="0" t="inlineStr">
        <is>
          <t xml:space="preserve">usv_core</t>
        </is>
      </c>
      <c r="D712" s="4">
        <v>21.62427421</v>
      </c>
      <c r="E712" s="0" t="inlineStr">
        <is>
          <t xml:space="preserve">INNOVATIVE PROFESSIONAL SOLUTIONS, INC.</t>
        </is>
      </c>
      <c r="F712" s="0" t="inlineStr">
        <is>
          <t xml:space="preserve">keyword</t>
        </is>
      </c>
    </row>
    <row r="713">
      <c r="B713" s="0" t="inlineStr">
        <is>
          <t xml:space="preserve">N6931623F6000</t>
        </is>
      </c>
      <c r="C713" s="0" t="inlineStr">
        <is>
          <t xml:space="preserve">broad_maritime</t>
        </is>
      </c>
      <c r="D713" s="4">
        <v>21.570342999999998</v>
      </c>
      <c r="E713" s="0" t="inlineStr">
        <is>
          <t xml:space="preserve">HUNTINGTON INGALLS INCORPORATED</t>
        </is>
      </c>
      <c r="F713" s="0" t="inlineStr">
        <is>
          <t xml:space="preserve">naics:336611</t>
        </is>
      </c>
    </row>
    <row r="714">
      <c r="B714" s="0" t="inlineStr">
        <is>
          <t xml:space="preserve">N0002417F4204</t>
        </is>
      </c>
      <c r="C714" s="0" t="inlineStr">
        <is>
          <t xml:space="preserve">broad_maritime</t>
        </is>
      </c>
      <c r="D714" s="4">
        <v>21.551005999999997</v>
      </c>
      <c r="E714" s="0" t="inlineStr">
        <is>
          <t xml:space="preserve">VSE CORPORATION</t>
        </is>
      </c>
      <c r="F714" s="0" t="inlineStr">
        <is>
          <t xml:space="preserve">naics:336611</t>
        </is>
      </c>
    </row>
    <row r="715">
      <c r="B715" s="0" t="inlineStr">
        <is>
          <t xml:space="preserve">N0038326FNE00</t>
        </is>
      </c>
      <c r="C715" s="0" t="inlineStr">
        <is>
          <t xml:space="preserve">broad_maritime</t>
        </is>
      </c>
      <c r="D715" s="4">
        <v>21.514706999999998</v>
      </c>
      <c r="E715" s="0" t="inlineStr">
        <is>
          <t xml:space="preserve">RAYTHEON COMPANY</t>
        </is>
      </c>
      <c r="F715" s="0" t="inlineStr">
        <is>
          <t xml:space="preserve">naics:336611</t>
        </is>
      </c>
    </row>
    <row r="716">
      <c r="B716" s="0" t="inlineStr">
        <is>
          <t xml:space="preserve">N6600117F0595</t>
        </is>
      </c>
      <c r="C716" s="0" t="inlineStr">
        <is>
          <t xml:space="preserve">usv_core</t>
        </is>
      </c>
      <c r="D716" s="4">
        <v>21.512232039999997</v>
      </c>
      <c r="E716" s="0" t="inlineStr">
        <is>
          <t xml:space="preserve">PERATON INC.</t>
        </is>
      </c>
      <c r="F716" s="0" t="inlineStr">
        <is>
          <t xml:space="preserve">keyword</t>
        </is>
      </c>
    </row>
    <row r="717">
      <c r="B717" s="0" t="inlineStr">
        <is>
          <t xml:space="preserve">N3220526C1207</t>
        </is>
      </c>
      <c r="C717" s="0" t="inlineStr">
        <is>
          <t xml:space="preserve">broad_maritime</t>
        </is>
      </c>
      <c r="D717" s="4">
        <v>21.426834</v>
      </c>
      <c r="E717" s="0" t="inlineStr">
        <is>
          <t xml:space="preserve">DETYENS SHIPYARDS INC</t>
        </is>
      </c>
      <c r="F717" s="0" t="inlineStr">
        <is>
          <t xml:space="preserve">naics:336611</t>
        </is>
      </c>
    </row>
    <row r="718">
      <c r="B718" s="0" t="inlineStr">
        <is>
          <t xml:space="preserve">N0002418C2325</t>
        </is>
      </c>
      <c r="C718" s="0" t="inlineStr">
        <is>
          <t xml:space="preserve">broad_maritime</t>
        </is>
      </c>
      <c r="D718" s="4">
        <v>21.399022</v>
      </c>
      <c r="E718" s="0" t="inlineStr">
        <is>
          <t xml:space="preserve">AUSTAL USA, LLC</t>
        </is>
      </c>
      <c r="F718" s="0" t="inlineStr">
        <is>
          <t xml:space="preserve">naics:336611; psc:1905</t>
        </is>
      </c>
    </row>
    <row r="719">
      <c r="B719" s="0" t="inlineStr">
        <is>
          <t xml:space="preserve">N3220522C2051</t>
        </is>
      </c>
      <c r="C719" s="0" t="inlineStr">
        <is>
          <t xml:space="preserve">broad_maritime</t>
        </is>
      </c>
      <c r="D719" s="4">
        <v>21.387948339999998</v>
      </c>
      <c r="E719" s="0" t="inlineStr">
        <is>
          <t xml:space="preserve">VIGOR MARINE LLC</t>
        </is>
      </c>
      <c r="F719" s="0" t="inlineStr">
        <is>
          <t xml:space="preserve">naics:336611</t>
        </is>
      </c>
    </row>
    <row r="720">
      <c r="B720" s="0" t="inlineStr">
        <is>
          <t xml:space="preserve">N3220526C1230</t>
        </is>
      </c>
      <c r="C720" s="0" t="inlineStr">
        <is>
          <t xml:space="preserve">broad_maritime</t>
        </is>
      </c>
      <c r="D720" s="4">
        <v>21.31744672</v>
      </c>
      <c r="E720" s="0" t="inlineStr">
        <is>
          <t xml:space="preserve">VIGOR MARINE LLC</t>
        </is>
      </c>
      <c r="F720" s="0" t="inlineStr">
        <is>
          <t xml:space="preserve">naics:336611</t>
        </is>
      </c>
    </row>
    <row r="721">
      <c r="B721" s="0" t="inlineStr">
        <is>
          <t xml:space="preserve">N4002720F0002</t>
        </is>
      </c>
      <c r="C721" s="0" t="inlineStr">
        <is>
          <t xml:space="preserve">broad_maritime</t>
        </is>
      </c>
      <c r="D721" s="4">
        <v>21.05343842</v>
      </c>
      <c r="E721" s="0" t="inlineStr">
        <is>
          <t xml:space="preserve">BAE SYSTEMS JACKSONVILLE SHIP REPAIR LLC</t>
        </is>
      </c>
      <c r="F721" s="0" t="inlineStr">
        <is>
          <t xml:space="preserve">naics:336611</t>
        </is>
      </c>
    </row>
    <row r="722">
      <c r="B722" s="0" t="inlineStr">
        <is>
          <t xml:space="preserve">N3220523C4083</t>
        </is>
      </c>
      <c r="C722" s="0" t="inlineStr">
        <is>
          <t xml:space="preserve">broad_maritime</t>
        </is>
      </c>
      <c r="D722" s="4">
        <v>21.03776047</v>
      </c>
      <c r="E722" s="0" t="inlineStr">
        <is>
          <t xml:space="preserve">VIGOR MARINE LLC</t>
        </is>
      </c>
      <c r="F722" s="0" t="inlineStr">
        <is>
          <t xml:space="preserve">naics:336611</t>
        </is>
      </c>
    </row>
    <row r="723">
      <c r="B723" s="0" t="inlineStr">
        <is>
          <t xml:space="preserve">N6264924F0350</t>
        </is>
      </c>
      <c r="C723" s="0" t="inlineStr">
        <is>
          <t xml:space="preserve">broad_maritime</t>
        </is>
      </c>
      <c r="D723" s="4">
        <v>21.03458</v>
      </c>
      <c r="E723" s="0" t="inlineStr">
        <is>
          <t xml:space="preserve">SEATRIUM REPAIRS &amp; UPGRADES PTE. LTD.</t>
        </is>
      </c>
      <c r="F723" s="0" t="inlineStr">
        <is>
          <t xml:space="preserve">naics:336611</t>
        </is>
      </c>
    </row>
    <row r="724">
      <c r="B724" s="0" t="inlineStr">
        <is>
          <t xml:space="preserve">N3220522C0002</t>
        </is>
      </c>
      <c r="C724" s="0" t="inlineStr">
        <is>
          <t xml:space="preserve">broad_maritime</t>
        </is>
      </c>
      <c r="D724" s="4">
        <v>21.009135</v>
      </c>
      <c r="E724" s="0" t="inlineStr">
        <is>
          <t xml:space="preserve">DETYENS SHIPYARDS INC</t>
        </is>
      </c>
      <c r="F724" s="0" t="inlineStr">
        <is>
          <t xml:space="preserve">naics:336611</t>
        </is>
      </c>
    </row>
    <row r="725">
      <c r="B725" s="0" t="inlineStr">
        <is>
          <t xml:space="preserve">N4002719F0044</t>
        </is>
      </c>
      <c r="C725" s="0" t="inlineStr">
        <is>
          <t xml:space="preserve">broad_maritime</t>
        </is>
      </c>
      <c r="D725" s="4">
        <v>20.983228089999997</v>
      </c>
      <c r="E725" s="0" t="inlineStr">
        <is>
          <t xml:space="preserve">BAE SYSTEMS JACKSONVILLE SHIP REPAIR LLC</t>
        </is>
      </c>
      <c r="F725" s="0" t="inlineStr">
        <is>
          <t xml:space="preserve">naics:336611</t>
        </is>
      </c>
    </row>
    <row r="726">
      <c r="B726" s="0" t="inlineStr">
        <is>
          <t xml:space="preserve">N0002425F22A8</t>
        </is>
      </c>
      <c r="C726" s="0" t="inlineStr">
        <is>
          <t xml:space="preserve">small_craft</t>
        </is>
      </c>
      <c r="D726" s="4">
        <v>20.93938116</v>
      </c>
      <c r="E726" s="0" t="inlineStr">
        <is>
          <t xml:space="preserve">GRAVOIS ALUMINUM BOATS LLC</t>
        </is>
      </c>
      <c r="F726" s="0" t="inlineStr">
        <is>
          <t xml:space="preserve">naics:336612; psc:1940</t>
        </is>
      </c>
    </row>
    <row r="727">
      <c r="B727" s="0" t="inlineStr">
        <is>
          <t xml:space="preserve">N4215820C0003</t>
        </is>
      </c>
      <c r="C727" s="0" t="inlineStr">
        <is>
          <t xml:space="preserve">broad_maritime</t>
        </is>
      </c>
      <c r="D727" s="4">
        <v>20.890594</v>
      </c>
      <c r="E727" s="0" t="inlineStr">
        <is>
          <t xml:space="preserve">HUNTINGTON INGALLS INC</t>
        </is>
      </c>
      <c r="F727" s="0" t="inlineStr">
        <is>
          <t xml:space="preserve">naics:336611</t>
        </is>
      </c>
    </row>
    <row r="728">
      <c r="B728" s="0" t="inlineStr">
        <is>
          <t xml:space="preserve">N6449821FBB05</t>
        </is>
      </c>
      <c r="C728" s="0" t="inlineStr">
        <is>
          <t xml:space="preserve">broad_maritime</t>
        </is>
      </c>
      <c r="D728" s="4">
        <v>20.81968137</v>
      </c>
      <c r="E728" s="0" t="inlineStr">
        <is>
          <t xml:space="preserve">L3HARRIS MARITIME SERVICES INC</t>
        </is>
      </c>
      <c r="F728" s="0" t="inlineStr">
        <is>
          <t xml:space="preserve">naics:336611</t>
        </is>
      </c>
    </row>
    <row r="729">
      <c r="B729" s="0" t="inlineStr">
        <is>
          <t xml:space="preserve">N5005420FL003</t>
        </is>
      </c>
      <c r="C729" s="0" t="inlineStr">
        <is>
          <t xml:space="preserve">broad_maritime</t>
        </is>
      </c>
      <c r="D729" s="4">
        <v>20.720726</v>
      </c>
      <c r="E729" s="0" t="inlineStr">
        <is>
          <t xml:space="preserve">MARINE HYDRAULICS INTERNATIONAL, LLC</t>
        </is>
      </c>
      <c r="F729" s="0" t="inlineStr">
        <is>
          <t xml:space="preserve">naics:336611</t>
        </is>
      </c>
    </row>
    <row r="730">
      <c r="B730" s="0" t="inlineStr">
        <is>
          <t xml:space="preserve">N3220519C4016</t>
        </is>
      </c>
      <c r="C730" s="0" t="inlineStr">
        <is>
          <t xml:space="preserve">broad_maritime</t>
        </is>
      </c>
      <c r="D730" s="4">
        <v>20.667147</v>
      </c>
      <c r="E730" s="0" t="inlineStr">
        <is>
          <t xml:space="preserve">VIGOR MARINE LLC</t>
        </is>
      </c>
      <c r="F730" s="0" t="inlineStr">
        <is>
          <t xml:space="preserve">naics:336611</t>
        </is>
      </c>
    </row>
    <row r="731">
      <c r="B731" s="0" t="inlineStr">
        <is>
          <t xml:space="preserve">N3220517C4400</t>
        </is>
      </c>
      <c r="C731" s="0" t="inlineStr">
        <is>
          <t xml:space="preserve">other_small</t>
        </is>
      </c>
      <c r="D731" s="4">
        <v>20.6608344</v>
      </c>
      <c r="E731" s="0" t="inlineStr">
        <is>
          <t xml:space="preserve">BOSTON SHIP REPAIR LLC</t>
        </is>
      </c>
      <c r="F731" s="0" t="inlineStr">
        <is>
          <t xml:space="preserve">naics:336611; psc:1925</t>
        </is>
      </c>
    </row>
    <row r="732">
      <c r="B732" s="0" t="inlineStr">
        <is>
          <t xml:space="preserve">4T09</t>
        </is>
      </c>
      <c r="C732" s="0" t="inlineStr">
        <is>
          <t xml:space="preserve">broad_maritime</t>
        </is>
      </c>
      <c r="D732" s="4">
        <v>20.604031399999997</v>
      </c>
      <c r="E732" s="0" t="inlineStr">
        <is>
          <t xml:space="preserve">HUNTINGTON INGALLS INC</t>
        </is>
      </c>
      <c r="F732" s="0" t="inlineStr">
        <is>
          <t xml:space="preserve">naics:336611</t>
        </is>
      </c>
    </row>
    <row r="733">
      <c r="B733" s="0" t="inlineStr">
        <is>
          <t xml:space="preserve">N6931621F8002</t>
        </is>
      </c>
      <c r="C733" s="0" t="inlineStr">
        <is>
          <t xml:space="preserve">small_craft</t>
        </is>
      </c>
      <c r="D733" s="4">
        <v>20.574355699999998</v>
      </c>
      <c r="E733" s="0" t="inlineStr">
        <is>
          <t xml:space="preserve">GRAVOIS ALUMINUM BOATS LLC</t>
        </is>
      </c>
      <c r="F733" s="0" t="inlineStr">
        <is>
          <t xml:space="preserve">naics:336612; psc:1940</t>
        </is>
      </c>
    </row>
    <row r="734">
      <c r="B734" s="0" t="inlineStr">
        <is>
          <t xml:space="preserve">N0025322F5006</t>
        </is>
      </c>
      <c r="C734" s="0" t="inlineStr">
        <is>
          <t xml:space="preserve">broad_maritime</t>
        </is>
      </c>
      <c r="D734" s="4">
        <v>20.49559167</v>
      </c>
      <c r="E734" s="0" t="inlineStr">
        <is>
          <t xml:space="preserve">VECTRUS SYSTEMS LLC</t>
        </is>
      </c>
      <c r="F734" s="0" t="inlineStr">
        <is>
          <t xml:space="preserve">naics:336611</t>
        </is>
      </c>
    </row>
    <row r="735">
      <c r="B735" s="0" t="inlineStr">
        <is>
          <t xml:space="preserve">N0002426C2443</t>
        </is>
      </c>
      <c r="C735" s="0" t="inlineStr">
        <is>
          <t xml:space="preserve">broad_maritime</t>
        </is>
      </c>
      <c r="D735" s="4">
        <v>20.422555</v>
      </c>
      <c r="E735" s="0" t="inlineStr">
        <is>
          <t xml:space="preserve">HUNTINGTON INGALLS INCORPORATED</t>
        </is>
      </c>
      <c r="F735" s="0" t="inlineStr">
        <is>
          <t xml:space="preserve">naics:336611; psc:1905</t>
        </is>
      </c>
    </row>
    <row r="736">
      <c r="B736" s="0" t="inlineStr">
        <is>
          <t xml:space="preserve">N5523619F5127</t>
        </is>
      </c>
      <c r="C736" s="0" t="inlineStr">
        <is>
          <t xml:space="preserve">broad_maritime</t>
        </is>
      </c>
      <c r="D736" s="4">
        <v>20.29406616</v>
      </c>
      <c r="E736" s="0" t="inlineStr">
        <is>
          <t xml:space="preserve">NATIONAL STEEL AND SHIPBUILDING COMPANY</t>
        </is>
      </c>
      <c r="F736" s="0" t="inlineStr">
        <is>
          <t xml:space="preserve">naics:336611</t>
        </is>
      </c>
    </row>
    <row r="737">
      <c r="B737" s="0" t="inlineStr">
        <is>
          <t xml:space="preserve">0005</t>
        </is>
      </c>
      <c r="C737" s="0" t="inlineStr">
        <is>
          <t xml:space="preserve">broad_maritime</t>
        </is>
      </c>
      <c r="D737" s="4">
        <v>20.286016999999998</v>
      </c>
      <c r="E737" s="0" t="inlineStr">
        <is>
          <t xml:space="preserve">TECNICO CORPORATION</t>
        </is>
      </c>
      <c r="F737" s="0" t="inlineStr">
        <is>
          <t xml:space="preserve">naics:336611</t>
        </is>
      </c>
    </row>
    <row r="738">
      <c r="B738" s="0" t="inlineStr">
        <is>
          <t xml:space="preserve">N3220525C4151</t>
        </is>
      </c>
      <c r="C738" s="0" t="inlineStr">
        <is>
          <t xml:space="preserve">broad_maritime</t>
        </is>
      </c>
      <c r="D738" s="4">
        <v>20.266510999999998</v>
      </c>
      <c r="E738" s="0" t="inlineStr">
        <is>
          <t xml:space="preserve">DETYENS SHIPYARDS INC</t>
        </is>
      </c>
      <c r="F738" s="0" t="inlineStr">
        <is>
          <t xml:space="preserve">naics:336611</t>
        </is>
      </c>
    </row>
    <row r="739">
      <c r="B739" s="0" t="inlineStr">
        <is>
          <t xml:space="preserve">N3220523C0190</t>
        </is>
      </c>
      <c r="C739" s="0" t="inlineStr">
        <is>
          <t xml:space="preserve">broad_maritime</t>
        </is>
      </c>
      <c r="D739" s="4">
        <v>20.215071</v>
      </c>
      <c r="E739" s="0" t="inlineStr">
        <is>
          <t xml:space="preserve">BOSTON SHIP REPAIR LLC</t>
        </is>
      </c>
      <c r="F739" s="0" t="inlineStr">
        <is>
          <t xml:space="preserve">naics:336611</t>
        </is>
      </c>
    </row>
    <row r="740">
      <c r="B740" s="0" t="inlineStr">
        <is>
          <t xml:space="preserve">N6279324F1001</t>
        </is>
      </c>
      <c r="C740" s="0" t="inlineStr">
        <is>
          <t xml:space="preserve">broad_maritime</t>
        </is>
      </c>
      <c r="D740" s="4">
        <v>20.21319088</v>
      </c>
      <c r="E740" s="0" t="inlineStr">
        <is>
          <t xml:space="preserve">HII FLEET SUPPORT GROUP LLC</t>
        </is>
      </c>
      <c r="F740" s="0" t="inlineStr">
        <is>
          <t xml:space="preserve">naics:336611; psc:1905</t>
        </is>
      </c>
    </row>
    <row r="741">
      <c r="B741" s="0" t="inlineStr">
        <is>
          <t xml:space="preserve">N0002421C4113</t>
        </is>
      </c>
      <c r="C741" s="0" t="inlineStr">
        <is>
          <t xml:space="preserve">broad_maritime</t>
        </is>
      </c>
      <c r="D741" s="4">
        <v>20.206640999999998</v>
      </c>
      <c r="E741" s="0" t="inlineStr">
        <is>
          <t xml:space="preserve">FLORIDA STATE UNIVERSITY</t>
        </is>
      </c>
      <c r="F741" s="0" t="inlineStr">
        <is>
          <t xml:space="preserve">psc:1905</t>
        </is>
      </c>
    </row>
    <row r="742">
      <c r="B742" s="0" t="inlineStr">
        <is>
          <t xml:space="preserve">N6817120C0002</t>
        </is>
      </c>
      <c r="C742" s="0" t="inlineStr">
        <is>
          <t xml:space="preserve">broad_maritime</t>
        </is>
      </c>
      <c r="D742" s="4">
        <v>20.175715359999998</v>
      </c>
      <c r="E742" s="0" t="inlineStr">
        <is>
          <t xml:space="preserve">OFFICINE MECCANICHE NAVALI E FONDERIE SAN GIORGIO DEL PORTO S.P.A.</t>
        </is>
      </c>
      <c r="F742" s="0" t="inlineStr">
        <is>
          <t xml:space="preserve">naics:336611</t>
        </is>
      </c>
    </row>
    <row r="743">
      <c r="B743" s="0" t="inlineStr">
        <is>
          <t xml:space="preserve">N0002417F22X1</t>
        </is>
      </c>
      <c r="C743" s="0" t="inlineStr">
        <is>
          <t xml:space="preserve">small_craft</t>
        </is>
      </c>
      <c r="D743" s="4">
        <v>20.14814852</v>
      </c>
      <c r="E743" s="0" t="inlineStr">
        <is>
          <t xml:space="preserve">GRAVOIS ALUMINUM BOATS LLC</t>
        </is>
      </c>
      <c r="F743" s="0" t="inlineStr">
        <is>
          <t xml:space="preserve">naics:336612; psc:1940</t>
        </is>
      </c>
    </row>
    <row r="744">
      <c r="B744" s="0" t="inlineStr">
        <is>
          <t xml:space="preserve">N4523A18C0550</t>
        </is>
      </c>
      <c r="C744" s="0" t="inlineStr">
        <is>
          <t xml:space="preserve">broad_maritime</t>
        </is>
      </c>
      <c r="D744" s="4">
        <v>20.144977</v>
      </c>
      <c r="E744" s="0" t="inlineStr">
        <is>
          <t xml:space="preserve">VIGOR MARINE LLC</t>
        </is>
      </c>
      <c r="F744" s="0" t="inlineStr">
        <is>
          <t xml:space="preserve">naics:336611</t>
        </is>
      </c>
    </row>
    <row r="745">
      <c r="B745" s="0" t="inlineStr">
        <is>
          <t xml:space="preserve">N3220515C3012</t>
        </is>
      </c>
      <c r="C745" s="0" t="inlineStr">
        <is>
          <t xml:space="preserve">broad_maritime</t>
        </is>
      </c>
      <c r="D745" s="4">
        <v>20.112342379999998</v>
      </c>
      <c r="E745" s="0" t="inlineStr">
        <is>
          <t xml:space="preserve">DETYENS SHIPYARDS INC</t>
        </is>
      </c>
      <c r="F745" s="0" t="inlineStr">
        <is>
          <t xml:space="preserve">naics:336611</t>
        </is>
      </c>
    </row>
    <row r="746">
      <c r="B746" s="0" t="inlineStr">
        <is>
          <t xml:space="preserve">N6264925CLA01</t>
        </is>
      </c>
      <c r="C746" s="0" t="inlineStr">
        <is>
          <t xml:space="preserve">broad_maritime</t>
        </is>
      </c>
      <c r="D746" s="4">
        <v>19.999408</v>
      </c>
      <c r="E746" s="0" t="inlineStr">
        <is>
          <t xml:space="preserve">UNITHAI SHIPYARD &amp; ENGINEERING LIMITED - BRANCH</t>
        </is>
      </c>
      <c r="F746" s="0" t="inlineStr">
        <is>
          <t xml:space="preserve">naics:336611</t>
        </is>
      </c>
    </row>
    <row r="747">
      <c r="B747" s="0" t="inlineStr">
        <is>
          <t xml:space="preserve">N0002416C2233</t>
        </is>
      </c>
      <c r="C747" s="0" t="inlineStr">
        <is>
          <t xml:space="preserve">small_craft</t>
        </is>
      </c>
      <c r="D747" s="4">
        <v>19.97637</v>
      </c>
      <c r="E747" s="0" t="inlineStr">
        <is>
          <t xml:space="preserve">SWIFTSHIPS, LLC</t>
        </is>
      </c>
      <c r="F747" s="0" t="inlineStr">
        <is>
          <t xml:space="preserve">naics:336612; psc:1940</t>
        </is>
      </c>
    </row>
    <row r="748">
      <c r="B748" s="0" t="inlineStr">
        <is>
          <t xml:space="preserve">ER07</t>
        </is>
      </c>
      <c r="C748" s="0" t="inlineStr">
        <is>
          <t xml:space="preserve">broad_maritime</t>
        </is>
      </c>
      <c r="D748" s="4">
        <v>19.97094</v>
      </c>
      <c r="E748" s="0" t="inlineStr">
        <is>
          <t xml:space="preserve">LOCKHEED MARTIN CORPORATION</t>
        </is>
      </c>
      <c r="F748" s="0" t="inlineStr">
        <is>
          <t xml:space="preserve">naics:336611; psc:1905</t>
        </is>
      </c>
    </row>
    <row r="749">
      <c r="B749" s="0" t="inlineStr">
        <is>
          <t xml:space="preserve">N0016725F0108</t>
        </is>
      </c>
      <c r="C749" s="0" t="inlineStr">
        <is>
          <t xml:space="preserve">broad_maritime</t>
        </is>
      </c>
      <c r="D749" s="4">
        <v>19.892364</v>
      </c>
      <c r="E749" s="0" t="inlineStr">
        <is>
          <t xml:space="preserve">GOODRICH CORPORATION</t>
        </is>
      </c>
      <c r="F749" s="0" t="inlineStr">
        <is>
          <t xml:space="preserve">naics:336611</t>
        </is>
      </c>
    </row>
    <row r="750">
      <c r="B750" s="0" t="inlineStr">
        <is>
          <t xml:space="preserve">N0002425C2218</t>
        </is>
      </c>
      <c r="C750" s="0" t="inlineStr">
        <is>
          <t xml:space="preserve">small_craft</t>
        </is>
      </c>
      <c r="D750" s="4">
        <v>19.872819269999997</v>
      </c>
      <c r="E750" s="0" t="inlineStr">
        <is>
          <t xml:space="preserve">UNITED STATES MARINE INC</t>
        </is>
      </c>
      <c r="F750" s="0" t="inlineStr">
        <is>
          <t xml:space="preserve">naics:336612; psc:1940</t>
        </is>
      </c>
    </row>
    <row r="751">
      <c r="B751" s="0" t="inlineStr">
        <is>
          <t xml:space="preserve">N0016724F0054</t>
        </is>
      </c>
      <c r="C751" s="0" t="inlineStr">
        <is>
          <t xml:space="preserve">broad_maritime</t>
        </is>
      </c>
      <c r="D751" s="4">
        <v>19.86769444</v>
      </c>
      <c r="E751" s="0" t="inlineStr">
        <is>
          <t xml:space="preserve">SEEMANN COMPOSITES, LLC</t>
        </is>
      </c>
      <c r="F751" s="0" t="inlineStr">
        <is>
          <t xml:space="preserve">naics:336611</t>
        </is>
      </c>
    </row>
    <row r="752">
      <c r="B752" s="0" t="inlineStr">
        <is>
          <t xml:space="preserve">N0002418C2102</t>
        </is>
      </c>
      <c r="C752" s="0" t="inlineStr">
        <is>
          <t xml:space="preserve">broad_maritime</t>
        </is>
      </c>
      <c r="D752" s="4">
        <v>19.818466</v>
      </c>
      <c r="E752" s="0" t="inlineStr">
        <is>
          <t xml:space="preserve">HUNTINGTON INGALLS INC</t>
        </is>
      </c>
      <c r="F752" s="0" t="inlineStr">
        <is>
          <t xml:space="preserve">psc:1905</t>
        </is>
      </c>
    </row>
    <row r="753">
      <c r="B753" s="0" t="inlineStr">
        <is>
          <t xml:space="preserve">N5523626F5019</t>
        </is>
      </c>
      <c r="C753" s="0" t="inlineStr">
        <is>
          <t xml:space="preserve">broad_maritime</t>
        </is>
      </c>
      <c r="D753" s="4">
        <v>19.808056609999998</v>
      </c>
      <c r="E753" s="0" t="inlineStr">
        <is>
          <t xml:space="preserve">NATIONAL STEEL AND SHIPBUILDING COMPANY</t>
        </is>
      </c>
      <c r="F753" s="0" t="inlineStr">
        <is>
          <t xml:space="preserve">naics:336611</t>
        </is>
      </c>
    </row>
    <row r="754">
      <c r="B754" s="0" t="inlineStr">
        <is>
          <t xml:space="preserve">N3220526C1217</t>
        </is>
      </c>
      <c r="C754" s="0" t="inlineStr">
        <is>
          <t xml:space="preserve">broad_maritime</t>
        </is>
      </c>
      <c r="D754" s="4">
        <v>19.774729</v>
      </c>
      <c r="E754" s="0" t="inlineStr">
        <is>
          <t xml:space="preserve">ALABAMA SHIPYARD LLC</t>
        </is>
      </c>
      <c r="F754" s="0" t="inlineStr">
        <is>
          <t xml:space="preserve">naics:336611</t>
        </is>
      </c>
    </row>
    <row r="755">
      <c r="B755" s="0" t="inlineStr">
        <is>
          <t xml:space="preserve">N6449820FBB12</t>
        </is>
      </c>
      <c r="C755" s="0" t="inlineStr">
        <is>
          <t xml:space="preserve">broad_maritime</t>
        </is>
      </c>
      <c r="D755" s="4">
        <v>19.770419519999997</v>
      </c>
      <c r="E755" s="0" t="inlineStr">
        <is>
          <t xml:space="preserve">L3HARRIS MARITIME SERVICES INC</t>
        </is>
      </c>
      <c r="F755" s="0" t="inlineStr">
        <is>
          <t xml:space="preserve">naics:336611</t>
        </is>
      </c>
    </row>
    <row r="756">
      <c r="B756" s="0" t="inlineStr">
        <is>
          <t xml:space="preserve">N5005417FC035</t>
        </is>
      </c>
      <c r="C756" s="0" t="inlineStr">
        <is>
          <t xml:space="preserve">broad_maritime</t>
        </is>
      </c>
      <c r="D756" s="4">
        <v>19.742032</v>
      </c>
      <c r="E756" s="0" t="inlineStr">
        <is>
          <t xml:space="preserve">METRO MACHINE CORP.</t>
        </is>
      </c>
      <c r="F756" s="0" t="inlineStr">
        <is>
          <t xml:space="preserve">naics:336611</t>
        </is>
      </c>
    </row>
    <row r="757">
      <c r="B757" s="0" t="inlineStr">
        <is>
          <t xml:space="preserve">N5005418FC063</t>
        </is>
      </c>
      <c r="C757" s="0" t="inlineStr">
        <is>
          <t xml:space="preserve">broad_maritime</t>
        </is>
      </c>
      <c r="D757" s="4">
        <v>19.735916</v>
      </c>
      <c r="E757" s="0" t="inlineStr">
        <is>
          <t xml:space="preserve">MARINE HYDRAULICS INTERNATIONAL, LLC</t>
        </is>
      </c>
      <c r="F757" s="0" t="inlineStr">
        <is>
          <t xml:space="preserve">naics:336611</t>
        </is>
      </c>
    </row>
    <row r="758">
      <c r="B758" s="0" t="inlineStr">
        <is>
          <t xml:space="preserve">N5005416C0007</t>
        </is>
      </c>
      <c r="C758" s="0" t="inlineStr">
        <is>
          <t xml:space="preserve">broad_maritime</t>
        </is>
      </c>
      <c r="D758" s="4">
        <v>19.720546</v>
      </c>
      <c r="E758" s="0" t="inlineStr">
        <is>
          <t xml:space="preserve">BAE SYSTEMS MARITIME SOLUTIONS NORFOLK INC.</t>
        </is>
      </c>
      <c r="F758" s="0" t="inlineStr">
        <is>
          <t xml:space="preserve">naics:336611</t>
        </is>
      </c>
    </row>
    <row r="759">
      <c r="B759" s="0" t="inlineStr">
        <is>
          <t xml:space="preserve">N0002417C4103</t>
        </is>
      </c>
      <c r="C759" s="0" t="inlineStr">
        <is>
          <t xml:space="preserve">other_small</t>
        </is>
      </c>
      <c r="D759" s="4">
        <v>19.715664</v>
      </c>
      <c r="E759" s="0" t="inlineStr">
        <is>
          <t xml:space="preserve">HUNTINGTON INGALLS INC</t>
        </is>
      </c>
      <c r="F759" s="0" t="inlineStr">
        <is>
          <t xml:space="preserve">naics:336611; psc:1925</t>
        </is>
      </c>
    </row>
    <row r="760">
      <c r="B760" s="0" t="inlineStr">
        <is>
          <t xml:space="preserve">N0002422C4120</t>
        </is>
      </c>
      <c r="C760" s="0" t="inlineStr">
        <is>
          <t xml:space="preserve">broad_maritime</t>
        </is>
      </c>
      <c r="D760" s="4">
        <v>19.68890561</v>
      </c>
      <c r="E760" s="0" t="inlineStr">
        <is>
          <t xml:space="preserve">ROLLS-ROYCE SOLUTIONS AMERICA INC</t>
        </is>
      </c>
      <c r="F760" s="0" t="inlineStr">
        <is>
          <t xml:space="preserve">naics:336611</t>
        </is>
      </c>
    </row>
    <row r="761">
      <c r="B761" s="0" t="inlineStr">
        <is>
          <t xml:space="preserve">N3220514C2003</t>
        </is>
      </c>
      <c r="C761" s="0" t="inlineStr">
        <is>
          <t xml:space="preserve">broad_maritime</t>
        </is>
      </c>
      <c r="D761" s="4">
        <v>19.6844746</v>
      </c>
      <c r="E761" s="0" t="inlineStr">
        <is>
          <t xml:space="preserve">DETYENS SHIPYARDS INC</t>
        </is>
      </c>
      <c r="F761" s="0" t="inlineStr">
        <is>
          <t xml:space="preserve">naics:336611</t>
        </is>
      </c>
    </row>
    <row r="762">
      <c r="B762" s="0" t="inlineStr">
        <is>
          <t xml:space="preserve">N0025321F5032</t>
        </is>
      </c>
      <c r="C762" s="0" t="inlineStr">
        <is>
          <t xml:space="preserve">broad_maritime</t>
        </is>
      </c>
      <c r="D762" s="4">
        <v>19.68310494</v>
      </c>
      <c r="E762" s="0" t="inlineStr">
        <is>
          <t xml:space="preserve">VSE CORPORATION</t>
        </is>
      </c>
      <c r="F762" s="0" t="inlineStr">
        <is>
          <t xml:space="preserve">naics:336611</t>
        </is>
      </c>
    </row>
    <row r="763">
      <c r="B763" s="0" t="inlineStr">
        <is>
          <t xml:space="preserve">N4034522F0056</t>
        </is>
      </c>
      <c r="C763" s="0" t="inlineStr">
        <is>
          <t xml:space="preserve">broad_maritime</t>
        </is>
      </c>
      <c r="D763" s="4">
        <v>19.677092579999997</v>
      </c>
      <c r="E763" s="0" t="inlineStr">
        <is>
          <t xml:space="preserve">MITSUBISHI HEAVY INDUSTRIES, LTD</t>
        </is>
      </c>
      <c r="F763" s="0" t="inlineStr">
        <is>
          <t xml:space="preserve">naics:336611</t>
        </is>
      </c>
    </row>
    <row r="764">
      <c r="B764" s="0" t="inlineStr">
        <is>
          <t xml:space="preserve">N0002418F4125</t>
        </is>
      </c>
      <c r="C764" s="0" t="inlineStr">
        <is>
          <t xml:space="preserve">broad_maritime</t>
        </is>
      </c>
      <c r="D764" s="4">
        <v>19.67142892</v>
      </c>
      <c r="E764" s="0" t="inlineStr">
        <is>
          <t xml:space="preserve">GENERAL ELECTRIC COMPANY</t>
        </is>
      </c>
      <c r="F764" s="0" t="inlineStr">
        <is>
          <t xml:space="preserve">naics:336611</t>
        </is>
      </c>
    </row>
    <row r="765">
      <c r="B765" s="0" t="inlineStr">
        <is>
          <t xml:space="preserve">N0040619C0002</t>
        </is>
      </c>
      <c r="C765" s="0" t="inlineStr">
        <is>
          <t xml:space="preserve">broad_maritime</t>
        </is>
      </c>
      <c r="D765" s="4">
        <v>19.601157999999998</v>
      </c>
      <c r="E765" s="0" t="inlineStr">
        <is>
          <t xml:space="preserve">HUNTINGTON INGALLS INC</t>
        </is>
      </c>
      <c r="F765" s="0" t="inlineStr">
        <is>
          <t xml:space="preserve">naics:336611</t>
        </is>
      </c>
    </row>
    <row r="766">
      <c r="B766" s="0" t="inlineStr">
        <is>
          <t xml:space="preserve">N0002418F4205</t>
        </is>
      </c>
      <c r="C766" s="0" t="inlineStr">
        <is>
          <t xml:space="preserve">broad_maritime</t>
        </is>
      </c>
      <c r="D766" s="4">
        <v>19.575457999999998</v>
      </c>
      <c r="E766" s="0" t="inlineStr">
        <is>
          <t xml:space="preserve">VSE CORPORATION</t>
        </is>
      </c>
      <c r="F766" s="0" t="inlineStr">
        <is>
          <t xml:space="preserve">naics:336611</t>
        </is>
      </c>
    </row>
    <row r="767">
      <c r="B767" s="0" t="inlineStr">
        <is>
          <t xml:space="preserve">N6279322F0006</t>
        </is>
      </c>
      <c r="C767" s="0" t="inlineStr">
        <is>
          <t xml:space="preserve">broad_maritime</t>
        </is>
      </c>
      <c r="D767" s="4">
        <v>19.49115437</v>
      </c>
      <c r="E767" s="0" t="inlineStr">
        <is>
          <t xml:space="preserve">HII FLEET SUPPORT GROUP LLC</t>
        </is>
      </c>
      <c r="F767" s="0" t="inlineStr">
        <is>
          <t xml:space="preserve">naics:336611; psc:1905</t>
        </is>
      </c>
    </row>
    <row r="768">
      <c r="B768" s="0" t="inlineStr">
        <is>
          <t xml:space="preserve">N6817125C0008</t>
        </is>
      </c>
      <c r="C768" s="0" t="inlineStr">
        <is>
          <t xml:space="preserve">broad_maritime</t>
        </is>
      </c>
      <c r="D768" s="4">
        <v>19.45572743</v>
      </c>
      <c r="E768" s="0" t="inlineStr">
        <is>
          <t xml:space="preserve">OFFICINE MECCANICHE NAVALI E FONDERIE SAN GIORGIO DEL PORTO S.P.A.</t>
        </is>
      </c>
      <c r="F768" s="0" t="inlineStr">
        <is>
          <t xml:space="preserve">naics:336611</t>
        </is>
      </c>
    </row>
    <row r="769">
      <c r="B769" s="0" t="inlineStr">
        <is>
          <t xml:space="preserve">N3220521C4010</t>
        </is>
      </c>
      <c r="C769" s="0" t="inlineStr">
        <is>
          <t xml:space="preserve">broad_maritime</t>
        </is>
      </c>
      <c r="D769" s="4">
        <v>19.44771</v>
      </c>
      <c r="E769" s="0" t="inlineStr">
        <is>
          <t xml:space="preserve">ALABAMA SHIPYARD LLC</t>
        </is>
      </c>
      <c r="F769" s="0" t="inlineStr">
        <is>
          <t xml:space="preserve">naics:336611</t>
        </is>
      </c>
    </row>
    <row r="770">
      <c r="B770" s="0" t="inlineStr">
        <is>
          <t xml:space="preserve">N6264918F0288</t>
        </is>
      </c>
      <c r="C770" s="0" t="inlineStr">
        <is>
          <t xml:space="preserve">broad_maritime</t>
        </is>
      </c>
      <c r="D770" s="4">
        <v>19.40921621</v>
      </c>
      <c r="E770" s="0" t="inlineStr">
        <is>
          <t xml:space="preserve">SUMITOMO HEAVY INDUSTRIES, LTD</t>
        </is>
      </c>
      <c r="F770" s="0" t="inlineStr">
        <is>
          <t xml:space="preserve">naics:336611</t>
        </is>
      </c>
    </row>
    <row r="771">
      <c r="B771" s="0" t="inlineStr">
        <is>
          <t xml:space="preserve">0056</t>
        </is>
      </c>
      <c r="C771" s="0" t="inlineStr">
        <is>
          <t xml:space="preserve">broad_maritime</t>
        </is>
      </c>
      <c r="D771" s="4">
        <v>19.3923</v>
      </c>
      <c r="E771" s="0" t="inlineStr">
        <is>
          <t xml:space="preserve">TECNICO CORPORATION</t>
        </is>
      </c>
      <c r="F771" s="0" t="inlineStr">
        <is>
          <t xml:space="preserve">naics:336611</t>
        </is>
      </c>
    </row>
    <row r="772">
      <c r="B772" s="0" t="inlineStr">
        <is>
          <t xml:space="preserve">N3220522C4201</t>
        </is>
      </c>
      <c r="C772" s="0" t="inlineStr">
        <is>
          <t xml:space="preserve">broad_maritime</t>
        </is>
      </c>
      <c r="D772" s="4">
        <v>19.384527</v>
      </c>
      <c r="E772" s="0" t="inlineStr">
        <is>
          <t xml:space="preserve">DETYENS SHIPYARDS INC</t>
        </is>
      </c>
      <c r="F772" s="0" t="inlineStr">
        <is>
          <t xml:space="preserve">naics:336611</t>
        </is>
      </c>
    </row>
    <row r="773">
      <c r="B773" s="0" t="inlineStr">
        <is>
          <t xml:space="preserve">N5005416C0006</t>
        </is>
      </c>
      <c r="C773" s="0" t="inlineStr">
        <is>
          <t xml:space="preserve">broad_maritime</t>
        </is>
      </c>
      <c r="D773" s="4">
        <v>19.357891</v>
      </c>
      <c r="E773" s="0" t="inlineStr">
        <is>
          <t xml:space="preserve">MARINE HYDRAULICS INTERNATIONAL, LLC</t>
        </is>
      </c>
      <c r="F773" s="0" t="inlineStr">
        <is>
          <t xml:space="preserve">naics:336611</t>
        </is>
      </c>
    </row>
    <row r="774">
      <c r="B774" s="0" t="inlineStr">
        <is>
          <t xml:space="preserve">N6449822F3065</t>
        </is>
      </c>
      <c r="C774" s="0" t="inlineStr">
        <is>
          <t xml:space="preserve">broad_maritime</t>
        </is>
      </c>
      <c r="D774" s="4">
        <v>19.327289309999998</v>
      </c>
      <c r="E774" s="0" t="inlineStr">
        <is>
          <t xml:space="preserve">L3HARRIS MARITIME SERVICES INC</t>
        </is>
      </c>
      <c r="F774" s="0" t="inlineStr">
        <is>
          <t xml:space="preserve">naics:336611</t>
        </is>
      </c>
    </row>
    <row r="775">
      <c r="B775" s="0" t="inlineStr">
        <is>
          <t xml:space="preserve">N6449822F4001</t>
        </is>
      </c>
      <c r="C775" s="0" t="inlineStr">
        <is>
          <t xml:space="preserve">broad_maritime</t>
        </is>
      </c>
      <c r="D775" s="4">
        <v>19.3245456</v>
      </c>
      <c r="E775" s="0" t="inlineStr">
        <is>
          <t xml:space="preserve">GENERAL ELECTRIC COMPANY</t>
        </is>
      </c>
      <c r="F775" s="0" t="inlineStr">
        <is>
          <t xml:space="preserve">naics:336611</t>
        </is>
      </c>
    </row>
    <row r="776">
      <c r="B776" s="0" t="inlineStr">
        <is>
          <t xml:space="preserve">N0002415C2429</t>
        </is>
      </c>
      <c r="C776" s="0" t="inlineStr">
        <is>
          <t xml:space="preserve">broad_maritime</t>
        </is>
      </c>
      <c r="D776" s="4">
        <v>19.30814341</v>
      </c>
      <c r="E776" s="0" t="inlineStr">
        <is>
          <t xml:space="preserve">L3HARRIS MARITIME SERVICES INC</t>
        </is>
      </c>
      <c r="F776" s="0" t="inlineStr">
        <is>
          <t xml:space="preserve">naics:336611; psc:1905</t>
        </is>
      </c>
    </row>
    <row r="777">
      <c r="B777" s="0" t="inlineStr">
        <is>
          <t xml:space="preserve">N3220518C4257</t>
        </is>
      </c>
      <c r="C777" s="0" t="inlineStr">
        <is>
          <t xml:space="preserve">broad_maritime</t>
        </is>
      </c>
      <c r="D777" s="4">
        <v>19.307567</v>
      </c>
      <c r="E777" s="0" t="inlineStr">
        <is>
          <t xml:space="preserve">VIGOR MARINE LLC</t>
        </is>
      </c>
      <c r="F777" s="0" t="inlineStr">
        <is>
          <t xml:space="preserve">naics:336611</t>
        </is>
      </c>
    </row>
    <row r="778">
      <c r="B778" s="0" t="inlineStr">
        <is>
          <t xml:space="preserve">N5523625F8464</t>
        </is>
      </c>
      <c r="C778" s="0" t="inlineStr">
        <is>
          <t xml:space="preserve">broad_maritime</t>
        </is>
      </c>
      <c r="D778" s="4">
        <v>19.23370612</v>
      </c>
      <c r="E778" s="0" t="inlineStr">
        <is>
          <t xml:space="preserve">AUSTAL USA, LLC</t>
        </is>
      </c>
      <c r="F778" s="0" t="inlineStr">
        <is>
          <t xml:space="preserve">naics:336611</t>
        </is>
      </c>
    </row>
    <row r="779">
      <c r="B779" s="0" t="inlineStr">
        <is>
          <t xml:space="preserve">N0002418C4100</t>
        </is>
      </c>
      <c r="C779" s="0" t="inlineStr">
        <is>
          <t xml:space="preserve">broad_maritime</t>
        </is>
      </c>
      <c r="D779" s="4">
        <v>19.220487</v>
      </c>
      <c r="E779" s="0" t="inlineStr">
        <is>
          <t xml:space="preserve">VERICOR POWER SYSTEMS LLC</t>
        </is>
      </c>
      <c r="F779" s="0" t="inlineStr">
        <is>
          <t xml:space="preserve">naics:336611</t>
        </is>
      </c>
    </row>
    <row r="780">
      <c r="B780" s="0" t="inlineStr">
        <is>
          <t xml:space="preserve">N6264926CL002</t>
        </is>
      </c>
      <c r="C780" s="0" t="inlineStr">
        <is>
          <t xml:space="preserve">broad_maritime</t>
        </is>
      </c>
      <c r="D780" s="4">
        <v>19.218934</v>
      </c>
      <c r="E780" s="0" t="inlineStr">
        <is>
          <t xml:space="preserve">SEATRIUM REPAIRS &amp; UPGRADES PTE. LTD.</t>
        </is>
      </c>
      <c r="F780" s="0" t="inlineStr">
        <is>
          <t xml:space="preserve">naics:336611</t>
        </is>
      </c>
    </row>
    <row r="781">
      <c r="B781" s="0" t="inlineStr">
        <is>
          <t xml:space="preserve">0001</t>
        </is>
      </c>
      <c r="C781" s="0" t="inlineStr">
        <is>
          <t xml:space="preserve">broad_maritime</t>
        </is>
      </c>
      <c r="D781" s="4">
        <v>19.157598</v>
      </c>
      <c r="E781" s="0" t="inlineStr">
        <is>
          <t xml:space="preserve">HUNTINGTON INGALLS INCORPORATED</t>
        </is>
      </c>
      <c r="F781" s="0" t="inlineStr">
        <is>
          <t xml:space="preserve">naics:336611; psc:1905</t>
        </is>
      </c>
    </row>
    <row r="782">
      <c r="B782" s="0" t="inlineStr">
        <is>
          <t xml:space="preserve">N4523A18F0551</t>
        </is>
      </c>
      <c r="C782" s="0" t="inlineStr">
        <is>
          <t xml:space="preserve">broad_maritime</t>
        </is>
      </c>
      <c r="D782" s="4">
        <v>19.14085201</v>
      </c>
      <c r="E782" s="0" t="inlineStr">
        <is>
          <t xml:space="preserve">VIGOR MARINE LLC</t>
        </is>
      </c>
      <c r="F782" s="0" t="inlineStr">
        <is>
          <t xml:space="preserve">naics:336611</t>
        </is>
      </c>
    </row>
    <row r="783">
      <c r="B783" s="0" t="inlineStr">
        <is>
          <t xml:space="preserve">N5005422C0002</t>
        </is>
      </c>
      <c r="C783" s="0" t="inlineStr">
        <is>
          <t xml:space="preserve">broad_maritime</t>
        </is>
      </c>
      <c r="D783" s="4">
        <v>19.121620749999998</v>
      </c>
      <c r="E783" s="0" t="inlineStr">
        <is>
          <t xml:space="preserve">LYON SHIPYARD INC</t>
        </is>
      </c>
      <c r="F783" s="0" t="inlineStr">
        <is>
          <t xml:space="preserve">naics:336611</t>
        </is>
      </c>
    </row>
    <row r="784">
      <c r="B784" s="0" t="inlineStr">
        <is>
          <t xml:space="preserve">N0002414C2409</t>
        </is>
      </c>
      <c r="C784" s="0" t="inlineStr">
        <is>
          <t xml:space="preserve">broad_maritime</t>
        </is>
      </c>
      <c r="D784" s="4">
        <v>19.09641</v>
      </c>
      <c r="E784" s="0" t="inlineStr">
        <is>
          <t xml:space="preserve">NATIONAL STEEL AND SHIPBUILDING COMPANY</t>
        </is>
      </c>
      <c r="F784" s="0" t="inlineStr">
        <is>
          <t xml:space="preserve">naics:336611; psc:1905</t>
        </is>
      </c>
    </row>
    <row r="785">
      <c r="B785" s="0" t="inlineStr">
        <is>
          <t xml:space="preserve">N0002421F8089</t>
        </is>
      </c>
      <c r="C785" s="0" t="inlineStr">
        <is>
          <t xml:space="preserve">usv_core</t>
        </is>
      </c>
      <c r="D785" s="4">
        <v>19.061381</v>
      </c>
      <c r="E785" s="0" t="inlineStr">
        <is>
          <t xml:space="preserve">THE JOHNS HOPKINS UNIVERSITY APPLIED PHYSICS LABORATORY LLC</t>
        </is>
      </c>
      <c r="F785" s="0" t="inlineStr">
        <is>
          <t xml:space="preserve">keyword</t>
        </is>
      </c>
    </row>
    <row r="786">
      <c r="B786" s="0" t="inlineStr">
        <is>
          <t xml:space="preserve">N0002418F22X1</t>
        </is>
      </c>
      <c r="C786" s="0" t="inlineStr">
        <is>
          <t xml:space="preserve">small_craft</t>
        </is>
      </c>
      <c r="D786" s="4">
        <v>19.039911739999997</v>
      </c>
      <c r="E786" s="0" t="inlineStr">
        <is>
          <t xml:space="preserve">GRAVOIS ALUMINUM BOATS LLC</t>
        </is>
      </c>
      <c r="F786" s="0" t="inlineStr">
        <is>
          <t xml:space="preserve">naics:336612; psc:1940</t>
        </is>
      </c>
    </row>
    <row r="787">
      <c r="B787" s="0" t="inlineStr">
        <is>
          <t xml:space="preserve">N5005417FC031</t>
        </is>
      </c>
      <c r="C787" s="0" t="inlineStr">
        <is>
          <t xml:space="preserve">broad_maritime</t>
        </is>
      </c>
      <c r="D787" s="4">
        <v>18.996737</v>
      </c>
      <c r="E787" s="0" t="inlineStr">
        <is>
          <t xml:space="preserve">BAE SYSTEMS MARITIME SOLUTIONS NORFOLK INC.</t>
        </is>
      </c>
      <c r="F787" s="0" t="inlineStr">
        <is>
          <t xml:space="preserve">naics:336611</t>
        </is>
      </c>
    </row>
    <row r="788">
      <c r="B788" s="0" t="inlineStr">
        <is>
          <t xml:space="preserve">0273</t>
        </is>
      </c>
      <c r="C788" s="0" t="inlineStr">
        <is>
          <t xml:space="preserve">broad_maritime</t>
        </is>
      </c>
      <c r="D788" s="4">
        <v>18.97825207</v>
      </c>
      <c r="E788" s="0" t="inlineStr">
        <is>
          <t xml:space="preserve">VSE CORPORATION</t>
        </is>
      </c>
      <c r="F788" s="0" t="inlineStr">
        <is>
          <t xml:space="preserve">naics:336611</t>
        </is>
      </c>
    </row>
    <row r="789">
      <c r="B789" s="0" t="inlineStr">
        <is>
          <t xml:space="preserve">N5523621F5229</t>
        </is>
      </c>
      <c r="C789" s="0" t="inlineStr">
        <is>
          <t xml:space="preserve">broad_maritime</t>
        </is>
      </c>
      <c r="D789" s="4">
        <v>18.94155489</v>
      </c>
      <c r="E789" s="0" t="inlineStr">
        <is>
          <t xml:space="preserve">CONTINENTAL MARITIME OF SAN DIEGO, LLC</t>
        </is>
      </c>
      <c r="F789" s="0" t="inlineStr">
        <is>
          <t xml:space="preserve">naics:336611</t>
        </is>
      </c>
    </row>
    <row r="790">
      <c r="B790" s="0" t="inlineStr">
        <is>
          <t xml:space="preserve">N0002419F2238</t>
        </is>
      </c>
      <c r="C790" s="0" t="inlineStr">
        <is>
          <t xml:space="preserve">small_craft</t>
        </is>
      </c>
      <c r="D790" s="4">
        <v>18.9408558</v>
      </c>
      <c r="E790" s="0" t="inlineStr">
        <is>
          <t xml:space="preserve">SILVER SHIPS, INC</t>
        </is>
      </c>
      <c r="F790" s="0" t="inlineStr">
        <is>
          <t xml:space="preserve">naics:336611; psc:1940</t>
        </is>
      </c>
    </row>
    <row r="791">
      <c r="B791" s="0" t="inlineStr">
        <is>
          <t xml:space="preserve">N3220517C4207</t>
        </is>
      </c>
      <c r="C791" s="0" t="inlineStr">
        <is>
          <t xml:space="preserve">broad_maritime</t>
        </is>
      </c>
      <c r="D791" s="4">
        <v>18.900434</v>
      </c>
      <c r="E791" s="0" t="inlineStr">
        <is>
          <t xml:space="preserve">VIGOR MARINE LLC</t>
        </is>
      </c>
      <c r="F791" s="0" t="inlineStr">
        <is>
          <t xml:space="preserve">naics:336611</t>
        </is>
      </c>
    </row>
    <row r="792">
      <c r="B792" s="0" t="inlineStr">
        <is>
          <t xml:space="preserve">N3220523C4015</t>
        </is>
      </c>
      <c r="C792" s="0" t="inlineStr">
        <is>
          <t xml:space="preserve">broad_maritime</t>
        </is>
      </c>
      <c r="D792" s="4">
        <v>18.893484739999998</v>
      </c>
      <c r="E792" s="0" t="inlineStr">
        <is>
          <t xml:space="preserve">BOSTON SHIP REPAIR LLC</t>
        </is>
      </c>
      <c r="F792" s="0" t="inlineStr">
        <is>
          <t xml:space="preserve">naics:336611</t>
        </is>
      </c>
    </row>
    <row r="793">
      <c r="B793" s="0" t="inlineStr">
        <is>
          <t xml:space="preserve">N3220518C4253</t>
        </is>
      </c>
      <c r="C793" s="0" t="inlineStr">
        <is>
          <t xml:space="preserve">broad_maritime</t>
        </is>
      </c>
      <c r="D793" s="4">
        <v>18.86486512</v>
      </c>
      <c r="E793" s="0" t="inlineStr">
        <is>
          <t xml:space="preserve">DETYENS SHIPYARDS INC</t>
        </is>
      </c>
      <c r="F793" s="0" t="inlineStr">
        <is>
          <t xml:space="preserve">naics:336611</t>
        </is>
      </c>
    </row>
    <row r="794">
      <c r="B794" s="0" t="inlineStr">
        <is>
          <t xml:space="preserve">N3220525C4003</t>
        </is>
      </c>
      <c r="C794" s="0" t="inlineStr">
        <is>
          <t xml:space="preserve">broad_maritime</t>
        </is>
      </c>
      <c r="D794" s="4">
        <v>18.862130999999998</v>
      </c>
      <c r="E794" s="0" t="inlineStr">
        <is>
          <t xml:space="preserve">DETYENS SHIPYARDS INC</t>
        </is>
      </c>
      <c r="F794" s="0" t="inlineStr">
        <is>
          <t xml:space="preserve">naics:336611</t>
        </is>
      </c>
    </row>
    <row r="795">
      <c r="B795" s="0" t="inlineStr">
        <is>
          <t xml:space="preserve">N0002420C6318</t>
        </is>
      </c>
      <c r="C795" s="0" t="inlineStr">
        <is>
          <t xml:space="preserve">broad_maritime</t>
        </is>
      </c>
      <c r="D795" s="4">
        <v>18.85641819</v>
      </c>
      <c r="E795" s="0" t="inlineStr">
        <is>
          <t xml:space="preserve">GIBBS &amp; COX, INC.</t>
        </is>
      </c>
      <c r="F795" s="0" t="inlineStr">
        <is>
          <t xml:space="preserve">naics:336611; psc:1905</t>
        </is>
      </c>
    </row>
    <row r="796">
      <c r="B796" s="0" t="inlineStr">
        <is>
          <t xml:space="preserve">N0002423F22C2</t>
        </is>
      </c>
      <c r="C796" s="0" t="inlineStr">
        <is>
          <t xml:space="preserve">small_craft</t>
        </is>
      </c>
      <c r="D796" s="4">
        <v>18.827650629999997</v>
      </c>
      <c r="E796" s="0" t="inlineStr">
        <is>
          <t xml:space="preserve">SILVER SHIPS, INC</t>
        </is>
      </c>
      <c r="F796" s="0" t="inlineStr">
        <is>
          <t xml:space="preserve">naics:336612; psc:1940</t>
        </is>
      </c>
    </row>
    <row r="797">
      <c r="B797" s="0" t="inlineStr">
        <is>
          <t xml:space="preserve">N3220525C4125</t>
        </is>
      </c>
      <c r="C797" s="0" t="inlineStr">
        <is>
          <t xml:space="preserve">broad_maritime</t>
        </is>
      </c>
      <c r="D797" s="4">
        <v>18.822976999999998</v>
      </c>
      <c r="E797" s="0" t="inlineStr">
        <is>
          <t xml:space="preserve">JAG ALASKA INC.</t>
        </is>
      </c>
      <c r="F797" s="0" t="inlineStr">
        <is>
          <t xml:space="preserve">naics:336611</t>
        </is>
      </c>
    </row>
    <row r="798">
      <c r="B798" s="0" t="inlineStr">
        <is>
          <t xml:space="preserve">N6931618F4003</t>
        </is>
      </c>
      <c r="C798" s="0" t="inlineStr">
        <is>
          <t xml:space="preserve">broad_maritime</t>
        </is>
      </c>
      <c r="D798" s="4">
        <v>18.750387</v>
      </c>
      <c r="E798" s="0" t="inlineStr">
        <is>
          <t xml:space="preserve">AUSTAL USA, LLC</t>
        </is>
      </c>
      <c r="F798" s="0" t="inlineStr">
        <is>
          <t xml:space="preserve">naics:336611</t>
        </is>
      </c>
    </row>
    <row r="799">
      <c r="B799" s="0" t="inlineStr">
        <is>
          <t xml:space="preserve">N3220518C4003</t>
        </is>
      </c>
      <c r="C799" s="0" t="inlineStr">
        <is>
          <t xml:space="preserve">broad_maritime</t>
        </is>
      </c>
      <c r="D799" s="4">
        <v>18.748988999999998</v>
      </c>
      <c r="E799" s="0" t="inlineStr">
        <is>
          <t xml:space="preserve">BOSTON SHIP REPAIR LLC</t>
        </is>
      </c>
      <c r="F799" s="0" t="inlineStr">
        <is>
          <t xml:space="preserve">naics:336611</t>
        </is>
      </c>
    </row>
    <row r="800">
      <c r="B800" s="0" t="inlineStr">
        <is>
          <t xml:space="preserve">N6931625F6000</t>
        </is>
      </c>
      <c r="C800" s="0" t="inlineStr">
        <is>
          <t xml:space="preserve">broad_maritime</t>
        </is>
      </c>
      <c r="D800" s="4">
        <v>18.730186</v>
      </c>
      <c r="E800" s="0" t="inlineStr">
        <is>
          <t xml:space="preserve">HUNTINGTON INGALLS INCORPORATED</t>
        </is>
      </c>
      <c r="F800" s="0" t="inlineStr">
        <is>
          <t xml:space="preserve">naics:336611</t>
        </is>
      </c>
    </row>
    <row r="801">
      <c r="B801" s="0" t="inlineStr">
        <is>
          <t xml:space="preserve">N0016721F0120</t>
        </is>
      </c>
      <c r="C801" s="0" t="inlineStr">
        <is>
          <t xml:space="preserve">broad_maritime</t>
        </is>
      </c>
      <c r="D801" s="4">
        <v>18.694229999999997</v>
      </c>
      <c r="E801" s="0" t="inlineStr">
        <is>
          <t xml:space="preserve">BAE SYSTEMS LAND &amp; ARMAMENTS L.P.</t>
        </is>
      </c>
      <c r="F801" s="0" t="inlineStr">
        <is>
          <t xml:space="preserve">naics:336611</t>
        </is>
      </c>
    </row>
    <row r="802">
      <c r="B802" s="0" t="inlineStr">
        <is>
          <t xml:space="preserve">N6278919F0007</t>
        </is>
      </c>
      <c r="C802" s="0" t="inlineStr">
        <is>
          <t xml:space="preserve">broad_maritime</t>
        </is>
      </c>
      <c r="D802" s="4">
        <v>18.677554999999998</v>
      </c>
      <c r="E802" s="0" t="inlineStr">
        <is>
          <t xml:space="preserve">ELECTRIC BOAT CORPORATION</t>
        </is>
      </c>
      <c r="F802" s="0" t="inlineStr">
        <is>
          <t xml:space="preserve">naics:336611</t>
        </is>
      </c>
    </row>
    <row r="803">
      <c r="B803" s="0" t="inlineStr">
        <is>
          <t xml:space="preserve">N0002425F4G02</t>
        </is>
      </c>
      <c r="C803" s="0" t="inlineStr">
        <is>
          <t xml:space="preserve">broad_maritime</t>
        </is>
      </c>
      <c r="D803" s="4">
        <v>18.662122</v>
      </c>
      <c r="E803" s="0" t="inlineStr">
        <is>
          <t xml:space="preserve">SEAWARD MARINE SERVICES, LLC</t>
        </is>
      </c>
      <c r="F803" s="0" t="inlineStr">
        <is>
          <t xml:space="preserve">naics:336611</t>
        </is>
      </c>
    </row>
    <row r="804">
      <c r="B804" s="0" t="inlineStr">
        <is>
          <t xml:space="preserve">N4002724F0117</t>
        </is>
      </c>
      <c r="C804" s="0" t="inlineStr">
        <is>
          <t xml:space="preserve">broad_maritime</t>
        </is>
      </c>
      <c r="D804" s="4">
        <v>18.54790889</v>
      </c>
      <c r="E804" s="0" t="inlineStr">
        <is>
          <t xml:space="preserve">EAST COAST REPAIR &amp; FABRICATION, LLC</t>
        </is>
      </c>
      <c r="F804" s="0" t="inlineStr">
        <is>
          <t xml:space="preserve">naics:336611</t>
        </is>
      </c>
    </row>
    <row r="805">
      <c r="B805" s="0" t="inlineStr">
        <is>
          <t xml:space="preserve">N5005424FL005</t>
        </is>
      </c>
      <c r="C805" s="0" t="inlineStr">
        <is>
          <t xml:space="preserve">broad_maritime</t>
        </is>
      </c>
      <c r="D805" s="4">
        <v>18.48892</v>
      </c>
      <c r="E805" s="0" t="inlineStr">
        <is>
          <t xml:space="preserve">METRO MACHINE CORP.</t>
        </is>
      </c>
      <c r="F805" s="0" t="inlineStr">
        <is>
          <t xml:space="preserve">naics:336611</t>
        </is>
      </c>
    </row>
    <row r="806">
      <c r="B806" s="0" t="inlineStr">
        <is>
          <t xml:space="preserve">N5005420FC027</t>
        </is>
      </c>
      <c r="C806" s="0" t="inlineStr">
        <is>
          <t xml:space="preserve">broad_maritime</t>
        </is>
      </c>
      <c r="D806" s="4">
        <v>18.482384</v>
      </c>
      <c r="E806" s="0" t="inlineStr">
        <is>
          <t xml:space="preserve">MARINE HYDRAULICS INTERNATIONAL, LLC</t>
        </is>
      </c>
      <c r="F806" s="0" t="inlineStr">
        <is>
          <t xml:space="preserve">naics:336611</t>
        </is>
      </c>
    </row>
    <row r="807">
      <c r="B807" s="0" t="inlineStr">
        <is>
          <t xml:space="preserve">N5005423FC024</t>
        </is>
      </c>
      <c r="C807" s="0" t="inlineStr">
        <is>
          <t xml:space="preserve">broad_maritime</t>
        </is>
      </c>
      <c r="D807" s="4">
        <v>18.47149632</v>
      </c>
      <c r="E807" s="0" t="inlineStr">
        <is>
          <t xml:space="preserve">EAST COAST REPAIR &amp; FABRICATION, LLC</t>
        </is>
      </c>
      <c r="F807" s="0" t="inlineStr">
        <is>
          <t xml:space="preserve">naics:336611</t>
        </is>
      </c>
    </row>
    <row r="808">
      <c r="B808" s="0" t="inlineStr">
        <is>
          <t xml:space="preserve">N5523621F8267</t>
        </is>
      </c>
      <c r="C808" s="0" t="inlineStr">
        <is>
          <t xml:space="preserve">broad_maritime</t>
        </is>
      </c>
      <c r="D808" s="4">
        <v>18.45788218</v>
      </c>
      <c r="E808" s="0" t="inlineStr">
        <is>
          <t xml:space="preserve">LIFE CYCLE ENGINEERING INC</t>
        </is>
      </c>
      <c r="F808" s="0" t="inlineStr">
        <is>
          <t xml:space="preserve">naics:336611</t>
        </is>
      </c>
    </row>
    <row r="809">
      <c r="B809" s="0" t="inlineStr">
        <is>
          <t xml:space="preserve">N4044624F0045</t>
        </is>
      </c>
      <c r="C809" s="0" t="inlineStr">
        <is>
          <t xml:space="preserve">broad_maritime</t>
        </is>
      </c>
      <c r="D809" s="4">
        <v>18.411452609999998</v>
      </c>
      <c r="E809" s="0" t="inlineStr">
        <is>
          <t xml:space="preserve">GUAM INDUSTRIAL SERVICES INC</t>
        </is>
      </c>
      <c r="F809" s="0" t="inlineStr">
        <is>
          <t xml:space="preserve">naics:336611</t>
        </is>
      </c>
    </row>
    <row r="810">
      <c r="B810" s="0" t="inlineStr">
        <is>
          <t xml:space="preserve">N5523619F4018</t>
        </is>
      </c>
      <c r="C810" s="0" t="inlineStr">
        <is>
          <t xml:space="preserve">broad_maritime</t>
        </is>
      </c>
      <c r="D810" s="4">
        <v>18.40011277</v>
      </c>
      <c r="E810" s="0" t="inlineStr">
        <is>
          <t xml:space="preserve">NATIONAL STEEL AND SHIPBUILDING COMPANY</t>
        </is>
      </c>
      <c r="F810" s="0" t="inlineStr">
        <is>
          <t xml:space="preserve">naics:336611</t>
        </is>
      </c>
    </row>
    <row r="811">
      <c r="B811" s="0" t="inlineStr">
        <is>
          <t xml:space="preserve">N5523624F8469</t>
        </is>
      </c>
      <c r="C811" s="0" t="inlineStr">
        <is>
          <t xml:space="preserve">broad_maritime</t>
        </is>
      </c>
      <c r="D811" s="4">
        <v>18.37503288</v>
      </c>
      <c r="E811" s="0" t="inlineStr">
        <is>
          <t xml:space="preserve">LIFE CYCLE ENGINEERING INC</t>
        </is>
      </c>
      <c r="F811" s="0" t="inlineStr">
        <is>
          <t xml:space="preserve">naics:336611</t>
        </is>
      </c>
    </row>
    <row r="812">
      <c r="B812" s="0" t="inlineStr">
        <is>
          <t xml:space="preserve">7F14</t>
        </is>
      </c>
      <c r="C812" s="0" t="inlineStr">
        <is>
          <t xml:space="preserve">broad_maritime</t>
        </is>
      </c>
      <c r="D812" s="4">
        <v>18.343065</v>
      </c>
      <c r="E812" s="0" t="inlineStr">
        <is>
          <t xml:space="preserve">AUSTAL USA, LLC</t>
        </is>
      </c>
      <c r="F812" s="0" t="inlineStr">
        <is>
          <t xml:space="preserve">naics:336611</t>
        </is>
      </c>
    </row>
    <row r="813">
      <c r="B813" s="0" t="inlineStr">
        <is>
          <t xml:space="preserve">N4034519F0004</t>
        </is>
      </c>
      <c r="C813" s="0" t="inlineStr">
        <is>
          <t xml:space="preserve">broad_maritime</t>
        </is>
      </c>
      <c r="D813" s="4">
        <v>18.34013685</v>
      </c>
      <c r="E813" s="0" t="inlineStr">
        <is>
          <t xml:space="preserve">MARINE GROUP BOAT WORKS, LLC</t>
        </is>
      </c>
      <c r="F813" s="0" t="inlineStr">
        <is>
          <t xml:space="preserve">naics:336611</t>
        </is>
      </c>
    </row>
    <row r="814">
      <c r="B814" s="0" t="inlineStr">
        <is>
          <t xml:space="preserve">N3220520C4006</t>
        </is>
      </c>
      <c r="C814" s="0" t="inlineStr">
        <is>
          <t xml:space="preserve">broad_maritime</t>
        </is>
      </c>
      <c r="D814" s="4">
        <v>18.322249</v>
      </c>
      <c r="E814" s="0" t="inlineStr">
        <is>
          <t xml:space="preserve">BOSTON SHIP REPAIR LLC</t>
        </is>
      </c>
      <c r="F814" s="0" t="inlineStr">
        <is>
          <t xml:space="preserve">naics:336611</t>
        </is>
      </c>
    </row>
    <row r="815">
      <c r="B815" s="0" t="inlineStr">
        <is>
          <t xml:space="preserve">N6449822F3164</t>
        </is>
      </c>
      <c r="C815" s="0" t="inlineStr">
        <is>
          <t xml:space="preserve">broad_maritime</t>
        </is>
      </c>
      <c r="D815" s="4">
        <v>18.273902749999998</v>
      </c>
      <c r="E815" s="0" t="inlineStr">
        <is>
          <t xml:space="preserve">GENERAL DYNAMICS INFORMATION TECHNOLOGY, INC.</t>
        </is>
      </c>
      <c r="F815" s="0" t="inlineStr">
        <is>
          <t xml:space="preserve">naics:336611</t>
        </is>
      </c>
    </row>
    <row r="816">
      <c r="B816" s="0" t="inlineStr">
        <is>
          <t xml:space="preserve">N3220520C4002</t>
        </is>
      </c>
      <c r="C816" s="0" t="inlineStr">
        <is>
          <t xml:space="preserve">broad_maritime</t>
        </is>
      </c>
      <c r="D816" s="4">
        <v>18.216697</v>
      </c>
      <c r="E816" s="0" t="inlineStr">
        <is>
          <t xml:space="preserve">BOSTON SHIP REPAIR LLC</t>
        </is>
      </c>
      <c r="F816" s="0" t="inlineStr">
        <is>
          <t xml:space="preserve">naics:336611</t>
        </is>
      </c>
    </row>
    <row r="817">
      <c r="B817" s="0" t="inlineStr">
        <is>
          <t xml:space="preserve">N3220526C1226</t>
        </is>
      </c>
      <c r="C817" s="0" t="inlineStr">
        <is>
          <t xml:space="preserve">broad_maritime</t>
        </is>
      </c>
      <c r="D817" s="4">
        <v>18.205703</v>
      </c>
      <c r="E817" s="0" t="inlineStr">
        <is>
          <t xml:space="preserve">ALABAMA SHIPYARD LLC</t>
        </is>
      </c>
      <c r="F817" s="0" t="inlineStr">
        <is>
          <t xml:space="preserve">naics:336611</t>
        </is>
      </c>
    </row>
    <row r="818">
      <c r="B818" s="0" t="inlineStr">
        <is>
          <t xml:space="preserve">N0002424F4G00</t>
        </is>
      </c>
      <c r="C818" s="0" t="inlineStr">
        <is>
          <t xml:space="preserve">broad_maritime</t>
        </is>
      </c>
      <c r="D818" s="4">
        <v>18.16702717</v>
      </c>
      <c r="E818" s="0" t="inlineStr">
        <is>
          <t xml:space="preserve">SEAWARD MARINE SERVICES, LLC</t>
        </is>
      </c>
      <c r="F818" s="0" t="inlineStr">
        <is>
          <t xml:space="preserve">naics:336611</t>
        </is>
      </c>
    </row>
    <row r="819">
      <c r="B819" s="0" t="inlineStr">
        <is>
          <t xml:space="preserve">N3220526C1204</t>
        </is>
      </c>
      <c r="C819" s="0" t="inlineStr">
        <is>
          <t xml:space="preserve">broad_maritime</t>
        </is>
      </c>
      <c r="D819" s="4">
        <v>18.107934999999998</v>
      </c>
      <c r="E819" s="0" t="inlineStr">
        <is>
          <t xml:space="preserve">ALABAMA SHIPYARD LLC</t>
        </is>
      </c>
      <c r="F819" s="0" t="inlineStr">
        <is>
          <t xml:space="preserve">naics:336611</t>
        </is>
      </c>
    </row>
    <row r="820">
      <c r="B820" s="0" t="inlineStr">
        <is>
          <t xml:space="preserve">0182</t>
        </is>
      </c>
      <c r="C820" s="0" t="inlineStr">
        <is>
          <t xml:space="preserve">broad_maritime</t>
        </is>
      </c>
      <c r="D820" s="4">
        <v>18.071358999999998</v>
      </c>
      <c r="E820" s="0" t="inlineStr">
        <is>
          <t xml:space="preserve">VSE CORPORATION</t>
        </is>
      </c>
      <c r="F820" s="0" t="inlineStr">
        <is>
          <t xml:space="preserve">naics:336611</t>
        </is>
      </c>
    </row>
    <row r="821">
      <c r="B821" s="0" t="inlineStr">
        <is>
          <t xml:space="preserve">0009</t>
        </is>
      </c>
      <c r="C821" s="0" t="inlineStr">
        <is>
          <t xml:space="preserve">broad_maritime</t>
        </is>
      </c>
      <c r="D821" s="4">
        <v>18.0368</v>
      </c>
      <c r="E821" s="0" t="inlineStr">
        <is>
          <t xml:space="preserve">QED SYSTEMS, INC.</t>
        </is>
      </c>
      <c r="F821" s="0" t="inlineStr">
        <is>
          <t xml:space="preserve">naics:336611</t>
        </is>
      </c>
    </row>
    <row r="822">
      <c r="B822" s="0" t="inlineStr">
        <is>
          <t xml:space="preserve">N6817123C0003</t>
        </is>
      </c>
      <c r="C822" s="0" t="inlineStr">
        <is>
          <t xml:space="preserve">broad_maritime</t>
        </is>
      </c>
      <c r="D822" s="4">
        <v>18.00787017</v>
      </c>
      <c r="E822" s="0" t="inlineStr">
        <is>
          <t xml:space="preserve">PALUMBO SHIPYARD LIMITED</t>
        </is>
      </c>
      <c r="F822" s="0" t="inlineStr">
        <is>
          <t xml:space="preserve">naics:336611</t>
        </is>
      </c>
    </row>
    <row r="823">
      <c r="B823" s="0" t="inlineStr">
        <is>
          <t xml:space="preserve">N6449823F4090</t>
        </is>
      </c>
      <c r="C823" s="0" t="inlineStr">
        <is>
          <t xml:space="preserve">broad_maritime</t>
        </is>
      </c>
      <c r="D823" s="4">
        <v>17.9818</v>
      </c>
      <c r="E823" s="0" t="inlineStr">
        <is>
          <t xml:space="preserve">GENERAL ELECTRIC COMPANY</t>
        </is>
      </c>
      <c r="F823" s="0" t="inlineStr">
        <is>
          <t xml:space="preserve">naics:336611</t>
        </is>
      </c>
    </row>
    <row r="824">
      <c r="B824" s="0" t="inlineStr">
        <is>
          <t xml:space="preserve">N6279323F0006</t>
        </is>
      </c>
      <c r="C824" s="0" t="inlineStr">
        <is>
          <t xml:space="preserve">broad_maritime</t>
        </is>
      </c>
      <c r="D824" s="4">
        <v>17.96302687</v>
      </c>
      <c r="E824" s="0" t="inlineStr">
        <is>
          <t xml:space="preserve">HII FLEET SUPPORT GROUP LLC</t>
        </is>
      </c>
      <c r="F824" s="0" t="inlineStr">
        <is>
          <t xml:space="preserve">naics:336611; psc:1905</t>
        </is>
      </c>
    </row>
    <row r="825">
      <c r="B825" s="0" t="inlineStr">
        <is>
          <t xml:space="preserve">0039</t>
        </is>
      </c>
      <c r="C825" s="0" t="inlineStr">
        <is>
          <t xml:space="preserve">broad_maritime</t>
        </is>
      </c>
      <c r="D825" s="4">
        <v>17.955295</v>
      </c>
      <c r="E825" s="0" t="inlineStr">
        <is>
          <t xml:space="preserve">DELPHINUS ENGINEERING, INC.</t>
        </is>
      </c>
      <c r="F825" s="0" t="inlineStr">
        <is>
          <t xml:space="preserve">naics:336611</t>
        </is>
      </c>
    </row>
    <row r="826">
      <c r="B826" s="0" t="inlineStr">
        <is>
          <t xml:space="preserve">N0002424C2222</t>
        </is>
      </c>
      <c r="C826" s="0" t="inlineStr">
        <is>
          <t xml:space="preserve">small_craft</t>
        </is>
      </c>
      <c r="D826" s="4">
        <v>17.86272</v>
      </c>
      <c r="E826" s="0" t="inlineStr">
        <is>
          <t xml:space="preserve">SYNERGY PARTNERS LLC</t>
        </is>
      </c>
      <c r="F826" s="0" t="inlineStr">
        <is>
          <t xml:space="preserve">naics:336612; psc:1940</t>
        </is>
      </c>
    </row>
    <row r="827">
      <c r="B827" s="0" t="inlineStr">
        <is>
          <t xml:space="preserve">N0060416C3014</t>
        </is>
      </c>
      <c r="C827" s="0" t="inlineStr">
        <is>
          <t xml:space="preserve">broad_maritime</t>
        </is>
      </c>
      <c r="D827" s="4">
        <v>17.80710446</v>
      </c>
      <c r="E827" s="0" t="inlineStr">
        <is>
          <t xml:space="preserve">ADEPT PROCESS SERVICES, INC.</t>
        </is>
      </c>
      <c r="F827" s="0" t="inlineStr">
        <is>
          <t xml:space="preserve">naics:336611</t>
        </is>
      </c>
    </row>
    <row r="828">
      <c r="B828" s="0" t="inlineStr">
        <is>
          <t xml:space="preserve">7F20</t>
        </is>
      </c>
      <c r="C828" s="0" t="inlineStr">
        <is>
          <t xml:space="preserve">broad_maritime</t>
        </is>
      </c>
      <c r="D828" s="4">
        <v>17.79469</v>
      </c>
      <c r="E828" s="0" t="inlineStr">
        <is>
          <t xml:space="preserve">AUSTAL USA, LLC</t>
        </is>
      </c>
      <c r="F828" s="0" t="inlineStr">
        <is>
          <t xml:space="preserve">naics:336611</t>
        </is>
      </c>
    </row>
    <row r="829">
      <c r="B829" s="0" t="inlineStr">
        <is>
          <t xml:space="preserve">N5005419FL020</t>
        </is>
      </c>
      <c r="C829" s="0" t="inlineStr">
        <is>
          <t xml:space="preserve">broad_maritime</t>
        </is>
      </c>
      <c r="D829" s="4">
        <v>17.786658</v>
      </c>
      <c r="E829" s="0" t="inlineStr">
        <is>
          <t xml:space="preserve">MARINE HYDRAULICS INTERNATIONAL, LLC</t>
        </is>
      </c>
      <c r="F829" s="0" t="inlineStr">
        <is>
          <t xml:space="preserve">naics:336611</t>
        </is>
      </c>
    </row>
    <row r="830">
      <c r="B830" s="0" t="inlineStr">
        <is>
          <t xml:space="preserve">N0002414C2122</t>
        </is>
      </c>
      <c r="C830" s="0" t="inlineStr">
        <is>
          <t xml:space="preserve">broad_maritime</t>
        </is>
      </c>
      <c r="D830" s="4">
        <v>17.751918</v>
      </c>
      <c r="E830" s="0" t="inlineStr">
        <is>
          <t xml:space="preserve">HUNTINGTON INGALLS INC</t>
        </is>
      </c>
      <c r="F830" s="0" t="inlineStr">
        <is>
          <t xml:space="preserve">naics:336611</t>
        </is>
      </c>
    </row>
    <row r="831">
      <c r="B831" s="0" t="inlineStr">
        <is>
          <t xml:space="preserve">N3220517C4209</t>
        </is>
      </c>
      <c r="C831" s="0" t="inlineStr">
        <is>
          <t xml:space="preserve">other_small</t>
        </is>
      </c>
      <c r="D831" s="4">
        <v>17.74092748</v>
      </c>
      <c r="E831" s="0" t="inlineStr">
        <is>
          <t xml:space="preserve">DETYENS SHIPYARDS INC</t>
        </is>
      </c>
      <c r="F831" s="0" t="inlineStr">
        <is>
          <t xml:space="preserve">naics:336611; psc:1990</t>
        </is>
      </c>
    </row>
    <row r="832">
      <c r="B832" s="0" t="inlineStr">
        <is>
          <t xml:space="preserve">N5005418FC024</t>
        </is>
      </c>
      <c r="C832" s="0" t="inlineStr">
        <is>
          <t xml:space="preserve">broad_maritime</t>
        </is>
      </c>
      <c r="D832" s="4">
        <v>17.73619015</v>
      </c>
      <c r="E832" s="0" t="inlineStr">
        <is>
          <t xml:space="preserve">BAE SYSTEMS MARITIME SOLUTIONS NORFOLK INC.</t>
        </is>
      </c>
      <c r="F832" s="0" t="inlineStr">
        <is>
          <t xml:space="preserve">naics:336611</t>
        </is>
      </c>
    </row>
    <row r="833">
      <c r="B833" s="0" t="inlineStr">
        <is>
          <t xml:space="preserve">N6279323F7802</t>
        </is>
      </c>
      <c r="C833" s="0" t="inlineStr">
        <is>
          <t xml:space="preserve">broad_maritime</t>
        </is>
      </c>
      <c r="D833" s="4">
        <v>17.715657999999998</v>
      </c>
      <c r="E833" s="0" t="inlineStr">
        <is>
          <t xml:space="preserve">HUNTINGTON INGALLS INC</t>
        </is>
      </c>
      <c r="F833" s="0" t="inlineStr">
        <is>
          <t xml:space="preserve">naics:336611; psc:1905</t>
        </is>
      </c>
    </row>
    <row r="834">
      <c r="B834" s="0" t="inlineStr">
        <is>
          <t xml:space="preserve">N5005425F5308</t>
        </is>
      </c>
      <c r="C834" s="0" t="inlineStr">
        <is>
          <t xml:space="preserve">broad_maritime</t>
        </is>
      </c>
      <c r="D834" s="4">
        <v>17.64818093</v>
      </c>
      <c r="E834" s="0" t="inlineStr">
        <is>
          <t xml:space="preserve">COLONNA'S SHIP YARD, INCORPORATED</t>
        </is>
      </c>
      <c r="F834" s="0" t="inlineStr">
        <is>
          <t xml:space="preserve">naics:336611</t>
        </is>
      </c>
    </row>
    <row r="835">
      <c r="B835" s="0" t="inlineStr">
        <is>
          <t xml:space="preserve">N5523622F2120</t>
        </is>
      </c>
      <c r="C835" s="0" t="inlineStr">
        <is>
          <t xml:space="preserve">broad_maritime</t>
        </is>
      </c>
      <c r="D835" s="4">
        <v>17.62521254</v>
      </c>
      <c r="E835" s="0" t="inlineStr">
        <is>
          <t xml:space="preserve">PROPULSION CONTROLS ENGINEERING</t>
        </is>
      </c>
      <c r="F835" s="0" t="inlineStr">
        <is>
          <t xml:space="preserve">naics:336611</t>
        </is>
      </c>
    </row>
    <row r="836">
      <c r="B836" s="0" t="inlineStr">
        <is>
          <t xml:space="preserve">N0002421F4100</t>
        </is>
      </c>
      <c r="C836" s="0" t="inlineStr">
        <is>
          <t xml:space="preserve">broad_maritime</t>
        </is>
      </c>
      <c r="D836" s="4">
        <v>17.576524</v>
      </c>
      <c r="E836" s="0" t="inlineStr">
        <is>
          <t xml:space="preserve">BAE SYSTEMS LAND &amp; ARMAMENTS L.P.</t>
        </is>
      </c>
      <c r="F836" s="0" t="inlineStr">
        <is>
          <t xml:space="preserve">naics:336611</t>
        </is>
      </c>
    </row>
    <row r="837">
      <c r="B837" s="0" t="inlineStr">
        <is>
          <t xml:space="preserve">N3220525C4148</t>
        </is>
      </c>
      <c r="C837" s="0" t="inlineStr">
        <is>
          <t xml:space="preserve">broad_maritime</t>
        </is>
      </c>
      <c r="D837" s="4">
        <v>17.543838</v>
      </c>
      <c r="E837" s="0" t="inlineStr">
        <is>
          <t xml:space="preserve">DETYENS SHIPYARDS INC</t>
        </is>
      </c>
      <c r="F837" s="0" t="inlineStr">
        <is>
          <t xml:space="preserve">naics:336611</t>
        </is>
      </c>
    </row>
    <row r="838">
      <c r="B838" s="0" t="inlineStr">
        <is>
          <t xml:space="preserve">N6278619F0055</t>
        </is>
      </c>
      <c r="C838" s="0" t="inlineStr">
        <is>
          <t xml:space="preserve">broad_maritime</t>
        </is>
      </c>
      <c r="D838" s="4">
        <v>17.540193</v>
      </c>
      <c r="E838" s="0" t="inlineStr">
        <is>
          <t xml:space="preserve">LOCKHEED MARTIN CORPORATION</t>
        </is>
      </c>
      <c r="F838" s="0" t="inlineStr">
        <is>
          <t xml:space="preserve">naics:336611; psc:1905</t>
        </is>
      </c>
    </row>
    <row r="839">
      <c r="B839" s="0" t="inlineStr">
        <is>
          <t xml:space="preserve">N3220516C4400</t>
        </is>
      </c>
      <c r="C839" s="0" t="inlineStr">
        <is>
          <t xml:space="preserve">broad_maritime</t>
        </is>
      </c>
      <c r="D839" s="4">
        <v>17.523979999999998</v>
      </c>
      <c r="E839" s="0" t="inlineStr">
        <is>
          <t xml:space="preserve">VIGOR MARINE LLC</t>
        </is>
      </c>
      <c r="F839" s="0" t="inlineStr">
        <is>
          <t xml:space="preserve">naics:336611</t>
        </is>
      </c>
    </row>
    <row r="840">
      <c r="B840" s="0" t="inlineStr">
        <is>
          <t xml:space="preserve">N5523626F5015</t>
        </is>
      </c>
      <c r="C840" s="0" t="inlineStr">
        <is>
          <t xml:space="preserve">broad_maritime</t>
        </is>
      </c>
      <c r="D840" s="4">
        <v>17.522574929999998</v>
      </c>
      <c r="E840" s="0" t="inlineStr">
        <is>
          <t xml:space="preserve">NATIONAL STEEL AND SHIPBUILDING COMPANY</t>
        </is>
      </c>
      <c r="F840" s="0" t="inlineStr">
        <is>
          <t xml:space="preserve">naics:336611</t>
        </is>
      </c>
    </row>
    <row r="841">
      <c r="B841" s="0" t="inlineStr">
        <is>
          <t xml:space="preserve">N3220526C1221</t>
        </is>
      </c>
      <c r="C841" s="0" t="inlineStr">
        <is>
          <t xml:space="preserve">broad_maritime</t>
        </is>
      </c>
      <c r="D841" s="4">
        <v>17.51791</v>
      </c>
      <c r="E841" s="0" t="inlineStr">
        <is>
          <t xml:space="preserve">DETYENS SHIPYARDS INC</t>
        </is>
      </c>
      <c r="F841" s="0" t="inlineStr">
        <is>
          <t xml:space="preserve">naics:336611</t>
        </is>
      </c>
    </row>
    <row r="842">
      <c r="B842" s="0" t="inlineStr">
        <is>
          <t xml:space="preserve">N6817122F6185</t>
        </is>
      </c>
      <c r="C842" s="0" t="inlineStr">
        <is>
          <t xml:space="preserve">broad_maritime</t>
        </is>
      </c>
      <c r="D842" s="4">
        <v>17.51305583</v>
      </c>
      <c r="E842" s="0" t="inlineStr">
        <is>
          <t xml:space="preserve">NAVANTIA, S.A., S.M.E.</t>
        </is>
      </c>
      <c r="F842" s="0" t="inlineStr">
        <is>
          <t xml:space="preserve">naics:336611</t>
        </is>
      </c>
    </row>
    <row r="843">
      <c r="B843" s="0" t="inlineStr">
        <is>
          <t xml:space="preserve">N3220521C4024</t>
        </is>
      </c>
      <c r="C843" s="0" t="inlineStr">
        <is>
          <t xml:space="preserve">broad_maritime</t>
        </is>
      </c>
      <c r="D843" s="4">
        <v>17.510063</v>
      </c>
      <c r="E843" s="0" t="inlineStr">
        <is>
          <t xml:space="preserve">ALABAMA SHIPYARD LLC</t>
        </is>
      </c>
      <c r="F843" s="0" t="inlineStr">
        <is>
          <t xml:space="preserve">naics:336611</t>
        </is>
      </c>
    </row>
    <row r="844">
      <c r="B844" s="0" t="inlineStr">
        <is>
          <t xml:space="preserve">N5523624F9880</t>
        </is>
      </c>
      <c r="C844" s="0" t="inlineStr">
        <is>
          <t xml:space="preserve">broad_maritime</t>
        </is>
      </c>
      <c r="D844" s="4">
        <v>17.488439989999996</v>
      </c>
      <c r="E844" s="0" t="inlineStr">
        <is>
          <t xml:space="preserve">MARINE GROUP BOAT WORKS, LLC</t>
        </is>
      </c>
      <c r="F844" s="0" t="inlineStr">
        <is>
          <t xml:space="preserve">naics:336611</t>
        </is>
      </c>
    </row>
    <row r="845">
      <c r="B845" s="0" t="inlineStr">
        <is>
          <t xml:space="preserve">N3220522C4009</t>
        </is>
      </c>
      <c r="C845" s="0" t="inlineStr">
        <is>
          <t xml:space="preserve">broad_maritime</t>
        </is>
      </c>
      <c r="D845" s="4">
        <v>17.448975</v>
      </c>
      <c r="E845" s="0" t="inlineStr">
        <is>
          <t xml:space="preserve">DETYENS SHIPYARDS INC</t>
        </is>
      </c>
      <c r="F845" s="0" t="inlineStr">
        <is>
          <t xml:space="preserve">naics:336611</t>
        </is>
      </c>
    </row>
    <row r="846">
      <c r="B846" s="0" t="inlineStr">
        <is>
          <t xml:space="preserve">N0002413C2315</t>
        </is>
      </c>
      <c r="C846" s="0" t="inlineStr">
        <is>
          <t xml:space="preserve">broad_maritime</t>
        </is>
      </c>
      <c r="D846" s="4">
        <v>17.40908</v>
      </c>
      <c r="E846" s="0" t="inlineStr">
        <is>
          <t xml:space="preserve">BATH IRON WORKS CORPORATION</t>
        </is>
      </c>
      <c r="F846" s="0" t="inlineStr">
        <is>
          <t xml:space="preserve">naics:336611; psc:1905</t>
        </is>
      </c>
    </row>
    <row r="847">
      <c r="B847" s="0" t="inlineStr">
        <is>
          <t xml:space="preserve">0003</t>
        </is>
      </c>
      <c r="C847" s="0" t="inlineStr">
        <is>
          <t xml:space="preserve">broad_maritime</t>
        </is>
      </c>
      <c r="D847" s="4">
        <v>17.403828999999998</v>
      </c>
      <c r="E847" s="0" t="inlineStr">
        <is>
          <t xml:space="preserve">NATIONAL STEEL AND SHIPBUILDING COMPANY</t>
        </is>
      </c>
      <c r="F847" s="0" t="inlineStr">
        <is>
          <t xml:space="preserve">naics:336611</t>
        </is>
      </c>
    </row>
    <row r="848">
      <c r="B848" s="0" t="inlineStr">
        <is>
          <t xml:space="preserve">N0002406C2310</t>
        </is>
      </c>
      <c r="C848" s="0" t="inlineStr">
        <is>
          <t xml:space="preserve">broad_maritime</t>
        </is>
      </c>
      <c r="D848" s="4">
        <v>17.321438999999998</v>
      </c>
      <c r="E848" s="0" t="inlineStr">
        <is>
          <t xml:space="preserve">BATH IRON WORKS CORPORATION</t>
        </is>
      </c>
      <c r="F848" s="0" t="inlineStr">
        <is>
          <t xml:space="preserve">naics:336611</t>
        </is>
      </c>
    </row>
    <row r="849">
      <c r="B849" s="0" t="inlineStr">
        <is>
          <t xml:space="preserve">N6817123F6368</t>
        </is>
      </c>
      <c r="C849" s="0" t="inlineStr">
        <is>
          <t xml:space="preserve">broad_maritime</t>
        </is>
      </c>
      <c r="D849" s="4">
        <v>17.253675649999998</v>
      </c>
      <c r="E849" s="0" t="inlineStr">
        <is>
          <t xml:space="preserve">NAVANTIA, S.A., S.M.E.</t>
        </is>
      </c>
      <c r="F849" s="0" t="inlineStr">
        <is>
          <t xml:space="preserve">naics:336611</t>
        </is>
      </c>
    </row>
    <row r="850">
      <c r="B850" s="0" t="inlineStr">
        <is>
          <t xml:space="preserve">N3220520C2048</t>
        </is>
      </c>
      <c r="C850" s="0" t="inlineStr">
        <is>
          <t xml:space="preserve">broad_maritime</t>
        </is>
      </c>
      <c r="D850" s="4">
        <v>17.236418999999998</v>
      </c>
      <c r="E850" s="0" t="inlineStr">
        <is>
          <t xml:space="preserve">VIGOR MARINE LLC</t>
        </is>
      </c>
      <c r="F850" s="0" t="inlineStr">
        <is>
          <t xml:space="preserve">naics:336611</t>
        </is>
      </c>
    </row>
    <row r="851">
      <c r="B851" s="0" t="inlineStr">
        <is>
          <t xml:space="preserve">0016</t>
        </is>
      </c>
      <c r="C851" s="0" t="inlineStr">
        <is>
          <t xml:space="preserve">broad_maritime</t>
        </is>
      </c>
      <c r="D851" s="4">
        <v>17.235720999999998</v>
      </c>
      <c r="E851" s="0" t="inlineStr">
        <is>
          <t xml:space="preserve">LOCKHEED MARTIN CORPORATION</t>
        </is>
      </c>
      <c r="F851" s="0" t="inlineStr">
        <is>
          <t xml:space="preserve">naics:336611</t>
        </is>
      </c>
    </row>
    <row r="852">
      <c r="B852" s="0" t="inlineStr">
        <is>
          <t xml:space="preserve">N6339422C0004</t>
        </is>
      </c>
      <c r="C852" s="0" t="inlineStr">
        <is>
          <t xml:space="preserve">broad_maritime</t>
        </is>
      </c>
      <c r="D852" s="4">
        <v>17.22908146</v>
      </c>
      <c r="E852" s="0" t="inlineStr">
        <is>
          <t xml:space="preserve">PRISM MARITIME, INC.</t>
        </is>
      </c>
      <c r="F852" s="0" t="inlineStr">
        <is>
          <t xml:space="preserve">naics:336611</t>
        </is>
      </c>
    </row>
    <row r="853">
      <c r="B853" s="0" t="inlineStr">
        <is>
          <t xml:space="preserve">N0002418F6303</t>
        </is>
      </c>
      <c r="C853" s="0" t="inlineStr">
        <is>
          <t xml:space="preserve">broad_maritime</t>
        </is>
      </c>
      <c r="D853" s="4">
        <v>17.206336</v>
      </c>
      <c r="E853" s="0" t="inlineStr">
        <is>
          <t xml:space="preserve">RAYTHEON COMPANY</t>
        </is>
      </c>
      <c r="F853" s="0" t="inlineStr">
        <is>
          <t xml:space="preserve">psc:2090</t>
        </is>
      </c>
    </row>
    <row r="854">
      <c r="B854" s="0" t="inlineStr">
        <is>
          <t xml:space="preserve">N0002414C2246</t>
        </is>
      </c>
      <c r="C854" s="0" t="inlineStr">
        <is>
          <t xml:space="preserve">small_craft</t>
        </is>
      </c>
      <c r="D854" s="4">
        <v>17.19496932</v>
      </c>
      <c r="E854" s="0" t="inlineStr">
        <is>
          <t xml:space="preserve">WILLARD MARINE, INC.</t>
        </is>
      </c>
      <c r="F854" s="0" t="inlineStr">
        <is>
          <t xml:space="preserve">naics:336612; psc:1940</t>
        </is>
      </c>
    </row>
    <row r="855">
      <c r="B855" s="0" t="inlineStr">
        <is>
          <t xml:space="preserve">N4523A15C0003</t>
        </is>
      </c>
      <c r="C855" s="0" t="inlineStr">
        <is>
          <t xml:space="preserve">broad_maritime</t>
        </is>
      </c>
      <c r="D855" s="4">
        <v>17.166638</v>
      </c>
      <c r="E855" s="0" t="inlineStr">
        <is>
          <t xml:space="preserve">IMIA, LLC</t>
        </is>
      </c>
      <c r="F855" s="0" t="inlineStr">
        <is>
          <t xml:space="preserve">naics:336611</t>
        </is>
      </c>
    </row>
    <row r="856">
      <c r="B856" s="0" t="inlineStr">
        <is>
          <t xml:space="preserve">N4033923CF017</t>
        </is>
      </c>
      <c r="C856" s="0" t="inlineStr">
        <is>
          <t xml:space="preserve">broad_maritime</t>
        </is>
      </c>
      <c r="D856" s="4">
        <v>17.158689</v>
      </c>
      <c r="E856" s="0" t="inlineStr">
        <is>
          <t xml:space="preserve">DRY DOCKS WORLD - DUBAI FZCO</t>
        </is>
      </c>
      <c r="F856" s="0" t="inlineStr">
        <is>
          <t xml:space="preserve">naics:336611</t>
        </is>
      </c>
    </row>
    <row r="857">
      <c r="B857" s="0" t="inlineStr">
        <is>
          <t xml:space="preserve">0054</t>
        </is>
      </c>
      <c r="C857" s="0" t="inlineStr">
        <is>
          <t xml:space="preserve">broad_maritime</t>
        </is>
      </c>
      <c r="D857" s="4">
        <v>17.14147869</v>
      </c>
      <c r="E857" s="0" t="inlineStr">
        <is>
          <t xml:space="preserve">NAVANTIA REPARACIONES SAN FERNANDO</t>
        </is>
      </c>
      <c r="F857" s="0" t="inlineStr">
        <is>
          <t xml:space="preserve">naics:336611</t>
        </is>
      </c>
    </row>
    <row r="858">
      <c r="B858" s="0" t="inlineStr">
        <is>
          <t xml:space="preserve">N0002417F4246</t>
        </is>
      </c>
      <c r="C858" s="0" t="inlineStr">
        <is>
          <t xml:space="preserve">broad_maritime</t>
        </is>
      </c>
      <c r="D858" s="4">
        <v>17.083386</v>
      </c>
      <c r="E858" s="0" t="inlineStr">
        <is>
          <t xml:space="preserve">VSE CORPORATION</t>
        </is>
      </c>
      <c r="F858" s="0" t="inlineStr">
        <is>
          <t xml:space="preserve">naics:336611</t>
        </is>
      </c>
    </row>
    <row r="859">
      <c r="B859" s="0" t="inlineStr">
        <is>
          <t xml:space="preserve">0071</t>
        </is>
      </c>
      <c r="C859" s="0" t="inlineStr">
        <is>
          <t xml:space="preserve">broad_maritime</t>
        </is>
      </c>
      <c r="D859" s="4">
        <v>17.04665953</v>
      </c>
      <c r="E859" s="0" t="inlineStr">
        <is>
          <t xml:space="preserve">NAVANTIA REPARACIONES SAN FERNANDO</t>
        </is>
      </c>
      <c r="F859" s="0" t="inlineStr">
        <is>
          <t xml:space="preserve">naics:336611</t>
        </is>
      </c>
    </row>
    <row r="860">
      <c r="B860" s="0" t="inlineStr">
        <is>
          <t xml:space="preserve">N5523622F5340</t>
        </is>
      </c>
      <c r="C860" s="0" t="inlineStr">
        <is>
          <t xml:space="preserve">broad_maritime</t>
        </is>
      </c>
      <c r="D860" s="4">
        <v>17.00224439</v>
      </c>
      <c r="E860" s="0" t="inlineStr">
        <is>
          <t xml:space="preserve">NATIONAL STEEL AND SHIPBUILDING COMPANY</t>
        </is>
      </c>
      <c r="F860" s="0" t="inlineStr">
        <is>
          <t xml:space="preserve">naics:336611</t>
        </is>
      </c>
    </row>
    <row r="861">
      <c r="B861" s="0" t="inlineStr">
        <is>
          <t xml:space="preserve">N3220515C3008</t>
        </is>
      </c>
      <c r="C861" s="0" t="inlineStr">
        <is>
          <t xml:space="preserve">broad_maritime</t>
        </is>
      </c>
      <c r="D861" s="4">
        <v>16.955557</v>
      </c>
      <c r="E861" s="0" t="inlineStr">
        <is>
          <t xml:space="preserve">BAE SYSTEMS SAN FRANCISCO SHIP REPAIR INC.</t>
        </is>
      </c>
      <c r="F861" s="0" t="inlineStr">
        <is>
          <t xml:space="preserve">naics:336611</t>
        </is>
      </c>
    </row>
    <row r="862">
      <c r="B862" s="0" t="inlineStr">
        <is>
          <t xml:space="preserve">N6817124F6235</t>
        </is>
      </c>
      <c r="C862" s="0" t="inlineStr">
        <is>
          <t xml:space="preserve">broad_maritime</t>
        </is>
      </c>
      <c r="D862" s="4">
        <v>16.94931271</v>
      </c>
      <c r="E862" s="0" t="inlineStr">
        <is>
          <t xml:space="preserve">NAVANTIA, S.A., S.M.E.</t>
        </is>
      </c>
      <c r="F862" s="0" t="inlineStr">
        <is>
          <t xml:space="preserve">naics:336611</t>
        </is>
      </c>
    </row>
    <row r="863">
      <c r="B863" s="0" t="inlineStr">
        <is>
          <t xml:space="preserve">N0002413C2400</t>
        </is>
      </c>
      <c r="C863" s="0" t="inlineStr">
        <is>
          <t xml:space="preserve">broad_maritime</t>
        </is>
      </c>
      <c r="D863" s="4">
        <v>16.94555237</v>
      </c>
      <c r="E863" s="0" t="inlineStr">
        <is>
          <t xml:space="preserve">L3HARRIS MARITIME SERVICES INC</t>
        </is>
      </c>
      <c r="F863" s="0" t="inlineStr">
        <is>
          <t xml:space="preserve">naics:336611; psc:1905</t>
        </is>
      </c>
    </row>
    <row r="864">
      <c r="B864" s="0" t="inlineStr">
        <is>
          <t xml:space="preserve">L826</t>
        </is>
      </c>
      <c r="C864" s="0" t="inlineStr">
        <is>
          <t xml:space="preserve">broad_maritime</t>
        </is>
      </c>
      <c r="D864" s="4">
        <v>16.942125</v>
      </c>
      <c r="E864" s="0" t="inlineStr">
        <is>
          <t xml:space="preserve">ELECTRIC BOAT CORPORATION</t>
        </is>
      </c>
      <c r="F864" s="0" t="inlineStr">
        <is>
          <t xml:space="preserve">naics:336611; psc:1905</t>
        </is>
      </c>
    </row>
    <row r="865">
      <c r="B865" s="0" t="inlineStr">
        <is>
          <t xml:space="preserve">N6264923F0463</t>
        </is>
      </c>
      <c r="C865" s="0" t="inlineStr">
        <is>
          <t xml:space="preserve">broad_maritime</t>
        </is>
      </c>
      <c r="D865" s="4">
        <v>16.919391</v>
      </c>
      <c r="E865" s="0" t="inlineStr">
        <is>
          <t xml:space="preserve">SUMITOMO HEAVY INDUSTRIES, LTD</t>
        </is>
      </c>
      <c r="F865" s="0" t="inlineStr">
        <is>
          <t xml:space="preserve">naics:336611</t>
        </is>
      </c>
    </row>
    <row r="866">
      <c r="B866" s="0" t="inlineStr">
        <is>
          <t xml:space="preserve">0043</t>
        </is>
      </c>
      <c r="C866" s="0" t="inlineStr">
        <is>
          <t xml:space="preserve">broad_maritime</t>
        </is>
      </c>
      <c r="D866" s="4">
        <v>16.888797309999998</v>
      </c>
      <c r="E866" s="0" t="inlineStr">
        <is>
          <t xml:space="preserve">NAVANTIA REPARACIONES SAN FERNANDO</t>
        </is>
      </c>
      <c r="F866" s="0" t="inlineStr">
        <is>
          <t xml:space="preserve">naics:336611</t>
        </is>
      </c>
    </row>
    <row r="867">
      <c r="B867" s="0" t="inlineStr">
        <is>
          <t xml:space="preserve">N4002718C0006</t>
        </is>
      </c>
      <c r="C867" s="0" t="inlineStr">
        <is>
          <t xml:space="preserve">broad_maritime</t>
        </is>
      </c>
      <c r="D867" s="4">
        <v>16.880270510000003</v>
      </c>
      <c r="E867" s="0" t="inlineStr">
        <is>
          <t xml:space="preserve">COLONNA'S SHIP YARD, INCORPORATED</t>
        </is>
      </c>
      <c r="F867" s="0" t="inlineStr">
        <is>
          <t xml:space="preserve">naics:336611</t>
        </is>
      </c>
    </row>
    <row r="868">
      <c r="B868" s="0" t="inlineStr">
        <is>
          <t xml:space="preserve">N5523625F9982</t>
        </is>
      </c>
      <c r="C868" s="0" t="inlineStr">
        <is>
          <t xml:space="preserve">broad_maritime</t>
        </is>
      </c>
      <c r="D868" s="4">
        <v>16.877710999999998</v>
      </c>
      <c r="E868" s="0" t="inlineStr">
        <is>
          <t xml:space="preserve">HII FLEET SUPPORT GROUP LLC</t>
        </is>
      </c>
      <c r="F868" s="0" t="inlineStr">
        <is>
          <t xml:space="preserve">naics:336611; psc:1905</t>
        </is>
      </c>
    </row>
    <row r="869">
      <c r="B869" s="0" t="inlineStr">
        <is>
          <t xml:space="preserve">N6279323F1001</t>
        </is>
      </c>
      <c r="C869" s="0" t="inlineStr">
        <is>
          <t xml:space="preserve">broad_maritime</t>
        </is>
      </c>
      <c r="D869" s="4">
        <v>16.858687559999996</v>
      </c>
      <c r="E869" s="0" t="inlineStr">
        <is>
          <t xml:space="preserve">HII FLEET SUPPORT GROUP LLC</t>
        </is>
      </c>
      <c r="F869" s="0" t="inlineStr">
        <is>
          <t xml:space="preserve">naics:336611; psc:1905</t>
        </is>
      </c>
    </row>
    <row r="870">
      <c r="B870" s="0" t="inlineStr">
        <is>
          <t xml:space="preserve">N3220526C0004</t>
        </is>
      </c>
      <c r="C870" s="0" t="inlineStr">
        <is>
          <t xml:space="preserve">broad_maritime</t>
        </is>
      </c>
      <c r="D870" s="4">
        <v>16.840735</v>
      </c>
      <c r="E870" s="0" t="inlineStr">
        <is>
          <t xml:space="preserve">ALABAMA SHIPYARD LLC</t>
        </is>
      </c>
      <c r="F870" s="0" t="inlineStr">
        <is>
          <t xml:space="preserve">naics:336611</t>
        </is>
      </c>
    </row>
    <row r="871">
      <c r="B871" s="0" t="inlineStr">
        <is>
          <t xml:space="preserve">N3220516C4311</t>
        </is>
      </c>
      <c r="C871" s="0" t="inlineStr">
        <is>
          <t xml:space="preserve">broad_maritime</t>
        </is>
      </c>
      <c r="D871" s="4">
        <v>16.834181</v>
      </c>
      <c r="E871" s="0" t="inlineStr">
        <is>
          <t xml:space="preserve">BAE SYSTEMS SOUTHEAST SHIPYARDS ALABAMA LLC</t>
        </is>
      </c>
      <c r="F871" s="0" t="inlineStr">
        <is>
          <t xml:space="preserve">naics:336611</t>
        </is>
      </c>
    </row>
    <row r="872">
      <c r="B872" s="0" t="inlineStr">
        <is>
          <t xml:space="preserve">N5523617F6001</t>
        </is>
      </c>
      <c r="C872" s="0" t="inlineStr">
        <is>
          <t xml:space="preserve">broad_maritime</t>
        </is>
      </c>
      <c r="D872" s="4">
        <v>16.82762194</v>
      </c>
      <c r="E872" s="0" t="inlineStr">
        <is>
          <t xml:space="preserve">NATIONAL STEEL AND SHIPBUILDING COMPANY</t>
        </is>
      </c>
      <c r="F872" s="0" t="inlineStr">
        <is>
          <t xml:space="preserve">naics:336611</t>
        </is>
      </c>
    </row>
    <row r="873">
      <c r="B873" s="0" t="inlineStr">
        <is>
          <t xml:space="preserve">0070</t>
        </is>
      </c>
      <c r="C873" s="0" t="inlineStr">
        <is>
          <t xml:space="preserve">broad_maritime</t>
        </is>
      </c>
      <c r="D873" s="4">
        <v>16.827266379999998</v>
      </c>
      <c r="E873" s="0" t="inlineStr">
        <is>
          <t xml:space="preserve">VSE CORPORATION</t>
        </is>
      </c>
      <c r="F873" s="0" t="inlineStr">
        <is>
          <t xml:space="preserve">naics:336611</t>
        </is>
      </c>
    </row>
    <row r="874">
      <c r="B874" s="0" t="inlineStr">
        <is>
          <t xml:space="preserve">N6817122F6202</t>
        </is>
      </c>
      <c r="C874" s="0" t="inlineStr">
        <is>
          <t xml:space="preserve">broad_maritime</t>
        </is>
      </c>
      <c r="D874" s="4">
        <v>16.80768753</v>
      </c>
      <c r="E874" s="0" t="inlineStr">
        <is>
          <t xml:space="preserve">NAVANTIA, S.A., S.M.E.</t>
        </is>
      </c>
      <c r="F874" s="0" t="inlineStr">
        <is>
          <t xml:space="preserve">naics:336611</t>
        </is>
      </c>
    </row>
    <row r="875">
      <c r="B875" s="0" t="inlineStr">
        <is>
          <t xml:space="preserve">0023</t>
        </is>
      </c>
      <c r="C875" s="0" t="inlineStr">
        <is>
          <t xml:space="preserve">usv_core</t>
        </is>
      </c>
      <c r="D875" s="4">
        <v>16.8</v>
      </c>
      <c r="E875" s="0" t="inlineStr">
        <is>
          <t xml:space="preserve">EDO PROFESSIONAL SERVICES INC.</t>
        </is>
      </c>
      <c r="F875" s="0" t="inlineStr">
        <is>
          <t xml:space="preserve">keyword</t>
        </is>
      </c>
    </row>
    <row r="876">
      <c r="B876" s="0" t="inlineStr">
        <is>
          <t xml:space="preserve">N5005417FC010</t>
        </is>
      </c>
      <c r="C876" s="0" t="inlineStr">
        <is>
          <t xml:space="preserve">broad_maritime</t>
        </is>
      </c>
      <c r="D876" s="4">
        <v>16.799028</v>
      </c>
      <c r="E876" s="0" t="inlineStr">
        <is>
          <t xml:space="preserve">MARINE HYDRAULICS INTERNATIONAL, LLC</t>
        </is>
      </c>
      <c r="F876" s="0" t="inlineStr">
        <is>
          <t xml:space="preserve">naics:336611</t>
        </is>
      </c>
    </row>
    <row r="877">
      <c r="B877" s="0" t="inlineStr">
        <is>
          <t xml:space="preserve">N4044621F0053</t>
        </is>
      </c>
      <c r="C877" s="0" t="inlineStr">
        <is>
          <t xml:space="preserve">broad_maritime</t>
        </is>
      </c>
      <c r="D877" s="4">
        <v>16.73723565</v>
      </c>
      <c r="E877" s="0" t="inlineStr">
        <is>
          <t xml:space="preserve">CABRAS MARINE CORPORATION</t>
        </is>
      </c>
      <c r="F877" s="0" t="inlineStr">
        <is>
          <t xml:space="preserve">naics:336611</t>
        </is>
      </c>
    </row>
    <row r="878">
      <c r="B878" s="0" t="inlineStr">
        <is>
          <t xml:space="preserve">L803</t>
        </is>
      </c>
      <c r="C878" s="0" t="inlineStr">
        <is>
          <t xml:space="preserve">broad_maritime</t>
        </is>
      </c>
      <c r="D878" s="4">
        <v>16.720684</v>
      </c>
      <c r="E878" s="0" t="inlineStr">
        <is>
          <t xml:space="preserve">ELECTRIC BOAT CORPORATION</t>
        </is>
      </c>
      <c r="F878" s="0" t="inlineStr">
        <is>
          <t xml:space="preserve">naics:336611</t>
        </is>
      </c>
    </row>
    <row r="879">
      <c r="B879" s="0" t="inlineStr">
        <is>
          <t xml:space="preserve">N5005423FC005</t>
        </is>
      </c>
      <c r="C879" s="0" t="inlineStr">
        <is>
          <t xml:space="preserve">broad_maritime</t>
        </is>
      </c>
      <c r="D879" s="4">
        <v>16.708892</v>
      </c>
      <c r="E879" s="0" t="inlineStr">
        <is>
          <t xml:space="preserve">MARINE HYDRAULICS INTERNATIONAL, LLC</t>
        </is>
      </c>
      <c r="F879" s="0" t="inlineStr">
        <is>
          <t xml:space="preserve">naics:336611</t>
        </is>
      </c>
    </row>
    <row r="880">
      <c r="B880" s="0" t="inlineStr">
        <is>
          <t xml:space="preserve">N3220525F1163</t>
        </is>
      </c>
      <c r="C880" s="0" t="inlineStr">
        <is>
          <t xml:space="preserve">broad_maritime</t>
        </is>
      </c>
      <c r="D880" s="4">
        <v>16.70387517</v>
      </c>
      <c r="E880" s="0" t="inlineStr">
        <is>
          <t xml:space="preserve">GULF COPPER &amp; MANUFACTURING CORPORATION</t>
        </is>
      </c>
      <c r="F880" s="0" t="inlineStr">
        <is>
          <t xml:space="preserve">naics:336611</t>
        </is>
      </c>
    </row>
    <row r="881">
      <c r="B881" s="0" t="inlineStr">
        <is>
          <t xml:space="preserve">ER01</t>
        </is>
      </c>
      <c r="C881" s="0" t="inlineStr">
        <is>
          <t xml:space="preserve">broad_maritime</t>
        </is>
      </c>
      <c r="D881" s="4">
        <v>16.681406</v>
      </c>
      <c r="E881" s="0" t="inlineStr">
        <is>
          <t xml:space="preserve">BATH IRON WORKS CORPORATION</t>
        </is>
      </c>
      <c r="F881" s="0" t="inlineStr">
        <is>
          <t xml:space="preserve">naics:336611; psc:1905</t>
        </is>
      </c>
    </row>
    <row r="882">
      <c r="B882" s="0" t="inlineStr">
        <is>
          <t xml:space="preserve">0289</t>
        </is>
      </c>
      <c r="C882" s="0" t="inlineStr">
        <is>
          <t xml:space="preserve">broad_maritime</t>
        </is>
      </c>
      <c r="D882" s="4">
        <v>16.64816</v>
      </c>
      <c r="E882" s="0" t="inlineStr">
        <is>
          <t xml:space="preserve">VSE CORPORATION</t>
        </is>
      </c>
      <c r="F882" s="0" t="inlineStr">
        <is>
          <t xml:space="preserve">naics:336611</t>
        </is>
      </c>
    </row>
    <row r="883">
      <c r="B883" s="0" t="inlineStr">
        <is>
          <t xml:space="preserve">N3220525C5001</t>
        </is>
      </c>
      <c r="C883" s="0" t="inlineStr">
        <is>
          <t xml:space="preserve">broad_maritime</t>
        </is>
      </c>
      <c r="D883" s="4">
        <v>16.619253999999998</v>
      </c>
      <c r="E883" s="0" t="inlineStr">
        <is>
          <t xml:space="preserve">ALABAMA SHIPYARD LLC</t>
        </is>
      </c>
      <c r="F883" s="0" t="inlineStr">
        <is>
          <t xml:space="preserve">naics:336611</t>
        </is>
      </c>
    </row>
    <row r="884">
      <c r="B884" s="0" t="inlineStr">
        <is>
          <t xml:space="preserve">N0003313C7500</t>
        </is>
      </c>
      <c r="C884" s="0" t="inlineStr">
        <is>
          <t xml:space="preserve">broad_maritime</t>
        </is>
      </c>
      <c r="D884" s="4">
        <v>16.61764842</v>
      </c>
      <c r="E884" s="0" t="inlineStr">
        <is>
          <t xml:space="preserve">GE ENERGY POWER CONVERSION USA INC.</t>
        </is>
      </c>
      <c r="F884" s="0" t="inlineStr">
        <is>
          <t xml:space="preserve">psc:2090</t>
        </is>
      </c>
    </row>
    <row r="885">
      <c r="B885" s="0" t="inlineStr">
        <is>
          <t xml:space="preserve">N3220516C4308</t>
        </is>
      </c>
      <c r="C885" s="0" t="inlineStr">
        <is>
          <t xml:space="preserve">broad_maritime</t>
        </is>
      </c>
      <c r="D885" s="4">
        <v>16.608518999999998</v>
      </c>
      <c r="E885" s="0" t="inlineStr">
        <is>
          <t xml:space="preserve">BAE SYSTEMS SAN FRANCISCO SHIP REPAIR INC.</t>
        </is>
      </c>
      <c r="F885" s="0" t="inlineStr">
        <is>
          <t xml:space="preserve">naics:336611</t>
        </is>
      </c>
    </row>
    <row r="886">
      <c r="B886" s="0" t="inlineStr">
        <is>
          <t xml:space="preserve">N0002425F22B5</t>
        </is>
      </c>
      <c r="C886" s="0" t="inlineStr">
        <is>
          <t xml:space="preserve">small_craft</t>
        </is>
      </c>
      <c r="D886" s="4">
        <v>16.59653436</v>
      </c>
      <c r="E886" s="0" t="inlineStr">
        <is>
          <t xml:space="preserve">RIBCRAFT USA, LLC</t>
        </is>
      </c>
      <c r="F886" s="0" t="inlineStr">
        <is>
          <t xml:space="preserve">naics:336612; psc:1940</t>
        </is>
      </c>
    </row>
    <row r="887">
      <c r="B887" s="0" t="inlineStr">
        <is>
          <t xml:space="preserve">N6817118F6147</t>
        </is>
      </c>
      <c r="C887" s="0" t="inlineStr">
        <is>
          <t xml:space="preserve">broad_maritime</t>
        </is>
      </c>
      <c r="D887" s="4">
        <v>16.59610282</v>
      </c>
      <c r="E887" s="0" t="inlineStr">
        <is>
          <t xml:space="preserve">NAVANTIA REPARACIONES SAN FERNANDO</t>
        </is>
      </c>
      <c r="F887" s="0" t="inlineStr">
        <is>
          <t xml:space="preserve">naics:336611</t>
        </is>
      </c>
    </row>
    <row r="888">
      <c r="B888" s="0" t="inlineStr">
        <is>
          <t xml:space="preserve">N5005411C1106</t>
        </is>
      </c>
      <c r="C888" s="0" t="inlineStr">
        <is>
          <t xml:space="preserve">broad_maritime</t>
        </is>
      </c>
      <c r="D888" s="4">
        <v>16.58459365</v>
      </c>
      <c r="E888" s="0" t="inlineStr">
        <is>
          <t xml:space="preserve">COLONNA'S SHIP YARD, INCORPORATED</t>
        </is>
      </c>
      <c r="F888" s="0" t="inlineStr">
        <is>
          <t xml:space="preserve">naics:336611</t>
        </is>
      </c>
    </row>
    <row r="889">
      <c r="B889" s="0" t="inlineStr">
        <is>
          <t xml:space="preserve">N5005415C0005</t>
        </is>
      </c>
      <c r="C889" s="0" t="inlineStr">
        <is>
          <t xml:space="preserve">broad_maritime</t>
        </is>
      </c>
      <c r="D889" s="4">
        <v>16.545738999999998</v>
      </c>
      <c r="E889" s="0" t="inlineStr">
        <is>
          <t xml:space="preserve">BAE SYSTEMS MARITIME SOLUTIONS NORFOLK INC.</t>
        </is>
      </c>
      <c r="F889" s="0" t="inlineStr">
        <is>
          <t xml:space="preserve">naics:336611</t>
        </is>
      </c>
    </row>
    <row r="890">
      <c r="B890" s="0" t="inlineStr">
        <is>
          <t xml:space="preserve">N6817125F6038</t>
        </is>
      </c>
      <c r="C890" s="0" t="inlineStr">
        <is>
          <t xml:space="preserve">broad_maritime</t>
        </is>
      </c>
      <c r="D890" s="4">
        <v>16.53697865</v>
      </c>
      <c r="E890" s="0" t="inlineStr">
        <is>
          <t xml:space="preserve">NAVANTIA, S.A., S.M.E.</t>
        </is>
      </c>
      <c r="F890" s="0" t="inlineStr">
        <is>
          <t xml:space="preserve">naics:336611</t>
        </is>
      </c>
    </row>
    <row r="891">
      <c r="B891" s="0" t="inlineStr">
        <is>
          <t xml:space="preserve">N4034521F0051</t>
        </is>
      </c>
      <c r="C891" s="0" t="inlineStr">
        <is>
          <t xml:space="preserve">broad_maritime</t>
        </is>
      </c>
      <c r="D891" s="4">
        <v>16.528527999999998</v>
      </c>
      <c r="E891" s="0" t="inlineStr">
        <is>
          <t xml:space="preserve">SEATRIUM REPAIRS &amp; UPGRADES PTE. LTD.</t>
        </is>
      </c>
      <c r="F891" s="0" t="inlineStr">
        <is>
          <t xml:space="preserve">naics:336611</t>
        </is>
      </c>
    </row>
    <row r="892">
      <c r="B892" s="0" t="inlineStr">
        <is>
          <t xml:space="preserve">N6817120F6189</t>
        </is>
      </c>
      <c r="C892" s="0" t="inlineStr">
        <is>
          <t xml:space="preserve">broad_maritime</t>
        </is>
      </c>
      <c r="D892" s="4">
        <v>16.52030944</v>
      </c>
      <c r="E892" s="0" t="inlineStr">
        <is>
          <t xml:space="preserve">NAVANTIA REPARACIONES SAN FERNANDO</t>
        </is>
      </c>
      <c r="F892" s="0" t="inlineStr">
        <is>
          <t xml:space="preserve">naics:336611</t>
        </is>
      </c>
    </row>
    <row r="893">
      <c r="B893" s="0" t="inlineStr">
        <is>
          <t xml:space="preserve">N3220518C4251</t>
        </is>
      </c>
      <c r="C893" s="0" t="inlineStr">
        <is>
          <t xml:space="preserve">broad_maritime</t>
        </is>
      </c>
      <c r="D893" s="4">
        <v>16.494082</v>
      </c>
      <c r="E893" s="0" t="inlineStr">
        <is>
          <t xml:space="preserve">BOSTON SHIP REPAIR LLC</t>
        </is>
      </c>
      <c r="F893" s="0" t="inlineStr">
        <is>
          <t xml:space="preserve">naics:336611</t>
        </is>
      </c>
    </row>
    <row r="894">
      <c r="B894" s="0" t="inlineStr">
        <is>
          <t xml:space="preserve">N0016723F0035</t>
        </is>
      </c>
      <c r="C894" s="0" t="inlineStr">
        <is>
          <t xml:space="preserve">broad_maritime</t>
        </is>
      </c>
      <c r="D894" s="4">
        <v>16.4930468</v>
      </c>
      <c r="E894" s="0" t="inlineStr">
        <is>
          <t xml:space="preserve">BAE SYSTEMS LAND &amp; ARMAMENTS L.P.</t>
        </is>
      </c>
      <c r="F894" s="0" t="inlineStr">
        <is>
          <t xml:space="preserve">naics:336611</t>
        </is>
      </c>
    </row>
    <row r="895">
      <c r="B895" s="0" t="inlineStr">
        <is>
          <t xml:space="preserve">N0002424F4G04</t>
        </is>
      </c>
      <c r="C895" s="0" t="inlineStr">
        <is>
          <t xml:space="preserve">broad_maritime</t>
        </is>
      </c>
      <c r="D895" s="4">
        <v>16.47037508</v>
      </c>
      <c r="E895" s="0" t="inlineStr">
        <is>
          <t xml:space="preserve">SEAWARD MARINE SERVICES, LLC</t>
        </is>
      </c>
      <c r="F895" s="0" t="inlineStr">
        <is>
          <t xml:space="preserve">naics:336611</t>
        </is>
      </c>
    </row>
    <row r="896">
      <c r="B896" s="0" t="inlineStr">
        <is>
          <t xml:space="preserve">N6278622F0021</t>
        </is>
      </c>
      <c r="C896" s="0" t="inlineStr">
        <is>
          <t xml:space="preserve">broad_maritime</t>
        </is>
      </c>
      <c r="D896" s="4">
        <v>16.456395</v>
      </c>
      <c r="E896" s="0" t="inlineStr">
        <is>
          <t xml:space="preserve">LOCKHEED MARTIN CORPORATION</t>
        </is>
      </c>
      <c r="F896" s="0" t="inlineStr">
        <is>
          <t xml:space="preserve">naics:336611; psc:1905</t>
        </is>
      </c>
    </row>
    <row r="897">
      <c r="B897" s="0" t="inlineStr">
        <is>
          <t xml:space="preserve">N0016719F0175</t>
        </is>
      </c>
      <c r="C897" s="0" t="inlineStr">
        <is>
          <t xml:space="preserve">broad_maritime</t>
        </is>
      </c>
      <c r="D897" s="4">
        <v>16.429982</v>
      </c>
      <c r="E897" s="0" t="inlineStr">
        <is>
          <t xml:space="preserve">GENERAL ATOMICS</t>
        </is>
      </c>
      <c r="F897" s="0" t="inlineStr">
        <is>
          <t xml:space="preserve">naics:336611</t>
        </is>
      </c>
    </row>
    <row r="898">
      <c r="B898" s="0" t="inlineStr">
        <is>
          <t xml:space="preserve">7F07</t>
        </is>
      </c>
      <c r="C898" s="0" t="inlineStr">
        <is>
          <t xml:space="preserve">broad_maritime</t>
        </is>
      </c>
      <c r="D898" s="4">
        <v>16.389416999999998</v>
      </c>
      <c r="E898" s="0" t="inlineStr">
        <is>
          <t xml:space="preserve">AUSTAL USA, LLC</t>
        </is>
      </c>
      <c r="F898" s="0" t="inlineStr">
        <is>
          <t xml:space="preserve">naics:336611</t>
        </is>
      </c>
    </row>
    <row r="899">
      <c r="B899" s="0" t="inlineStr">
        <is>
          <t xml:space="preserve">N0010424FZL05</t>
        </is>
      </c>
      <c r="C899" s="0" t="inlineStr">
        <is>
          <t xml:space="preserve">small_craft</t>
        </is>
      </c>
      <c r="D899" s="4">
        <v>16.387031999999998</v>
      </c>
      <c r="E899" s="0" t="inlineStr">
        <is>
          <t xml:space="preserve">DEFENSE MARITIME SOLUTIONS, INC.</t>
        </is>
      </c>
      <c r="F899" s="0" t="inlineStr">
        <is>
          <t xml:space="preserve">naics:336612</t>
        </is>
      </c>
    </row>
    <row r="900">
      <c r="B900" s="0" t="inlineStr">
        <is>
          <t xml:space="preserve">N3220521C4110</t>
        </is>
      </c>
      <c r="C900" s="0" t="inlineStr">
        <is>
          <t xml:space="preserve">broad_maritime</t>
        </is>
      </c>
      <c r="D900" s="4">
        <v>16.374706</v>
      </c>
      <c r="E900" s="0" t="inlineStr">
        <is>
          <t xml:space="preserve">ALABAMA SHIPYARD LLC</t>
        </is>
      </c>
      <c r="F900" s="0" t="inlineStr">
        <is>
          <t xml:space="preserve">naics:336611</t>
        </is>
      </c>
    </row>
    <row r="901">
      <c r="B901" s="0" t="inlineStr">
        <is>
          <t xml:space="preserve">N0002423F4125</t>
        </is>
      </c>
      <c r="C901" s="0" t="inlineStr">
        <is>
          <t xml:space="preserve">broad_maritime</t>
        </is>
      </c>
      <c r="D901" s="4">
        <v>16.37011924</v>
      </c>
      <c r="E901" s="0" t="inlineStr">
        <is>
          <t xml:space="preserve">HEXAGON US FEDERAL, INC</t>
        </is>
      </c>
      <c r="F901" s="0" t="inlineStr">
        <is>
          <t xml:space="preserve">psc:2090</t>
        </is>
      </c>
    </row>
    <row r="902">
      <c r="B902" s="0" t="inlineStr">
        <is>
          <t xml:space="preserve">N5523618F5030</t>
        </is>
      </c>
      <c r="C902" s="0" t="inlineStr">
        <is>
          <t xml:space="preserve">broad_maritime</t>
        </is>
      </c>
      <c r="D902" s="4">
        <v>16.35835591</v>
      </c>
      <c r="E902" s="0" t="inlineStr">
        <is>
          <t xml:space="preserve">NATIONAL STEEL AND SHIPBUILDING COMPANY</t>
        </is>
      </c>
      <c r="F902" s="0" t="inlineStr">
        <is>
          <t xml:space="preserve">naics:336611</t>
        </is>
      </c>
    </row>
    <row r="903">
      <c r="B903" s="0" t="inlineStr">
        <is>
          <t xml:space="preserve">N3225326F0030</t>
        </is>
      </c>
      <c r="C903" s="0" t="inlineStr">
        <is>
          <t xml:space="preserve">broad_maritime</t>
        </is>
      </c>
      <c r="D903" s="4">
        <v>16.35792821</v>
      </c>
      <c r="E903" s="0" t="inlineStr">
        <is>
          <t xml:space="preserve">PACIFIC SHIPYARDS INTERNATIONAL, LLC</t>
        </is>
      </c>
      <c r="F903" s="0" t="inlineStr">
        <is>
          <t xml:space="preserve">naics:336611</t>
        </is>
      </c>
    </row>
    <row r="904">
      <c r="B904" s="0" t="inlineStr">
        <is>
          <t xml:space="preserve">N5523618F4031</t>
        </is>
      </c>
      <c r="C904" s="0" t="inlineStr">
        <is>
          <t xml:space="preserve">broad_maritime</t>
        </is>
      </c>
      <c r="D904" s="4">
        <v>16.3425245</v>
      </c>
      <c r="E904" s="0" t="inlineStr">
        <is>
          <t xml:space="preserve">NATIONAL STEEL AND SHIPBUILDING COMPANY</t>
        </is>
      </c>
      <c r="F904" s="0" t="inlineStr">
        <is>
          <t xml:space="preserve">naics:336611</t>
        </is>
      </c>
    </row>
    <row r="905">
      <c r="B905" s="0" t="inlineStr">
        <is>
          <t xml:space="preserve">0006</t>
        </is>
      </c>
      <c r="C905" s="0" t="inlineStr">
        <is>
          <t xml:space="preserve">broad_maritime</t>
        </is>
      </c>
      <c r="D905" s="4">
        <v>16.328437</v>
      </c>
      <c r="E905" s="0" t="inlineStr">
        <is>
          <t xml:space="preserve">METRO MACHINE CORP.</t>
        </is>
      </c>
      <c r="F905" s="0" t="inlineStr">
        <is>
          <t xml:space="preserve">naics:336611</t>
        </is>
      </c>
    </row>
    <row r="906">
      <c r="B906" s="0" t="inlineStr">
        <is>
          <t xml:space="preserve">N6817119F6154</t>
        </is>
      </c>
      <c r="C906" s="0" t="inlineStr">
        <is>
          <t xml:space="preserve">broad_maritime</t>
        </is>
      </c>
      <c r="D906" s="4">
        <v>16.32445103</v>
      </c>
      <c r="E906" s="0" t="inlineStr">
        <is>
          <t xml:space="preserve">NAVANTIA REPARACIONES SAN FERNANDO</t>
        </is>
      </c>
      <c r="F906" s="0" t="inlineStr">
        <is>
          <t xml:space="preserve">naics:336611</t>
        </is>
      </c>
    </row>
    <row r="907">
      <c r="B907" s="0" t="inlineStr">
        <is>
          <t xml:space="preserve">0055</t>
        </is>
      </c>
      <c r="C907" s="0" t="inlineStr">
        <is>
          <t xml:space="preserve">broad_maritime</t>
        </is>
      </c>
      <c r="D907" s="4">
        <v>16.28910578</v>
      </c>
      <c r="E907" s="0" t="inlineStr">
        <is>
          <t xml:space="preserve">LYON SHIPYARD INC</t>
        </is>
      </c>
      <c r="F907" s="0" t="inlineStr">
        <is>
          <t xml:space="preserve">naics:336611</t>
        </is>
      </c>
    </row>
    <row r="908">
      <c r="B908" s="0" t="inlineStr">
        <is>
          <t xml:space="preserve">0004</t>
        </is>
      </c>
      <c r="C908" s="0" t="inlineStr">
        <is>
          <t xml:space="preserve">broad_maritime</t>
        </is>
      </c>
      <c r="D908" s="4">
        <v>16.280276</v>
      </c>
      <c r="E908" s="0" t="inlineStr">
        <is>
          <t xml:space="preserve">MARINE HYDRAULICS INTERNATIONAL, LLC</t>
        </is>
      </c>
      <c r="F908" s="0" t="inlineStr">
        <is>
          <t xml:space="preserve">naics:336611</t>
        </is>
      </c>
    </row>
    <row r="909">
      <c r="B909" s="0" t="inlineStr">
        <is>
          <t xml:space="preserve">N3220520C4015</t>
        </is>
      </c>
      <c r="C909" s="0" t="inlineStr">
        <is>
          <t xml:space="preserve">broad_maritime</t>
        </is>
      </c>
      <c r="D909" s="4">
        <v>16.235333999999998</v>
      </c>
      <c r="E909" s="0" t="inlineStr">
        <is>
          <t xml:space="preserve">BOSTON SHIP REPAIR LLC</t>
        </is>
      </c>
      <c r="F909" s="0" t="inlineStr">
        <is>
          <t xml:space="preserve">naics:336611</t>
        </is>
      </c>
    </row>
    <row r="910">
      <c r="B910" s="0" t="inlineStr">
        <is>
          <t xml:space="preserve">N6817121F6049</t>
        </is>
      </c>
      <c r="C910" s="0" t="inlineStr">
        <is>
          <t xml:space="preserve">broad_maritime</t>
        </is>
      </c>
      <c r="D910" s="4">
        <v>16.224215739999998</v>
      </c>
      <c r="E910" s="0" t="inlineStr">
        <is>
          <t xml:space="preserve">NAVANTIA, S.A., S.M.E.</t>
        </is>
      </c>
      <c r="F910" s="0" t="inlineStr">
        <is>
          <t xml:space="preserve">naics:336611</t>
        </is>
      </c>
    </row>
    <row r="911">
      <c r="B911" s="0" t="inlineStr">
        <is>
          <t xml:space="preserve">N3220520C4067</t>
        </is>
      </c>
      <c r="C911" s="0" t="inlineStr">
        <is>
          <t xml:space="preserve">broad_maritime</t>
        </is>
      </c>
      <c r="D911" s="4">
        <v>16.217685189999997</v>
      </c>
      <c r="E911" s="0" t="inlineStr">
        <is>
          <t xml:space="preserve">COLONNA'S SHIP YARD, INCORPORATED</t>
        </is>
      </c>
      <c r="F911" s="0" t="inlineStr">
        <is>
          <t xml:space="preserve">naics:336611</t>
        </is>
      </c>
    </row>
    <row r="912">
      <c r="B912" s="0" t="inlineStr">
        <is>
          <t xml:space="preserve">N0002422C2223</t>
        </is>
      </c>
      <c r="C912" s="0" t="inlineStr">
        <is>
          <t xml:space="preserve">small_craft</t>
        </is>
      </c>
      <c r="D912" s="4">
        <v>16.18816006</v>
      </c>
      <c r="E912" s="0" t="inlineStr">
        <is>
          <t xml:space="preserve">SILVER SHIPS, INC</t>
        </is>
      </c>
      <c r="F912" s="0" t="inlineStr">
        <is>
          <t xml:space="preserve">naics:336612; psc:1940</t>
        </is>
      </c>
    </row>
    <row r="913">
      <c r="B913" s="0" t="inlineStr">
        <is>
          <t xml:space="preserve">N4002714C0010</t>
        </is>
      </c>
      <c r="C913" s="0" t="inlineStr">
        <is>
          <t xml:space="preserve">broad_maritime</t>
        </is>
      </c>
      <c r="D913" s="4">
        <v>16.17009358</v>
      </c>
      <c r="E913" s="0" t="inlineStr">
        <is>
          <t xml:space="preserve">COLONNA'S SHIP YARD, INCORPORATED</t>
        </is>
      </c>
      <c r="F913" s="0" t="inlineStr">
        <is>
          <t xml:space="preserve">naics:336611</t>
        </is>
      </c>
    </row>
    <row r="914">
      <c r="B914" s="0" t="inlineStr">
        <is>
          <t xml:space="preserve">N3225323F0054</t>
        </is>
      </c>
      <c r="C914" s="0" t="inlineStr">
        <is>
          <t xml:space="preserve">broad_maritime</t>
        </is>
      </c>
      <c r="D914" s="4">
        <v>16.12838153</v>
      </c>
      <c r="E914" s="0" t="inlineStr">
        <is>
          <t xml:space="preserve">PACIFIC SHIPYARDS INTERNATIONAL, LLC</t>
        </is>
      </c>
      <c r="F914" s="0" t="inlineStr">
        <is>
          <t xml:space="preserve">naics:336611</t>
        </is>
      </c>
    </row>
    <row r="915">
      <c r="B915" s="0" t="inlineStr">
        <is>
          <t xml:space="preserve">N4034522F0243</t>
        </is>
      </c>
      <c r="C915" s="0" t="inlineStr">
        <is>
          <t xml:space="preserve">broad_maritime</t>
        </is>
      </c>
      <c r="D915" s="4">
        <v>16.124285999999998</v>
      </c>
      <c r="E915" s="0" t="inlineStr">
        <is>
          <t xml:space="preserve">SEATRIUM REPAIRS &amp; UPGRADES PTE. LTD.</t>
        </is>
      </c>
      <c r="F915" s="0" t="inlineStr">
        <is>
          <t xml:space="preserve">naics:336611</t>
        </is>
      </c>
    </row>
    <row r="916">
      <c r="B916" s="0" t="inlineStr">
        <is>
          <t xml:space="preserve">N6278617F0065</t>
        </is>
      </c>
      <c r="C916" s="0" t="inlineStr">
        <is>
          <t xml:space="preserve">broad_maritime</t>
        </is>
      </c>
      <c r="D916" s="4">
        <v>16.092427999999998</v>
      </c>
      <c r="E916" s="0" t="inlineStr">
        <is>
          <t xml:space="preserve">LOCKHEED MARTIN CORPORATION</t>
        </is>
      </c>
      <c r="F916" s="0" t="inlineStr">
        <is>
          <t xml:space="preserve">naics:336611; psc:1905</t>
        </is>
      </c>
    </row>
    <row r="917">
      <c r="B917" s="0" t="inlineStr">
        <is>
          <t xml:space="preserve">N5523624F8419</t>
        </is>
      </c>
      <c r="C917" s="0" t="inlineStr">
        <is>
          <t xml:space="preserve">broad_maritime</t>
        </is>
      </c>
      <c r="D917" s="4">
        <v>16.06945359</v>
      </c>
      <c r="E917" s="0" t="inlineStr">
        <is>
          <t xml:space="preserve">LIFE CYCLE ENGINEERING INC</t>
        </is>
      </c>
      <c r="F917" s="0" t="inlineStr">
        <is>
          <t xml:space="preserve">naics:336611</t>
        </is>
      </c>
    </row>
    <row r="918">
      <c r="B918" s="0" t="inlineStr">
        <is>
          <t xml:space="preserve">N0002423F23A7</t>
        </is>
      </c>
      <c r="C918" s="0" t="inlineStr">
        <is>
          <t xml:space="preserve">small_craft</t>
        </is>
      </c>
      <c r="D918" s="4">
        <v>16.03025855</v>
      </c>
      <c r="E918" s="0" t="inlineStr">
        <is>
          <t xml:space="preserve">SNOW &amp; COMPANY, INC.</t>
        </is>
      </c>
      <c r="F918" s="0" t="inlineStr">
        <is>
          <t xml:space="preserve">naics:336612; psc:1940</t>
        </is>
      </c>
    </row>
    <row r="919">
      <c r="B919" s="0" t="inlineStr">
        <is>
          <t xml:space="preserve">N3220522C2052</t>
        </is>
      </c>
      <c r="C919" s="0" t="inlineStr">
        <is>
          <t xml:space="preserve">broad_maritime</t>
        </is>
      </c>
      <c r="D919" s="4">
        <v>16.027302</v>
      </c>
      <c r="E919" s="0" t="inlineStr">
        <is>
          <t xml:space="preserve">DETYENS SHIPYARDS INC</t>
        </is>
      </c>
      <c r="F919" s="0" t="inlineStr">
        <is>
          <t xml:space="preserve">naics:336611</t>
        </is>
      </c>
    </row>
    <row r="920">
      <c r="B920" s="0" t="inlineStr">
        <is>
          <t xml:space="preserve">N0002420C6316</t>
        </is>
      </c>
      <c r="C920" s="0" t="inlineStr">
        <is>
          <t xml:space="preserve">broad_maritime</t>
        </is>
      </c>
      <c r="D920" s="4">
        <v>16.00206715</v>
      </c>
      <c r="E920" s="0" t="inlineStr">
        <is>
          <t xml:space="preserve">BOLLINGER SHIPYARDS LOCKPORT, L.L.C.</t>
        </is>
      </c>
      <c r="F920" s="0" t="inlineStr">
        <is>
          <t xml:space="preserve">naics:336611; psc:1905</t>
        </is>
      </c>
    </row>
    <row r="921">
      <c r="B921" s="0" t="inlineStr">
        <is>
          <t xml:space="preserve">N5005413C1305</t>
        </is>
      </c>
      <c r="C921" s="0" t="inlineStr">
        <is>
          <t xml:space="preserve">broad_maritime</t>
        </is>
      </c>
      <c r="D921" s="4">
        <v>15.9944776</v>
      </c>
      <c r="E921" s="0" t="inlineStr">
        <is>
          <t xml:space="preserve">BAE SYSTEMS MARITIME SOLUTIONS NORFOLK INC.</t>
        </is>
      </c>
      <c r="F921" s="0" t="inlineStr">
        <is>
          <t xml:space="preserve">naics:336611</t>
        </is>
      </c>
    </row>
    <row r="922">
      <c r="B922" s="0" t="inlineStr">
        <is>
          <t xml:space="preserve">N0002420C6320</t>
        </is>
      </c>
      <c r="C922" s="0" t="inlineStr">
        <is>
          <t xml:space="preserve">broad_maritime</t>
        </is>
      </c>
      <c r="D922" s="4">
        <v>15.95001557</v>
      </c>
      <c r="E922" s="0" t="inlineStr">
        <is>
          <t xml:space="preserve">LOCKHEED MARTIN CORPORATION</t>
        </is>
      </c>
      <c r="F922" s="0" t="inlineStr">
        <is>
          <t xml:space="preserve">naics:336611; psc:1905</t>
        </is>
      </c>
    </row>
    <row r="923">
      <c r="B923" s="0" t="inlineStr">
        <is>
          <t xml:space="preserve">N3220523C4008</t>
        </is>
      </c>
      <c r="C923" s="0" t="inlineStr">
        <is>
          <t xml:space="preserve">broad_maritime</t>
        </is>
      </c>
      <c r="D923" s="4">
        <v>15.944054</v>
      </c>
      <c r="E923" s="0" t="inlineStr">
        <is>
          <t xml:space="preserve">MARE ISLAND DRY DOCK LLC</t>
        </is>
      </c>
      <c r="F923" s="0" t="inlineStr">
        <is>
          <t xml:space="preserve">naics:336611</t>
        </is>
      </c>
    </row>
    <row r="924">
      <c r="B924" s="0" t="inlineStr">
        <is>
          <t xml:space="preserve">N5005422C0006</t>
        </is>
      </c>
      <c r="C924" s="0" t="inlineStr">
        <is>
          <t xml:space="preserve">broad_maritime</t>
        </is>
      </c>
      <c r="D924" s="4">
        <v>15.901242</v>
      </c>
      <c r="E924" s="0" t="inlineStr">
        <is>
          <t xml:space="preserve">LYON SHIPYARD INC</t>
        </is>
      </c>
      <c r="F924" s="0" t="inlineStr">
        <is>
          <t xml:space="preserve">naics:336611</t>
        </is>
      </c>
    </row>
    <row r="925">
      <c r="B925" s="0" t="inlineStr">
        <is>
          <t xml:space="preserve">N5005423FC006</t>
        </is>
      </c>
      <c r="C925" s="0" t="inlineStr">
        <is>
          <t xml:space="preserve">broad_maritime</t>
        </is>
      </c>
      <c r="D925" s="4">
        <v>15.897107</v>
      </c>
      <c r="E925" s="0" t="inlineStr">
        <is>
          <t xml:space="preserve">MARINE HYDRAULICS INTERNATIONAL, LLC</t>
        </is>
      </c>
      <c r="F925" s="0" t="inlineStr">
        <is>
          <t xml:space="preserve">naics:336611</t>
        </is>
      </c>
    </row>
    <row r="926">
      <c r="B926" s="0" t="inlineStr">
        <is>
          <t xml:space="preserve">N3220515C3015</t>
        </is>
      </c>
      <c r="C926" s="0" t="inlineStr">
        <is>
          <t xml:space="preserve">broad_maritime</t>
        </is>
      </c>
      <c r="D926" s="4">
        <v>15.881048789999998</v>
      </c>
      <c r="E926" s="0" t="inlineStr">
        <is>
          <t xml:space="preserve">VIGOR MARINE LLC</t>
        </is>
      </c>
      <c r="F926" s="0" t="inlineStr">
        <is>
          <t xml:space="preserve">naics:336611</t>
        </is>
      </c>
    </row>
    <row r="927">
      <c r="B927" s="0" t="inlineStr">
        <is>
          <t xml:space="preserve">N0002424C2204</t>
        </is>
      </c>
      <c r="C927" s="0" t="inlineStr">
        <is>
          <t xml:space="preserve">small_craft</t>
        </is>
      </c>
      <c r="D927" s="4">
        <v>15.877253999999999</v>
      </c>
      <c r="E927" s="0" t="inlineStr">
        <is>
          <t xml:space="preserve">SAAB, INC</t>
        </is>
      </c>
      <c r="F927" s="0" t="inlineStr">
        <is>
          <t xml:space="preserve">naics:336612; psc:1940</t>
        </is>
      </c>
    </row>
    <row r="928">
      <c r="B928" s="0" t="inlineStr">
        <is>
          <t xml:space="preserve">N3220519C6004</t>
        </is>
      </c>
      <c r="C928" s="0" t="inlineStr">
        <is>
          <t xml:space="preserve">broad_maritime</t>
        </is>
      </c>
      <c r="D928" s="4">
        <v>15.860121</v>
      </c>
      <c r="E928" s="0" t="inlineStr">
        <is>
          <t xml:space="preserve">VIGOR MARINE LLC</t>
        </is>
      </c>
      <c r="F928" s="0" t="inlineStr">
        <is>
          <t xml:space="preserve">naics:336611</t>
        </is>
      </c>
    </row>
    <row r="929">
      <c r="B929" s="0" t="inlineStr">
        <is>
          <t xml:space="preserve">N3220518C4250</t>
        </is>
      </c>
      <c r="C929" s="0" t="inlineStr">
        <is>
          <t xml:space="preserve">broad_maritime</t>
        </is>
      </c>
      <c r="D929" s="4">
        <v>15.835738999999998</v>
      </c>
      <c r="E929" s="0" t="inlineStr">
        <is>
          <t xml:space="preserve">DETYENS SHIPYARDS INC</t>
        </is>
      </c>
      <c r="F929" s="0" t="inlineStr">
        <is>
          <t xml:space="preserve">naics:336611</t>
        </is>
      </c>
    </row>
    <row r="930">
      <c r="B930" s="0" t="inlineStr">
        <is>
          <t xml:space="preserve">N6660424FC844</t>
        </is>
      </c>
      <c r="C930" s="0" t="inlineStr">
        <is>
          <t xml:space="preserve">small_craft</t>
        </is>
      </c>
      <c r="D930" s="4">
        <v>15.834192</v>
      </c>
      <c r="E930" s="0" t="inlineStr">
        <is>
          <t xml:space="preserve">NORTHROP GRUMMAN SYSTEMS CORPORATION</t>
        </is>
      </c>
      <c r="F930" s="0" t="inlineStr">
        <is>
          <t xml:space="preserve">psc:1940</t>
        </is>
      </c>
    </row>
    <row r="931">
      <c r="B931" s="0" t="inlineStr">
        <is>
          <t xml:space="preserve">0062</t>
        </is>
      </c>
      <c r="C931" s="0" t="inlineStr">
        <is>
          <t xml:space="preserve">broad_maritime</t>
        </is>
      </c>
      <c r="D931" s="4">
        <v>15.813222099999999</v>
      </c>
      <c r="E931" s="0" t="inlineStr">
        <is>
          <t xml:space="preserve">NAVANTIA REPARACIONES SAN FERNANDO</t>
        </is>
      </c>
      <c r="F931" s="0" t="inlineStr">
        <is>
          <t xml:space="preserve">naics:336611</t>
        </is>
      </c>
    </row>
    <row r="932">
      <c r="B932" s="0" t="inlineStr">
        <is>
          <t xml:space="preserve">EHP6</t>
        </is>
      </c>
      <c r="C932" s="0" t="inlineStr">
        <is>
          <t xml:space="preserve">broad_maritime</t>
        </is>
      </c>
      <c r="D932" s="4">
        <v>15.809241779999999</v>
      </c>
      <c r="E932" s="0" t="inlineStr">
        <is>
          <t xml:space="preserve">NOBLIS MSD LLC</t>
        </is>
      </c>
      <c r="F932" s="0" t="inlineStr">
        <is>
          <t xml:space="preserve">psc:2090</t>
        </is>
      </c>
    </row>
    <row r="933">
      <c r="B933" s="0" t="inlineStr">
        <is>
          <t xml:space="preserve">N6817124F6220</t>
        </is>
      </c>
      <c r="C933" s="0" t="inlineStr">
        <is>
          <t xml:space="preserve">broad_maritime</t>
        </is>
      </c>
      <c r="D933" s="4">
        <v>15.796626519999998</v>
      </c>
      <c r="E933" s="0" t="inlineStr">
        <is>
          <t xml:space="preserve">NAVANTIA, S.A., S.M.E.</t>
        </is>
      </c>
      <c r="F933" s="0" t="inlineStr">
        <is>
          <t xml:space="preserve">naics:336611</t>
        </is>
      </c>
    </row>
    <row r="934">
      <c r="B934" s="0" t="inlineStr">
        <is>
          <t xml:space="preserve">7F18</t>
        </is>
      </c>
      <c r="C934" s="0" t="inlineStr">
        <is>
          <t xml:space="preserve">broad_maritime</t>
        </is>
      </c>
      <c r="D934" s="4">
        <v>15.722809</v>
      </c>
      <c r="E934" s="0" t="inlineStr">
        <is>
          <t xml:space="preserve">AUSTAL USA, LLC</t>
        </is>
      </c>
      <c r="F934" s="0" t="inlineStr">
        <is>
          <t xml:space="preserve">naics:336611</t>
        </is>
      </c>
    </row>
    <row r="935">
      <c r="B935" s="0" t="inlineStr">
        <is>
          <t xml:space="preserve">N5523624F9974</t>
        </is>
      </c>
      <c r="C935" s="0" t="inlineStr">
        <is>
          <t xml:space="preserve">broad_maritime</t>
        </is>
      </c>
      <c r="D935" s="4">
        <v>15.713878999999999</v>
      </c>
      <c r="E935" s="0" t="inlineStr">
        <is>
          <t xml:space="preserve">HII FLEET SUPPORT GROUP LLC</t>
        </is>
      </c>
      <c r="F935" s="0" t="inlineStr">
        <is>
          <t xml:space="preserve">naics:336611; psc:1905</t>
        </is>
      </c>
    </row>
    <row r="936">
      <c r="B936" s="0" t="inlineStr">
        <is>
          <t xml:space="preserve">N0025322F5013</t>
        </is>
      </c>
      <c r="C936" s="0" t="inlineStr">
        <is>
          <t xml:space="preserve">broad_maritime</t>
        </is>
      </c>
      <c r="D936" s="4">
        <v>15.64056521</v>
      </c>
      <c r="E936" s="0" t="inlineStr">
        <is>
          <t xml:space="preserve">VECTRUS SYSTEMS LLC</t>
        </is>
      </c>
      <c r="F936" s="0" t="inlineStr">
        <is>
          <t xml:space="preserve">naics:336611</t>
        </is>
      </c>
    </row>
    <row r="937">
      <c r="B937" s="0" t="inlineStr">
        <is>
          <t xml:space="preserve">N0002425F4G04</t>
        </is>
      </c>
      <c r="C937" s="0" t="inlineStr">
        <is>
          <t xml:space="preserve">broad_maritime</t>
        </is>
      </c>
      <c r="D937" s="4">
        <v>15.632344039999998</v>
      </c>
      <c r="E937" s="0" t="inlineStr">
        <is>
          <t xml:space="preserve">SEAWARD MARINE SERVICES, LLC</t>
        </is>
      </c>
      <c r="F937" s="0" t="inlineStr">
        <is>
          <t xml:space="preserve">naics:336611</t>
        </is>
      </c>
    </row>
    <row r="938">
      <c r="B938" s="0" t="inlineStr">
        <is>
          <t xml:space="preserve">N4002720F0015</t>
        </is>
      </c>
      <c r="C938" s="0" t="inlineStr">
        <is>
          <t xml:space="preserve">broad_maritime</t>
        </is>
      </c>
      <c r="D938" s="4">
        <v>15.59037424</v>
      </c>
      <c r="E938" s="0" t="inlineStr">
        <is>
          <t xml:space="preserve">BAE SYSTEMS JACKSONVILLE SHIP REPAIR LLC</t>
        </is>
      </c>
      <c r="F938" s="0" t="inlineStr">
        <is>
          <t xml:space="preserve">naics:336611</t>
        </is>
      </c>
    </row>
    <row r="939">
      <c r="B939" s="0" t="inlineStr">
        <is>
          <t xml:space="preserve">N6449818FBB47</t>
        </is>
      </c>
      <c r="C939" s="0" t="inlineStr">
        <is>
          <t xml:space="preserve">broad_maritime</t>
        </is>
      </c>
      <c r="D939" s="4">
        <v>15.584452919999999</v>
      </c>
      <c r="E939" s="0" t="inlineStr">
        <is>
          <t xml:space="preserve">DELPHINUS ENGINEERING, INC.</t>
        </is>
      </c>
      <c r="F939" s="0" t="inlineStr">
        <is>
          <t xml:space="preserve">naics:336611</t>
        </is>
      </c>
    </row>
    <row r="940">
      <c r="B940" s="0" t="inlineStr">
        <is>
          <t xml:space="preserve">N5005425FL000</t>
        </is>
      </c>
      <c r="C940" s="0" t="inlineStr">
        <is>
          <t xml:space="preserve">broad_maritime</t>
        </is>
      </c>
      <c r="D940" s="4">
        <v>15.564508859999998</v>
      </c>
      <c r="E940" s="0" t="inlineStr">
        <is>
          <t xml:space="preserve">EAST COAST REPAIR &amp; FABRICATION, LLC</t>
        </is>
      </c>
      <c r="F940" s="0" t="inlineStr">
        <is>
          <t xml:space="preserve">naics:336611</t>
        </is>
      </c>
    </row>
    <row r="941">
      <c r="B941" s="0" t="inlineStr">
        <is>
          <t xml:space="preserve">N4044210C5000</t>
        </is>
      </c>
      <c r="C941" s="0" t="inlineStr">
        <is>
          <t xml:space="preserve">other_small</t>
        </is>
      </c>
      <c r="D941" s="4">
        <v>15.5585952</v>
      </c>
      <c r="E941" s="0" t="inlineStr">
        <is>
          <t xml:space="preserve">BAE SYSTEMS SAN FRANCISCO SHIP REPAIR INC.</t>
        </is>
      </c>
      <c r="F941" s="0" t="inlineStr">
        <is>
          <t xml:space="preserve">naics:336611; psc:1925</t>
        </is>
      </c>
    </row>
    <row r="942">
      <c r="B942" s="0" t="inlineStr">
        <is>
          <t xml:space="preserve">N5005419FC010</t>
        </is>
      </c>
      <c r="C942" s="0" t="inlineStr">
        <is>
          <t xml:space="preserve">broad_maritime</t>
        </is>
      </c>
      <c r="D942" s="4">
        <v>15.52196186</v>
      </c>
      <c r="E942" s="0" t="inlineStr">
        <is>
          <t xml:space="preserve">MARINE HYDRAULICS INTERNATIONAL, LLC</t>
        </is>
      </c>
      <c r="F942" s="0" t="inlineStr">
        <is>
          <t xml:space="preserve">naics:336611</t>
        </is>
      </c>
    </row>
    <row r="943">
      <c r="B943" s="0" t="inlineStr">
        <is>
          <t xml:space="preserve">N3220518C4551</t>
        </is>
      </c>
      <c r="C943" s="0" t="inlineStr">
        <is>
          <t xml:space="preserve">broad_maritime</t>
        </is>
      </c>
      <c r="D943" s="4">
        <v>15.383134</v>
      </c>
      <c r="E943" s="0" t="inlineStr">
        <is>
          <t xml:space="preserve">VIGOR MARINE LLC</t>
        </is>
      </c>
      <c r="F943" s="0" t="inlineStr">
        <is>
          <t xml:space="preserve">naics:336611</t>
        </is>
      </c>
    </row>
    <row r="944">
      <c r="B944" s="0" t="inlineStr">
        <is>
          <t xml:space="preserve">N4034522F0115</t>
        </is>
      </c>
      <c r="C944" s="0" t="inlineStr">
        <is>
          <t xml:space="preserve">broad_maritime</t>
        </is>
      </c>
      <c r="D944" s="4">
        <v>15.38111824</v>
      </c>
      <c r="E944" s="0" t="inlineStr">
        <is>
          <t xml:space="preserve">SUNJIN ENTECH CO.,LTD.</t>
        </is>
      </c>
      <c r="F944" s="0" t="inlineStr">
        <is>
          <t xml:space="preserve">naics:336611</t>
        </is>
      </c>
    </row>
    <row r="945">
      <c r="B945" s="0" t="inlineStr">
        <is>
          <t xml:space="preserve">N3220521C4088</t>
        </is>
      </c>
      <c r="C945" s="0" t="inlineStr">
        <is>
          <t xml:space="preserve">broad_maritime</t>
        </is>
      </c>
      <c r="D945" s="4">
        <v>15.379541</v>
      </c>
      <c r="E945" s="0" t="inlineStr">
        <is>
          <t xml:space="preserve">DETYENS SHIPYARDS INC</t>
        </is>
      </c>
      <c r="F945" s="0" t="inlineStr">
        <is>
          <t xml:space="preserve">naics:336611</t>
        </is>
      </c>
    </row>
    <row r="946">
      <c r="B946" s="0" t="inlineStr">
        <is>
          <t xml:space="preserve">N3220526C0005</t>
        </is>
      </c>
      <c r="C946" s="0" t="inlineStr">
        <is>
          <t xml:space="preserve">broad_maritime</t>
        </is>
      </c>
      <c r="D946" s="4">
        <v>15.376216</v>
      </c>
      <c r="E946" s="0" t="inlineStr">
        <is>
          <t xml:space="preserve">DETYENS SHIPYARDS INC</t>
        </is>
      </c>
      <c r="F946" s="0" t="inlineStr">
        <is>
          <t xml:space="preserve">naics:336611</t>
        </is>
      </c>
    </row>
    <row r="947">
      <c r="B947" s="0" t="inlineStr">
        <is>
          <t xml:space="preserve">4T17</t>
        </is>
      </c>
      <c r="C947" s="0" t="inlineStr">
        <is>
          <t xml:space="preserve">broad_maritime</t>
        </is>
      </c>
      <c r="D947" s="4">
        <v>15.364965380000001</v>
      </c>
      <c r="E947" s="0" t="inlineStr">
        <is>
          <t xml:space="preserve">HUNTINGTON INGALLS INC</t>
        </is>
      </c>
      <c r="F947" s="0" t="inlineStr">
        <is>
          <t xml:space="preserve">naics:336611</t>
        </is>
      </c>
    </row>
    <row r="948">
      <c r="B948" s="0" t="inlineStr">
        <is>
          <t xml:space="preserve">N0016722F0023</t>
        </is>
      </c>
      <c r="C948" s="0" t="inlineStr">
        <is>
          <t xml:space="preserve">broad_maritime</t>
        </is>
      </c>
      <c r="D948" s="4">
        <v>15.32336822</v>
      </c>
      <c r="E948" s="0" t="inlineStr">
        <is>
          <t xml:space="preserve">THE BOEING COMPANY</t>
        </is>
      </c>
      <c r="F948" s="0" t="inlineStr">
        <is>
          <t xml:space="preserve">naics:336611</t>
        </is>
      </c>
    </row>
    <row r="949">
      <c r="B949" s="0" t="inlineStr">
        <is>
          <t xml:space="preserve">N4034523F0169</t>
        </is>
      </c>
      <c r="C949" s="0" t="inlineStr">
        <is>
          <t xml:space="preserve">broad_maritime</t>
        </is>
      </c>
      <c r="D949" s="4">
        <v>15.3093174</v>
      </c>
      <c r="E949" s="0" t="inlineStr">
        <is>
          <t xml:space="preserve">UNITHAI SHIPYARD &amp; ENGINEERING LIMITED - BRANCH</t>
        </is>
      </c>
      <c r="F949" s="0" t="inlineStr">
        <is>
          <t xml:space="preserve">naics:336611</t>
        </is>
      </c>
    </row>
    <row r="950">
      <c r="B950" s="0" t="inlineStr">
        <is>
          <t xml:space="preserve">N6278621F0004</t>
        </is>
      </c>
      <c r="C950" s="0" t="inlineStr">
        <is>
          <t xml:space="preserve">broad_maritime</t>
        </is>
      </c>
      <c r="D950" s="4">
        <v>15.251885999999999</v>
      </c>
      <c r="E950" s="0" t="inlineStr">
        <is>
          <t xml:space="preserve">LOCKHEED MARTIN CORPORATION</t>
        </is>
      </c>
      <c r="F950" s="0" t="inlineStr">
        <is>
          <t xml:space="preserve">naics:336611; psc:1905</t>
        </is>
      </c>
    </row>
    <row r="951">
      <c r="B951" s="0" t="inlineStr">
        <is>
          <t xml:space="preserve">N5005421FL032</t>
        </is>
      </c>
      <c r="C951" s="0" t="inlineStr">
        <is>
          <t xml:space="preserve">broad_maritime</t>
        </is>
      </c>
      <c r="D951" s="4">
        <v>15.214520409999999</v>
      </c>
      <c r="E951" s="0" t="inlineStr">
        <is>
          <t xml:space="preserve">TECNICO CORPORATION</t>
        </is>
      </c>
      <c r="F951" s="0" t="inlineStr">
        <is>
          <t xml:space="preserve">naics:336611</t>
        </is>
      </c>
    </row>
    <row r="952">
      <c r="B952" s="0" t="inlineStr">
        <is>
          <t xml:space="preserve">N6449817FHB35</t>
        </is>
      </c>
      <c r="C952" s="0" t="inlineStr">
        <is>
          <t xml:space="preserve">broad_maritime</t>
        </is>
      </c>
      <c r="D952" s="4">
        <v>15.210828949999998</v>
      </c>
      <c r="E952" s="0" t="inlineStr">
        <is>
          <t xml:space="preserve">QED SYSTEMS, INC.</t>
        </is>
      </c>
      <c r="F952" s="0" t="inlineStr">
        <is>
          <t xml:space="preserve">naics:336611</t>
        </is>
      </c>
    </row>
    <row r="953">
      <c r="B953" s="0" t="inlineStr">
        <is>
          <t xml:space="preserve">N4002722F0025</t>
        </is>
      </c>
      <c r="C953" s="0" t="inlineStr">
        <is>
          <t xml:space="preserve">broad_maritime</t>
        </is>
      </c>
      <c r="D953" s="4">
        <v>15.20496531</v>
      </c>
      <c r="E953" s="0" t="inlineStr">
        <is>
          <t xml:space="preserve">EAST COAST REPAIR &amp; FABRICATION, LLC</t>
        </is>
      </c>
      <c r="F953" s="0" t="inlineStr">
        <is>
          <t xml:space="preserve">naics:336611</t>
        </is>
      </c>
    </row>
    <row r="954">
      <c r="B954" s="0" t="inlineStr">
        <is>
          <t xml:space="preserve">N6449820FBB19</t>
        </is>
      </c>
      <c r="C954" s="0" t="inlineStr">
        <is>
          <t xml:space="preserve">broad_maritime</t>
        </is>
      </c>
      <c r="D954" s="4">
        <v>15.20469833</v>
      </c>
      <c r="E954" s="0" t="inlineStr">
        <is>
          <t xml:space="preserve">GENERAL DYNAMICS INFORMATION TECHNOLOGY, INC.</t>
        </is>
      </c>
      <c r="F954" s="0" t="inlineStr">
        <is>
          <t xml:space="preserve">naics:336611</t>
        </is>
      </c>
    </row>
    <row r="955">
      <c r="B955" s="0" t="inlineStr">
        <is>
          <t xml:space="preserve">N6817123F6112</t>
        </is>
      </c>
      <c r="C955" s="0" t="inlineStr">
        <is>
          <t xml:space="preserve">broad_maritime</t>
        </is>
      </c>
      <c r="D955" s="4">
        <v>15.192052039999998</v>
      </c>
      <c r="E955" s="0" t="inlineStr">
        <is>
          <t xml:space="preserve">NAVANTIA, S.A., S.M.E.</t>
        </is>
      </c>
      <c r="F955" s="0" t="inlineStr">
        <is>
          <t xml:space="preserve">naics:336611</t>
        </is>
      </c>
    </row>
    <row r="956">
      <c r="B956" s="0" t="inlineStr">
        <is>
          <t xml:space="preserve">N0002414C2422</t>
        </is>
      </c>
      <c r="C956" s="0" t="inlineStr">
        <is>
          <t xml:space="preserve">broad_maritime</t>
        </is>
      </c>
      <c r="D956" s="4">
        <v>15.17225845</v>
      </c>
      <c r="E956" s="0" t="inlineStr">
        <is>
          <t xml:space="preserve">L3HARRIS MARITIME SERVICES INC</t>
        </is>
      </c>
      <c r="F956" s="0" t="inlineStr">
        <is>
          <t xml:space="preserve">naics:336611; psc:1905</t>
        </is>
      </c>
    </row>
    <row r="957">
      <c r="B957" s="0" t="inlineStr">
        <is>
          <t xml:space="preserve">N6279324F0006</t>
        </is>
      </c>
      <c r="C957" s="0" t="inlineStr">
        <is>
          <t xml:space="preserve">broad_maritime</t>
        </is>
      </c>
      <c r="D957" s="4">
        <v>15.16577031</v>
      </c>
      <c r="E957" s="0" t="inlineStr">
        <is>
          <t xml:space="preserve">HII FLEET SUPPORT GROUP LLC</t>
        </is>
      </c>
      <c r="F957" s="0" t="inlineStr">
        <is>
          <t xml:space="preserve">naics:336611; psc:1905</t>
        </is>
      </c>
    </row>
    <row r="958">
      <c r="B958" s="0" t="inlineStr">
        <is>
          <t xml:space="preserve">N3220526C0008</t>
        </is>
      </c>
      <c r="C958" s="0" t="inlineStr">
        <is>
          <t xml:space="preserve">broad_maritime</t>
        </is>
      </c>
      <c r="D958" s="4">
        <v>15.145662999999999</v>
      </c>
      <c r="E958" s="0" t="inlineStr">
        <is>
          <t xml:space="preserve">DETYENS SHIPYARDS INC</t>
        </is>
      </c>
      <c r="F958" s="0" t="inlineStr">
        <is>
          <t xml:space="preserve">naics:336611</t>
        </is>
      </c>
    </row>
    <row r="959">
      <c r="B959" s="0" t="inlineStr">
        <is>
          <t xml:space="preserve">N3220522C4174</t>
        </is>
      </c>
      <c r="C959" s="0" t="inlineStr">
        <is>
          <t xml:space="preserve">broad_maritime</t>
        </is>
      </c>
      <c r="D959" s="4">
        <v>15.14519948</v>
      </c>
      <c r="E959" s="0" t="inlineStr">
        <is>
          <t xml:space="preserve">MARE ISLAND DRY DOCK LLC</t>
        </is>
      </c>
      <c r="F959" s="0" t="inlineStr">
        <is>
          <t xml:space="preserve">naics:336611</t>
        </is>
      </c>
    </row>
    <row r="960">
      <c r="B960" s="0" t="inlineStr">
        <is>
          <t xml:space="preserve">N6449821F3058</t>
        </is>
      </c>
      <c r="C960" s="0" t="inlineStr">
        <is>
          <t xml:space="preserve">broad_maritime</t>
        </is>
      </c>
      <c r="D960" s="4">
        <v>15.144206039999998</v>
      </c>
      <c r="E960" s="0" t="inlineStr">
        <is>
          <t xml:space="preserve">GENERAL DYNAMICS INFORMATION TECHNOLOGY, INC.</t>
        </is>
      </c>
      <c r="F960" s="0" t="inlineStr">
        <is>
          <t xml:space="preserve">naics:336611</t>
        </is>
      </c>
    </row>
    <row r="961">
      <c r="B961" s="0" t="inlineStr">
        <is>
          <t xml:space="preserve">N0016721F0230</t>
        </is>
      </c>
      <c r="C961" s="0" t="inlineStr">
        <is>
          <t xml:space="preserve">broad_maritime</t>
        </is>
      </c>
      <c r="D961" s="4">
        <v>15.134254119999998</v>
      </c>
      <c r="E961" s="0" t="inlineStr">
        <is>
          <t xml:space="preserve">GENERAL ATOMICS</t>
        </is>
      </c>
      <c r="F961" s="0" t="inlineStr">
        <is>
          <t xml:space="preserve">naics:336611</t>
        </is>
      </c>
    </row>
    <row r="962">
      <c r="B962" s="0" t="inlineStr">
        <is>
          <t xml:space="preserve">N0002409C2105</t>
        </is>
      </c>
      <c r="C962" s="0" t="inlineStr">
        <is>
          <t xml:space="preserve">broad_maritime</t>
        </is>
      </c>
      <c r="D962" s="4">
        <v>15.13180242</v>
      </c>
      <c r="E962" s="0" t="inlineStr">
        <is>
          <t xml:space="preserve">HUNTINGTON INGALLS INC</t>
        </is>
      </c>
      <c r="F962" s="0" t="inlineStr">
        <is>
          <t xml:space="preserve">naics:336611</t>
        </is>
      </c>
    </row>
    <row r="963">
      <c r="B963" s="0" t="inlineStr">
        <is>
          <t xml:space="preserve">N3220519C4011</t>
        </is>
      </c>
      <c r="C963" s="0" t="inlineStr">
        <is>
          <t xml:space="preserve">broad_maritime</t>
        </is>
      </c>
      <c r="D963" s="4">
        <v>15.12977218</v>
      </c>
      <c r="E963" s="0" t="inlineStr">
        <is>
          <t xml:space="preserve">BOSTON SHIP REPAIR LLC</t>
        </is>
      </c>
      <c r="F963" s="0" t="inlineStr">
        <is>
          <t xml:space="preserve">naics:336611</t>
        </is>
      </c>
    </row>
    <row r="964">
      <c r="B964" s="0" t="inlineStr">
        <is>
          <t xml:space="preserve">N0002424C2101</t>
        </is>
      </c>
      <c r="C964" s="0" t="inlineStr">
        <is>
          <t xml:space="preserve">broad_maritime</t>
        </is>
      </c>
      <c r="D964" s="4">
        <v>15.106354999999999</v>
      </c>
      <c r="E964" s="0" t="inlineStr">
        <is>
          <t xml:space="preserve">MILLS MARINE &amp; SHIP REPAIR LLC</t>
        </is>
      </c>
      <c r="F964" s="0" t="inlineStr">
        <is>
          <t xml:space="preserve">naics:336611; psc:1905</t>
        </is>
      </c>
    </row>
    <row r="965">
      <c r="B965" s="0" t="inlineStr">
        <is>
          <t xml:space="preserve">N4002722F0018</t>
        </is>
      </c>
      <c r="C965" s="0" t="inlineStr">
        <is>
          <t xml:space="preserve">broad_maritime</t>
        </is>
      </c>
      <c r="D965" s="4">
        <v>15.085870789999998</v>
      </c>
      <c r="E965" s="0" t="inlineStr">
        <is>
          <t xml:space="preserve">METRO MACHINE CORP</t>
        </is>
      </c>
      <c r="F965" s="0" t="inlineStr">
        <is>
          <t xml:space="preserve">naics:336611</t>
        </is>
      </c>
    </row>
    <row r="966">
      <c r="B966" s="0" t="inlineStr">
        <is>
          <t xml:space="preserve">N3220514C2001</t>
        </is>
      </c>
      <c r="C966" s="0" t="inlineStr">
        <is>
          <t xml:space="preserve">broad_maritime</t>
        </is>
      </c>
      <c r="D966" s="4">
        <v>15.069090999999998</v>
      </c>
      <c r="E966" s="0" t="inlineStr">
        <is>
          <t xml:space="preserve">VIGOR MARINE LLC</t>
        </is>
      </c>
      <c r="F966" s="0" t="inlineStr">
        <is>
          <t xml:space="preserve">naics:336611</t>
        </is>
      </c>
    </row>
    <row r="967">
      <c r="B967" s="0" t="inlineStr">
        <is>
          <t xml:space="preserve">N6449821F4070</t>
        </is>
      </c>
      <c r="C967" s="0" t="inlineStr">
        <is>
          <t xml:space="preserve">broad_maritime</t>
        </is>
      </c>
      <c r="D967" s="4">
        <v>15.055043199999998</v>
      </c>
      <c r="E967" s="0" t="inlineStr">
        <is>
          <t xml:space="preserve">GENERAL ELECTRIC COMPANY</t>
        </is>
      </c>
      <c r="F967" s="0" t="inlineStr">
        <is>
          <t xml:space="preserve">naics:336611</t>
        </is>
      </c>
    </row>
    <row r="968">
      <c r="B968" s="0" t="inlineStr">
        <is>
          <t xml:space="preserve">N4002719F0013</t>
        </is>
      </c>
      <c r="C968" s="0" t="inlineStr">
        <is>
          <t xml:space="preserve">broad_maritime</t>
        </is>
      </c>
      <c r="D968" s="4">
        <v>15.0484215</v>
      </c>
      <c r="E968" s="0" t="inlineStr">
        <is>
          <t xml:space="preserve">BAE SYSTEMS JACKSONVILLE SHIP REPAIR LLC</t>
        </is>
      </c>
      <c r="F968" s="0" t="inlineStr">
        <is>
          <t xml:space="preserve">naics:336611</t>
        </is>
      </c>
    </row>
    <row r="969">
      <c r="B969" s="0" t="inlineStr">
        <is>
          <t xml:space="preserve">ER05</t>
        </is>
      </c>
      <c r="C969" s="0" t="inlineStr">
        <is>
          <t xml:space="preserve">broad_maritime</t>
        </is>
      </c>
      <c r="D969" s="4">
        <v>15.007152999999999</v>
      </c>
      <c r="E969" s="0" t="inlineStr">
        <is>
          <t xml:space="preserve">LOCKHEED MARTIN CORPORATION</t>
        </is>
      </c>
      <c r="F969" s="0" t="inlineStr">
        <is>
          <t xml:space="preserve">naics:336611; psc:1905</t>
        </is>
      </c>
    </row>
    <row r="970">
      <c r="B970" s="0" t="inlineStr">
        <is>
          <t xml:space="preserve">N0017809C2003</t>
        </is>
      </c>
      <c r="C970" s="0" t="inlineStr">
        <is>
          <t xml:space="preserve">other_small</t>
        </is>
      </c>
      <c r="D970" s="4">
        <v>15.002562999999999</v>
      </c>
      <c r="E970" s="0" t="inlineStr">
        <is>
          <t xml:space="preserve">THE BOEING COMPANY</t>
        </is>
      </c>
      <c r="F970" s="0" t="inlineStr">
        <is>
          <t xml:space="preserve">naics:336611; psc:1990</t>
        </is>
      </c>
    </row>
    <row r="971">
      <c r="B971" s="0" t="inlineStr">
        <is>
          <t xml:space="preserve">N6449820FBB39</t>
        </is>
      </c>
      <c r="C971" s="0" t="inlineStr">
        <is>
          <t xml:space="preserve">broad_maritime</t>
        </is>
      </c>
      <c r="D971" s="4">
        <v>15.002460609999998</v>
      </c>
      <c r="E971" s="0" t="inlineStr">
        <is>
          <t xml:space="preserve">L3HARRIS MARITIME SERVICES INC</t>
        </is>
      </c>
      <c r="F971" s="0" t="inlineStr">
        <is>
          <t xml:space="preserve">naics:336611</t>
        </is>
      </c>
    </row>
    <row r="972">
      <c r="B972" s="0" t="inlineStr">
        <is>
          <t xml:space="preserve">N3220514C3000</t>
        </is>
      </c>
      <c r="C972" s="0" t="inlineStr">
        <is>
          <t xml:space="preserve">broad_maritime</t>
        </is>
      </c>
      <c r="D972" s="4">
        <v>15.000860999999999</v>
      </c>
      <c r="E972" s="0" t="inlineStr">
        <is>
          <t xml:space="preserve">BAE SYSTEMS SAN FRANCISCO SHIP REPAIR INC.</t>
        </is>
      </c>
      <c r="F972" s="0" t="inlineStr">
        <is>
          <t xml:space="preserve">naics:336611</t>
        </is>
      </c>
    </row>
    <row r="973">
      <c r="B973" s="0" t="inlineStr">
        <is>
          <t xml:space="preserve">N4523A18F0817</t>
        </is>
      </c>
      <c r="C973" s="0" t="inlineStr">
        <is>
          <t xml:space="preserve">broad_maritime</t>
        </is>
      </c>
      <c r="D973" s="4">
        <v>14.980421999999999</v>
      </c>
      <c r="E973" s="0" t="inlineStr">
        <is>
          <t xml:space="preserve">ELECTRIC BOAT CORPORATION</t>
        </is>
      </c>
      <c r="F973" s="0" t="inlineStr">
        <is>
          <t xml:space="preserve">naics:336611</t>
        </is>
      </c>
    </row>
    <row r="974">
      <c r="B974" s="0" t="inlineStr">
        <is>
          <t xml:space="preserve">N6817119F6066</t>
        </is>
      </c>
      <c r="C974" s="0" t="inlineStr">
        <is>
          <t xml:space="preserve">broad_maritime</t>
        </is>
      </c>
      <c r="D974" s="4">
        <v>14.87940048</v>
      </c>
      <c r="E974" s="0" t="inlineStr">
        <is>
          <t xml:space="preserve">NAVANTIA REPARACIONES SAN FERNANDO</t>
        </is>
      </c>
      <c r="F974" s="0" t="inlineStr">
        <is>
          <t xml:space="preserve">naics:336611</t>
        </is>
      </c>
    </row>
    <row r="975">
      <c r="B975" s="0" t="inlineStr">
        <is>
          <t xml:space="preserve">N0002420C6317</t>
        </is>
      </c>
      <c r="C975" s="0" t="inlineStr">
        <is>
          <t xml:space="preserve">broad_maritime</t>
        </is>
      </c>
      <c r="D975" s="4">
        <v>14.873887569999999</v>
      </c>
      <c r="E975" s="0" t="inlineStr">
        <is>
          <t xml:space="preserve">MARINETTE MARINE CORPORATION</t>
        </is>
      </c>
      <c r="F975" s="0" t="inlineStr">
        <is>
          <t xml:space="preserve">naics:336611; psc:1905</t>
        </is>
      </c>
    </row>
    <row r="976">
      <c r="B976" s="0" t="inlineStr">
        <is>
          <t xml:space="preserve">N0002425C2213</t>
        </is>
      </c>
      <c r="C976" s="0" t="inlineStr">
        <is>
          <t xml:space="preserve">small_craft</t>
        </is>
      </c>
      <c r="D976" s="4">
        <v>14.872131</v>
      </c>
      <c r="E976" s="0" t="inlineStr">
        <is>
          <t xml:space="preserve">SAFE BOATS INTERNATIONAL LLC</t>
        </is>
      </c>
      <c r="F976" s="0" t="inlineStr">
        <is>
          <t xml:space="preserve">naics:336612; psc:1940</t>
        </is>
      </c>
    </row>
    <row r="977">
      <c r="B977" s="0" t="inlineStr">
        <is>
          <t xml:space="preserve">N3220518C4552</t>
        </is>
      </c>
      <c r="C977" s="0" t="inlineStr">
        <is>
          <t xml:space="preserve">broad_maritime</t>
        </is>
      </c>
      <c r="D977" s="4">
        <v>14.8290249</v>
      </c>
      <c r="E977" s="0" t="inlineStr">
        <is>
          <t xml:space="preserve">MARE ISLAND DRY DOCK LLC</t>
        </is>
      </c>
      <c r="F977" s="0" t="inlineStr">
        <is>
          <t xml:space="preserve">naics:336611</t>
        </is>
      </c>
    </row>
    <row r="978">
      <c r="B978" s="0" t="inlineStr">
        <is>
          <t xml:space="preserve">7F15</t>
        </is>
      </c>
      <c r="C978" s="0" t="inlineStr">
        <is>
          <t xml:space="preserve">broad_maritime</t>
        </is>
      </c>
      <c r="D978" s="4">
        <v>14.820481</v>
      </c>
      <c r="E978" s="0" t="inlineStr">
        <is>
          <t xml:space="preserve">AUSTAL USA, LLC</t>
        </is>
      </c>
      <c r="F978" s="0" t="inlineStr">
        <is>
          <t xml:space="preserve">naics:336611</t>
        </is>
      </c>
    </row>
    <row r="979">
      <c r="B979" s="0" t="inlineStr">
        <is>
          <t xml:space="preserve">0073</t>
        </is>
      </c>
      <c r="C979" s="0" t="inlineStr">
        <is>
          <t xml:space="preserve">broad_maritime</t>
        </is>
      </c>
      <c r="D979" s="4">
        <v>14.820265</v>
      </c>
      <c r="E979" s="0" t="inlineStr">
        <is>
          <t xml:space="preserve">VSE CORPORATION</t>
        </is>
      </c>
      <c r="F979" s="0" t="inlineStr">
        <is>
          <t xml:space="preserve">naics:336611</t>
        </is>
      </c>
    </row>
    <row r="980">
      <c r="B980" s="0" t="inlineStr">
        <is>
          <t xml:space="preserve">N3220523C0189</t>
        </is>
      </c>
      <c r="C980" s="0" t="inlineStr">
        <is>
          <t xml:space="preserve">broad_maritime</t>
        </is>
      </c>
      <c r="D980" s="4">
        <v>14.806352109999999</v>
      </c>
      <c r="E980" s="0" t="inlineStr">
        <is>
          <t xml:space="preserve">ALABAMA SHIPYARD LLC</t>
        </is>
      </c>
      <c r="F980" s="0" t="inlineStr">
        <is>
          <t xml:space="preserve">naics:336611</t>
        </is>
      </c>
    </row>
    <row r="981">
      <c r="B981" s="0" t="inlineStr">
        <is>
          <t xml:space="preserve">N3220519C4001</t>
        </is>
      </c>
      <c r="C981" s="0" t="inlineStr">
        <is>
          <t xml:space="preserve">broad_maritime</t>
        </is>
      </c>
      <c r="D981" s="4">
        <v>14.716909999999999</v>
      </c>
      <c r="E981" s="0" t="inlineStr">
        <is>
          <t xml:space="preserve">VIGOR MARINE LLC</t>
        </is>
      </c>
      <c r="F981" s="0" t="inlineStr">
        <is>
          <t xml:space="preserve">naics:336611</t>
        </is>
      </c>
    </row>
    <row r="982">
      <c r="B982" s="0" t="inlineStr">
        <is>
          <t xml:space="preserve">N0010423CZA25</t>
        </is>
      </c>
      <c r="C982" s="0" t="inlineStr">
        <is>
          <t xml:space="preserve">small_craft</t>
        </is>
      </c>
      <c r="D982" s="4">
        <v>14.715520499999998</v>
      </c>
      <c r="E982" s="0" t="inlineStr">
        <is>
          <t xml:space="preserve">ERIE FORGE &amp; STEEL INC</t>
        </is>
      </c>
      <c r="F982" s="0" t="inlineStr">
        <is>
          <t xml:space="preserve">naics:336612</t>
        </is>
      </c>
    </row>
    <row r="983">
      <c r="B983" s="0" t="inlineStr">
        <is>
          <t xml:space="preserve">N0010424FZL02</t>
        </is>
      </c>
      <c r="C983" s="0" t="inlineStr">
        <is>
          <t xml:space="preserve">small_craft</t>
        </is>
      </c>
      <c r="D983" s="4">
        <v>14.699231999999999</v>
      </c>
      <c r="E983" s="0" t="inlineStr">
        <is>
          <t xml:space="preserve">DEFENSE MARITIME SOLUTIONS, INC.</t>
        </is>
      </c>
      <c r="F983" s="0" t="inlineStr">
        <is>
          <t xml:space="preserve">naics:336612</t>
        </is>
      </c>
    </row>
    <row r="984">
      <c r="B984" s="0" t="inlineStr">
        <is>
          <t xml:space="preserve">N4002717C0035</t>
        </is>
      </c>
      <c r="C984" s="0" t="inlineStr">
        <is>
          <t xml:space="preserve">broad_maritime</t>
        </is>
      </c>
      <c r="D984" s="4">
        <v>14.679242109999999</v>
      </c>
      <c r="E984" s="0" t="inlineStr">
        <is>
          <t xml:space="preserve">COLONNA'S SHIP YARD, INCORPORATED</t>
        </is>
      </c>
      <c r="F984" s="0" t="inlineStr">
        <is>
          <t xml:space="preserve">naics:336611</t>
        </is>
      </c>
    </row>
    <row r="985">
      <c r="B985" s="0" t="inlineStr">
        <is>
          <t xml:space="preserve">L816</t>
        </is>
      </c>
      <c r="C985" s="0" t="inlineStr">
        <is>
          <t xml:space="preserve">broad_maritime</t>
        </is>
      </c>
      <c r="D985" s="4">
        <v>14.668457</v>
      </c>
      <c r="E985" s="0" t="inlineStr">
        <is>
          <t xml:space="preserve">ELECTRIC BOAT CORPORATION</t>
        </is>
      </c>
      <c r="F985" s="0" t="inlineStr">
        <is>
          <t xml:space="preserve">naics:336611</t>
        </is>
      </c>
    </row>
    <row r="986">
      <c r="B986" s="0" t="inlineStr">
        <is>
          <t xml:space="preserve">N5005426FL001</t>
        </is>
      </c>
      <c r="C986" s="0" t="inlineStr">
        <is>
          <t xml:space="preserve">broad_maritime</t>
        </is>
      </c>
      <c r="D986" s="4">
        <v>14.66595151</v>
      </c>
      <c r="E986" s="0" t="inlineStr">
        <is>
          <t xml:space="preserve">EAST COAST REPAIR &amp; FABRICATION, LLC</t>
        </is>
      </c>
      <c r="F986" s="0" t="inlineStr">
        <is>
          <t xml:space="preserve">naics:336611</t>
        </is>
      </c>
    </row>
    <row r="987">
      <c r="B987" s="0" t="inlineStr">
        <is>
          <t xml:space="preserve">N3220526C1206</t>
        </is>
      </c>
      <c r="C987" s="0" t="inlineStr">
        <is>
          <t xml:space="preserve">broad_maritime</t>
        </is>
      </c>
      <c r="D987" s="4">
        <v>14.629164999999999</v>
      </c>
      <c r="E987" s="0" t="inlineStr">
        <is>
          <t xml:space="preserve">ALABAMA SHIPYARD LLC</t>
        </is>
      </c>
      <c r="F987" s="0" t="inlineStr">
        <is>
          <t xml:space="preserve">naics:336611</t>
        </is>
      </c>
    </row>
    <row r="988">
      <c r="B988" s="0" t="inlineStr">
        <is>
          <t xml:space="preserve">N6264918F0545</t>
        </is>
      </c>
      <c r="C988" s="0" t="inlineStr">
        <is>
          <t xml:space="preserve">broad_maritime</t>
        </is>
      </c>
      <c r="D988" s="4">
        <v>14.62815805</v>
      </c>
      <c r="E988" s="0" t="inlineStr">
        <is>
          <t xml:space="preserve">SUMITOMO HEAVY INDUSTRIES, LTD</t>
        </is>
      </c>
      <c r="F988" s="0" t="inlineStr">
        <is>
          <t xml:space="preserve">naics:336611</t>
        </is>
      </c>
    </row>
    <row r="989">
      <c r="B989" s="0" t="inlineStr">
        <is>
          <t xml:space="preserve">N0002416C4112</t>
        </is>
      </c>
      <c r="C989" s="0" t="inlineStr">
        <is>
          <t xml:space="preserve">other_small</t>
        </is>
      </c>
      <c r="D989" s="4">
        <v>14.60292726</v>
      </c>
      <c r="E989" s="0" t="inlineStr">
        <is>
          <t xml:space="preserve">HUNTINGTON INGALLS INC</t>
        </is>
      </c>
      <c r="F989" s="0" t="inlineStr">
        <is>
          <t xml:space="preserve">naics:336611; psc:1925</t>
        </is>
      </c>
    </row>
    <row r="990">
      <c r="B990" s="0" t="inlineStr">
        <is>
          <t xml:space="preserve">N5005425FC046</t>
        </is>
      </c>
      <c r="C990" s="0" t="inlineStr">
        <is>
          <t xml:space="preserve">broad_maritime</t>
        </is>
      </c>
      <c r="D990" s="4">
        <v>14.601618369999999</v>
      </c>
      <c r="E990" s="0" t="inlineStr">
        <is>
          <t xml:space="preserve">EAST COAST REPAIR &amp; FABRICATION, LLC</t>
        </is>
      </c>
      <c r="F990" s="0" t="inlineStr">
        <is>
          <t xml:space="preserve">naics:336611</t>
        </is>
      </c>
    </row>
    <row r="991">
      <c r="B991" s="0" t="inlineStr">
        <is>
          <t xml:space="preserve">N3220521C4008</t>
        </is>
      </c>
      <c r="C991" s="0" t="inlineStr">
        <is>
          <t xml:space="preserve">broad_maritime</t>
        </is>
      </c>
      <c r="D991" s="4">
        <v>14.53044836</v>
      </c>
      <c r="E991" s="0" t="inlineStr">
        <is>
          <t xml:space="preserve">EAST COAST REPAIR &amp; FABRICATION, LLC</t>
        </is>
      </c>
      <c r="F991" s="0" t="inlineStr">
        <is>
          <t xml:space="preserve">naics:336611</t>
        </is>
      </c>
    </row>
    <row r="992">
      <c r="B992" s="0" t="inlineStr">
        <is>
          <t xml:space="preserve">N3220515C2005</t>
        </is>
      </c>
      <c r="C992" s="0" t="inlineStr">
        <is>
          <t xml:space="preserve">broad_maritime</t>
        </is>
      </c>
      <c r="D992" s="4">
        <v>14.521533999999999</v>
      </c>
      <c r="E992" s="0" t="inlineStr">
        <is>
          <t xml:space="preserve">BAE SYSTEMS SAN FRANCISCO SHIP REPAIR INC.</t>
        </is>
      </c>
      <c r="F992" s="0" t="inlineStr">
        <is>
          <t xml:space="preserve">naics:336611; psc:1905</t>
        </is>
      </c>
    </row>
    <row r="993">
      <c r="B993" s="0" t="inlineStr">
        <is>
          <t xml:space="preserve">N5005423FL039</t>
        </is>
      </c>
      <c r="C993" s="0" t="inlineStr">
        <is>
          <t xml:space="preserve">broad_maritime</t>
        </is>
      </c>
      <c r="D993" s="4">
        <v>14.518482939999998</v>
      </c>
      <c r="E993" s="0" t="inlineStr">
        <is>
          <t xml:space="preserve">MARINE HYDRAULICS INTERNATIONAL, LLC</t>
        </is>
      </c>
      <c r="F993" s="0" t="inlineStr">
        <is>
          <t xml:space="preserve">naics:336611</t>
        </is>
      </c>
    </row>
    <row r="994">
      <c r="B994" s="0" t="inlineStr">
        <is>
          <t xml:space="preserve">N5005417FC013</t>
        </is>
      </c>
      <c r="C994" s="0" t="inlineStr">
        <is>
          <t xml:space="preserve">broad_maritime</t>
        </is>
      </c>
      <c r="D994" s="4">
        <v>14.507005</v>
      </c>
      <c r="E994" s="0" t="inlineStr">
        <is>
          <t xml:space="preserve">MARINE HYDRAULICS INTERNATIONAL, LLC</t>
        </is>
      </c>
      <c r="F994" s="0" t="inlineStr">
        <is>
          <t xml:space="preserve">naics:336611</t>
        </is>
      </c>
    </row>
    <row r="995">
      <c r="B995" s="0" t="inlineStr">
        <is>
          <t xml:space="preserve">N0002426C2100</t>
        </is>
      </c>
      <c r="C995" s="0" t="inlineStr">
        <is>
          <t xml:space="preserve">broad_maritime</t>
        </is>
      </c>
      <c r="D995" s="4">
        <v>14.401451999999999</v>
      </c>
      <c r="E995" s="0" t="inlineStr">
        <is>
          <t xml:space="preserve">HUNTINGTON INGALLS INC</t>
        </is>
      </c>
      <c r="F995" s="0" t="inlineStr">
        <is>
          <t xml:space="preserve">naics:336611; psc:1905</t>
        </is>
      </c>
    </row>
    <row r="996">
      <c r="B996" s="0" t="inlineStr">
        <is>
          <t xml:space="preserve">0011</t>
        </is>
      </c>
      <c r="C996" s="0" t="inlineStr">
        <is>
          <t xml:space="preserve">broad_maritime</t>
        </is>
      </c>
      <c r="D996" s="4">
        <v>14.37579967</v>
      </c>
      <c r="E996" s="0" t="inlineStr">
        <is>
          <t xml:space="preserve">NAVANTIA REPARACIONES SAN FERNANDO</t>
        </is>
      </c>
      <c r="F996" s="0" t="inlineStr">
        <is>
          <t xml:space="preserve">naics:336611</t>
        </is>
      </c>
    </row>
    <row r="997">
      <c r="B997" s="0" t="inlineStr">
        <is>
          <t xml:space="preserve">L865</t>
        </is>
      </c>
      <c r="C997" s="0" t="inlineStr">
        <is>
          <t xml:space="preserve">broad_maritime</t>
        </is>
      </c>
      <c r="D997" s="4">
        <v>14.368953999999999</v>
      </c>
      <c r="E997" s="0" t="inlineStr">
        <is>
          <t xml:space="preserve">ELECTRIC BOAT CORPORATION</t>
        </is>
      </c>
      <c r="F997" s="0" t="inlineStr">
        <is>
          <t xml:space="preserve">naics:336611</t>
        </is>
      </c>
    </row>
    <row r="998">
      <c r="B998" s="0" t="inlineStr">
        <is>
          <t xml:space="preserve">N0002420C6315</t>
        </is>
      </c>
      <c r="C998" s="0" t="inlineStr">
        <is>
          <t xml:space="preserve">broad_maritime</t>
        </is>
      </c>
      <c r="D998" s="4">
        <v>14.35121775</v>
      </c>
      <c r="E998" s="0" t="inlineStr">
        <is>
          <t xml:space="preserve">AUSTAL USA, LLC</t>
        </is>
      </c>
      <c r="F998" s="0" t="inlineStr">
        <is>
          <t xml:space="preserve">naics:336611; psc:1905</t>
        </is>
      </c>
    </row>
    <row r="999">
      <c r="B999" s="0" t="inlineStr">
        <is>
          <t xml:space="preserve">N5005418F5165</t>
        </is>
      </c>
      <c r="C999" s="0" t="inlineStr">
        <is>
          <t xml:space="preserve">broad_maritime</t>
        </is>
      </c>
      <c r="D999" s="4">
        <v>14.346895449999998</v>
      </c>
      <c r="E999" s="0" t="inlineStr">
        <is>
          <t xml:space="preserve">HII FLEET SUPPORT GROUP LLC</t>
        </is>
      </c>
      <c r="F999" s="0" t="inlineStr">
        <is>
          <t xml:space="preserve">naics:336611</t>
        </is>
      </c>
    </row>
    <row r="1000">
      <c r="B1000" s="0" t="inlineStr">
        <is>
          <t xml:space="preserve">N6931618F4001</t>
        </is>
      </c>
      <c r="C1000" s="0" t="inlineStr">
        <is>
          <t xml:space="preserve">broad_maritime</t>
        </is>
      </c>
      <c r="D1000" s="4">
        <v>14.30403</v>
      </c>
      <c r="E1000" s="0" t="inlineStr">
        <is>
          <t xml:space="preserve">AUSTAL USA, LLC</t>
        </is>
      </c>
      <c r="F1000" s="0" t="inlineStr">
        <is>
          <t xml:space="preserve">naics:336611</t>
        </is>
      </c>
    </row>
    <row r="1001">
      <c r="B1001" s="0" t="inlineStr">
        <is>
          <t xml:space="preserve">N0016725C0002</t>
        </is>
      </c>
      <c r="C1001" s="0" t="inlineStr">
        <is>
          <t xml:space="preserve">broad_maritime</t>
        </is>
      </c>
      <c r="D1001" s="4">
        <v>14.25912769</v>
      </c>
      <c r="E1001" s="0" t="inlineStr">
        <is>
          <t xml:space="preserve">SEEMANN COMPOSITES, LLC</t>
        </is>
      </c>
      <c r="F1001" s="0" t="inlineStr">
        <is>
          <t xml:space="preserve">naics:336611</t>
        </is>
      </c>
    </row>
    <row r="1002">
      <c r="B1002" s="0" t="inlineStr">
        <is>
          <t xml:space="preserve">N3220520C4066</t>
        </is>
      </c>
      <c r="C1002" s="0" t="inlineStr">
        <is>
          <t xml:space="preserve">broad_maritime</t>
        </is>
      </c>
      <c r="D1002" s="4">
        <v>14.249229</v>
      </c>
      <c r="E1002" s="0" t="inlineStr">
        <is>
          <t xml:space="preserve">MARE ISLAND DRY DOCK LLC</t>
        </is>
      </c>
      <c r="F1002" s="0" t="inlineStr">
        <is>
          <t xml:space="preserve">naics:336611</t>
        </is>
      </c>
    </row>
    <row r="1003">
      <c r="B1003" s="0" t="inlineStr">
        <is>
          <t xml:space="preserve">N0002416C4326</t>
        </is>
      </c>
      <c r="C1003" s="0" t="inlineStr">
        <is>
          <t xml:space="preserve">broad_maritime</t>
        </is>
      </c>
      <c r="D1003" s="4">
        <v>14.226553019999999</v>
      </c>
      <c r="E1003" s="0" t="inlineStr">
        <is>
          <t xml:space="preserve">HUNTINGTON INGALLS INC</t>
        </is>
      </c>
      <c r="F1003" s="0" t="inlineStr">
        <is>
          <t xml:space="preserve">naics:336611; psc:1905</t>
        </is>
      </c>
    </row>
    <row r="1004">
      <c r="B1004" s="0" t="inlineStr">
        <is>
          <t xml:space="preserve">N3225320C0002</t>
        </is>
      </c>
      <c r="C1004" s="0" t="inlineStr">
        <is>
          <t xml:space="preserve">broad_maritime</t>
        </is>
      </c>
      <c r="D1004" s="4">
        <v>14.212502109999999</v>
      </c>
      <c r="E1004" s="0" t="inlineStr">
        <is>
          <t xml:space="preserve">MARISCO, LTD.</t>
        </is>
      </c>
      <c r="F1004" s="0" t="inlineStr">
        <is>
          <t xml:space="preserve">naics:336611</t>
        </is>
      </c>
    </row>
    <row r="1005">
      <c r="B1005" s="0" t="inlineStr">
        <is>
          <t xml:space="preserve">N6817118F6221</t>
        </is>
      </c>
      <c r="C1005" s="0" t="inlineStr">
        <is>
          <t xml:space="preserve">broad_maritime</t>
        </is>
      </c>
      <c r="D1005" s="4">
        <v>14.191662509999999</v>
      </c>
      <c r="E1005" s="0" t="inlineStr">
        <is>
          <t xml:space="preserve">NAVANTIA REPARACIONES SAN FERNANDO</t>
        </is>
      </c>
      <c r="F1005" s="0" t="inlineStr">
        <is>
          <t xml:space="preserve">naics:336611</t>
        </is>
      </c>
    </row>
    <row r="1006">
      <c r="B1006" s="0" t="inlineStr">
        <is>
          <t xml:space="preserve">N6449821F3059</t>
        </is>
      </c>
      <c r="C1006" s="0" t="inlineStr">
        <is>
          <t xml:space="preserve">broad_maritime</t>
        </is>
      </c>
      <c r="D1006" s="4">
        <v>14.17314371</v>
      </c>
      <c r="E1006" s="0" t="inlineStr">
        <is>
          <t xml:space="preserve">GENERAL DYNAMICS INFORMATION TECHNOLOGY, INC.</t>
        </is>
      </c>
      <c r="F1006" s="0" t="inlineStr">
        <is>
          <t xml:space="preserve">naics:336611</t>
        </is>
      </c>
    </row>
    <row r="1007">
      <c r="B1007" s="0" t="inlineStr">
        <is>
          <t xml:space="preserve">N3220520C6172</t>
        </is>
      </c>
      <c r="C1007" s="0" t="inlineStr">
        <is>
          <t xml:space="preserve">broad_maritime</t>
        </is>
      </c>
      <c r="D1007" s="4">
        <v>14.130129</v>
      </c>
      <c r="E1007" s="0" t="inlineStr">
        <is>
          <t xml:space="preserve">VIGOR MARINE LLC</t>
        </is>
      </c>
      <c r="F1007" s="0" t="inlineStr">
        <is>
          <t xml:space="preserve">naics:336611</t>
        </is>
      </c>
    </row>
    <row r="1008">
      <c r="B1008" s="0" t="inlineStr">
        <is>
          <t xml:space="preserve">N5005418FC022</t>
        </is>
      </c>
      <c r="C1008" s="0" t="inlineStr">
        <is>
          <t xml:space="preserve">broad_maritime</t>
        </is>
      </c>
      <c r="D1008" s="4">
        <v>14.117083</v>
      </c>
      <c r="E1008" s="0" t="inlineStr">
        <is>
          <t xml:space="preserve">MARINE HYDRAULICS INTERNATIONAL, LLC</t>
        </is>
      </c>
      <c r="F1008" s="0" t="inlineStr">
        <is>
          <t xml:space="preserve">naics:336611</t>
        </is>
      </c>
    </row>
    <row r="1009">
      <c r="B1009" s="0" t="inlineStr">
        <is>
          <t xml:space="preserve">0008</t>
        </is>
      </c>
      <c r="C1009" s="0" t="inlineStr">
        <is>
          <t xml:space="preserve">broad_maritime</t>
        </is>
      </c>
      <c r="D1009" s="4">
        <v>14.111797999999999</v>
      </c>
      <c r="E1009" s="0" t="inlineStr">
        <is>
          <t xml:space="preserve">HUNTINGTON INGALLS INC</t>
        </is>
      </c>
      <c r="F1009" s="0" t="inlineStr">
        <is>
          <t xml:space="preserve">naics:336611</t>
        </is>
      </c>
    </row>
    <row r="1010">
      <c r="B1010" s="0" t="inlineStr">
        <is>
          <t xml:space="preserve">N0002420F22P3</t>
        </is>
      </c>
      <c r="C1010" s="0" t="inlineStr">
        <is>
          <t xml:space="preserve">small_craft</t>
        </is>
      </c>
      <c r="D1010" s="4">
        <v>14.1</v>
      </c>
      <c r="E1010" s="0" t="inlineStr">
        <is>
          <t xml:space="preserve">GRAVOIS ALUMINUM BOATS LLC</t>
        </is>
      </c>
      <c r="F1010" s="0" t="inlineStr">
        <is>
          <t xml:space="preserve">naics:336612; psc:1940</t>
        </is>
      </c>
    </row>
    <row r="1011">
      <c r="B1011" s="0" t="inlineStr">
        <is>
          <t xml:space="preserve">N3220519C4013</t>
        </is>
      </c>
      <c r="C1011" s="0" t="inlineStr">
        <is>
          <t xml:space="preserve">broad_maritime</t>
        </is>
      </c>
      <c r="D1011" s="4">
        <v>14.080129999999999</v>
      </c>
      <c r="E1011" s="0" t="inlineStr">
        <is>
          <t xml:space="preserve">DETYENS SHIPYARDS INC</t>
        </is>
      </c>
      <c r="F1011" s="0" t="inlineStr">
        <is>
          <t xml:space="preserve">naics:336611</t>
        </is>
      </c>
    </row>
    <row r="1012">
      <c r="B1012" s="0" t="inlineStr">
        <is>
          <t xml:space="preserve">N3220519C4014</t>
        </is>
      </c>
      <c r="C1012" s="0" t="inlineStr">
        <is>
          <t xml:space="preserve">broad_maritime</t>
        </is>
      </c>
      <c r="D1012" s="4">
        <v>14.064668999999999</v>
      </c>
      <c r="E1012" s="0" t="inlineStr">
        <is>
          <t xml:space="preserve">DETYENS SHIPYARDS INC</t>
        </is>
      </c>
      <c r="F1012" s="0" t="inlineStr">
        <is>
          <t xml:space="preserve">naics:336611</t>
        </is>
      </c>
    </row>
    <row r="1013">
      <c r="B1013" s="0" t="inlineStr">
        <is>
          <t xml:space="preserve">N3904022F0203</t>
        </is>
      </c>
      <c r="C1013" s="0" t="inlineStr">
        <is>
          <t xml:space="preserve">broad_maritime</t>
        </is>
      </c>
      <c r="D1013" s="4">
        <v>14.0552343</v>
      </c>
      <c r="E1013" s="0" t="inlineStr">
        <is>
          <t xml:space="preserve">ORBIS SIBRO INC</t>
        </is>
      </c>
      <c r="F1013" s="0" t="inlineStr">
        <is>
          <t xml:space="preserve">naics:336611</t>
        </is>
      </c>
    </row>
    <row r="1014">
      <c r="B1014" s="0" t="inlineStr">
        <is>
          <t xml:space="preserve">N3220515C1006</t>
        </is>
      </c>
      <c r="C1014" s="0" t="inlineStr">
        <is>
          <t xml:space="preserve">broad_maritime</t>
        </is>
      </c>
      <c r="D1014" s="4">
        <v>14.05330222</v>
      </c>
      <c r="E1014" s="0" t="inlineStr">
        <is>
          <t xml:space="preserve">DETYENS SHIPYARDS INC</t>
        </is>
      </c>
      <c r="F1014" s="0" t="inlineStr">
        <is>
          <t xml:space="preserve">naics:336611</t>
        </is>
      </c>
    </row>
    <row r="1015">
      <c r="B1015" s="0" t="inlineStr">
        <is>
          <t xml:space="preserve">N6238715C7505</t>
        </is>
      </c>
      <c r="C1015" s="0" t="inlineStr">
        <is>
          <t xml:space="preserve">broad_maritime</t>
        </is>
      </c>
      <c r="D1015" s="4">
        <v>14.021298999999999</v>
      </c>
      <c r="E1015" s="0" t="inlineStr">
        <is>
          <t xml:space="preserve">DETYENS SHIPYARDS INC</t>
        </is>
      </c>
      <c r="F1015" s="0" t="inlineStr">
        <is>
          <t xml:space="preserve">naics:336611</t>
        </is>
      </c>
    </row>
    <row r="1016">
      <c r="B1016" s="0" t="inlineStr">
        <is>
          <t xml:space="preserve">N3220516C4001</t>
        </is>
      </c>
      <c r="C1016" s="0" t="inlineStr">
        <is>
          <t xml:space="preserve">broad_maritime</t>
        </is>
      </c>
      <c r="D1016" s="4">
        <v>14.002169069999999</v>
      </c>
      <c r="E1016" s="0" t="inlineStr">
        <is>
          <t xml:space="preserve">BOSTON SHIP REPAIR LLC</t>
        </is>
      </c>
      <c r="F1016" s="0" t="inlineStr">
        <is>
          <t xml:space="preserve">naics:336611</t>
        </is>
      </c>
    </row>
    <row r="1017">
      <c r="B1017" s="0" t="inlineStr">
        <is>
          <t xml:space="preserve">N0002414C2245</t>
        </is>
      </c>
      <c r="C1017" s="0" t="inlineStr">
        <is>
          <t xml:space="preserve">small_craft</t>
        </is>
      </c>
      <c r="D1017" s="4">
        <v>13.97297302</v>
      </c>
      <c r="E1017" s="0" t="inlineStr">
        <is>
          <t xml:space="preserve">RIBCRAFT USA, LLC</t>
        </is>
      </c>
      <c r="F1017" s="0" t="inlineStr">
        <is>
          <t xml:space="preserve">naics:336612; psc:1940</t>
        </is>
      </c>
    </row>
    <row r="1018">
      <c r="B1018" s="0" t="inlineStr">
        <is>
          <t xml:space="preserve">N0016724F0027</t>
        </is>
      </c>
      <c r="C1018" s="0" t="inlineStr">
        <is>
          <t xml:space="preserve">broad_maritime</t>
        </is>
      </c>
      <c r="D1018" s="4">
        <v>13.9568584</v>
      </c>
      <c r="E1018" s="0" t="inlineStr">
        <is>
          <t xml:space="preserve">SEEMANN COMPOSITES, LLC</t>
        </is>
      </c>
      <c r="F1018" s="0" t="inlineStr">
        <is>
          <t xml:space="preserve">naics:336611</t>
        </is>
      </c>
    </row>
    <row r="1019">
      <c r="B1019" s="0" t="inlineStr">
        <is>
          <t xml:space="preserve">N5005423FC017</t>
        </is>
      </c>
      <c r="C1019" s="0" t="inlineStr">
        <is>
          <t xml:space="preserve">broad_maritime</t>
        </is>
      </c>
      <c r="D1019" s="4">
        <v>13.948742</v>
      </c>
      <c r="E1019" s="0" t="inlineStr">
        <is>
          <t xml:space="preserve">METRO MACHINE CORP.</t>
        </is>
      </c>
      <c r="F1019" s="0" t="inlineStr">
        <is>
          <t xml:space="preserve">naics:336611</t>
        </is>
      </c>
    </row>
    <row r="1020">
      <c r="B1020" s="0" t="inlineStr">
        <is>
          <t xml:space="preserve">N4034523F0147</t>
        </is>
      </c>
      <c r="C1020" s="0" t="inlineStr">
        <is>
          <t xml:space="preserve">broad_maritime</t>
        </is>
      </c>
      <c r="D1020" s="4">
        <v>13.919891</v>
      </c>
      <c r="E1020" s="0" t="inlineStr">
        <is>
          <t xml:space="preserve">SEATRIUM REPAIRS &amp; UPGRADES PTE. LTD.</t>
        </is>
      </c>
      <c r="F1020" s="0" t="inlineStr">
        <is>
          <t xml:space="preserve">naics:336611</t>
        </is>
      </c>
    </row>
    <row r="1021">
      <c r="B1021" s="0" t="inlineStr">
        <is>
          <t xml:space="preserve">N4044623F0020</t>
        </is>
      </c>
      <c r="C1021" s="0" t="inlineStr">
        <is>
          <t xml:space="preserve">broad_maritime</t>
        </is>
      </c>
      <c r="D1021" s="4">
        <v>13.91532072</v>
      </c>
      <c r="E1021" s="0" t="inlineStr">
        <is>
          <t xml:space="preserve">CABRAS MARINE CORPORATION</t>
        </is>
      </c>
      <c r="F1021" s="0" t="inlineStr">
        <is>
          <t xml:space="preserve">naics:336611</t>
        </is>
      </c>
    </row>
    <row r="1022">
      <c r="B1022" s="0" t="inlineStr">
        <is>
          <t xml:space="preserve">N3220517C4006</t>
        </is>
      </c>
      <c r="C1022" s="0" t="inlineStr">
        <is>
          <t xml:space="preserve">broad_maritime</t>
        </is>
      </c>
      <c r="D1022" s="4">
        <v>13.887236</v>
      </c>
      <c r="E1022" s="0" t="inlineStr">
        <is>
          <t xml:space="preserve">DETYENS SHIPYARDS INC</t>
        </is>
      </c>
      <c r="F1022" s="0" t="inlineStr">
        <is>
          <t xml:space="preserve">naics:336611</t>
        </is>
      </c>
    </row>
    <row r="1023">
      <c r="B1023" s="0" t="inlineStr">
        <is>
          <t xml:space="preserve">N0002417F4249</t>
        </is>
      </c>
      <c r="C1023" s="0" t="inlineStr">
        <is>
          <t xml:space="preserve">broad_maritime</t>
        </is>
      </c>
      <c r="D1023" s="4">
        <v>13.886530619999998</v>
      </c>
      <c r="E1023" s="0" t="inlineStr">
        <is>
          <t xml:space="preserve">VSE CORPORATION</t>
        </is>
      </c>
      <c r="F1023" s="0" t="inlineStr">
        <is>
          <t xml:space="preserve">naics:336611</t>
        </is>
      </c>
    </row>
    <row r="1024">
      <c r="B1024" s="0" t="inlineStr">
        <is>
          <t xml:space="preserve">N4523A22C1052</t>
        </is>
      </c>
      <c r="C1024" s="0" t="inlineStr">
        <is>
          <t xml:space="preserve">broad_maritime</t>
        </is>
      </c>
      <c r="D1024" s="4">
        <v>13.8782357</v>
      </c>
      <c r="E1024" s="0" t="inlineStr">
        <is>
          <t xml:space="preserve">BAY SHIP &amp; YACHT CO</t>
        </is>
      </c>
      <c r="F1024" s="0" t="inlineStr">
        <is>
          <t xml:space="preserve">naics:336611</t>
        </is>
      </c>
    </row>
    <row r="1025">
      <c r="B1025" s="0" t="inlineStr">
        <is>
          <t xml:space="preserve">N3220519C6005</t>
        </is>
      </c>
      <c r="C1025" s="0" t="inlineStr">
        <is>
          <t xml:space="preserve">broad_maritime</t>
        </is>
      </c>
      <c r="D1025" s="4">
        <v>13.866811</v>
      </c>
      <c r="E1025" s="0" t="inlineStr">
        <is>
          <t xml:space="preserve">VIGOR MARINE LLC</t>
        </is>
      </c>
      <c r="F1025" s="0" t="inlineStr">
        <is>
          <t xml:space="preserve">naics:336611</t>
        </is>
      </c>
    </row>
    <row r="1026">
      <c r="B1026" s="0" t="inlineStr">
        <is>
          <t xml:space="preserve">N6449820FBB31</t>
        </is>
      </c>
      <c r="C1026" s="0" t="inlineStr">
        <is>
          <t xml:space="preserve">broad_maritime</t>
        </is>
      </c>
      <c r="D1026" s="4">
        <v>13.842279539999998</v>
      </c>
      <c r="E1026" s="0" t="inlineStr">
        <is>
          <t xml:space="preserve">GENERAL DYNAMICS INFORMATION TECHNOLOGY, INC.</t>
        </is>
      </c>
      <c r="F1026" s="0" t="inlineStr">
        <is>
          <t xml:space="preserve">naics:336611</t>
        </is>
      </c>
    </row>
    <row r="1027">
      <c r="B1027" s="0" t="inlineStr">
        <is>
          <t xml:space="preserve">N4044210C1020</t>
        </is>
      </c>
      <c r="C1027" s="0" t="inlineStr">
        <is>
          <t xml:space="preserve">broad_maritime</t>
        </is>
      </c>
      <c r="D1027" s="4">
        <v>13.77397598</v>
      </c>
      <c r="E1027" s="0" t="inlineStr">
        <is>
          <t xml:space="preserve">ELECTRONIC MARINE SYSTEMS, INC.</t>
        </is>
      </c>
      <c r="F1027" s="0" t="inlineStr">
        <is>
          <t xml:space="preserve">psc:2090</t>
        </is>
      </c>
    </row>
    <row r="1028">
      <c r="B1028" s="0" t="inlineStr">
        <is>
          <t xml:space="preserve">N6883622C0006</t>
        </is>
      </c>
      <c r="C1028" s="0" t="inlineStr">
        <is>
          <t xml:space="preserve">broad_maritime</t>
        </is>
      </c>
      <c r="D1028" s="4">
        <v>13.742200019999999</v>
      </c>
      <c r="E1028" s="0" t="inlineStr">
        <is>
          <t xml:space="preserve">METSON MARINE SERVICES, INC</t>
        </is>
      </c>
      <c r="F1028" s="0" t="inlineStr">
        <is>
          <t xml:space="preserve">naics:336611</t>
        </is>
      </c>
    </row>
    <row r="1029">
      <c r="B1029" s="0" t="inlineStr">
        <is>
          <t xml:space="preserve">N3220519C4017</t>
        </is>
      </c>
      <c r="C1029" s="0" t="inlineStr">
        <is>
          <t xml:space="preserve">broad_maritime</t>
        </is>
      </c>
      <c r="D1029" s="4">
        <v>13.734399999999999</v>
      </c>
      <c r="E1029" s="0" t="inlineStr">
        <is>
          <t xml:space="preserve">DETYENS SHIPYARDS INC</t>
        </is>
      </c>
      <c r="F1029" s="0" t="inlineStr">
        <is>
          <t xml:space="preserve">naics:336611</t>
        </is>
      </c>
    </row>
    <row r="1030">
      <c r="B1030" s="0" t="inlineStr">
        <is>
          <t xml:space="preserve">0026</t>
        </is>
      </c>
      <c r="C1030" s="0" t="inlineStr">
        <is>
          <t xml:space="preserve">broad_maritime</t>
        </is>
      </c>
      <c r="D1030" s="4">
        <v>13.7329805</v>
      </c>
      <c r="E1030" s="0" t="inlineStr">
        <is>
          <t xml:space="preserve">TECNICO CORPORATION</t>
        </is>
      </c>
      <c r="F1030" s="0" t="inlineStr">
        <is>
          <t xml:space="preserve">naics:336611</t>
        </is>
      </c>
    </row>
    <row r="1031">
      <c r="B1031" s="0" t="inlineStr">
        <is>
          <t xml:space="preserve">N5523622F9952</t>
        </is>
      </c>
      <c r="C1031" s="0" t="inlineStr">
        <is>
          <t xml:space="preserve">broad_maritime</t>
        </is>
      </c>
      <c r="D1031" s="4">
        <v>13.725145119999999</v>
      </c>
      <c r="E1031" s="0" t="inlineStr">
        <is>
          <t xml:space="preserve">HII FLEET SUPPORT GROUP LLC</t>
        </is>
      </c>
      <c r="F1031" s="0" t="inlineStr">
        <is>
          <t xml:space="preserve">naics:336611; psc:1905</t>
        </is>
      </c>
    </row>
    <row r="1032">
      <c r="B1032" s="0" t="inlineStr">
        <is>
          <t xml:space="preserve">N6449819FBB27</t>
        </is>
      </c>
      <c r="C1032" s="0" t="inlineStr">
        <is>
          <t xml:space="preserve">broad_maritime</t>
        </is>
      </c>
      <c r="D1032" s="4">
        <v>13.68950516</v>
      </c>
      <c r="E1032" s="0" t="inlineStr">
        <is>
          <t xml:space="preserve">L3HARRIS MARITIME SERVICES INC</t>
        </is>
      </c>
      <c r="F1032" s="0" t="inlineStr">
        <is>
          <t xml:space="preserve">naics:336611</t>
        </is>
      </c>
    </row>
    <row r="1033">
      <c r="B1033" s="0" t="inlineStr">
        <is>
          <t xml:space="preserve">N6278619F0069</t>
        </is>
      </c>
      <c r="C1033" s="0" t="inlineStr">
        <is>
          <t xml:space="preserve">broad_maritime</t>
        </is>
      </c>
      <c r="D1033" s="4">
        <v>13.689293999999999</v>
      </c>
      <c r="E1033" s="0" t="inlineStr">
        <is>
          <t xml:space="preserve">LOCKHEED MARTIN CORPORATION</t>
        </is>
      </c>
      <c r="F1033" s="0" t="inlineStr">
        <is>
          <t xml:space="preserve">naics:336611; psc:1905</t>
        </is>
      </c>
    </row>
    <row r="1034">
      <c r="B1034" s="0" t="inlineStr">
        <is>
          <t xml:space="preserve">N4034521F8002</t>
        </is>
      </c>
      <c r="C1034" s="0" t="inlineStr">
        <is>
          <t xml:space="preserve">broad_maritime</t>
        </is>
      </c>
      <c r="D1034" s="4">
        <v>13.666270849999998</v>
      </c>
      <c r="E1034" s="0" t="inlineStr">
        <is>
          <t xml:space="preserve">MARINE GROUP BOAT WORKS, LLC</t>
        </is>
      </c>
      <c r="F1034" s="0" t="inlineStr">
        <is>
          <t xml:space="preserve">naics:336611</t>
        </is>
      </c>
    </row>
    <row r="1035">
      <c r="B1035" s="0" t="inlineStr">
        <is>
          <t xml:space="preserve">N3220521C4065</t>
        </is>
      </c>
      <c r="C1035" s="0" t="inlineStr">
        <is>
          <t xml:space="preserve">broad_maritime</t>
        </is>
      </c>
      <c r="D1035" s="4">
        <v>13.65601544</v>
      </c>
      <c r="E1035" s="0" t="inlineStr">
        <is>
          <t xml:space="preserve">PHILADELPHIA SHIP REPAIR LLC</t>
        </is>
      </c>
      <c r="F1035" s="0" t="inlineStr">
        <is>
          <t xml:space="preserve">naics:336611</t>
        </is>
      </c>
    </row>
    <row r="1036">
      <c r="B1036" s="0" t="inlineStr">
        <is>
          <t xml:space="preserve">ER08</t>
        </is>
      </c>
      <c r="C1036" s="0" t="inlineStr">
        <is>
          <t xml:space="preserve">broad_maritime</t>
        </is>
      </c>
      <c r="D1036" s="4">
        <v>13.647618999999999</v>
      </c>
      <c r="E1036" s="0" t="inlineStr">
        <is>
          <t xml:space="preserve">LOCKHEED MARTIN CORPORATION</t>
        </is>
      </c>
      <c r="F1036" s="0" t="inlineStr">
        <is>
          <t xml:space="preserve">naics:336611; psc:1905</t>
        </is>
      </c>
    </row>
    <row r="1037">
      <c r="B1037" s="0" t="inlineStr">
        <is>
          <t xml:space="preserve">N5523621F5228</t>
        </is>
      </c>
      <c r="C1037" s="0" t="inlineStr">
        <is>
          <t xml:space="preserve">broad_maritime</t>
        </is>
      </c>
      <c r="D1037" s="4">
        <v>13.6463054</v>
      </c>
      <c r="E1037" s="0" t="inlineStr">
        <is>
          <t xml:space="preserve">CONTINENTAL MARITIME OF SAN DIEGO, LLC</t>
        </is>
      </c>
      <c r="F1037" s="0" t="inlineStr">
        <is>
          <t xml:space="preserve">naics:336611</t>
        </is>
      </c>
    </row>
    <row r="1038">
      <c r="B1038" s="0" t="inlineStr">
        <is>
          <t xml:space="preserve">N6817121F6114</t>
        </is>
      </c>
      <c r="C1038" s="0" t="inlineStr">
        <is>
          <t xml:space="preserve">broad_maritime</t>
        </is>
      </c>
      <c r="D1038" s="4">
        <v>13.63716376</v>
      </c>
      <c r="E1038" s="0" t="inlineStr">
        <is>
          <t xml:space="preserve">NAVANTIA, S.A., S.M.E.</t>
        </is>
      </c>
      <c r="F1038" s="0" t="inlineStr">
        <is>
          <t xml:space="preserve">naics:336611</t>
        </is>
      </c>
    </row>
    <row r="1039">
      <c r="B1039" s="0" t="inlineStr">
        <is>
          <t xml:space="preserve">N5523623F2005</t>
        </is>
      </c>
      <c r="C1039" s="0" t="inlineStr">
        <is>
          <t xml:space="preserve">broad_maritime</t>
        </is>
      </c>
      <c r="D1039" s="4">
        <v>13.62830786</v>
      </c>
      <c r="E1039" s="0" t="inlineStr">
        <is>
          <t xml:space="preserve">BAE SYSTEMS MARITIME SOLUTIONS SAN DIEGO INC.</t>
        </is>
      </c>
      <c r="F1039" s="0" t="inlineStr">
        <is>
          <t xml:space="preserve">naics:336611</t>
        </is>
      </c>
    </row>
    <row r="1040">
      <c r="B1040" s="0" t="inlineStr">
        <is>
          <t xml:space="preserve">N3220519C4151</t>
        </is>
      </c>
      <c r="C1040" s="0" t="inlineStr">
        <is>
          <t xml:space="preserve">broad_maritime</t>
        </is>
      </c>
      <c r="D1040" s="4">
        <v>13.56843178</v>
      </c>
      <c r="E1040" s="0" t="inlineStr">
        <is>
          <t xml:space="preserve">COLONNA'S SHIP YARD, INCORPORATED</t>
        </is>
      </c>
      <c r="F1040" s="0" t="inlineStr">
        <is>
          <t xml:space="preserve">naics:336611</t>
        </is>
      </c>
    </row>
    <row r="1041">
      <c r="B1041" s="0" t="inlineStr">
        <is>
          <t xml:space="preserve">N6279325F7401</t>
        </is>
      </c>
      <c r="C1041" s="0" t="inlineStr">
        <is>
          <t xml:space="preserve">broad_maritime</t>
        </is>
      </c>
      <c r="D1041" s="4">
        <v>13.51696872</v>
      </c>
      <c r="E1041" s="0" t="inlineStr">
        <is>
          <t xml:space="preserve">HII FLEET SUPPORT GROUP LLC</t>
        </is>
      </c>
      <c r="F1041" s="0" t="inlineStr">
        <is>
          <t xml:space="preserve">naics:336611; psc:1905</t>
        </is>
      </c>
    </row>
    <row r="1042">
      <c r="B1042" s="0" t="inlineStr">
        <is>
          <t xml:space="preserve">N0016723F0141</t>
        </is>
      </c>
      <c r="C1042" s="0" t="inlineStr">
        <is>
          <t xml:space="preserve">broad_maritime</t>
        </is>
      </c>
      <c r="D1042" s="4">
        <v>13.455774</v>
      </c>
      <c r="E1042" s="0" t="inlineStr">
        <is>
          <t xml:space="preserve">GENERAL ATOMICS</t>
        </is>
      </c>
      <c r="F1042" s="0" t="inlineStr">
        <is>
          <t xml:space="preserve">naics:336611</t>
        </is>
      </c>
    </row>
    <row r="1043">
      <c r="B1043" s="0" t="inlineStr">
        <is>
          <t xml:space="preserve">0010</t>
        </is>
      </c>
      <c r="C1043" s="0" t="inlineStr">
        <is>
          <t xml:space="preserve">broad_maritime</t>
        </is>
      </c>
      <c r="D1043" s="4">
        <v>13.44677864</v>
      </c>
      <c r="E1043" s="0" t="inlineStr">
        <is>
          <t xml:space="preserve">NAVANTIA REPARACIONES SAN FERNANDO</t>
        </is>
      </c>
      <c r="F1043" s="0" t="inlineStr">
        <is>
          <t xml:space="preserve">naics:336611</t>
        </is>
      </c>
    </row>
    <row r="1044">
      <c r="B1044" s="0" t="inlineStr">
        <is>
          <t xml:space="preserve">N0002424C4126</t>
        </is>
      </c>
      <c r="C1044" s="0" t="inlineStr">
        <is>
          <t xml:space="preserve">broad_maritime</t>
        </is>
      </c>
      <c r="D1044" s="4">
        <v>13.43448999</v>
      </c>
      <c r="E1044" s="0" t="inlineStr">
        <is>
          <t xml:space="preserve">LITHION BATTERY INC.</t>
        </is>
      </c>
      <c r="F1044" s="0" t="inlineStr">
        <is>
          <t xml:space="preserve">psc:1905</t>
        </is>
      </c>
    </row>
    <row r="1045">
      <c r="B1045" s="0" t="inlineStr">
        <is>
          <t xml:space="preserve">N3220517C4205</t>
        </is>
      </c>
      <c r="C1045" s="0" t="inlineStr">
        <is>
          <t xml:space="preserve">broad_maritime</t>
        </is>
      </c>
      <c r="D1045" s="4">
        <v>13.375091999999999</v>
      </c>
      <c r="E1045" s="0" t="inlineStr">
        <is>
          <t xml:space="preserve">VIGOR MARINE LLC</t>
        </is>
      </c>
      <c r="F1045" s="0" t="inlineStr">
        <is>
          <t xml:space="preserve">naics:336611</t>
        </is>
      </c>
    </row>
    <row r="1046">
      <c r="B1046" s="0" t="inlineStr">
        <is>
          <t xml:space="preserve">N5005423F5146</t>
        </is>
      </c>
      <c r="C1046" s="0" t="inlineStr">
        <is>
          <t xml:space="preserve">broad_maritime</t>
        </is>
      </c>
      <c r="D1046" s="4">
        <v>13.356015919999999</v>
      </c>
      <c r="E1046" s="0" t="inlineStr">
        <is>
          <t xml:space="preserve">COLONNA'S SHIP YARD, INCORPORATED</t>
        </is>
      </c>
      <c r="F1046" s="0" t="inlineStr">
        <is>
          <t xml:space="preserve">naics:336611</t>
        </is>
      </c>
    </row>
    <row r="1047">
      <c r="B1047" s="0" t="inlineStr">
        <is>
          <t xml:space="preserve">N6449823F3112</t>
        </is>
      </c>
      <c r="C1047" s="0" t="inlineStr">
        <is>
          <t xml:space="preserve">broad_maritime</t>
        </is>
      </c>
      <c r="D1047" s="4">
        <v>13.2842278</v>
      </c>
      <c r="E1047" s="0" t="inlineStr">
        <is>
          <t xml:space="preserve">GENERAL DYNAMICS INFORMATION TECHNOLOGY, INC.</t>
        </is>
      </c>
      <c r="F1047" s="0" t="inlineStr">
        <is>
          <t xml:space="preserve">naics:336611</t>
        </is>
      </c>
    </row>
    <row r="1048">
      <c r="B1048" s="0" t="inlineStr">
        <is>
          <t xml:space="preserve">N0038322F0W81</t>
        </is>
      </c>
      <c r="C1048" s="0" t="inlineStr">
        <is>
          <t xml:space="preserve">broad_maritime</t>
        </is>
      </c>
      <c r="D1048" s="4">
        <v>13.264947999999999</v>
      </c>
      <c r="E1048" s="0" t="inlineStr">
        <is>
          <t xml:space="preserve">RAYTHEON COMPANY</t>
        </is>
      </c>
      <c r="F1048" s="0" t="inlineStr">
        <is>
          <t xml:space="preserve">naics:336611</t>
        </is>
      </c>
    </row>
    <row r="1049">
      <c r="B1049" s="0" t="inlineStr">
        <is>
          <t xml:space="preserve">N5523622F9958</t>
        </is>
      </c>
      <c r="C1049" s="0" t="inlineStr">
        <is>
          <t xml:space="preserve">broad_maritime</t>
        </is>
      </c>
      <c r="D1049" s="4">
        <v>13.221458</v>
      </c>
      <c r="E1049" s="0" t="inlineStr">
        <is>
          <t xml:space="preserve">HII FLEET SUPPORT GROUP LLC</t>
        </is>
      </c>
      <c r="F1049" s="0" t="inlineStr">
        <is>
          <t xml:space="preserve">naics:336611; psc:1905</t>
        </is>
      </c>
    </row>
    <row r="1050">
      <c r="B1050" s="0" t="inlineStr">
        <is>
          <t xml:space="preserve">N6449824F3059</t>
        </is>
      </c>
      <c r="C1050" s="0" t="inlineStr">
        <is>
          <t xml:space="preserve">broad_maritime</t>
        </is>
      </c>
      <c r="D1050" s="4">
        <v>13.206147349999998</v>
      </c>
      <c r="E1050" s="0" t="inlineStr">
        <is>
          <t xml:space="preserve">GENERAL DYNAMICS INFORMATION TECHNOLOGY, INC.</t>
        </is>
      </c>
      <c r="F1050" s="0" t="inlineStr">
        <is>
          <t xml:space="preserve">naics:336611</t>
        </is>
      </c>
    </row>
    <row r="1051">
      <c r="B1051" s="0" t="inlineStr">
        <is>
          <t xml:space="preserve">N0010424FC000</t>
        </is>
      </c>
      <c r="C1051" s="0" t="inlineStr">
        <is>
          <t xml:space="preserve">broad_maritime</t>
        </is>
      </c>
      <c r="D1051" s="4">
        <v>13.197146</v>
      </c>
      <c r="E1051" s="0" t="inlineStr">
        <is>
          <t xml:space="preserve">COLONNA'S SHIPYARD INC</t>
        </is>
      </c>
      <c r="F1051" s="0" t="inlineStr">
        <is>
          <t xml:space="preserve">naics:336611</t>
        </is>
      </c>
    </row>
    <row r="1052">
      <c r="B1052" s="0" t="inlineStr">
        <is>
          <t xml:space="preserve">N3220515C1003</t>
        </is>
      </c>
      <c r="C1052" s="0" t="inlineStr">
        <is>
          <t xml:space="preserve">broad_maritime</t>
        </is>
      </c>
      <c r="D1052" s="4">
        <v>13.14163039</v>
      </c>
      <c r="E1052" s="0" t="inlineStr">
        <is>
          <t xml:space="preserve">DETYENS SHIPYARDS INC</t>
        </is>
      </c>
      <c r="F1052" s="0" t="inlineStr">
        <is>
          <t xml:space="preserve">naics:336611</t>
        </is>
      </c>
    </row>
    <row r="1053">
      <c r="B1053" s="0" t="inlineStr">
        <is>
          <t xml:space="preserve">N3220524C4220</t>
        </is>
      </c>
      <c r="C1053" s="0" t="inlineStr">
        <is>
          <t xml:space="preserve">broad_maritime</t>
        </is>
      </c>
      <c r="D1053" s="4">
        <v>13.10437247</v>
      </c>
      <c r="E1053" s="0" t="inlineStr">
        <is>
          <t xml:space="preserve">ALABAMA SHIPYARD LLC</t>
        </is>
      </c>
      <c r="F1053" s="0" t="inlineStr">
        <is>
          <t xml:space="preserve">naics:336611</t>
        </is>
      </c>
    </row>
    <row r="1054">
      <c r="B1054" s="0" t="inlineStr">
        <is>
          <t xml:space="preserve">N4523A25C1103</t>
        </is>
      </c>
      <c r="C1054" s="0" t="inlineStr">
        <is>
          <t xml:space="preserve">broad_maritime</t>
        </is>
      </c>
      <c r="D1054" s="4">
        <v>13.096386789999999</v>
      </c>
      <c r="E1054" s="0" t="inlineStr">
        <is>
          <t xml:space="preserve">EVERETT SHIP REPAIR, LLC</t>
        </is>
      </c>
      <c r="F1054" s="0" t="inlineStr">
        <is>
          <t xml:space="preserve">naics:336611</t>
        </is>
      </c>
    </row>
    <row r="1055">
      <c r="B1055" s="0" t="inlineStr">
        <is>
          <t xml:space="preserve">N3220525C4082</t>
        </is>
      </c>
      <c r="C1055" s="0" t="inlineStr">
        <is>
          <t xml:space="preserve">broad_maritime</t>
        </is>
      </c>
      <c r="D1055" s="4">
        <v>13.093580999999999</v>
      </c>
      <c r="E1055" s="0" t="inlineStr">
        <is>
          <t xml:space="preserve">DETYENS SHIPYARDS INC</t>
        </is>
      </c>
      <c r="F1055" s="0" t="inlineStr">
        <is>
          <t xml:space="preserve">naics:336611</t>
        </is>
      </c>
    </row>
    <row r="1056">
      <c r="B1056" s="0" t="inlineStr">
        <is>
          <t xml:space="preserve">N0002420C6303</t>
        </is>
      </c>
      <c r="C1056" s="0" t="inlineStr">
        <is>
          <t xml:space="preserve">broad_maritime</t>
        </is>
      </c>
      <c r="D1056" s="4">
        <v>13.06919786</v>
      </c>
      <c r="E1056" s="0" t="inlineStr">
        <is>
          <t xml:space="preserve">OCEANETICS INC</t>
        </is>
      </c>
      <c r="F1056" s="0" t="inlineStr">
        <is>
          <t xml:space="preserve">psc:2090</t>
        </is>
      </c>
    </row>
    <row r="1057">
      <c r="B1057" s="0" t="inlineStr">
        <is>
          <t xml:space="preserve">N5005418F5099</t>
        </is>
      </c>
      <c r="C1057" s="0" t="inlineStr">
        <is>
          <t xml:space="preserve">broad_maritime</t>
        </is>
      </c>
      <c r="D1057" s="4">
        <v>13.06011648</v>
      </c>
      <c r="E1057" s="0" t="inlineStr">
        <is>
          <t xml:space="preserve">HII FLEET SUPPORT GROUP LLC</t>
        </is>
      </c>
      <c r="F1057" s="0" t="inlineStr">
        <is>
          <t xml:space="preserve">naics:336611</t>
        </is>
      </c>
    </row>
    <row r="1058">
      <c r="B1058" s="0" t="inlineStr">
        <is>
          <t xml:space="preserve">N4002720F0035</t>
        </is>
      </c>
      <c r="C1058" s="0" t="inlineStr">
        <is>
          <t xml:space="preserve">broad_maritime</t>
        </is>
      </c>
      <c r="D1058" s="4">
        <v>13.03755788</v>
      </c>
      <c r="E1058" s="0" t="inlineStr">
        <is>
          <t xml:space="preserve">BAE SYSTEMS JACKSONVILLE SHIP REPAIR LLC</t>
        </is>
      </c>
      <c r="F1058" s="0" t="inlineStr">
        <is>
          <t xml:space="preserve">naics:336611</t>
        </is>
      </c>
    </row>
    <row r="1059">
      <c r="B1059" s="0" t="inlineStr">
        <is>
          <t xml:space="preserve">0068</t>
        </is>
      </c>
      <c r="C1059" s="0" t="inlineStr">
        <is>
          <t xml:space="preserve">broad_maritime</t>
        </is>
      </c>
      <c r="D1059" s="4">
        <v>12.9913933</v>
      </c>
      <c r="E1059" s="0" t="inlineStr">
        <is>
          <t xml:space="preserve">TECNICO CORPORATION</t>
        </is>
      </c>
      <c r="F1059" s="0" t="inlineStr">
        <is>
          <t xml:space="preserve">naics:336611</t>
        </is>
      </c>
    </row>
    <row r="1060">
      <c r="B1060" s="0" t="inlineStr">
        <is>
          <t xml:space="preserve">N0002420C6319</t>
        </is>
      </c>
      <c r="C1060" s="0" t="inlineStr">
        <is>
          <t xml:space="preserve">broad_maritime</t>
        </is>
      </c>
      <c r="D1060" s="4">
        <v>12.938096279999998</v>
      </c>
      <c r="E1060" s="0" t="inlineStr">
        <is>
          <t xml:space="preserve">HUNTINGTON INGALLS INCORPORATED</t>
        </is>
      </c>
      <c r="F1060" s="0" t="inlineStr">
        <is>
          <t xml:space="preserve">naics:336611; psc:1905</t>
        </is>
      </c>
    </row>
    <row r="1061">
      <c r="B1061" s="0" t="inlineStr">
        <is>
          <t xml:space="preserve">N5005417F5002</t>
        </is>
      </c>
      <c r="C1061" s="0" t="inlineStr">
        <is>
          <t xml:space="preserve">broad_maritime</t>
        </is>
      </c>
      <c r="D1061" s="4">
        <v>12.9081213</v>
      </c>
      <c r="E1061" s="0" t="inlineStr">
        <is>
          <t xml:space="preserve">HII FLEET SUPPORT GROUP LLC</t>
        </is>
      </c>
      <c r="F1061" s="0" t="inlineStr">
        <is>
          <t xml:space="preserve">naics:336611</t>
        </is>
      </c>
    </row>
    <row r="1062">
      <c r="B1062" s="0" t="inlineStr">
        <is>
          <t xml:space="preserve">N6264925FL027</t>
        </is>
      </c>
      <c r="C1062" s="0" t="inlineStr">
        <is>
          <t xml:space="preserve">broad_maritime</t>
        </is>
      </c>
      <c r="D1062" s="4">
        <v>12.900623999999999</v>
      </c>
      <c r="E1062" s="0" t="inlineStr">
        <is>
          <t xml:space="preserve">SEATRIUM REPAIRS &amp; UPGRADES PTE. LTD.</t>
        </is>
      </c>
      <c r="F1062" s="0" t="inlineStr">
        <is>
          <t xml:space="preserve">naics:336611</t>
        </is>
      </c>
    </row>
    <row r="1063">
      <c r="B1063" s="0" t="inlineStr">
        <is>
          <t xml:space="preserve">N6931623F4001</t>
        </is>
      </c>
      <c r="C1063" s="0" t="inlineStr">
        <is>
          <t xml:space="preserve">broad_maritime</t>
        </is>
      </c>
      <c r="D1063" s="4">
        <v>12.881680999999999</v>
      </c>
      <c r="E1063" s="0" t="inlineStr">
        <is>
          <t xml:space="preserve">AUSTAL USA, LLC</t>
        </is>
      </c>
      <c r="F1063" s="0" t="inlineStr">
        <is>
          <t xml:space="preserve">naics:336611</t>
        </is>
      </c>
    </row>
    <row r="1064">
      <c r="B1064" s="0" t="inlineStr">
        <is>
          <t xml:space="preserve">N0002420F22B1</t>
        </is>
      </c>
      <c r="C1064" s="0" t="inlineStr">
        <is>
          <t xml:space="preserve">small_craft</t>
        </is>
      </c>
      <c r="D1064" s="4">
        <v>12.877817839999999</v>
      </c>
      <c r="E1064" s="0" t="inlineStr">
        <is>
          <t xml:space="preserve">RIBCRAFT USA, LLC</t>
        </is>
      </c>
      <c r="F1064" s="0" t="inlineStr">
        <is>
          <t xml:space="preserve">naics:336612; psc:1940</t>
        </is>
      </c>
    </row>
    <row r="1065">
      <c r="B1065" s="0" t="inlineStr">
        <is>
          <t xml:space="preserve">N4034522F0103</t>
        </is>
      </c>
      <c r="C1065" s="0" t="inlineStr">
        <is>
          <t xml:space="preserve">broad_maritime</t>
        </is>
      </c>
      <c r="D1065" s="4">
        <v>12.873470999999999</v>
      </c>
      <c r="E1065" s="0" t="inlineStr">
        <is>
          <t xml:space="preserve">SEATRIUM REPAIRS &amp; UPGRADES PTE. LTD.</t>
        </is>
      </c>
      <c r="F1065" s="0" t="inlineStr">
        <is>
          <t xml:space="preserve">naics:336611</t>
        </is>
      </c>
    </row>
    <row r="1066">
      <c r="B1066" s="0" t="inlineStr">
        <is>
          <t xml:space="preserve">N0002421F22Z1</t>
        </is>
      </c>
      <c r="C1066" s="0" t="inlineStr">
        <is>
          <t xml:space="preserve">small_craft</t>
        </is>
      </c>
      <c r="D1066" s="4">
        <v>12.842977999999999</v>
      </c>
      <c r="E1066" s="0" t="inlineStr">
        <is>
          <t xml:space="preserve">SILVER SHIPS, INC</t>
        </is>
      </c>
      <c r="F1066" s="0" t="inlineStr">
        <is>
          <t xml:space="preserve">naics:336612; psc:1940</t>
        </is>
      </c>
    </row>
    <row r="1067">
      <c r="B1067" s="0" t="inlineStr">
        <is>
          <t xml:space="preserve">N5523620F9915</t>
        </is>
      </c>
      <c r="C1067" s="0" t="inlineStr">
        <is>
          <t xml:space="preserve">broad_maritime</t>
        </is>
      </c>
      <c r="D1067" s="4">
        <v>12.8349</v>
      </c>
      <c r="E1067" s="0" t="inlineStr">
        <is>
          <t xml:space="preserve">HUNTINGTON INGALLS INC</t>
        </is>
      </c>
      <c r="F1067" s="0" t="inlineStr">
        <is>
          <t xml:space="preserve">naics:336611</t>
        </is>
      </c>
    </row>
    <row r="1068">
      <c r="B1068" s="0" t="inlineStr">
        <is>
          <t xml:space="preserve">N5005417C0007</t>
        </is>
      </c>
      <c r="C1068" s="0" t="inlineStr">
        <is>
          <t xml:space="preserve">broad_maritime</t>
        </is>
      </c>
      <c r="D1068" s="4">
        <v>12.833746349999998</v>
      </c>
      <c r="E1068" s="0" t="inlineStr">
        <is>
          <t xml:space="preserve">COLONNA'S SHIP YARD, INCORPORATED</t>
        </is>
      </c>
      <c r="F1068" s="0" t="inlineStr">
        <is>
          <t xml:space="preserve">naics:336611</t>
        </is>
      </c>
    </row>
    <row r="1069">
      <c r="B1069" s="0" t="inlineStr">
        <is>
          <t xml:space="preserve">N5005416C0003</t>
        </is>
      </c>
      <c r="C1069" s="0" t="inlineStr">
        <is>
          <t xml:space="preserve">broad_maritime</t>
        </is>
      </c>
      <c r="D1069" s="4">
        <v>12.743611</v>
      </c>
      <c r="E1069" s="0" t="inlineStr">
        <is>
          <t xml:space="preserve">MARINE HYDRAULICS INTERNATIONAL, LLC</t>
        </is>
      </c>
      <c r="F1069" s="0" t="inlineStr">
        <is>
          <t xml:space="preserve">naics:336611</t>
        </is>
      </c>
    </row>
    <row r="1070">
      <c r="B1070" s="0" t="inlineStr">
        <is>
          <t xml:space="preserve">N0002419F2239</t>
        </is>
      </c>
      <c r="C1070" s="0" t="inlineStr">
        <is>
          <t xml:space="preserve">small_craft</t>
        </is>
      </c>
      <c r="D1070" s="4">
        <v>12.73448161</v>
      </c>
      <c r="E1070" s="0" t="inlineStr">
        <is>
          <t xml:space="preserve">GRAVOIS ALUMINUM BOATS LLC</t>
        </is>
      </c>
      <c r="F1070" s="0" t="inlineStr">
        <is>
          <t xml:space="preserve">naics:336611; psc:1940</t>
        </is>
      </c>
    </row>
    <row r="1071">
      <c r="B1071" s="0" t="inlineStr">
        <is>
          <t xml:space="preserve">N6279325F7406</t>
        </is>
      </c>
      <c r="C1071" s="0" t="inlineStr">
        <is>
          <t xml:space="preserve">broad_maritime</t>
        </is>
      </c>
      <c r="D1071" s="4">
        <v>12.731994949999999</v>
      </c>
      <c r="E1071" s="0" t="inlineStr">
        <is>
          <t xml:space="preserve">HII FLEET SUPPORT GROUP LLC</t>
        </is>
      </c>
      <c r="F1071" s="0" t="inlineStr">
        <is>
          <t xml:space="preserve">naics:336611; psc:1905</t>
        </is>
      </c>
    </row>
    <row r="1072">
      <c r="B1072" s="0" t="inlineStr">
        <is>
          <t xml:space="preserve">N4044624F0004</t>
        </is>
      </c>
      <c r="C1072" s="0" t="inlineStr">
        <is>
          <t xml:space="preserve">broad_maritime</t>
        </is>
      </c>
      <c r="D1072" s="4">
        <v>12.72249331</v>
      </c>
      <c r="E1072" s="0" t="inlineStr">
        <is>
          <t xml:space="preserve">CABRAS MARINE CORPORATION</t>
        </is>
      </c>
      <c r="F1072" s="0" t="inlineStr">
        <is>
          <t xml:space="preserve">naics:336611</t>
        </is>
      </c>
    </row>
    <row r="1073">
      <c r="B1073" s="0" t="inlineStr">
        <is>
          <t xml:space="preserve">N3220520C4086</t>
        </is>
      </c>
      <c r="C1073" s="0" t="inlineStr">
        <is>
          <t xml:space="preserve">broad_maritime</t>
        </is>
      </c>
      <c r="D1073" s="4">
        <v>12.71955684</v>
      </c>
      <c r="E1073" s="0" t="inlineStr">
        <is>
          <t xml:space="preserve">VIGOR MARINE LLC</t>
        </is>
      </c>
      <c r="F1073" s="0" t="inlineStr">
        <is>
          <t xml:space="preserve">naics:336611</t>
        </is>
      </c>
    </row>
    <row r="1074">
      <c r="B1074" s="0" t="inlineStr">
        <is>
          <t xml:space="preserve">N4523A26C1001</t>
        </is>
      </c>
      <c r="C1074" s="0" t="inlineStr">
        <is>
          <t xml:space="preserve">broad_maritime</t>
        </is>
      </c>
      <c r="D1074" s="4">
        <v>12.68314397</v>
      </c>
      <c r="E1074" s="0" t="inlineStr">
        <is>
          <t xml:space="preserve">LAKE UNION DRYDOCK COMPANY</t>
        </is>
      </c>
      <c r="F1074" s="0" t="inlineStr">
        <is>
          <t xml:space="preserve">naics:336611</t>
        </is>
      </c>
    </row>
    <row r="1075">
      <c r="B1075" s="0" t="inlineStr">
        <is>
          <t xml:space="preserve">0008</t>
        </is>
      </c>
      <c r="C1075" s="0" t="inlineStr">
        <is>
          <t xml:space="preserve">broad_maritime</t>
        </is>
      </c>
      <c r="D1075" s="4">
        <v>12.677968</v>
      </c>
      <c r="E1075" s="0" t="inlineStr">
        <is>
          <t xml:space="preserve">BATH IRON WORKS CORPORATION</t>
        </is>
      </c>
      <c r="F1075" s="0" t="inlineStr">
        <is>
          <t xml:space="preserve">naics:336611; psc:1905</t>
        </is>
      </c>
    </row>
    <row r="1076">
      <c r="B1076" s="0" t="inlineStr">
        <is>
          <t xml:space="preserve">N6449821F3070</t>
        </is>
      </c>
      <c r="C1076" s="0" t="inlineStr">
        <is>
          <t xml:space="preserve">broad_maritime</t>
        </is>
      </c>
      <c r="D1076" s="4">
        <v>12.633857789999999</v>
      </c>
      <c r="E1076" s="0" t="inlineStr">
        <is>
          <t xml:space="preserve">DELPHINUS ENGINEERING, INC.</t>
        </is>
      </c>
      <c r="F1076" s="0" t="inlineStr">
        <is>
          <t xml:space="preserve">naics:336611</t>
        </is>
      </c>
    </row>
    <row r="1077">
      <c r="B1077" s="0" t="inlineStr">
        <is>
          <t xml:space="preserve">N6278619F0001</t>
        </is>
      </c>
      <c r="C1077" s="0" t="inlineStr">
        <is>
          <t xml:space="preserve">broad_maritime</t>
        </is>
      </c>
      <c r="D1077" s="4">
        <v>12.613192999999999</v>
      </c>
      <c r="E1077" s="0" t="inlineStr">
        <is>
          <t xml:space="preserve">LOCKHEED MARTIN CORPORATION</t>
        </is>
      </c>
      <c r="F1077" s="0" t="inlineStr">
        <is>
          <t xml:space="preserve">naics:336611; psc:1905</t>
        </is>
      </c>
    </row>
    <row r="1078">
      <c r="B1078" s="0" t="inlineStr">
        <is>
          <t xml:space="preserve">N0002424F8129</t>
        </is>
      </c>
      <c r="C1078" s="0" t="inlineStr">
        <is>
          <t xml:space="preserve">usv_core</t>
        </is>
      </c>
      <c r="D1078" s="4">
        <v>12.589723</v>
      </c>
      <c r="E1078" s="0" t="inlineStr">
        <is>
          <t xml:space="preserve">THE JOHNS HOPKINS UNIVERSITY APPLIED PHYSICS LABORATORY LLC</t>
        </is>
      </c>
      <c r="F1078" s="0" t="inlineStr">
        <is>
          <t xml:space="preserve">keyword</t>
        </is>
      </c>
    </row>
    <row r="1079">
      <c r="B1079" s="0" t="inlineStr">
        <is>
          <t xml:space="preserve">N0002419C2205</t>
        </is>
      </c>
      <c r="C1079" s="0" t="inlineStr">
        <is>
          <t xml:space="preserve">small_craft</t>
        </is>
      </c>
      <c r="D1079" s="4">
        <v>12.578793</v>
      </c>
      <c r="E1079" s="0" t="inlineStr">
        <is>
          <t xml:space="preserve">THOMA-SEA MARINE CONSTRUCTORS, L.L.C.</t>
        </is>
      </c>
      <c r="F1079" s="0" t="inlineStr">
        <is>
          <t xml:space="preserve">naics:336612; psc:1940</t>
        </is>
      </c>
    </row>
    <row r="1080">
      <c r="B1080" s="0" t="inlineStr">
        <is>
          <t xml:space="preserve">N0002417F4227</t>
        </is>
      </c>
      <c r="C1080" s="0" t="inlineStr">
        <is>
          <t xml:space="preserve">broad_maritime</t>
        </is>
      </c>
      <c r="D1080" s="4">
        <v>12.549894</v>
      </c>
      <c r="E1080" s="0" t="inlineStr">
        <is>
          <t xml:space="preserve">VSE CORPORATION</t>
        </is>
      </c>
      <c r="F1080" s="0" t="inlineStr">
        <is>
          <t xml:space="preserve">naics:336611</t>
        </is>
      </c>
    </row>
    <row r="1081">
      <c r="B1081" s="0" t="inlineStr">
        <is>
          <t xml:space="preserve">N3904023F0098</t>
        </is>
      </c>
      <c r="C1081" s="0" t="inlineStr">
        <is>
          <t xml:space="preserve">broad_maritime</t>
        </is>
      </c>
      <c r="D1081" s="4">
        <v>12.54053982</v>
      </c>
      <c r="E1081" s="0" t="inlineStr">
        <is>
          <t xml:space="preserve">ORBIS SIBRO INC</t>
        </is>
      </c>
      <c r="F1081" s="0" t="inlineStr">
        <is>
          <t xml:space="preserve">naics:336611</t>
        </is>
      </c>
    </row>
    <row r="1082">
      <c r="B1082" s="0" t="inlineStr">
        <is>
          <t xml:space="preserve">N3220516C4002</t>
        </is>
      </c>
      <c r="C1082" s="0" t="inlineStr">
        <is>
          <t xml:space="preserve">broad_maritime</t>
        </is>
      </c>
      <c r="D1082" s="4">
        <v>12.505079</v>
      </c>
      <c r="E1082" s="0" t="inlineStr">
        <is>
          <t xml:space="preserve">DETYENS SHIPYARDS INC</t>
        </is>
      </c>
      <c r="F1082" s="0" t="inlineStr">
        <is>
          <t xml:space="preserve">naics:336611</t>
        </is>
      </c>
    </row>
    <row r="1083">
      <c r="B1083" s="0" t="inlineStr">
        <is>
          <t xml:space="preserve">N6449822F3154</t>
        </is>
      </c>
      <c r="C1083" s="0" t="inlineStr">
        <is>
          <t xml:space="preserve">broad_maritime</t>
        </is>
      </c>
      <c r="D1083" s="4">
        <v>12.48424522</v>
      </c>
      <c r="E1083" s="0" t="inlineStr">
        <is>
          <t xml:space="preserve">TECNICO CORPORATION</t>
        </is>
      </c>
      <c r="F1083" s="0" t="inlineStr">
        <is>
          <t xml:space="preserve">naics:336611</t>
        </is>
      </c>
    </row>
    <row r="1084">
      <c r="B1084" s="0" t="inlineStr">
        <is>
          <t xml:space="preserve">N0002425C2237</t>
        </is>
      </c>
      <c r="C1084" s="0" t="inlineStr">
        <is>
          <t xml:space="preserve">small_craft</t>
        </is>
      </c>
      <c r="D1084" s="4">
        <v>12.4789958</v>
      </c>
      <c r="E1084" s="0" t="inlineStr">
        <is>
          <t xml:space="preserve">GRAVOIS ALUMINUM BOATS LLC</t>
        </is>
      </c>
      <c r="F1084" s="0" t="inlineStr">
        <is>
          <t xml:space="preserve">naics:336612; psc:1940</t>
        </is>
      </c>
    </row>
    <row r="1085">
      <c r="B1085" s="0" t="inlineStr">
        <is>
          <t xml:space="preserve">N0002423F8023</t>
        </is>
      </c>
      <c r="C1085" s="0" t="inlineStr">
        <is>
          <t xml:space="preserve">broad_maritime</t>
        </is>
      </c>
      <c r="D1085" s="4">
        <v>12.434470300000001</v>
      </c>
      <c r="E1085" s="0" t="inlineStr">
        <is>
          <t xml:space="preserve">HEXAGON US FEDERAL, INC</t>
        </is>
      </c>
      <c r="F1085" s="0" t="inlineStr">
        <is>
          <t xml:space="preserve">psc:2090</t>
        </is>
      </c>
    </row>
    <row r="1086">
      <c r="B1086" s="0" t="inlineStr">
        <is>
          <t xml:space="preserve">N0002422C2214</t>
        </is>
      </c>
      <c r="C1086" s="0" t="inlineStr">
        <is>
          <t xml:space="preserve">small_craft</t>
        </is>
      </c>
      <c r="D1086" s="4">
        <v>12.399999999999999</v>
      </c>
      <c r="E1086" s="0" t="inlineStr">
        <is>
          <t xml:space="preserve">BVI CORP</t>
        </is>
      </c>
      <c r="F1086" s="0" t="inlineStr">
        <is>
          <t xml:space="preserve">naics:336611; psc:1940</t>
        </is>
      </c>
    </row>
    <row r="1087">
      <c r="B1087" s="0" t="inlineStr">
        <is>
          <t xml:space="preserve">N3220517C4201</t>
        </is>
      </c>
      <c r="C1087" s="0" t="inlineStr">
        <is>
          <t xml:space="preserve">broad_maritime</t>
        </is>
      </c>
      <c r="D1087" s="4">
        <v>12.375943</v>
      </c>
      <c r="E1087" s="0" t="inlineStr">
        <is>
          <t xml:space="preserve">DETYENS SHIPYARDS INC</t>
        </is>
      </c>
      <c r="F1087" s="0" t="inlineStr">
        <is>
          <t xml:space="preserve">naics:336611</t>
        </is>
      </c>
    </row>
    <row r="1088">
      <c r="B1088" s="0" t="inlineStr">
        <is>
          <t xml:space="preserve">N6449819FBB20</t>
        </is>
      </c>
      <c r="C1088" s="0" t="inlineStr">
        <is>
          <t xml:space="preserve">broad_maritime</t>
        </is>
      </c>
      <c r="D1088" s="4">
        <v>12.355838619999998</v>
      </c>
      <c r="E1088" s="0" t="inlineStr">
        <is>
          <t xml:space="preserve">DELPHINUS ENGINEERING, INC.</t>
        </is>
      </c>
      <c r="F1088" s="0" t="inlineStr">
        <is>
          <t xml:space="preserve">naics:336611</t>
        </is>
      </c>
    </row>
    <row r="1089">
      <c r="B1089" s="0" t="inlineStr">
        <is>
          <t xml:space="preserve">N4034522F0012</t>
        </is>
      </c>
      <c r="C1089" s="0" t="inlineStr">
        <is>
          <t xml:space="preserve">broad_maritime</t>
        </is>
      </c>
      <c r="D1089" s="4">
        <v>12.33774466</v>
      </c>
      <c r="E1089" s="0" t="inlineStr">
        <is>
          <t xml:space="preserve">SUNJIN ENTECH CO.,LTD.</t>
        </is>
      </c>
      <c r="F1089" s="0" t="inlineStr">
        <is>
          <t xml:space="preserve">naics:336611</t>
        </is>
      </c>
    </row>
    <row r="1090">
      <c r="B1090" s="0" t="inlineStr">
        <is>
          <t xml:space="preserve">0004</t>
        </is>
      </c>
      <c r="C1090" s="0" t="inlineStr">
        <is>
          <t xml:space="preserve">broad_maritime</t>
        </is>
      </c>
      <c r="D1090" s="4">
        <v>12.31271514</v>
      </c>
      <c r="E1090" s="0" t="inlineStr">
        <is>
          <t xml:space="preserve">DEFENSE MARITIME SOLUTIONS, INC.</t>
        </is>
      </c>
      <c r="F1090" s="0" t="inlineStr">
        <is>
          <t xml:space="preserve">naics:336611</t>
        </is>
      </c>
    </row>
    <row r="1091">
      <c r="B1091" s="0" t="inlineStr">
        <is>
          <t xml:space="preserve">N0010420CCA04</t>
        </is>
      </c>
      <c r="C1091" s="0" t="inlineStr">
        <is>
          <t xml:space="preserve">small_craft</t>
        </is>
      </c>
      <c r="D1091" s="4">
        <v>12.296464069999999</v>
      </c>
      <c r="E1091" s="0" t="inlineStr">
        <is>
          <t xml:space="preserve">GE AVIATION SYSTEMS LLC</t>
        </is>
      </c>
      <c r="F1091" s="0" t="inlineStr">
        <is>
          <t xml:space="preserve">naics:336612</t>
        </is>
      </c>
    </row>
    <row r="1092">
      <c r="B1092" s="0" t="inlineStr">
        <is>
          <t xml:space="preserve">N0025324F5508</t>
        </is>
      </c>
      <c r="C1092" s="0" t="inlineStr">
        <is>
          <t xml:space="preserve">broad_maritime</t>
        </is>
      </c>
      <c r="D1092" s="4">
        <v>12.283261659999999</v>
      </c>
      <c r="E1092" s="0" t="inlineStr">
        <is>
          <t xml:space="preserve">AMENTUM SERVICES, INC.</t>
        </is>
      </c>
      <c r="F1092" s="0" t="inlineStr">
        <is>
          <t xml:space="preserve">naics:336611</t>
        </is>
      </c>
    </row>
    <row r="1093">
      <c r="B1093" s="0" t="inlineStr">
        <is>
          <t xml:space="preserve">N6817125F6143</t>
        </is>
      </c>
      <c r="C1093" s="0" t="inlineStr">
        <is>
          <t xml:space="preserve">broad_maritime</t>
        </is>
      </c>
      <c r="D1093" s="4">
        <v>12.249148739999999</v>
      </c>
      <c r="E1093" s="0" t="inlineStr">
        <is>
          <t xml:space="preserve">NAVANTIA, S.A., S.M.E.</t>
        </is>
      </c>
      <c r="F1093" s="0" t="inlineStr">
        <is>
          <t xml:space="preserve">naics:336611</t>
        </is>
      </c>
    </row>
    <row r="1094">
      <c r="B1094" s="0" t="inlineStr">
        <is>
          <t xml:space="preserve">N0016725F0080</t>
        </is>
      </c>
      <c r="C1094" s="0" t="inlineStr">
        <is>
          <t xml:space="preserve">broad_maritime</t>
        </is>
      </c>
      <c r="D1094" s="4">
        <v>12.230930359999999</v>
      </c>
      <c r="E1094" s="0" t="inlineStr">
        <is>
          <t xml:space="preserve">BAE SYSTEMS LAND &amp; ARMAMENTS L.P.</t>
        </is>
      </c>
      <c r="F1094" s="0" t="inlineStr">
        <is>
          <t xml:space="preserve">naics:336611</t>
        </is>
      </c>
    </row>
    <row r="1095">
      <c r="B1095" s="0" t="inlineStr">
        <is>
          <t xml:space="preserve">N0002424C2321</t>
        </is>
      </c>
      <c r="C1095" s="0" t="inlineStr">
        <is>
          <t xml:space="preserve">broad_maritime</t>
        </is>
      </c>
      <c r="D1095" s="4">
        <v>12.22578319</v>
      </c>
      <c r="E1095" s="0" t="inlineStr">
        <is>
          <t xml:space="preserve">BAE SYSTEMS JACKSONVILLE SHIP REPAIR LLC</t>
        </is>
      </c>
      <c r="F1095" s="0" t="inlineStr">
        <is>
          <t xml:space="preserve">naics:336611; psc:1905</t>
        </is>
      </c>
    </row>
    <row r="1096">
      <c r="B1096" s="0" t="inlineStr">
        <is>
          <t xml:space="preserve">N6931622F4001</t>
        </is>
      </c>
      <c r="C1096" s="0" t="inlineStr">
        <is>
          <t xml:space="preserve">broad_maritime</t>
        </is>
      </c>
      <c r="D1096" s="4">
        <v>12.206750999999999</v>
      </c>
      <c r="E1096" s="0" t="inlineStr">
        <is>
          <t xml:space="preserve">AUSTAL USA, LLC</t>
        </is>
      </c>
      <c r="F1096" s="0" t="inlineStr">
        <is>
          <t xml:space="preserve">naics:336611</t>
        </is>
      </c>
    </row>
    <row r="1097">
      <c r="B1097" s="0" t="inlineStr">
        <is>
          <t xml:space="preserve">N4523A19C0801</t>
        </is>
      </c>
      <c r="C1097" s="0" t="inlineStr">
        <is>
          <t xml:space="preserve">broad_maritime</t>
        </is>
      </c>
      <c r="D1097" s="4">
        <v>12.19866555</v>
      </c>
      <c r="E1097" s="0" t="inlineStr">
        <is>
          <t xml:space="preserve">IMIA, LLC</t>
        </is>
      </c>
      <c r="F1097" s="0" t="inlineStr">
        <is>
          <t xml:space="preserve">naics:336611</t>
        </is>
      </c>
    </row>
    <row r="1098">
      <c r="B1098" s="0" t="inlineStr">
        <is>
          <t xml:space="preserve">4T45</t>
        </is>
      </c>
      <c r="C1098" s="0" t="inlineStr">
        <is>
          <t xml:space="preserve">broad_maritime</t>
        </is>
      </c>
      <c r="D1098" s="4">
        <v>12.19835475</v>
      </c>
      <c r="E1098" s="0" t="inlineStr">
        <is>
          <t xml:space="preserve">HUNTINGTON INGALLS INC</t>
        </is>
      </c>
      <c r="F1098" s="0" t="inlineStr">
        <is>
          <t xml:space="preserve">naics:336611</t>
        </is>
      </c>
    </row>
    <row r="1099">
      <c r="B1099" s="0" t="inlineStr">
        <is>
          <t xml:space="preserve">N3220519C6702</t>
        </is>
      </c>
      <c r="C1099" s="0" t="inlineStr">
        <is>
          <t xml:space="preserve">broad_maritime</t>
        </is>
      </c>
      <c r="D1099" s="4">
        <v>12.15974516</v>
      </c>
      <c r="E1099" s="0" t="inlineStr">
        <is>
          <t xml:space="preserve">COLONNA'S SHIP YARD, INCORPORATED</t>
        </is>
      </c>
      <c r="F1099" s="0" t="inlineStr">
        <is>
          <t xml:space="preserve">naics:336611</t>
        </is>
      </c>
    </row>
    <row r="1100">
      <c r="B1100" s="0" t="inlineStr">
        <is>
          <t xml:space="preserve">0017</t>
        </is>
      </c>
      <c r="C1100" s="0" t="inlineStr">
        <is>
          <t xml:space="preserve">broad_maritime</t>
        </is>
      </c>
      <c r="D1100" s="4">
        <v>12.153687380000001</v>
      </c>
      <c r="E1100" s="0" t="inlineStr">
        <is>
          <t xml:space="preserve">LOCKHEED MARTIN CORPORATION</t>
        </is>
      </c>
      <c r="F1100" s="0" t="inlineStr">
        <is>
          <t xml:space="preserve">naics:336611; psc:1905</t>
        </is>
      </c>
    </row>
    <row r="1101">
      <c r="B1101" s="0" t="inlineStr">
        <is>
          <t xml:space="preserve">0007</t>
        </is>
      </c>
      <c r="C1101" s="0" t="inlineStr">
        <is>
          <t xml:space="preserve">broad_maritime</t>
        </is>
      </c>
      <c r="D1101" s="4">
        <v>12.14393367</v>
      </c>
      <c r="E1101" s="0" t="inlineStr">
        <is>
          <t xml:space="preserve">QED SYSTEMS, INC.</t>
        </is>
      </c>
      <c r="F1101" s="0" t="inlineStr">
        <is>
          <t xml:space="preserve">naics:336611</t>
        </is>
      </c>
    </row>
    <row r="1102">
      <c r="B1102" s="0" t="inlineStr">
        <is>
          <t xml:space="preserve">N3220514C3006</t>
        </is>
      </c>
      <c r="C1102" s="0" t="inlineStr">
        <is>
          <t xml:space="preserve">broad_maritime</t>
        </is>
      </c>
      <c r="D1102" s="4">
        <v>12.141150999999999</v>
      </c>
      <c r="E1102" s="0" t="inlineStr">
        <is>
          <t xml:space="preserve">BAE SYSTEMS SAN FRANCISCO SHIP REPAIR INC.</t>
        </is>
      </c>
      <c r="F1102" s="0" t="inlineStr">
        <is>
          <t xml:space="preserve">naics:336611</t>
        </is>
      </c>
    </row>
    <row r="1103">
      <c r="B1103" s="0" t="inlineStr">
        <is>
          <t xml:space="preserve">N5005424F6003</t>
        </is>
      </c>
      <c r="C1103" s="0" t="inlineStr">
        <is>
          <t xml:space="preserve">broad_maritime</t>
        </is>
      </c>
      <c r="D1103" s="4">
        <v>12.13142194</v>
      </c>
      <c r="E1103" s="0" t="inlineStr">
        <is>
          <t xml:space="preserve">HII FLEET SUPPORT GROUP LLC</t>
        </is>
      </c>
      <c r="F1103" s="0" t="inlineStr">
        <is>
          <t xml:space="preserve">naics:336611; psc:1905</t>
        </is>
      </c>
    </row>
    <row r="1104">
      <c r="B1104" s="0" t="inlineStr">
        <is>
          <t xml:space="preserve">N6449817FHB34</t>
        </is>
      </c>
      <c r="C1104" s="0" t="inlineStr">
        <is>
          <t xml:space="preserve">broad_maritime</t>
        </is>
      </c>
      <c r="D1104" s="4">
        <v>12.11772105</v>
      </c>
      <c r="E1104" s="0" t="inlineStr">
        <is>
          <t xml:space="preserve">QED SYSTEMS, INC.</t>
        </is>
      </c>
      <c r="F1104" s="0" t="inlineStr">
        <is>
          <t xml:space="preserve">naics:336611</t>
        </is>
      </c>
    </row>
    <row r="1105">
      <c r="B1105" s="0" t="inlineStr">
        <is>
          <t xml:space="preserve">N5523621F2091</t>
        </is>
      </c>
      <c r="C1105" s="0" t="inlineStr">
        <is>
          <t xml:space="preserve">broad_maritime</t>
        </is>
      </c>
      <c r="D1105" s="4">
        <v>12.10644291</v>
      </c>
      <c r="E1105" s="0" t="inlineStr">
        <is>
          <t xml:space="preserve">BAE SYSTEMS MARITIME SOLUTIONS SAN DIEGO INC.</t>
        </is>
      </c>
      <c r="F1105" s="0" t="inlineStr">
        <is>
          <t xml:space="preserve">naics:336611</t>
        </is>
      </c>
    </row>
    <row r="1106">
      <c r="B1106" s="0" t="inlineStr">
        <is>
          <t xml:space="preserve">N3904022F0055</t>
        </is>
      </c>
      <c r="C1106" s="0" t="inlineStr">
        <is>
          <t xml:space="preserve">broad_maritime</t>
        </is>
      </c>
      <c r="D1106" s="4">
        <v>12.10454822</v>
      </c>
      <c r="E1106" s="0" t="inlineStr">
        <is>
          <t xml:space="preserve">AMP UNITED LLC</t>
        </is>
      </c>
      <c r="F1106" s="0" t="inlineStr">
        <is>
          <t xml:space="preserve">naics:336611</t>
        </is>
      </c>
    </row>
    <row r="1107">
      <c r="B1107" s="0" t="inlineStr">
        <is>
          <t xml:space="preserve">0189</t>
        </is>
      </c>
      <c r="C1107" s="0" t="inlineStr">
        <is>
          <t xml:space="preserve">broad_maritime</t>
        </is>
      </c>
      <c r="D1107" s="4">
        <v>12.084938</v>
      </c>
      <c r="E1107" s="0" t="inlineStr">
        <is>
          <t xml:space="preserve">VSE CORPORATION</t>
        </is>
      </c>
      <c r="F1107" s="0" t="inlineStr">
        <is>
          <t xml:space="preserve">naics:336611</t>
        </is>
      </c>
    </row>
    <row r="1108">
      <c r="B1108" s="0" t="inlineStr">
        <is>
          <t xml:space="preserve">N5005419FC048</t>
        </is>
      </c>
      <c r="C1108" s="0" t="inlineStr">
        <is>
          <t xml:space="preserve">broad_maritime</t>
        </is>
      </c>
      <c r="D1108" s="4">
        <v>12.06420103</v>
      </c>
      <c r="E1108" s="0" t="inlineStr">
        <is>
          <t xml:space="preserve">METRO MACHINE CORP.</t>
        </is>
      </c>
      <c r="F1108" s="0" t="inlineStr">
        <is>
          <t xml:space="preserve">naics:336611</t>
        </is>
      </c>
    </row>
    <row r="1109">
      <c r="B1109" s="0" t="inlineStr">
        <is>
          <t xml:space="preserve">0243</t>
        </is>
      </c>
      <c r="C1109" s="0" t="inlineStr">
        <is>
          <t xml:space="preserve">broad_maritime</t>
        </is>
      </c>
      <c r="D1109" s="4">
        <v>12.050264949999999</v>
      </c>
      <c r="E1109" s="0" t="inlineStr">
        <is>
          <t xml:space="preserve">HII FLEET SUPPORT GROUP LLC</t>
        </is>
      </c>
      <c r="F1109" s="0" t="inlineStr">
        <is>
          <t xml:space="preserve">naics:336611</t>
        </is>
      </c>
    </row>
    <row r="1110">
      <c r="B1110" s="0" t="inlineStr">
        <is>
          <t xml:space="preserve">N4033920CF015</t>
        </is>
      </c>
      <c r="C1110" s="0" t="inlineStr">
        <is>
          <t xml:space="preserve">broad_maritime</t>
        </is>
      </c>
      <c r="D1110" s="4">
        <v>12.029356</v>
      </c>
      <c r="E1110" s="0" t="inlineStr">
        <is>
          <t xml:space="preserve">DRY DOCKS WORLD - DUBAI FZCO</t>
        </is>
      </c>
      <c r="F1110" s="0" t="inlineStr">
        <is>
          <t xml:space="preserve">naics:336611</t>
        </is>
      </c>
    </row>
    <row r="1111">
      <c r="B1111" s="0" t="inlineStr">
        <is>
          <t xml:space="preserve">N0002425F22A2</t>
        </is>
      </c>
      <c r="C1111" s="0" t="inlineStr">
        <is>
          <t xml:space="preserve">small_craft</t>
        </is>
      </c>
      <c r="D1111" s="4">
        <v>12.020284</v>
      </c>
      <c r="E1111" s="0" t="inlineStr">
        <is>
          <t xml:space="preserve">UNITED STATES MARINE INC</t>
        </is>
      </c>
      <c r="F1111" s="0" t="inlineStr">
        <is>
          <t xml:space="preserve">naics:336612; psc:1940</t>
        </is>
      </c>
    </row>
    <row r="1112">
      <c r="B1112" s="0" t="inlineStr">
        <is>
          <t xml:space="preserve">N5005426FC010</t>
        </is>
      </c>
      <c r="C1112" s="0" t="inlineStr">
        <is>
          <t xml:space="preserve">broad_maritime</t>
        </is>
      </c>
      <c r="D1112" s="4">
        <v>12.007211</v>
      </c>
      <c r="E1112" s="0" t="inlineStr">
        <is>
          <t xml:space="preserve">MARINE HYDRAULICS INTERNATIONAL, LLC</t>
        </is>
      </c>
      <c r="F1112" s="0" t="inlineStr">
        <is>
          <t xml:space="preserve">naics:336611</t>
        </is>
      </c>
    </row>
    <row r="1113">
      <c r="B1113" s="0" t="inlineStr">
        <is>
          <t xml:space="preserve">N3220522C4053</t>
        </is>
      </c>
      <c r="C1113" s="0" t="inlineStr">
        <is>
          <t xml:space="preserve">broad_maritime</t>
        </is>
      </c>
      <c r="D1113" s="4">
        <v>12.00648324</v>
      </c>
      <c r="E1113" s="0" t="inlineStr">
        <is>
          <t xml:space="preserve">FAIRLEAD BOATWORKS, INC.</t>
        </is>
      </c>
      <c r="F1113" s="0" t="inlineStr">
        <is>
          <t xml:space="preserve">naics:336611</t>
        </is>
      </c>
    </row>
    <row r="1114">
      <c r="B1114" s="0" t="inlineStr">
        <is>
          <t xml:space="preserve">N6449825F3013</t>
        </is>
      </c>
      <c r="C1114" s="0" t="inlineStr">
        <is>
          <t xml:space="preserve">broad_maritime</t>
        </is>
      </c>
      <c r="D1114" s="4">
        <v>11.991337029999999</v>
      </c>
      <c r="E1114" s="0" t="inlineStr">
        <is>
          <t xml:space="preserve">DELPHINUS ENGINEERING, INC.</t>
        </is>
      </c>
      <c r="F1114" s="0" t="inlineStr">
        <is>
          <t xml:space="preserve">naics:336611</t>
        </is>
      </c>
    </row>
    <row r="1115">
      <c r="B1115" s="0" t="inlineStr">
        <is>
          <t xml:space="preserve">N5005425F2049</t>
        </is>
      </c>
      <c r="C1115" s="0" t="inlineStr">
        <is>
          <t xml:space="preserve">broad_maritime</t>
        </is>
      </c>
      <c r="D1115" s="4">
        <v>11.9855878</v>
      </c>
      <c r="E1115" s="0" t="inlineStr">
        <is>
          <t xml:space="preserve">TECNICO CORPORATION</t>
        </is>
      </c>
      <c r="F1115" s="0" t="inlineStr">
        <is>
          <t xml:space="preserve">naics:336611</t>
        </is>
      </c>
    </row>
    <row r="1116">
      <c r="B1116" s="0" t="inlineStr">
        <is>
          <t xml:space="preserve">N4034522F0076</t>
        </is>
      </c>
      <c r="C1116" s="0" t="inlineStr">
        <is>
          <t xml:space="preserve">broad_maritime</t>
        </is>
      </c>
      <c r="D1116" s="4">
        <v>11.985577</v>
      </c>
      <c r="E1116" s="0" t="inlineStr">
        <is>
          <t xml:space="preserve">SEATRIUM REPAIRS &amp; UPGRADES PTE. LTD.</t>
        </is>
      </c>
      <c r="F1116" s="0" t="inlineStr">
        <is>
          <t xml:space="preserve">naics:336611</t>
        </is>
      </c>
    </row>
    <row r="1117">
      <c r="B1117" s="0" t="inlineStr">
        <is>
          <t xml:space="preserve">N6449823F3068</t>
        </is>
      </c>
      <c r="C1117" s="0" t="inlineStr">
        <is>
          <t xml:space="preserve">broad_maritime</t>
        </is>
      </c>
      <c r="D1117" s="4">
        <v>11.984134359999999</v>
      </c>
      <c r="E1117" s="0" t="inlineStr">
        <is>
          <t xml:space="preserve">GENERAL DYNAMICS INFORMATION TECHNOLOGY, INC.</t>
        </is>
      </c>
      <c r="F1117" s="0" t="inlineStr">
        <is>
          <t xml:space="preserve">naics:336611</t>
        </is>
      </c>
    </row>
    <row r="1118">
      <c r="B1118" s="0" t="inlineStr">
        <is>
          <t xml:space="preserve">ER06</t>
        </is>
      </c>
      <c r="C1118" s="0" t="inlineStr">
        <is>
          <t xml:space="preserve">broad_maritime</t>
        </is>
      </c>
      <c r="D1118" s="4">
        <v>11.979101</v>
      </c>
      <c r="E1118" s="0" t="inlineStr">
        <is>
          <t xml:space="preserve">LOCKHEED MARTIN CORPORATION</t>
        </is>
      </c>
      <c r="F1118" s="0" t="inlineStr">
        <is>
          <t xml:space="preserve">naics:336611; psc:1905</t>
        </is>
      </c>
    </row>
    <row r="1119">
      <c r="B1119" s="0" t="inlineStr">
        <is>
          <t xml:space="preserve">N0002423F23A2</t>
        </is>
      </c>
      <c r="C1119" s="0" t="inlineStr">
        <is>
          <t xml:space="preserve">small_craft</t>
        </is>
      </c>
      <c r="D1119" s="4">
        <v>11.95304224</v>
      </c>
      <c r="E1119" s="0" t="inlineStr">
        <is>
          <t xml:space="preserve">RIBCRAFT USA, LLC</t>
        </is>
      </c>
      <c r="F1119" s="0" t="inlineStr">
        <is>
          <t xml:space="preserve">naics:336612; psc:1940</t>
        </is>
      </c>
    </row>
    <row r="1120">
      <c r="B1120" s="0" t="inlineStr">
        <is>
          <t xml:space="preserve">N6449822F3087</t>
        </is>
      </c>
      <c r="C1120" s="0" t="inlineStr">
        <is>
          <t xml:space="preserve">broad_maritime</t>
        </is>
      </c>
      <c r="D1120" s="4">
        <v>11.87732956</v>
      </c>
      <c r="E1120" s="0" t="inlineStr">
        <is>
          <t xml:space="preserve">GENERAL DYNAMICS INFORMATION TECHNOLOGY, INC.</t>
        </is>
      </c>
      <c r="F1120" s="0" t="inlineStr">
        <is>
          <t xml:space="preserve">naics:336611</t>
        </is>
      </c>
    </row>
    <row r="1121">
      <c r="B1121" s="0" t="inlineStr">
        <is>
          <t xml:space="preserve">N3220516C4301</t>
        </is>
      </c>
      <c r="C1121" s="0" t="inlineStr">
        <is>
          <t xml:space="preserve">broad_maritime</t>
        </is>
      </c>
      <c r="D1121" s="4">
        <v>11.830717</v>
      </c>
      <c r="E1121" s="0" t="inlineStr">
        <is>
          <t xml:space="preserve">VIGOR MARINE LLC</t>
        </is>
      </c>
      <c r="F1121" s="0" t="inlineStr">
        <is>
          <t xml:space="preserve">naics:336611</t>
        </is>
      </c>
    </row>
    <row r="1122">
      <c r="B1122" s="0" t="inlineStr">
        <is>
          <t xml:space="preserve">ER03</t>
        </is>
      </c>
      <c r="C1122" s="0" t="inlineStr">
        <is>
          <t xml:space="preserve">broad_maritime</t>
        </is>
      </c>
      <c r="D1122" s="4">
        <v>11.785181999999999</v>
      </c>
      <c r="E1122" s="0" t="inlineStr">
        <is>
          <t xml:space="preserve">LOCKHEED MARTIN CORPORATION</t>
        </is>
      </c>
      <c r="F1122" s="0" t="inlineStr">
        <is>
          <t xml:space="preserve">naics:336611; psc:1905</t>
        </is>
      </c>
    </row>
    <row r="1123">
      <c r="B1123" s="0" t="inlineStr">
        <is>
          <t xml:space="preserve">N3220525F1166</t>
        </is>
      </c>
      <c r="C1123" s="0" t="inlineStr">
        <is>
          <t xml:space="preserve">broad_maritime</t>
        </is>
      </c>
      <c r="D1123" s="4">
        <v>11.77239615</v>
      </c>
      <c r="E1123" s="0" t="inlineStr">
        <is>
          <t xml:space="preserve">FAIRLEAD BOATWORKS, INC.</t>
        </is>
      </c>
      <c r="F1123" s="0" t="inlineStr">
        <is>
          <t xml:space="preserve">naics:336611</t>
        </is>
      </c>
    </row>
    <row r="1124">
      <c r="B1124" s="0" t="inlineStr">
        <is>
          <t xml:space="preserve">N5523623F5027</t>
        </is>
      </c>
      <c r="C1124" s="0" t="inlineStr">
        <is>
          <t xml:space="preserve">broad_maritime</t>
        </is>
      </c>
      <c r="D1124" s="4">
        <v>11.76383575</v>
      </c>
      <c r="E1124" s="0" t="inlineStr">
        <is>
          <t xml:space="preserve">EPSILON SYSTEMS SOLUTIONS INC</t>
        </is>
      </c>
      <c r="F1124" s="0" t="inlineStr">
        <is>
          <t xml:space="preserve">naics:336611</t>
        </is>
      </c>
    </row>
    <row r="1125">
      <c r="B1125" s="0" t="inlineStr">
        <is>
          <t xml:space="preserve">N4523A24C1060</t>
        </is>
      </c>
      <c r="C1125" s="0" t="inlineStr">
        <is>
          <t xml:space="preserve">broad_maritime</t>
        </is>
      </c>
      <c r="D1125" s="4">
        <v>11.698758960000001</v>
      </c>
      <c r="E1125" s="0" t="inlineStr">
        <is>
          <t xml:space="preserve">EVERETT SHIP REPAIR, LLC</t>
        </is>
      </c>
      <c r="F1125" s="0" t="inlineStr">
        <is>
          <t xml:space="preserve">naics:336611</t>
        </is>
      </c>
    </row>
    <row r="1126">
      <c r="B1126" s="0" t="inlineStr">
        <is>
          <t xml:space="preserve">N0002417F6202</t>
        </is>
      </c>
      <c r="C1126" s="0" t="inlineStr">
        <is>
          <t xml:space="preserve">broad_maritime</t>
        </is>
      </c>
      <c r="D1126" s="4">
        <v>11.691996999999999</v>
      </c>
      <c r="E1126" s="0" t="inlineStr">
        <is>
          <t xml:space="preserve">ARGON ST, INC.</t>
        </is>
      </c>
      <c r="F1126" s="0" t="inlineStr">
        <is>
          <t xml:space="preserve">psc:1905</t>
        </is>
      </c>
    </row>
    <row r="1127">
      <c r="B1127" s="0" t="inlineStr">
        <is>
          <t xml:space="preserve">N6817122F6092</t>
        </is>
      </c>
      <c r="C1127" s="0" t="inlineStr">
        <is>
          <t xml:space="preserve">broad_maritime</t>
        </is>
      </c>
      <c r="D1127" s="4">
        <v>11.61864031</v>
      </c>
      <c r="E1127" s="0" t="inlineStr">
        <is>
          <t xml:space="preserve">NAVANTIA, S.A., S.M.E.</t>
        </is>
      </c>
      <c r="F1127" s="0" t="inlineStr">
        <is>
          <t xml:space="preserve">naics:336611</t>
        </is>
      </c>
    </row>
    <row r="1128">
      <c r="B1128" s="0" t="inlineStr">
        <is>
          <t xml:space="preserve">N5005419F5066</t>
        </is>
      </c>
      <c r="C1128" s="0" t="inlineStr">
        <is>
          <t xml:space="preserve">broad_maritime</t>
        </is>
      </c>
      <c r="D1128" s="4">
        <v>11.59589769</v>
      </c>
      <c r="E1128" s="0" t="inlineStr">
        <is>
          <t xml:space="preserve">HII FLEET SUPPORT GROUP LLC</t>
        </is>
      </c>
      <c r="F1128" s="0" t="inlineStr">
        <is>
          <t xml:space="preserve">naics:336611</t>
        </is>
      </c>
    </row>
    <row r="1129">
      <c r="B1129" s="0" t="inlineStr">
        <is>
          <t xml:space="preserve">N0016724F0069</t>
        </is>
      </c>
      <c r="C1129" s="0" t="inlineStr">
        <is>
          <t xml:space="preserve">broad_maritime</t>
        </is>
      </c>
      <c r="D1129" s="4">
        <v>11.56526697</v>
      </c>
      <c r="E1129" s="0" t="inlineStr">
        <is>
          <t xml:space="preserve">BAE SYSTEMS LAND &amp; ARMAMENTS L.P.</t>
        </is>
      </c>
      <c r="F1129" s="0" t="inlineStr">
        <is>
          <t xml:space="preserve">naics:336611</t>
        </is>
      </c>
    </row>
    <row r="1130">
      <c r="B1130" s="0" t="inlineStr">
        <is>
          <t xml:space="preserve">N3220518C4252</t>
        </is>
      </c>
      <c r="C1130" s="0" t="inlineStr">
        <is>
          <t xml:space="preserve">broad_maritime</t>
        </is>
      </c>
      <c r="D1130" s="4">
        <v>11.550931</v>
      </c>
      <c r="E1130" s="0" t="inlineStr">
        <is>
          <t xml:space="preserve">VIGOR MARINE LLC</t>
        </is>
      </c>
      <c r="F1130" s="0" t="inlineStr">
        <is>
          <t xml:space="preserve">naics:336611</t>
        </is>
      </c>
    </row>
    <row r="1131">
      <c r="B1131" s="0" t="inlineStr">
        <is>
          <t xml:space="preserve">N5005420F5063</t>
        </is>
      </c>
      <c r="C1131" s="0" t="inlineStr">
        <is>
          <t xml:space="preserve">broad_maritime</t>
        </is>
      </c>
      <c r="D1131" s="4">
        <v>11.53352347</v>
      </c>
      <c r="E1131" s="0" t="inlineStr">
        <is>
          <t xml:space="preserve">HII FLEET SUPPORT GROUP LLC</t>
        </is>
      </c>
      <c r="F1131" s="0" t="inlineStr">
        <is>
          <t xml:space="preserve">naics:336611</t>
        </is>
      </c>
    </row>
    <row r="1132">
      <c r="B1132" s="0" t="inlineStr">
        <is>
          <t xml:space="preserve">N6264924F0011</t>
        </is>
      </c>
      <c r="C1132" s="0" t="inlineStr">
        <is>
          <t xml:space="preserve">broad_maritime</t>
        </is>
      </c>
      <c r="D1132" s="4">
        <v>11.506272619999999</v>
      </c>
      <c r="E1132" s="0" t="inlineStr">
        <is>
          <t xml:space="preserve">MITSUBISHI HEAVY INDUSTRIES, LTD</t>
        </is>
      </c>
      <c r="F1132" s="0" t="inlineStr">
        <is>
          <t xml:space="preserve">naics:336611</t>
        </is>
      </c>
    </row>
    <row r="1133">
      <c r="B1133" s="0" t="inlineStr">
        <is>
          <t xml:space="preserve">N0002420C2214</t>
        </is>
      </c>
      <c r="C1133" s="0" t="inlineStr">
        <is>
          <t xml:space="preserve">small_craft</t>
        </is>
      </c>
      <c r="D1133" s="4">
        <v>11.5</v>
      </c>
      <c r="E1133" s="0" t="inlineStr">
        <is>
          <t xml:space="preserve">LARSEN AND TOUBRO LIMITED</t>
        </is>
      </c>
      <c r="F1133" s="0" t="inlineStr">
        <is>
          <t xml:space="preserve">naics:336612; psc:1940</t>
        </is>
      </c>
    </row>
    <row r="1134">
      <c r="B1134" s="0" t="inlineStr">
        <is>
          <t xml:space="preserve">4T63</t>
        </is>
      </c>
      <c r="C1134" s="0" t="inlineStr">
        <is>
          <t xml:space="preserve">broad_maritime</t>
        </is>
      </c>
      <c r="D1134" s="4">
        <v>11.497247999999999</v>
      </c>
      <c r="E1134" s="0" t="inlineStr">
        <is>
          <t xml:space="preserve">HUNTINGTON INGALLS INC</t>
        </is>
      </c>
      <c r="F1134" s="0" t="inlineStr">
        <is>
          <t xml:space="preserve">naics:336611</t>
        </is>
      </c>
    </row>
    <row r="1135">
      <c r="B1135" s="0" t="inlineStr">
        <is>
          <t xml:space="preserve">N5523622F5293</t>
        </is>
      </c>
      <c r="C1135" s="0" t="inlineStr">
        <is>
          <t xml:space="preserve">broad_maritime</t>
        </is>
      </c>
      <c r="D1135" s="4">
        <v>11.490142279999999</v>
      </c>
      <c r="E1135" s="0" t="inlineStr">
        <is>
          <t xml:space="preserve">BAE SYSTEMS MARITIME SOLUTIONS SAN DIEGO INC.</t>
        </is>
      </c>
      <c r="F1135" s="0" t="inlineStr">
        <is>
          <t xml:space="preserve">naics:336611</t>
        </is>
      </c>
    </row>
    <row r="1136">
      <c r="B1136" s="0" t="inlineStr">
        <is>
          <t xml:space="preserve">7F06</t>
        </is>
      </c>
      <c r="C1136" s="0" t="inlineStr">
        <is>
          <t xml:space="preserve">broad_maritime</t>
        </is>
      </c>
      <c r="D1136" s="4">
        <v>11.485149999999999</v>
      </c>
      <c r="E1136" s="0" t="inlineStr">
        <is>
          <t xml:space="preserve">AUSTAL USA, LLC</t>
        </is>
      </c>
      <c r="F1136" s="0" t="inlineStr">
        <is>
          <t xml:space="preserve">naics:336611; psc:1905</t>
        </is>
      </c>
    </row>
    <row r="1137">
      <c r="B1137" s="0" t="inlineStr">
        <is>
          <t xml:space="preserve">N0002420F4203</t>
        </is>
      </c>
      <c r="C1137" s="0" t="inlineStr">
        <is>
          <t xml:space="preserve">broad_maritime</t>
        </is>
      </c>
      <c r="D1137" s="4">
        <v>11.482194</v>
      </c>
      <c r="E1137" s="0" t="inlineStr">
        <is>
          <t xml:space="preserve">VSE CORPORATION</t>
        </is>
      </c>
      <c r="F1137" s="0" t="inlineStr">
        <is>
          <t xml:space="preserve">naics:336611</t>
        </is>
      </c>
    </row>
    <row r="1138">
      <c r="B1138" s="0" t="inlineStr">
        <is>
          <t xml:space="preserve">N4523A20C1053</t>
        </is>
      </c>
      <c r="C1138" s="0" t="inlineStr">
        <is>
          <t xml:space="preserve">broad_maritime</t>
        </is>
      </c>
      <c r="D1138" s="4">
        <v>11.479797349999998</v>
      </c>
      <c r="E1138" s="0" t="inlineStr">
        <is>
          <t xml:space="preserve">VIGOR MARINE LLC</t>
        </is>
      </c>
      <c r="F1138" s="0" t="inlineStr">
        <is>
          <t xml:space="preserve">naics:336611</t>
        </is>
      </c>
    </row>
    <row r="1139">
      <c r="B1139" s="0" t="inlineStr">
        <is>
          <t xml:space="preserve">N0002420F4120</t>
        </is>
      </c>
      <c r="C1139" s="0" t="inlineStr">
        <is>
          <t xml:space="preserve">broad_maritime</t>
        </is>
      </c>
      <c r="D1139" s="4">
        <v>11.44040061</v>
      </c>
      <c r="E1139" s="0" t="inlineStr">
        <is>
          <t xml:space="preserve">HEXAGON US FEDERAL, INC</t>
        </is>
      </c>
      <c r="F1139" s="0" t="inlineStr">
        <is>
          <t xml:space="preserve">psc:2090</t>
        </is>
      </c>
    </row>
    <row r="1140">
      <c r="B1140" s="0" t="inlineStr">
        <is>
          <t xml:space="preserve">0014</t>
        </is>
      </c>
      <c r="C1140" s="0" t="inlineStr">
        <is>
          <t xml:space="preserve">broad_maritime</t>
        </is>
      </c>
      <c r="D1140" s="4">
        <v>11.425047</v>
      </c>
      <c r="E1140" s="0" t="inlineStr">
        <is>
          <t xml:space="preserve">LOCKHEED MARTIN CORPORATION</t>
        </is>
      </c>
      <c r="F1140" s="0" t="inlineStr">
        <is>
          <t xml:space="preserve">naics:336611</t>
        </is>
      </c>
    </row>
    <row r="1141">
      <c r="B1141" s="0" t="inlineStr">
        <is>
          <t xml:space="preserve">N3220523C2142</t>
        </is>
      </c>
      <c r="C1141" s="0" t="inlineStr">
        <is>
          <t xml:space="preserve">broad_maritime</t>
        </is>
      </c>
      <c r="D1141" s="4">
        <v>11.418792</v>
      </c>
      <c r="E1141" s="0" t="inlineStr">
        <is>
          <t xml:space="preserve">DETYENS SHIPYARDS INC</t>
        </is>
      </c>
      <c r="F1141" s="0" t="inlineStr">
        <is>
          <t xml:space="preserve">naics:336611</t>
        </is>
      </c>
    </row>
    <row r="1142">
      <c r="B1142" s="0" t="inlineStr">
        <is>
          <t xml:space="preserve">N5523625F9951</t>
        </is>
      </c>
      <c r="C1142" s="0" t="inlineStr">
        <is>
          <t xml:space="preserve">broad_maritime</t>
        </is>
      </c>
      <c r="D1142" s="4">
        <v>11.38997</v>
      </c>
      <c r="E1142" s="0" t="inlineStr">
        <is>
          <t xml:space="preserve">HII FLEET SUPPORT GROUP LLC</t>
        </is>
      </c>
      <c r="F1142" s="0" t="inlineStr">
        <is>
          <t xml:space="preserve">naics:336611; psc:1905</t>
        </is>
      </c>
    </row>
    <row r="1143">
      <c r="B1143" s="0" t="inlineStr">
        <is>
          <t xml:space="preserve">ER02</t>
        </is>
      </c>
      <c r="C1143" s="0" t="inlineStr">
        <is>
          <t xml:space="preserve">broad_maritime</t>
        </is>
      </c>
      <c r="D1143" s="4">
        <v>11.379263</v>
      </c>
      <c r="E1143" s="0" t="inlineStr">
        <is>
          <t xml:space="preserve">LOCKHEED MARTIN CORPORATION</t>
        </is>
      </c>
      <c r="F1143" s="0" t="inlineStr">
        <is>
          <t xml:space="preserve">naics:336611; psc:1905</t>
        </is>
      </c>
    </row>
    <row r="1144">
      <c r="B1144" s="0" t="inlineStr">
        <is>
          <t xml:space="preserve">N6279325F7512</t>
        </is>
      </c>
      <c r="C1144" s="0" t="inlineStr">
        <is>
          <t xml:space="preserve">broad_maritime</t>
        </is>
      </c>
      <c r="D1144" s="4">
        <v>11.362400039999999</v>
      </c>
      <c r="E1144" s="0" t="inlineStr">
        <is>
          <t xml:space="preserve">HII FLEET SUPPORT GROUP LLC</t>
        </is>
      </c>
      <c r="F1144" s="0" t="inlineStr">
        <is>
          <t xml:space="preserve">naics:336611; psc:1905</t>
        </is>
      </c>
    </row>
    <row r="1145">
      <c r="B1145" s="0" t="inlineStr">
        <is>
          <t xml:space="preserve">N3220522C4019</t>
        </is>
      </c>
      <c r="C1145" s="0" t="inlineStr">
        <is>
          <t xml:space="preserve">broad_maritime</t>
        </is>
      </c>
      <c r="D1145" s="4">
        <v>11.35056953</v>
      </c>
      <c r="E1145" s="0" t="inlineStr">
        <is>
          <t xml:space="preserve">ALABAMA SHIPYARD LLC</t>
        </is>
      </c>
      <c r="F1145" s="0" t="inlineStr">
        <is>
          <t xml:space="preserve">naics:336611</t>
        </is>
      </c>
    </row>
    <row r="1146">
      <c r="B1146" s="0" t="inlineStr">
        <is>
          <t xml:space="preserve">N3220523C4145</t>
        </is>
      </c>
      <c r="C1146" s="0" t="inlineStr">
        <is>
          <t xml:space="preserve">broad_maritime</t>
        </is>
      </c>
      <c r="D1146" s="4">
        <v>11.30186</v>
      </c>
      <c r="E1146" s="0" t="inlineStr">
        <is>
          <t xml:space="preserve">MARE ISLAND DRY DOCK LLC</t>
        </is>
      </c>
      <c r="F1146" s="0" t="inlineStr">
        <is>
          <t xml:space="preserve">naics:336611</t>
        </is>
      </c>
    </row>
    <row r="1147">
      <c r="B1147" s="0" t="inlineStr">
        <is>
          <t xml:space="preserve">N5005423FC052</t>
        </is>
      </c>
      <c r="C1147" s="0" t="inlineStr">
        <is>
          <t xml:space="preserve">broad_maritime</t>
        </is>
      </c>
      <c r="D1147" s="4">
        <v>11.28335025</v>
      </c>
      <c r="E1147" s="0" t="inlineStr">
        <is>
          <t xml:space="preserve">COLONNA'S SHIP YARD, INCORPORATED</t>
        </is>
      </c>
      <c r="F1147" s="0" t="inlineStr">
        <is>
          <t xml:space="preserve">naics:336611</t>
        </is>
      </c>
    </row>
    <row r="1148">
      <c r="B1148" s="0" t="inlineStr">
        <is>
          <t xml:space="preserve">N5523624F9961</t>
        </is>
      </c>
      <c r="C1148" s="0" t="inlineStr">
        <is>
          <t xml:space="preserve">broad_maritime</t>
        </is>
      </c>
      <c r="D1148" s="4">
        <v>11.272701999999999</v>
      </c>
      <c r="E1148" s="0" t="inlineStr">
        <is>
          <t xml:space="preserve">HII FLEET SUPPORT GROUP LLC</t>
        </is>
      </c>
      <c r="F1148" s="0" t="inlineStr">
        <is>
          <t xml:space="preserve">naics:336611; psc:1905</t>
        </is>
      </c>
    </row>
    <row r="1149">
      <c r="B1149" s="0" t="inlineStr">
        <is>
          <t xml:space="preserve">N6278622F0020</t>
        </is>
      </c>
      <c r="C1149" s="0" t="inlineStr">
        <is>
          <t xml:space="preserve">broad_maritime</t>
        </is>
      </c>
      <c r="D1149" s="4">
        <v>11.267346</v>
      </c>
      <c r="E1149" s="0" t="inlineStr">
        <is>
          <t xml:space="preserve">LOCKHEED MARTIN CORPORATION</t>
        </is>
      </c>
      <c r="F1149" s="0" t="inlineStr">
        <is>
          <t xml:space="preserve">naics:336611; psc:1905</t>
        </is>
      </c>
    </row>
    <row r="1150">
      <c r="B1150" s="0" t="inlineStr">
        <is>
          <t xml:space="preserve">4T46</t>
        </is>
      </c>
      <c r="C1150" s="0" t="inlineStr">
        <is>
          <t xml:space="preserve">broad_maritime</t>
        </is>
      </c>
      <c r="D1150" s="4">
        <v>11.266183</v>
      </c>
      <c r="E1150" s="0" t="inlineStr">
        <is>
          <t xml:space="preserve">HUNTINGTON INGALLS INC</t>
        </is>
      </c>
      <c r="F1150" s="0" t="inlineStr">
        <is>
          <t xml:space="preserve">naics:336611</t>
        </is>
      </c>
    </row>
    <row r="1151">
      <c r="B1151" s="0" t="inlineStr">
        <is>
          <t xml:space="preserve">N3220517C4200</t>
        </is>
      </c>
      <c r="C1151" s="0" t="inlineStr">
        <is>
          <t xml:space="preserve">broad_maritime</t>
        </is>
      </c>
      <c r="D1151" s="4">
        <v>11.26048</v>
      </c>
      <c r="E1151" s="0" t="inlineStr">
        <is>
          <t xml:space="preserve">BAE SYSTEMS SAN FRANCISCO SHIP REPAIR INC.</t>
        </is>
      </c>
      <c r="F1151" s="0" t="inlineStr">
        <is>
          <t xml:space="preserve">naics:336611</t>
        </is>
      </c>
    </row>
    <row r="1152">
      <c r="B1152" s="0" t="inlineStr">
        <is>
          <t xml:space="preserve">N3220515C3013</t>
        </is>
      </c>
      <c r="C1152" s="0" t="inlineStr">
        <is>
          <t xml:space="preserve">broad_maritime</t>
        </is>
      </c>
      <c r="D1152" s="4">
        <v>11.258521</v>
      </c>
      <c r="E1152" s="0" t="inlineStr">
        <is>
          <t xml:space="preserve">VIGOR MARINE LLC</t>
        </is>
      </c>
      <c r="F1152" s="0" t="inlineStr">
        <is>
          <t xml:space="preserve">naics:336611</t>
        </is>
      </c>
    </row>
    <row r="1153">
      <c r="B1153" s="0" t="inlineStr">
        <is>
          <t xml:space="preserve">N3220525F0899</t>
        </is>
      </c>
      <c r="C1153" s="0" t="inlineStr">
        <is>
          <t xml:space="preserve">broad_maritime</t>
        </is>
      </c>
      <c r="D1153" s="4">
        <v>11.255371669999999</v>
      </c>
      <c r="E1153" s="0" t="inlineStr">
        <is>
          <t xml:space="preserve">FAIRLEAD BOATWORKS, INC.</t>
        </is>
      </c>
      <c r="F1153" s="0" t="inlineStr">
        <is>
          <t xml:space="preserve">naics:336611</t>
        </is>
      </c>
    </row>
    <row r="1154">
      <c r="B1154" s="0" t="inlineStr">
        <is>
          <t xml:space="preserve">N4034521F8001</t>
        </is>
      </c>
      <c r="C1154" s="0" t="inlineStr">
        <is>
          <t xml:space="preserve">broad_maritime</t>
        </is>
      </c>
      <c r="D1154" s="4">
        <v>11.238793849999999</v>
      </c>
      <c r="E1154" s="0" t="inlineStr">
        <is>
          <t xml:space="preserve">MARINE GROUP BOAT WORKS, LLC</t>
        </is>
      </c>
      <c r="F1154" s="0" t="inlineStr">
        <is>
          <t xml:space="preserve">naics:336611</t>
        </is>
      </c>
    </row>
    <row r="1155">
      <c r="B1155" s="0" t="inlineStr">
        <is>
          <t xml:space="preserve">N0002424C4301</t>
        </is>
      </c>
      <c r="C1155" s="0" t="inlineStr">
        <is>
          <t xml:space="preserve">broad_maritime</t>
        </is>
      </c>
      <c r="D1155" s="4">
        <v>11.222002</v>
      </c>
      <c r="E1155" s="0" t="inlineStr">
        <is>
          <t xml:space="preserve">OCEANEERING INTERNATIONAL INC</t>
        </is>
      </c>
      <c r="F1155" s="0" t="inlineStr">
        <is>
          <t xml:space="preserve">naics:336611</t>
        </is>
      </c>
    </row>
    <row r="1156">
      <c r="B1156" s="0" t="inlineStr">
        <is>
          <t xml:space="preserve">N0002419F6308</t>
        </is>
      </c>
      <c r="C1156" s="0" t="inlineStr">
        <is>
          <t xml:space="preserve">broad_maritime</t>
        </is>
      </c>
      <c r="D1156" s="4">
        <v>11.217402</v>
      </c>
      <c r="E1156" s="0" t="inlineStr">
        <is>
          <t xml:space="preserve">RAYTHEON COMPANY</t>
        </is>
      </c>
      <c r="F1156" s="0" t="inlineStr">
        <is>
          <t xml:space="preserve">psc:2090</t>
        </is>
      </c>
    </row>
    <row r="1157">
      <c r="B1157" s="0" t="inlineStr">
        <is>
          <t xml:space="preserve">N4034524F0005</t>
        </is>
      </c>
      <c r="C1157" s="0" t="inlineStr">
        <is>
          <t xml:space="preserve">broad_maritime</t>
        </is>
      </c>
      <c r="D1157" s="4">
        <v>11.173681</v>
      </c>
      <c r="E1157" s="0" t="inlineStr">
        <is>
          <t xml:space="preserve">SEATRIUM REPAIRS &amp; UPGRADES PTE. LTD.</t>
        </is>
      </c>
      <c r="F1157" s="0" t="inlineStr">
        <is>
          <t xml:space="preserve">naics:336611</t>
        </is>
      </c>
    </row>
    <row r="1158">
      <c r="B1158" s="0" t="inlineStr">
        <is>
          <t xml:space="preserve">N5523616C0016</t>
        </is>
      </c>
      <c r="C1158" s="0" t="inlineStr">
        <is>
          <t xml:space="preserve">broad_maritime</t>
        </is>
      </c>
      <c r="D1158" s="4">
        <v>11.111698599999999</v>
      </c>
      <c r="E1158" s="0" t="inlineStr">
        <is>
          <t xml:space="preserve">UNITED SUPPORT SERVICES, INC.</t>
        </is>
      </c>
      <c r="F1158" s="0" t="inlineStr">
        <is>
          <t xml:space="preserve">naics:336611</t>
        </is>
      </c>
    </row>
    <row r="1159">
      <c r="B1159" s="0" t="inlineStr">
        <is>
          <t xml:space="preserve">N4215823FST01</t>
        </is>
      </c>
      <c r="C1159" s="0" t="inlineStr">
        <is>
          <t xml:space="preserve">broad_maritime</t>
        </is>
      </c>
      <c r="D1159" s="4">
        <v>11.1091986</v>
      </c>
      <c r="E1159" s="0" t="inlineStr">
        <is>
          <t xml:space="preserve">IMIA, LLC</t>
        </is>
      </c>
      <c r="F1159" s="0" t="inlineStr">
        <is>
          <t xml:space="preserve">naics:336611</t>
        </is>
      </c>
    </row>
    <row r="1160">
      <c r="B1160" s="0" t="inlineStr">
        <is>
          <t xml:space="preserve">N3943018F4000</t>
        </is>
      </c>
      <c r="C1160" s="0" t="inlineStr">
        <is>
          <t xml:space="preserve">broad_maritime</t>
        </is>
      </c>
      <c r="D1160" s="4">
        <v>11.108659269999999</v>
      </c>
      <c r="E1160" s="0" t="inlineStr">
        <is>
          <t xml:space="preserve">DEFENSE MARITIME SOLUTIONS, INC.</t>
        </is>
      </c>
      <c r="F1160" s="0" t="inlineStr">
        <is>
          <t xml:space="preserve">naics:336611</t>
        </is>
      </c>
    </row>
    <row r="1161">
      <c r="B1161" s="0" t="inlineStr">
        <is>
          <t xml:space="preserve">N6449820F4254</t>
        </is>
      </c>
      <c r="C1161" s="0" t="inlineStr">
        <is>
          <t xml:space="preserve">broad_maritime</t>
        </is>
      </c>
      <c r="D1161" s="4">
        <v>11.105208</v>
      </c>
      <c r="E1161" s="0" t="inlineStr">
        <is>
          <t xml:space="preserve">GENERAL ELECTRIC COMPANY</t>
        </is>
      </c>
      <c r="F1161" s="0" t="inlineStr">
        <is>
          <t xml:space="preserve">naics:336611</t>
        </is>
      </c>
    </row>
    <row r="1162">
      <c r="B1162" s="0" t="inlineStr">
        <is>
          <t xml:space="preserve">FY04</t>
        </is>
      </c>
      <c r="C1162" s="0" t="inlineStr">
        <is>
          <t xml:space="preserve">broad_maritime</t>
        </is>
      </c>
      <c r="D1162" s="4">
        <v>11.10106023</v>
      </c>
      <c r="E1162" s="0" t="inlineStr">
        <is>
          <t xml:space="preserve">HUNTINGTON INGALLS INC</t>
        </is>
      </c>
      <c r="F1162" s="0" t="inlineStr">
        <is>
          <t xml:space="preserve">naics:336611</t>
        </is>
      </c>
    </row>
    <row r="1163">
      <c r="B1163" s="0" t="inlineStr">
        <is>
          <t xml:space="preserve">N6278622F0006</t>
        </is>
      </c>
      <c r="C1163" s="0" t="inlineStr">
        <is>
          <t xml:space="preserve">broad_maritime</t>
        </is>
      </c>
      <c r="D1163" s="4">
        <v>11.099566</v>
      </c>
      <c r="E1163" s="0" t="inlineStr">
        <is>
          <t xml:space="preserve">LOCKHEED MARTIN CORPORATION</t>
        </is>
      </c>
      <c r="F1163" s="0" t="inlineStr">
        <is>
          <t xml:space="preserve">naics:336611; psc:1905</t>
        </is>
      </c>
    </row>
    <row r="1164">
      <c r="B1164" s="0" t="inlineStr">
        <is>
          <t xml:space="preserve">0279</t>
        </is>
      </c>
      <c r="C1164" s="0" t="inlineStr">
        <is>
          <t xml:space="preserve">broad_maritime</t>
        </is>
      </c>
      <c r="D1164" s="4">
        <v>11.09390091</v>
      </c>
      <c r="E1164" s="0" t="inlineStr">
        <is>
          <t xml:space="preserve">HII FLEET SUPPORT GROUP LLC</t>
        </is>
      </c>
      <c r="F1164" s="0" t="inlineStr">
        <is>
          <t xml:space="preserve">naics:336611</t>
        </is>
      </c>
    </row>
    <row r="1165">
      <c r="B1165" s="0" t="inlineStr">
        <is>
          <t xml:space="preserve">N5005422FC023</t>
        </is>
      </c>
      <c r="C1165" s="0" t="inlineStr">
        <is>
          <t xml:space="preserve">broad_maritime</t>
        </is>
      </c>
      <c r="D1165" s="4">
        <v>11.088899</v>
      </c>
      <c r="E1165" s="0" t="inlineStr">
        <is>
          <t xml:space="preserve">METRO MACHINE CORP.</t>
        </is>
      </c>
      <c r="F1165" s="0" t="inlineStr">
        <is>
          <t xml:space="preserve">naics:336611</t>
        </is>
      </c>
    </row>
    <row r="1166">
      <c r="B1166" s="0" t="inlineStr">
        <is>
          <t xml:space="preserve">N3220526C1220</t>
        </is>
      </c>
      <c r="C1166" s="0" t="inlineStr">
        <is>
          <t xml:space="preserve">broad_maritime</t>
        </is>
      </c>
      <c r="D1166" s="4">
        <v>11.066388</v>
      </c>
      <c r="E1166" s="0" t="inlineStr">
        <is>
          <t xml:space="preserve">DETYENS SHIPYARDS INC</t>
        </is>
      </c>
      <c r="F1166" s="0" t="inlineStr">
        <is>
          <t xml:space="preserve">naics:336611</t>
        </is>
      </c>
    </row>
    <row r="1167">
      <c r="B1167" s="0" t="inlineStr">
        <is>
          <t xml:space="preserve">0001</t>
        </is>
      </c>
      <c r="C1167" s="0" t="inlineStr">
        <is>
          <t xml:space="preserve">broad_maritime</t>
        </is>
      </c>
      <c r="D1167" s="4">
        <v>11.05160737</v>
      </c>
      <c r="E1167" s="0" t="inlineStr">
        <is>
          <t xml:space="preserve">DEFENSE MARITIME SOLUTIONS, INC.</t>
        </is>
      </c>
      <c r="F1167" s="0" t="inlineStr">
        <is>
          <t xml:space="preserve">naics:336611</t>
        </is>
      </c>
    </row>
    <row r="1168">
      <c r="B1168" s="0" t="inlineStr">
        <is>
          <t xml:space="preserve">N4002716C0045</t>
        </is>
      </c>
      <c r="C1168" s="0" t="inlineStr">
        <is>
          <t xml:space="preserve">broad_maritime</t>
        </is>
      </c>
      <c r="D1168" s="4">
        <v>11.04217559</v>
      </c>
      <c r="E1168" s="0" t="inlineStr">
        <is>
          <t xml:space="preserve">BAE SYSTEMS JACKSONVILLE SHIP REPAIR LLC</t>
        </is>
      </c>
      <c r="F1168" s="0" t="inlineStr">
        <is>
          <t xml:space="preserve">naics:336611</t>
        </is>
      </c>
    </row>
    <row r="1169">
      <c r="B1169" s="0" t="inlineStr">
        <is>
          <t xml:space="preserve">N3220521C4126</t>
        </is>
      </c>
      <c r="C1169" s="0" t="inlineStr">
        <is>
          <t xml:space="preserve">broad_maritime</t>
        </is>
      </c>
      <c r="D1169" s="4">
        <v>11.014526449999998</v>
      </c>
      <c r="E1169" s="0" t="inlineStr">
        <is>
          <t xml:space="preserve">VIGOR MARINE LLC</t>
        </is>
      </c>
      <c r="F1169" s="0" t="inlineStr">
        <is>
          <t xml:space="preserve">naics:336611</t>
        </is>
      </c>
    </row>
    <row r="1170">
      <c r="B1170" s="0" t="inlineStr">
        <is>
          <t xml:space="preserve">N3220515C1010</t>
        </is>
      </c>
      <c r="C1170" s="0" t="inlineStr">
        <is>
          <t xml:space="preserve">broad_maritime</t>
        </is>
      </c>
      <c r="D1170" s="4">
        <v>11.00842011</v>
      </c>
      <c r="E1170" s="0" t="inlineStr">
        <is>
          <t xml:space="preserve">BOSTON SHIP REPAIR LLC</t>
        </is>
      </c>
      <c r="F1170" s="0" t="inlineStr">
        <is>
          <t xml:space="preserve">naics:336611</t>
        </is>
      </c>
    </row>
    <row r="1171">
      <c r="B1171" s="0" t="inlineStr">
        <is>
          <t xml:space="preserve">N3220521C4009</t>
        </is>
      </c>
      <c r="C1171" s="0" t="inlineStr">
        <is>
          <t xml:space="preserve">broad_maritime</t>
        </is>
      </c>
      <c r="D1171" s="4">
        <v>10.993905</v>
      </c>
      <c r="E1171" s="0" t="inlineStr">
        <is>
          <t xml:space="preserve">DETYENS SHIPYARDS INC</t>
        </is>
      </c>
      <c r="F1171" s="0" t="inlineStr">
        <is>
          <t xml:space="preserve">naics:336611</t>
        </is>
      </c>
    </row>
    <row r="1172">
      <c r="B1172" s="0" t="inlineStr">
        <is>
          <t xml:space="preserve">N3220523C4093</t>
        </is>
      </c>
      <c r="C1172" s="0" t="inlineStr">
        <is>
          <t xml:space="preserve">broad_maritime</t>
        </is>
      </c>
      <c r="D1172" s="4">
        <v>10.9862364</v>
      </c>
      <c r="E1172" s="0" t="inlineStr">
        <is>
          <t xml:space="preserve">VIGOR MARINE LLC</t>
        </is>
      </c>
      <c r="F1172" s="0" t="inlineStr">
        <is>
          <t xml:space="preserve">naics:336611</t>
        </is>
      </c>
    </row>
    <row r="1173">
      <c r="B1173" s="0" t="inlineStr">
        <is>
          <t xml:space="preserve">N6264925FL024</t>
        </is>
      </c>
      <c r="C1173" s="0" t="inlineStr">
        <is>
          <t xml:space="preserve">broad_maritime</t>
        </is>
      </c>
      <c r="D1173" s="4">
        <v>10.98514724</v>
      </c>
      <c r="E1173" s="0" t="inlineStr">
        <is>
          <t xml:space="preserve">UNITHAI SHIPYARD &amp; ENGINEERING LIMITED - BRANCH</t>
        </is>
      </c>
      <c r="F1173" s="0" t="inlineStr">
        <is>
          <t xml:space="preserve">naics:336611</t>
        </is>
      </c>
    </row>
    <row r="1174">
      <c r="B1174" s="0" t="inlineStr">
        <is>
          <t xml:space="preserve">N6883618C0007</t>
        </is>
      </c>
      <c r="C1174" s="0" t="inlineStr">
        <is>
          <t xml:space="preserve">broad_maritime</t>
        </is>
      </c>
      <c r="D1174" s="4">
        <v>10.97090722</v>
      </c>
      <c r="E1174" s="0" t="inlineStr">
        <is>
          <t xml:space="preserve">BOWHEAD MARINE SUPPORT SERVICES, LLC</t>
        </is>
      </c>
      <c r="F1174" s="0" t="inlineStr">
        <is>
          <t xml:space="preserve">naics:336611</t>
        </is>
      </c>
    </row>
    <row r="1175">
      <c r="B1175" s="0" t="inlineStr">
        <is>
          <t xml:space="preserve">N6833518F0202</t>
        </is>
      </c>
      <c r="C1175" s="0" t="inlineStr">
        <is>
          <t xml:space="preserve">broad_maritime</t>
        </is>
      </c>
      <c r="D1175" s="4">
        <v>10.96824224</v>
      </c>
      <c r="E1175" s="0" t="inlineStr">
        <is>
          <t xml:space="preserve">EPSILON SYSTEMS SOLUTIONS INC</t>
        </is>
      </c>
      <c r="F1175" s="0" t="inlineStr">
        <is>
          <t xml:space="preserve">naics:336611</t>
        </is>
      </c>
    </row>
    <row r="1176">
      <c r="B1176" s="0" t="inlineStr">
        <is>
          <t xml:space="preserve">N3220525C4150</t>
        </is>
      </c>
      <c r="C1176" s="0" t="inlineStr">
        <is>
          <t xml:space="preserve">broad_maritime</t>
        </is>
      </c>
      <c r="D1176" s="4">
        <v>10.929962999999999</v>
      </c>
      <c r="E1176" s="0" t="inlineStr">
        <is>
          <t xml:space="preserve">DETYENS SHIPYARDS INC</t>
        </is>
      </c>
      <c r="F1176" s="0" t="inlineStr">
        <is>
          <t xml:space="preserve">naics:336611</t>
        </is>
      </c>
    </row>
    <row r="1177">
      <c r="B1177" s="0" t="inlineStr">
        <is>
          <t xml:space="preserve">N0038324F0W80</t>
        </is>
      </c>
      <c r="C1177" s="0" t="inlineStr">
        <is>
          <t xml:space="preserve">broad_maritime</t>
        </is>
      </c>
      <c r="D1177" s="4">
        <v>10.881019779999999</v>
      </c>
      <c r="E1177" s="0" t="inlineStr">
        <is>
          <t xml:space="preserve">RAYTHEON COMPANY</t>
        </is>
      </c>
      <c r="F1177" s="0" t="inlineStr">
        <is>
          <t xml:space="preserve">naics:336611</t>
        </is>
      </c>
    </row>
    <row r="1178">
      <c r="B1178" s="0" t="inlineStr">
        <is>
          <t xml:space="preserve">N5523621F9918</t>
        </is>
      </c>
      <c r="C1178" s="0" t="inlineStr">
        <is>
          <t xml:space="preserve">broad_maritime</t>
        </is>
      </c>
      <c r="D1178" s="4">
        <v>10.856741999999999</v>
      </c>
      <c r="E1178" s="0" t="inlineStr">
        <is>
          <t xml:space="preserve">HUNTINGTON INGALLS INC</t>
        </is>
      </c>
      <c r="F1178" s="0" t="inlineStr">
        <is>
          <t xml:space="preserve">naics:336611</t>
        </is>
      </c>
    </row>
    <row r="1179">
      <c r="B1179" s="0" t="inlineStr">
        <is>
          <t xml:space="preserve">N4034523F0198</t>
        </is>
      </c>
      <c r="C1179" s="0" t="inlineStr">
        <is>
          <t xml:space="preserve">broad_maritime</t>
        </is>
      </c>
      <c r="D1179" s="4">
        <v>10.854395</v>
      </c>
      <c r="E1179" s="0" t="inlineStr">
        <is>
          <t xml:space="preserve">SEATRIUM REPAIRS &amp; UPGRADES PTE. LTD.</t>
        </is>
      </c>
      <c r="F1179" s="0" t="inlineStr">
        <is>
          <t xml:space="preserve">naics:336611</t>
        </is>
      </c>
    </row>
    <row r="1180">
      <c r="B1180" s="0" t="inlineStr">
        <is>
          <t xml:space="preserve">N6264926CL004</t>
        </is>
      </c>
      <c r="C1180" s="0" t="inlineStr">
        <is>
          <t xml:space="preserve">broad_maritime</t>
        </is>
      </c>
      <c r="D1180" s="4">
        <v>10.854033999999999</v>
      </c>
      <c r="E1180" s="0" t="inlineStr">
        <is>
          <t xml:space="preserve">HJ SHIPBUILDING &amp; CONSTRUCTION CO., LTD.</t>
        </is>
      </c>
      <c r="F1180" s="0" t="inlineStr">
        <is>
          <t xml:space="preserve">naics:336611</t>
        </is>
      </c>
    </row>
    <row r="1181">
      <c r="B1181" s="0" t="inlineStr">
        <is>
          <t xml:space="preserve">N3220525C4149</t>
        </is>
      </c>
      <c r="C1181" s="0" t="inlineStr">
        <is>
          <t xml:space="preserve">broad_maritime</t>
        </is>
      </c>
      <c r="D1181" s="4">
        <v>10.846252999999999</v>
      </c>
      <c r="E1181" s="0" t="inlineStr">
        <is>
          <t xml:space="preserve">DETYENS SHIPYARDS INC</t>
        </is>
      </c>
      <c r="F1181" s="0" t="inlineStr">
        <is>
          <t xml:space="preserve">naics:336611</t>
        </is>
      </c>
    </row>
    <row r="1182">
      <c r="B1182" s="0" t="inlineStr">
        <is>
          <t xml:space="preserve">N4034520F0239</t>
        </is>
      </c>
      <c r="C1182" s="0" t="inlineStr">
        <is>
          <t xml:space="preserve">broad_maritime</t>
        </is>
      </c>
      <c r="D1182" s="4">
        <v>10.844477</v>
      </c>
      <c r="E1182" s="0" t="inlineStr">
        <is>
          <t xml:space="preserve">SEATRIUM REPAIRS &amp; UPGRADES PTE. LTD.</t>
        </is>
      </c>
      <c r="F1182" s="0" t="inlineStr">
        <is>
          <t xml:space="preserve">naics:336611</t>
        </is>
      </c>
    </row>
    <row r="1183">
      <c r="B1183" s="0" t="inlineStr">
        <is>
          <t xml:space="preserve">N0002419F8201</t>
        </is>
      </c>
      <c r="C1183" s="0" t="inlineStr">
        <is>
          <t xml:space="preserve">usv_core</t>
        </is>
      </c>
      <c r="D1183" s="4">
        <v>10.828104999999999</v>
      </c>
      <c r="E1183" s="0" t="inlineStr">
        <is>
          <t xml:space="preserve">THE JOHNS HOPKINS UNIVERSITY APPLIED PHYSICS LABORATORY LLC</t>
        </is>
      </c>
      <c r="F1183" s="0" t="inlineStr">
        <is>
          <t xml:space="preserve">keyword</t>
        </is>
      </c>
    </row>
    <row r="1184">
      <c r="B1184" s="0" t="inlineStr">
        <is>
          <t xml:space="preserve">N6449818FBB25</t>
        </is>
      </c>
      <c r="C1184" s="0" t="inlineStr">
        <is>
          <t xml:space="preserve">broad_maritime</t>
        </is>
      </c>
      <c r="D1184" s="4">
        <v>10.79817183</v>
      </c>
      <c r="E1184" s="0" t="inlineStr">
        <is>
          <t xml:space="preserve">L3HARRIS MARITIME SERVICES INC</t>
        </is>
      </c>
      <c r="F1184" s="0" t="inlineStr">
        <is>
          <t xml:space="preserve">naics:336611</t>
        </is>
      </c>
    </row>
    <row r="1185">
      <c r="B1185" s="0" t="inlineStr">
        <is>
          <t xml:space="preserve">N3225322C0011</t>
        </is>
      </c>
      <c r="C1185" s="0" t="inlineStr">
        <is>
          <t xml:space="preserve">broad_maritime</t>
        </is>
      </c>
      <c r="D1185" s="4">
        <v>10.771968</v>
      </c>
      <c r="E1185" s="0" t="inlineStr">
        <is>
          <t xml:space="preserve">NORTHROP GRUMMAN SYSTEMS CORPORATION</t>
        </is>
      </c>
      <c r="F1185" s="0" t="inlineStr">
        <is>
          <t xml:space="preserve">naics:336611</t>
        </is>
      </c>
    </row>
    <row r="1186">
      <c r="B1186" s="0" t="inlineStr">
        <is>
          <t xml:space="preserve">N3220520C4084</t>
        </is>
      </c>
      <c r="C1186" s="0" t="inlineStr">
        <is>
          <t xml:space="preserve">broad_maritime</t>
        </is>
      </c>
      <c r="D1186" s="4">
        <v>10.75541991</v>
      </c>
      <c r="E1186" s="0" t="inlineStr">
        <is>
          <t xml:space="preserve">COLONNA'S SHIP YARD, INCORPORATED</t>
        </is>
      </c>
      <c r="F1186" s="0" t="inlineStr">
        <is>
          <t xml:space="preserve">naics:336611</t>
        </is>
      </c>
    </row>
    <row r="1187">
      <c r="B1187" s="0" t="inlineStr">
        <is>
          <t xml:space="preserve">N3220523C4222</t>
        </is>
      </c>
      <c r="C1187" s="0" t="inlineStr">
        <is>
          <t xml:space="preserve">broad_maritime</t>
        </is>
      </c>
      <c r="D1187" s="4">
        <v>10.750558999999999</v>
      </c>
      <c r="E1187" s="0" t="inlineStr">
        <is>
          <t xml:space="preserve">DETYENS SHIPYARDS INC</t>
        </is>
      </c>
      <c r="F1187" s="0" t="inlineStr">
        <is>
          <t xml:space="preserve">naics:336611</t>
        </is>
      </c>
    </row>
    <row r="1188">
      <c r="B1188" s="0" t="inlineStr">
        <is>
          <t xml:space="preserve">N0016425CWM44</t>
        </is>
      </c>
      <c r="C1188" s="0" t="inlineStr">
        <is>
          <t xml:space="preserve">broad_maritime</t>
        </is>
      </c>
      <c r="D1188" s="4">
        <v>10.733554539999998</v>
      </c>
      <c r="E1188" s="0" t="inlineStr">
        <is>
          <t xml:space="preserve">TRISTAR, INC.</t>
        </is>
      </c>
      <c r="F1188" s="0" t="inlineStr">
        <is>
          <t xml:space="preserve">naics:336611</t>
        </is>
      </c>
    </row>
    <row r="1189">
      <c r="B1189" s="0" t="inlineStr">
        <is>
          <t xml:space="preserve">N0002425C4208</t>
        </is>
      </c>
      <c r="C1189" s="0" t="inlineStr">
        <is>
          <t xml:space="preserve">broad_maritime</t>
        </is>
      </c>
      <c r="D1189" s="4">
        <v>10.712222749999999</v>
      </c>
      <c r="E1189" s="0" t="inlineStr">
        <is>
          <t xml:space="preserve">TRIVERUS LLC</t>
        </is>
      </c>
      <c r="F1189" s="0" t="inlineStr">
        <is>
          <t xml:space="preserve">naics:336611</t>
        </is>
      </c>
    </row>
    <row r="1190">
      <c r="B1190" s="0" t="inlineStr">
        <is>
          <t xml:space="preserve">N3220519C6714</t>
        </is>
      </c>
      <c r="C1190" s="0" t="inlineStr">
        <is>
          <t xml:space="preserve">broad_maritime</t>
        </is>
      </c>
      <c r="D1190" s="4">
        <v>10.70276723</v>
      </c>
      <c r="E1190" s="0" t="inlineStr">
        <is>
          <t xml:space="preserve">COLONNA'S SHIP YARD, INCORPORATED</t>
        </is>
      </c>
      <c r="F1190" s="0" t="inlineStr">
        <is>
          <t xml:space="preserve">naics:336611</t>
        </is>
      </c>
    </row>
    <row r="1191">
      <c r="B1191" s="0" t="inlineStr">
        <is>
          <t xml:space="preserve">0070</t>
        </is>
      </c>
      <c r="C1191" s="0" t="inlineStr">
        <is>
          <t xml:space="preserve">broad_maritime</t>
        </is>
      </c>
      <c r="D1191" s="4">
        <v>10.683656</v>
      </c>
      <c r="E1191" s="0" t="inlineStr">
        <is>
          <t xml:space="preserve">SEAWARD MARINE SERVICES, LLC</t>
        </is>
      </c>
      <c r="F1191" s="0" t="inlineStr">
        <is>
          <t xml:space="preserve">naics:336611</t>
        </is>
      </c>
    </row>
    <row r="1192">
      <c r="B1192" s="0" t="inlineStr">
        <is>
          <t xml:space="preserve">N3220523C4066</t>
        </is>
      </c>
      <c r="C1192" s="0" t="inlineStr">
        <is>
          <t xml:space="preserve">broad_maritime</t>
        </is>
      </c>
      <c r="D1192" s="4">
        <v>10.672026789999999</v>
      </c>
      <c r="E1192" s="0" t="inlineStr">
        <is>
          <t xml:space="preserve">EAST COAST REPAIR &amp; FABRICATION, LLC</t>
        </is>
      </c>
      <c r="F1192" s="0" t="inlineStr">
        <is>
          <t xml:space="preserve">naics:336611</t>
        </is>
      </c>
    </row>
    <row r="1193">
      <c r="B1193" s="0" t="inlineStr">
        <is>
          <t xml:space="preserve">N3220522C4170</t>
        </is>
      </c>
      <c r="C1193" s="0" t="inlineStr">
        <is>
          <t xml:space="preserve">broad_maritime</t>
        </is>
      </c>
      <c r="D1193" s="4">
        <v>10.666699999999999</v>
      </c>
      <c r="E1193" s="0" t="inlineStr">
        <is>
          <t xml:space="preserve">DETYENS SHIPYARDS INC</t>
        </is>
      </c>
      <c r="F1193" s="0" t="inlineStr">
        <is>
          <t xml:space="preserve">naics:336611</t>
        </is>
      </c>
    </row>
    <row r="1194">
      <c r="B1194" s="0" t="inlineStr">
        <is>
          <t xml:space="preserve">N6931625F4001</t>
        </is>
      </c>
      <c r="C1194" s="0" t="inlineStr">
        <is>
          <t xml:space="preserve">broad_maritime</t>
        </is>
      </c>
      <c r="D1194" s="4">
        <v>10.659217</v>
      </c>
      <c r="E1194" s="0" t="inlineStr">
        <is>
          <t xml:space="preserve">AUSTAL USA, LLC</t>
        </is>
      </c>
      <c r="F1194" s="0" t="inlineStr">
        <is>
          <t xml:space="preserve">naics:336611</t>
        </is>
      </c>
    </row>
    <row r="1195">
      <c r="B1195" s="0" t="inlineStr">
        <is>
          <t xml:space="preserve">N3220517C4015</t>
        </is>
      </c>
      <c r="C1195" s="0" t="inlineStr">
        <is>
          <t xml:space="preserve">broad_maritime</t>
        </is>
      </c>
      <c r="D1195" s="4">
        <v>10.644965359999999</v>
      </c>
      <c r="E1195" s="0" t="inlineStr">
        <is>
          <t xml:space="preserve">BAE SYSTEMS MARITIME SOLUTIONS NORFOLK INC.</t>
        </is>
      </c>
      <c r="F1195" s="0" t="inlineStr">
        <is>
          <t xml:space="preserve">naics:336611</t>
        </is>
      </c>
    </row>
    <row r="1196">
      <c r="B1196" s="0" t="inlineStr">
        <is>
          <t xml:space="preserve">N5005424C0002</t>
        </is>
      </c>
      <c r="C1196" s="0" t="inlineStr">
        <is>
          <t xml:space="preserve">broad_maritime</t>
        </is>
      </c>
      <c r="D1196" s="4">
        <v>10.636811999999999</v>
      </c>
      <c r="E1196" s="0" t="inlineStr">
        <is>
          <t xml:space="preserve">COLONNA'S SHIP YARD, INCORPORATED</t>
        </is>
      </c>
      <c r="F1196" s="0" t="inlineStr">
        <is>
          <t xml:space="preserve">naics:336611</t>
        </is>
      </c>
    </row>
    <row r="1197">
      <c r="B1197" s="0" t="inlineStr">
        <is>
          <t xml:space="preserve">N6931621F4005</t>
        </is>
      </c>
      <c r="C1197" s="0" t="inlineStr">
        <is>
          <t xml:space="preserve">broad_maritime</t>
        </is>
      </c>
      <c r="D1197" s="4">
        <v>10.625110999999999</v>
      </c>
      <c r="E1197" s="0" t="inlineStr">
        <is>
          <t xml:space="preserve">AUSTAL USA, LLC</t>
        </is>
      </c>
      <c r="F1197" s="0" t="inlineStr">
        <is>
          <t xml:space="preserve">naics:336611</t>
        </is>
      </c>
    </row>
    <row r="1198">
      <c r="B1198" s="0" t="inlineStr">
        <is>
          <t xml:space="preserve">N6449822F3022</t>
        </is>
      </c>
      <c r="C1198" s="0" t="inlineStr">
        <is>
          <t xml:space="preserve">broad_maritime</t>
        </is>
      </c>
      <c r="D1198" s="4">
        <v>10.62045684</v>
      </c>
      <c r="E1198" s="0" t="inlineStr">
        <is>
          <t xml:space="preserve">DELPHINUS ENGINEERING, INC.</t>
        </is>
      </c>
      <c r="F1198" s="0" t="inlineStr">
        <is>
          <t xml:space="preserve">naics:336611</t>
        </is>
      </c>
    </row>
    <row r="1199">
      <c r="B1199" s="0" t="inlineStr">
        <is>
          <t xml:space="preserve">N6264926CL005</t>
        </is>
      </c>
      <c r="C1199" s="0" t="inlineStr">
        <is>
          <t xml:space="preserve">broad_maritime</t>
        </is>
      </c>
      <c r="D1199" s="4">
        <v>10.609853249999999</v>
      </c>
      <c r="E1199" s="0" t="inlineStr">
        <is>
          <t xml:space="preserve">ST ENGINEERING MARINE LTD.</t>
        </is>
      </c>
      <c r="F1199" s="0" t="inlineStr">
        <is>
          <t xml:space="preserve">naics:336611</t>
        </is>
      </c>
    </row>
    <row r="1200">
      <c r="B1200" s="0" t="inlineStr">
        <is>
          <t xml:space="preserve">N0010426FC000</t>
        </is>
      </c>
      <c r="C1200" s="0" t="inlineStr">
        <is>
          <t xml:space="preserve">broad_maritime</t>
        </is>
      </c>
      <c r="D1200" s="4">
        <v>10.6</v>
      </c>
      <c r="E1200" s="0" t="inlineStr">
        <is>
          <t xml:space="preserve">COLONNA'S SHIPYARD INC</t>
        </is>
      </c>
      <c r="F1200" s="0" t="inlineStr">
        <is>
          <t xml:space="preserve">naics:336611</t>
        </is>
      </c>
    </row>
    <row r="1201">
      <c r="B1201" s="0" t="inlineStr">
        <is>
          <t xml:space="preserve">ER09</t>
        </is>
      </c>
      <c r="C1201" s="0" t="inlineStr">
        <is>
          <t xml:space="preserve">broad_maritime</t>
        </is>
      </c>
      <c r="D1201" s="4">
        <v>10.598837</v>
      </c>
      <c r="E1201" s="0" t="inlineStr">
        <is>
          <t xml:space="preserve">LOCKHEED MARTIN CORPORATION</t>
        </is>
      </c>
      <c r="F1201" s="0" t="inlineStr">
        <is>
          <t xml:space="preserve">naics:336611; psc:1905</t>
        </is>
      </c>
    </row>
    <row r="1202">
      <c r="B1202" s="0" t="inlineStr">
        <is>
          <t xml:space="preserve">N0016725C0007</t>
        </is>
      </c>
      <c r="C1202" s="0" t="inlineStr">
        <is>
          <t xml:space="preserve">broad_maritime</t>
        </is>
      </c>
      <c r="D1202" s="4">
        <v>10.592559999999999</v>
      </c>
      <c r="E1202" s="0" t="inlineStr">
        <is>
          <t xml:space="preserve">METALEX MANUFACTURING INC</t>
        </is>
      </c>
      <c r="F1202" s="0" t="inlineStr">
        <is>
          <t xml:space="preserve">naics:336611</t>
        </is>
      </c>
    </row>
    <row r="1203">
      <c r="B1203" s="0" t="inlineStr">
        <is>
          <t xml:space="preserve">N4523A25F6038</t>
        </is>
      </c>
      <c r="C1203" s="0" t="inlineStr">
        <is>
          <t xml:space="preserve">broad_maritime</t>
        </is>
      </c>
      <c r="D1203" s="4">
        <v>10.577273</v>
      </c>
      <c r="E1203" s="0" t="inlineStr">
        <is>
          <t xml:space="preserve">METRO MACHINE CORP</t>
        </is>
      </c>
      <c r="F1203" s="0" t="inlineStr">
        <is>
          <t xml:space="preserve">naics:336611</t>
        </is>
      </c>
    </row>
    <row r="1204">
      <c r="B1204" s="0" t="inlineStr">
        <is>
          <t xml:space="preserve">N5005420F5100</t>
        </is>
      </c>
      <c r="C1204" s="0" t="inlineStr">
        <is>
          <t xml:space="preserve">broad_maritime</t>
        </is>
      </c>
      <c r="D1204" s="4">
        <v>10.57345655</v>
      </c>
      <c r="E1204" s="0" t="inlineStr">
        <is>
          <t xml:space="preserve">COLONNA'S SHIP YARD, INCORPORATED</t>
        </is>
      </c>
      <c r="F1204" s="0" t="inlineStr">
        <is>
          <t xml:space="preserve">naics:336611</t>
        </is>
      </c>
    </row>
    <row r="1205">
      <c r="B1205" s="0" t="inlineStr">
        <is>
          <t xml:space="preserve">N3220520C4004</t>
        </is>
      </c>
      <c r="C1205" s="0" t="inlineStr">
        <is>
          <t xml:space="preserve">broad_maritime</t>
        </is>
      </c>
      <c r="D1205" s="4">
        <v>10.569369</v>
      </c>
      <c r="E1205" s="0" t="inlineStr">
        <is>
          <t xml:space="preserve">VIGOR MARINE LLC</t>
        </is>
      </c>
      <c r="F1205" s="0" t="inlineStr">
        <is>
          <t xml:space="preserve">naics:336611</t>
        </is>
      </c>
    </row>
    <row r="1206">
      <c r="B1206" s="0" t="inlineStr">
        <is>
          <t xml:space="preserve">N6817124F6134</t>
        </is>
      </c>
      <c r="C1206" s="0" t="inlineStr">
        <is>
          <t xml:space="preserve">broad_maritime</t>
        </is>
      </c>
      <c r="D1206" s="4">
        <v>10.56396401</v>
      </c>
      <c r="E1206" s="0" t="inlineStr">
        <is>
          <t xml:space="preserve">NAVANTIA, S.A., S.M.E.</t>
        </is>
      </c>
      <c r="F1206" s="0" t="inlineStr">
        <is>
          <t xml:space="preserve">naics:336611</t>
        </is>
      </c>
    </row>
    <row r="1207">
      <c r="B1207" s="0" t="inlineStr">
        <is>
          <t xml:space="preserve">N0018915C0010</t>
        </is>
      </c>
      <c r="C1207" s="0" t="inlineStr">
        <is>
          <t xml:space="preserve">broad_maritime</t>
        </is>
      </c>
      <c r="D1207" s="4">
        <v>10.55861408</v>
      </c>
      <c r="E1207" s="0" t="inlineStr">
        <is>
          <t xml:space="preserve">OCEANETICS INC</t>
        </is>
      </c>
      <c r="F1207" s="0" t="inlineStr">
        <is>
          <t xml:space="preserve">psc:2090</t>
        </is>
      </c>
    </row>
    <row r="1208">
      <c r="B1208" s="0" t="inlineStr">
        <is>
          <t xml:space="preserve">N6600125F0040</t>
        </is>
      </c>
      <c r="C1208" s="0" t="inlineStr">
        <is>
          <t xml:space="preserve">small_craft</t>
        </is>
      </c>
      <c r="D1208" s="4">
        <v>10.52680182</v>
      </c>
      <c r="E1208" s="0" t="inlineStr">
        <is>
          <t xml:space="preserve">HYDRONALIX INC</t>
        </is>
      </c>
      <c r="F1208" s="0" t="inlineStr">
        <is>
          <t xml:space="preserve">psc:1940</t>
        </is>
      </c>
    </row>
    <row r="1209">
      <c r="B1209" s="0" t="inlineStr">
        <is>
          <t xml:space="preserve">N0002420F22W2</t>
        </is>
      </c>
      <c r="C1209" s="0" t="inlineStr">
        <is>
          <t xml:space="preserve">small_craft</t>
        </is>
      </c>
      <c r="D1209" s="4">
        <v>10.50936699</v>
      </c>
      <c r="E1209" s="0" t="inlineStr">
        <is>
          <t xml:space="preserve">RIBCRAFT USA, LLC</t>
        </is>
      </c>
      <c r="F1209" s="0" t="inlineStr">
        <is>
          <t xml:space="preserve">naics:336612; psc:1940</t>
        </is>
      </c>
    </row>
    <row r="1210">
      <c r="B1210" s="0" t="inlineStr">
        <is>
          <t xml:space="preserve">N3225325F0037</t>
        </is>
      </c>
      <c r="C1210" s="0" t="inlineStr">
        <is>
          <t xml:space="preserve">broad_maritime</t>
        </is>
      </c>
      <c r="D1210" s="4">
        <v>10.49828388</v>
      </c>
      <c r="E1210" s="0" t="inlineStr">
        <is>
          <t xml:space="preserve">PACIFIC SHIPYARDS INTERNATIONAL, LLC</t>
        </is>
      </c>
      <c r="F1210" s="0" t="inlineStr">
        <is>
          <t xml:space="preserve">naics:336611</t>
        </is>
      </c>
    </row>
    <row r="1211">
      <c r="B1211" s="0" t="inlineStr">
        <is>
          <t xml:space="preserve">N0002425C2400</t>
        </is>
      </c>
      <c r="C1211" s="0" t="inlineStr">
        <is>
          <t xml:space="preserve">broad_maritime</t>
        </is>
      </c>
      <c r="D1211" s="4">
        <v>10.488406</v>
      </c>
      <c r="E1211" s="0" t="inlineStr">
        <is>
          <t xml:space="preserve">HUNTINGTON INGALLS INCORPORATED</t>
        </is>
      </c>
      <c r="F1211" s="0" t="inlineStr">
        <is>
          <t xml:space="preserve">naics:336611; psc:1905</t>
        </is>
      </c>
    </row>
    <row r="1212">
      <c r="B1212" s="0" t="inlineStr">
        <is>
          <t xml:space="preserve">N5005418F5073</t>
        </is>
      </c>
      <c r="C1212" s="0" t="inlineStr">
        <is>
          <t xml:space="preserve">broad_maritime</t>
        </is>
      </c>
      <c r="D1212" s="4">
        <v>10.48367193</v>
      </c>
      <c r="E1212" s="0" t="inlineStr">
        <is>
          <t xml:space="preserve">HII FLEET SUPPORT GROUP LLC</t>
        </is>
      </c>
      <c r="F1212" s="0" t="inlineStr">
        <is>
          <t xml:space="preserve">naics:336611</t>
        </is>
      </c>
    </row>
    <row r="1213">
      <c r="B1213" s="0" t="inlineStr">
        <is>
          <t xml:space="preserve">N3220522C4171</t>
        </is>
      </c>
      <c r="C1213" s="0" t="inlineStr">
        <is>
          <t xml:space="preserve">broad_maritime</t>
        </is>
      </c>
      <c r="D1213" s="4">
        <v>10.482705</v>
      </c>
      <c r="E1213" s="0" t="inlineStr">
        <is>
          <t xml:space="preserve">JAG ALASKA INC.</t>
        </is>
      </c>
      <c r="F1213" s="0" t="inlineStr">
        <is>
          <t xml:space="preserve">naics:336611</t>
        </is>
      </c>
    </row>
    <row r="1214">
      <c r="B1214" s="0" t="inlineStr">
        <is>
          <t xml:space="preserve">0020</t>
        </is>
      </c>
      <c r="C1214" s="0" t="inlineStr">
        <is>
          <t xml:space="preserve">broad_maritime</t>
        </is>
      </c>
      <c r="D1214" s="4">
        <v>10.47912102</v>
      </c>
      <c r="E1214" s="0" t="inlineStr">
        <is>
          <t xml:space="preserve">HII FLEET SUPPORT GROUP LLC</t>
        </is>
      </c>
      <c r="F1214" s="0" t="inlineStr">
        <is>
          <t xml:space="preserve">naics:336611</t>
        </is>
      </c>
    </row>
    <row r="1215">
      <c r="B1215" s="0" t="inlineStr">
        <is>
          <t xml:space="preserve">N3220525C4135</t>
        </is>
      </c>
      <c r="C1215" s="0" t="inlineStr">
        <is>
          <t xml:space="preserve">broad_maritime</t>
        </is>
      </c>
      <c r="D1215" s="4">
        <v>10.470672619999998</v>
      </c>
      <c r="E1215" s="0" t="inlineStr">
        <is>
          <t xml:space="preserve">COLONNA'S SHIP YARD, INCORPORATED</t>
        </is>
      </c>
      <c r="F1215" s="0" t="inlineStr">
        <is>
          <t xml:space="preserve">naics:336611</t>
        </is>
      </c>
    </row>
    <row r="1216">
      <c r="B1216" s="0" t="inlineStr">
        <is>
          <t xml:space="preserve">N5005419C0002</t>
        </is>
      </c>
      <c r="C1216" s="0" t="inlineStr">
        <is>
          <t xml:space="preserve">broad_maritime</t>
        </is>
      </c>
      <c r="D1216" s="4">
        <v>10.42357</v>
      </c>
      <c r="E1216" s="0" t="inlineStr">
        <is>
          <t xml:space="preserve">LYON SHIPYARD INC</t>
        </is>
      </c>
      <c r="F1216" s="0" t="inlineStr">
        <is>
          <t xml:space="preserve">naics:336611</t>
        </is>
      </c>
    </row>
    <row r="1217">
      <c r="B1217" s="0" t="inlineStr">
        <is>
          <t xml:space="preserve">N5005425FP001</t>
        </is>
      </c>
      <c r="C1217" s="0" t="inlineStr">
        <is>
          <t xml:space="preserve">broad_maritime</t>
        </is>
      </c>
      <c r="D1217" s="4">
        <v>10.420482</v>
      </c>
      <c r="E1217" s="0" t="inlineStr">
        <is>
          <t xml:space="preserve">METRO MACHINE CORP.</t>
        </is>
      </c>
      <c r="F1217" s="0" t="inlineStr">
        <is>
          <t xml:space="preserve">naics:336611; psc:1905</t>
        </is>
      </c>
    </row>
    <row r="1218">
      <c r="B1218" s="0" t="inlineStr">
        <is>
          <t xml:space="preserve">N5005425F5311</t>
        </is>
      </c>
      <c r="C1218" s="0" t="inlineStr">
        <is>
          <t xml:space="preserve">broad_maritime</t>
        </is>
      </c>
      <c r="D1218" s="4">
        <v>10.419704789999999</v>
      </c>
      <c r="E1218" s="0" t="inlineStr">
        <is>
          <t xml:space="preserve">COLONNA'S SHIP YARD, INCORPORATED</t>
        </is>
      </c>
      <c r="F1218" s="0" t="inlineStr">
        <is>
          <t xml:space="preserve">naics:336611</t>
        </is>
      </c>
    </row>
    <row r="1219">
      <c r="B1219" s="0" t="inlineStr">
        <is>
          <t xml:space="preserve">N5005419F5155</t>
        </is>
      </c>
      <c r="C1219" s="0" t="inlineStr">
        <is>
          <t xml:space="preserve">broad_maritime</t>
        </is>
      </c>
      <c r="D1219" s="4">
        <v>10.4194118</v>
      </c>
      <c r="E1219" s="0" t="inlineStr">
        <is>
          <t xml:space="preserve">LYON SHIPYARD INC</t>
        </is>
      </c>
      <c r="F1219" s="0" t="inlineStr">
        <is>
          <t xml:space="preserve">naics:336611</t>
        </is>
      </c>
    </row>
    <row r="1220">
      <c r="B1220" s="0" t="inlineStr">
        <is>
          <t xml:space="preserve">N4034521F8004</t>
        </is>
      </c>
      <c r="C1220" s="0" t="inlineStr">
        <is>
          <t xml:space="preserve">broad_maritime</t>
        </is>
      </c>
      <c r="D1220" s="4">
        <v>10.41939088</v>
      </c>
      <c r="E1220" s="0" t="inlineStr">
        <is>
          <t xml:space="preserve">MARINE GROUP BOAT WORKS, LLC</t>
        </is>
      </c>
      <c r="F1220" s="0" t="inlineStr">
        <is>
          <t xml:space="preserve">naics:336611</t>
        </is>
      </c>
    </row>
    <row r="1221">
      <c r="B1221" s="0" t="inlineStr">
        <is>
          <t xml:space="preserve">N4034521F0027</t>
        </is>
      </c>
      <c r="C1221" s="0" t="inlineStr">
        <is>
          <t xml:space="preserve">broad_maritime</t>
        </is>
      </c>
      <c r="D1221" s="4">
        <v>10.402978</v>
      </c>
      <c r="E1221" s="0" t="inlineStr">
        <is>
          <t xml:space="preserve">SEATRIUM REPAIRS &amp; UPGRADES PTE. LTD.</t>
        </is>
      </c>
      <c r="F1221" s="0" t="inlineStr">
        <is>
          <t xml:space="preserve">naics:336611</t>
        </is>
      </c>
    </row>
    <row r="1222">
      <c r="B1222" s="0" t="inlineStr">
        <is>
          <t xml:space="preserve">N5005420F5024</t>
        </is>
      </c>
      <c r="C1222" s="0" t="inlineStr">
        <is>
          <t xml:space="preserve">broad_maritime</t>
        </is>
      </c>
      <c r="D1222" s="4">
        <v>10.365496109999999</v>
      </c>
      <c r="E1222" s="0" t="inlineStr">
        <is>
          <t xml:space="preserve">HII FLEET SUPPORT GROUP LLC</t>
        </is>
      </c>
      <c r="F1222" s="0" t="inlineStr">
        <is>
          <t xml:space="preserve">naics:336611</t>
        </is>
      </c>
    </row>
    <row r="1223">
      <c r="B1223" s="0" t="inlineStr">
        <is>
          <t xml:space="preserve">N3220522C4008</t>
        </is>
      </c>
      <c r="C1223" s="0" t="inlineStr">
        <is>
          <t xml:space="preserve">broad_maritime</t>
        </is>
      </c>
      <c r="D1223" s="4">
        <v>10.345060349999999</v>
      </c>
      <c r="E1223" s="0" t="inlineStr">
        <is>
          <t xml:space="preserve">FAIRLEAD BOATWORKS, INC.</t>
        </is>
      </c>
      <c r="F1223" s="0" t="inlineStr">
        <is>
          <t xml:space="preserve">naics:336611</t>
        </is>
      </c>
    </row>
    <row r="1224">
      <c r="B1224" s="0" t="inlineStr">
        <is>
          <t xml:space="preserve">N0002423F23A9</t>
        </is>
      </c>
      <c r="C1224" s="0" t="inlineStr">
        <is>
          <t xml:space="preserve">small_craft</t>
        </is>
      </c>
      <c r="D1224" s="4">
        <v>10.33632024</v>
      </c>
      <c r="E1224" s="0" t="inlineStr">
        <is>
          <t xml:space="preserve">METALCRAFT MARINE US, INC.</t>
        </is>
      </c>
      <c r="F1224" s="0" t="inlineStr">
        <is>
          <t xml:space="preserve">naics:336612; psc:1940</t>
        </is>
      </c>
    </row>
    <row r="1225">
      <c r="B1225" s="0" t="inlineStr">
        <is>
          <t xml:space="preserve">N5005419F5026</t>
        </is>
      </c>
      <c r="C1225" s="0" t="inlineStr">
        <is>
          <t xml:space="preserve">broad_maritime</t>
        </is>
      </c>
      <c r="D1225" s="4">
        <v>10.327881849999999</v>
      </c>
      <c r="E1225" s="0" t="inlineStr">
        <is>
          <t xml:space="preserve">HII FLEET SUPPORT GROUP LLC</t>
        </is>
      </c>
      <c r="F1225" s="0" t="inlineStr">
        <is>
          <t xml:space="preserve">naics:336611</t>
        </is>
      </c>
    </row>
    <row r="1226">
      <c r="B1226" s="0" t="inlineStr">
        <is>
          <t xml:space="preserve">N6264925F0035</t>
        </is>
      </c>
      <c r="C1226" s="0" t="inlineStr">
        <is>
          <t xml:space="preserve">broad_maritime</t>
        </is>
      </c>
      <c r="D1226" s="4">
        <v>10.32113071</v>
      </c>
      <c r="E1226" s="0" t="inlineStr">
        <is>
          <t xml:space="preserve">SASEBO HEAVY INDUSTRIES CO., LTD.</t>
        </is>
      </c>
      <c r="F1226" s="0" t="inlineStr">
        <is>
          <t xml:space="preserve">naics:336611</t>
        </is>
      </c>
    </row>
    <row r="1227">
      <c r="B1227" s="0" t="inlineStr">
        <is>
          <t xml:space="preserve">N4523A22F0803</t>
        </is>
      </c>
      <c r="C1227" s="0" t="inlineStr">
        <is>
          <t xml:space="preserve">broad_maritime</t>
        </is>
      </c>
      <c r="D1227" s="4">
        <v>10.303868779999998</v>
      </c>
      <c r="E1227" s="0" t="inlineStr">
        <is>
          <t xml:space="preserve">IMIA, LLC</t>
        </is>
      </c>
      <c r="F1227" s="0" t="inlineStr">
        <is>
          <t xml:space="preserve">naics:336611</t>
        </is>
      </c>
    </row>
    <row r="1228">
      <c r="B1228" s="0" t="inlineStr">
        <is>
          <t xml:space="preserve">N6449821F3092</t>
        </is>
      </c>
      <c r="C1228" s="0" t="inlineStr">
        <is>
          <t xml:space="preserve">broad_maritime</t>
        </is>
      </c>
      <c r="D1228" s="4">
        <v>10.270554769999999</v>
      </c>
      <c r="E1228" s="0" t="inlineStr">
        <is>
          <t xml:space="preserve">DELPHINUS ENGINEERING, INC.</t>
        </is>
      </c>
      <c r="F1228" s="0" t="inlineStr">
        <is>
          <t xml:space="preserve">naics:336611</t>
        </is>
      </c>
    </row>
    <row r="1229">
      <c r="B1229" s="0" t="inlineStr">
        <is>
          <t xml:space="preserve">4T45</t>
        </is>
      </c>
      <c r="C1229" s="0" t="inlineStr">
        <is>
          <t xml:space="preserve">broad_maritime</t>
        </is>
      </c>
      <c r="D1229" s="4">
        <v>10.26366897</v>
      </c>
      <c r="E1229" s="0" t="inlineStr">
        <is>
          <t xml:space="preserve">HUNTINGTON INGALLS INC</t>
        </is>
      </c>
      <c r="F1229" s="0" t="inlineStr">
        <is>
          <t xml:space="preserve">naics:336611</t>
        </is>
      </c>
    </row>
    <row r="1230">
      <c r="B1230" s="0" t="inlineStr">
        <is>
          <t xml:space="preserve">N3220523C4029</t>
        </is>
      </c>
      <c r="C1230" s="0" t="inlineStr">
        <is>
          <t xml:space="preserve">broad_maritime</t>
        </is>
      </c>
      <c r="D1230" s="4">
        <v>10.262715</v>
      </c>
      <c r="E1230" s="0" t="inlineStr">
        <is>
          <t xml:space="preserve">BAY MARINE JV LLC</t>
        </is>
      </c>
      <c r="F1230" s="0" t="inlineStr">
        <is>
          <t xml:space="preserve">naics:336611</t>
        </is>
      </c>
    </row>
    <row r="1231">
      <c r="B1231" s="0" t="inlineStr">
        <is>
          <t xml:space="preserve">N5005418F5121</t>
        </is>
      </c>
      <c r="C1231" s="0" t="inlineStr">
        <is>
          <t xml:space="preserve">broad_maritime</t>
        </is>
      </c>
      <c r="D1231" s="4">
        <v>10.23944182</v>
      </c>
      <c r="E1231" s="0" t="inlineStr">
        <is>
          <t xml:space="preserve">EAST COAST REPAIR &amp; FABRICATION, LLC</t>
        </is>
      </c>
      <c r="F1231" s="0" t="inlineStr">
        <is>
          <t xml:space="preserve">naics:336611</t>
        </is>
      </c>
    </row>
    <row r="1232">
      <c r="B1232" s="0" t="inlineStr">
        <is>
          <t xml:space="preserve">N5005424FC027</t>
        </is>
      </c>
      <c r="C1232" s="0" t="inlineStr">
        <is>
          <t xml:space="preserve">broad_maritime</t>
        </is>
      </c>
      <c r="D1232" s="4">
        <v>10.23230831</v>
      </c>
      <c r="E1232" s="0" t="inlineStr">
        <is>
          <t xml:space="preserve">EAST COAST REPAIR &amp; FABRICATION, LLC</t>
        </is>
      </c>
      <c r="F1232" s="0" t="inlineStr">
        <is>
          <t xml:space="preserve">naics:336611</t>
        </is>
      </c>
    </row>
    <row r="1233">
      <c r="B1233" s="0" t="inlineStr">
        <is>
          <t xml:space="preserve">N3220515C3004</t>
        </is>
      </c>
      <c r="C1233" s="0" t="inlineStr">
        <is>
          <t xml:space="preserve">broad_maritime</t>
        </is>
      </c>
      <c r="D1233" s="4">
        <v>10.231698999999999</v>
      </c>
      <c r="E1233" s="0" t="inlineStr">
        <is>
          <t xml:space="preserve">BAE SYSTEMS SAN FRANCISCO SHIP REPAIR INC.</t>
        </is>
      </c>
      <c r="F1233" s="0" t="inlineStr">
        <is>
          <t xml:space="preserve">naics:336611</t>
        </is>
      </c>
    </row>
    <row r="1234">
      <c r="B1234" s="0" t="inlineStr">
        <is>
          <t xml:space="preserve">N3220517C4203</t>
        </is>
      </c>
      <c r="C1234" s="0" t="inlineStr">
        <is>
          <t xml:space="preserve">broad_maritime</t>
        </is>
      </c>
      <c r="D1234" s="4">
        <v>10.231494999999999</v>
      </c>
      <c r="E1234" s="0" t="inlineStr">
        <is>
          <t xml:space="preserve">VIGOR MARINE LLC</t>
        </is>
      </c>
      <c r="F1234" s="0" t="inlineStr">
        <is>
          <t xml:space="preserve">naics:336611</t>
        </is>
      </c>
    </row>
    <row r="1235">
      <c r="B1235" s="0" t="inlineStr">
        <is>
          <t xml:space="preserve">0014</t>
        </is>
      </c>
      <c r="C1235" s="0" t="inlineStr">
        <is>
          <t xml:space="preserve">broad_maritime</t>
        </is>
      </c>
      <c r="D1235" s="4">
        <v>10.22177865</v>
      </c>
      <c r="E1235" s="0" t="inlineStr">
        <is>
          <t xml:space="preserve">HII FLEET SUPPORT GROUP LLC</t>
        </is>
      </c>
      <c r="F1235" s="0" t="inlineStr">
        <is>
          <t xml:space="preserve">naics:336611</t>
        </is>
      </c>
    </row>
    <row r="1236">
      <c r="B1236" s="0" t="inlineStr">
        <is>
          <t xml:space="preserve">N6449817FBB46</t>
        </is>
      </c>
      <c r="C1236" s="0" t="inlineStr">
        <is>
          <t xml:space="preserve">broad_maritime</t>
        </is>
      </c>
      <c r="D1236" s="4">
        <v>10.20007491</v>
      </c>
      <c r="E1236" s="0" t="inlineStr">
        <is>
          <t xml:space="preserve">HII FLEET SUPPORT GROUP LLC</t>
        </is>
      </c>
      <c r="F1236" s="0" t="inlineStr">
        <is>
          <t xml:space="preserve">naics:336611</t>
        </is>
      </c>
    </row>
    <row r="1237">
      <c r="B1237" s="0" t="inlineStr">
        <is>
          <t xml:space="preserve">N4034524F0578</t>
        </is>
      </c>
      <c r="C1237" s="0" t="inlineStr">
        <is>
          <t xml:space="preserve">broad_maritime</t>
        </is>
      </c>
      <c r="D1237" s="4">
        <v>10.177398109999999</v>
      </c>
      <c r="E1237" s="0" t="inlineStr">
        <is>
          <t xml:space="preserve">SUBIC DRYDOCK CORPORATION</t>
        </is>
      </c>
      <c r="F1237" s="0" t="inlineStr">
        <is>
          <t xml:space="preserve">naics:336611</t>
        </is>
      </c>
    </row>
    <row r="1238">
      <c r="B1238" s="0" t="inlineStr">
        <is>
          <t xml:space="preserve">N0002421C2295</t>
        </is>
      </c>
      <c r="C1238" s="0" t="inlineStr">
        <is>
          <t xml:space="preserve">small_craft</t>
        </is>
      </c>
      <c r="D1238" s="4">
        <v>10.167872199999998</v>
      </c>
      <c r="E1238" s="0" t="inlineStr">
        <is>
          <t xml:space="preserve">GRAVOIS ALUMINUM BOATS LLC</t>
        </is>
      </c>
      <c r="F1238" s="0" t="inlineStr">
        <is>
          <t xml:space="preserve">naics:336612; psc:1940</t>
        </is>
      </c>
    </row>
    <row r="1239">
      <c r="B1239" s="0" t="inlineStr">
        <is>
          <t xml:space="preserve">N6264925FR016</t>
        </is>
      </c>
      <c r="C1239" s="0" t="inlineStr">
        <is>
          <t xml:space="preserve">broad_maritime</t>
        </is>
      </c>
      <c r="D1239" s="4">
        <v>10.165616</v>
      </c>
      <c r="E1239" s="0" t="inlineStr">
        <is>
          <t xml:space="preserve">AUSTAL USA, LLC</t>
        </is>
      </c>
      <c r="F1239" s="0" t="inlineStr">
        <is>
          <t xml:space="preserve">naics:336611</t>
        </is>
      </c>
    </row>
    <row r="1240">
      <c r="B1240" s="0" t="inlineStr">
        <is>
          <t xml:space="preserve">N3220518C4011</t>
        </is>
      </c>
      <c r="C1240" s="0" t="inlineStr">
        <is>
          <t xml:space="preserve">broad_maritime</t>
        </is>
      </c>
      <c r="D1240" s="4">
        <v>10.16561272</v>
      </c>
      <c r="E1240" s="0" t="inlineStr">
        <is>
          <t xml:space="preserve">MARE ISLAND DRY DOCK LLC</t>
        </is>
      </c>
      <c r="F1240" s="0" t="inlineStr">
        <is>
          <t xml:space="preserve">naics:336611</t>
        </is>
      </c>
    </row>
    <row r="1241">
      <c r="B1241" s="0" t="inlineStr">
        <is>
          <t xml:space="preserve">L136</t>
        </is>
      </c>
      <c r="C1241" s="0" t="inlineStr">
        <is>
          <t xml:space="preserve">broad_maritime</t>
        </is>
      </c>
      <c r="D1241" s="4">
        <v>10.164011</v>
      </c>
      <c r="E1241" s="0" t="inlineStr">
        <is>
          <t xml:space="preserve">ELECTRIC BOAT CORPORATION</t>
        </is>
      </c>
      <c r="F1241" s="0" t="inlineStr">
        <is>
          <t xml:space="preserve">naics:336611</t>
        </is>
      </c>
    </row>
    <row r="1242">
      <c r="B1242" s="0" t="inlineStr">
        <is>
          <t xml:space="preserve">N3220522C4198</t>
        </is>
      </c>
      <c r="C1242" s="0" t="inlineStr">
        <is>
          <t xml:space="preserve">broad_maritime</t>
        </is>
      </c>
      <c r="D1242" s="4">
        <v>10.113161999999999</v>
      </c>
      <c r="E1242" s="0" t="inlineStr">
        <is>
          <t xml:space="preserve">EAST COAST REPAIR &amp; FABRICATION, LLC</t>
        </is>
      </c>
      <c r="F1242" s="0" t="inlineStr">
        <is>
          <t xml:space="preserve">naics:336611</t>
        </is>
      </c>
    </row>
    <row r="1243">
      <c r="B1243" s="0" t="inlineStr">
        <is>
          <t xml:space="preserve">N0002419F23A1</t>
        </is>
      </c>
      <c r="C1243" s="0" t="inlineStr">
        <is>
          <t xml:space="preserve">broad_maritime</t>
        </is>
      </c>
      <c r="D1243" s="4">
        <v>10.09489738</v>
      </c>
      <c r="E1243" s="0" t="inlineStr">
        <is>
          <t xml:space="preserve">BAE SYSTEMS MARITIME SOLUTIONS SAN DIEGO INC.</t>
        </is>
      </c>
      <c r="F1243" s="0" t="inlineStr">
        <is>
          <t xml:space="preserve">naics:336611; psc:1905</t>
        </is>
      </c>
    </row>
    <row r="1244">
      <c r="B1244" s="0" t="inlineStr">
        <is>
          <t xml:space="preserve">N0002419C4155</t>
        </is>
      </c>
      <c r="C1244" s="0" t="inlineStr">
        <is>
          <t xml:space="preserve">broad_maritime</t>
        </is>
      </c>
      <c r="D1244" s="4">
        <v>10.08281113</v>
      </c>
      <c r="E1244" s="0" t="inlineStr">
        <is>
          <t xml:space="preserve">VSE CORPORATION</t>
        </is>
      </c>
      <c r="F1244" s="0" t="inlineStr">
        <is>
          <t xml:space="preserve">psc:2090</t>
        </is>
      </c>
    </row>
    <row r="1245">
      <c r="B1245" s="0" t="inlineStr">
        <is>
          <t xml:space="preserve">N6883613C0047</t>
        </is>
      </c>
      <c r="C1245" s="0" t="inlineStr">
        <is>
          <t xml:space="preserve">broad_maritime</t>
        </is>
      </c>
      <c r="D1245" s="4">
        <v>10.08078523</v>
      </c>
      <c r="E1245" s="0" t="inlineStr">
        <is>
          <t xml:space="preserve">C-PORT MARINE SERVICES, LLC</t>
        </is>
      </c>
      <c r="F1245" s="0" t="inlineStr">
        <is>
          <t xml:space="preserve">naics:336611</t>
        </is>
      </c>
    </row>
    <row r="1246">
      <c r="B1246" s="0" t="inlineStr">
        <is>
          <t xml:space="preserve">N3220516C4008</t>
        </is>
      </c>
      <c r="C1246" s="0" t="inlineStr">
        <is>
          <t xml:space="preserve">broad_maritime</t>
        </is>
      </c>
      <c r="D1246" s="4">
        <v>10.07483</v>
      </c>
      <c r="E1246" s="0" t="inlineStr">
        <is>
          <t xml:space="preserve">VIGOR MARINE LLC</t>
        </is>
      </c>
      <c r="F1246" s="0" t="inlineStr">
        <is>
          <t xml:space="preserve">naics:336611</t>
        </is>
      </c>
    </row>
    <row r="1247">
      <c r="B1247" s="0" t="inlineStr">
        <is>
          <t xml:space="preserve">N6278621F0001</t>
        </is>
      </c>
      <c r="C1247" s="0" t="inlineStr">
        <is>
          <t xml:space="preserve">broad_maritime</t>
        </is>
      </c>
      <c r="D1247" s="4">
        <v>10.071888</v>
      </c>
      <c r="E1247" s="0" t="inlineStr">
        <is>
          <t xml:space="preserve">LOCKHEED MARTIN CORPORATION</t>
        </is>
      </c>
      <c r="F1247" s="0" t="inlineStr">
        <is>
          <t xml:space="preserve">naics:336611; psc:1905</t>
        </is>
      </c>
    </row>
    <row r="1248">
      <c r="B1248" s="0" t="inlineStr">
        <is>
          <t xml:space="preserve">N6449819FHB03</t>
        </is>
      </c>
      <c r="C1248" s="0" t="inlineStr">
        <is>
          <t xml:space="preserve">broad_maritime</t>
        </is>
      </c>
      <c r="D1248" s="4">
        <v>10.06824139</v>
      </c>
      <c r="E1248" s="0" t="inlineStr">
        <is>
          <t xml:space="preserve">DELPHINUS ENGINEERING, INC.</t>
        </is>
      </c>
      <c r="F1248" s="0" t="inlineStr">
        <is>
          <t xml:space="preserve">naics:336611</t>
        </is>
      </c>
    </row>
    <row r="1249">
      <c r="B1249" s="0" t="inlineStr">
        <is>
          <t xml:space="preserve">0013</t>
        </is>
      </c>
      <c r="C1249" s="0" t="inlineStr">
        <is>
          <t xml:space="preserve">broad_maritime</t>
        </is>
      </c>
      <c r="D1249" s="4">
        <v>10.063977</v>
      </c>
      <c r="E1249" s="0" t="inlineStr">
        <is>
          <t xml:space="preserve">QED SYSTEMS, INC.</t>
        </is>
      </c>
      <c r="F1249" s="0" t="inlineStr">
        <is>
          <t xml:space="preserve">naics:336611</t>
        </is>
      </c>
    </row>
    <row r="1250">
      <c r="B1250" s="0" t="inlineStr">
        <is>
          <t xml:space="preserve">0076</t>
        </is>
      </c>
      <c r="C1250" s="0" t="inlineStr">
        <is>
          <t xml:space="preserve">broad_maritime</t>
        </is>
      </c>
      <c r="D1250" s="4">
        <v>10.053382189999999</v>
      </c>
      <c r="E1250" s="0" t="inlineStr">
        <is>
          <t xml:space="preserve">SEAWARD MARINE SERVICES, LLC</t>
        </is>
      </c>
      <c r="F1250" s="0" t="inlineStr">
        <is>
          <t xml:space="preserve">naics:336611</t>
        </is>
      </c>
    </row>
    <row r="1251">
      <c r="B1251" s="0" t="inlineStr">
        <is>
          <t xml:space="preserve">N3220524C4098</t>
        </is>
      </c>
      <c r="C1251" s="0" t="inlineStr">
        <is>
          <t xml:space="preserve">broad_maritime</t>
        </is>
      </c>
      <c r="D1251" s="4">
        <v>10.049541999999999</v>
      </c>
      <c r="E1251" s="0" t="inlineStr">
        <is>
          <t xml:space="preserve">ALABAMA SHIPYARD LLC</t>
        </is>
      </c>
      <c r="F1251" s="0" t="inlineStr">
        <is>
          <t xml:space="preserve">naics:336611</t>
        </is>
      </c>
    </row>
    <row r="1252">
      <c r="B1252" s="0" t="inlineStr">
        <is>
          <t xml:space="preserve">N0002414F2210</t>
        </is>
      </c>
      <c r="C1252" s="0" t="inlineStr">
        <is>
          <t xml:space="preserve">small_craft</t>
        </is>
      </c>
      <c r="D1252" s="4">
        <v>10.03512</v>
      </c>
      <c r="E1252" s="0" t="inlineStr">
        <is>
          <t xml:space="preserve">WILLARD MARINE, INC.</t>
        </is>
      </c>
      <c r="F1252" s="0" t="inlineStr">
        <is>
          <t xml:space="preserve">naics:336612; psc:1940</t>
        </is>
      </c>
    </row>
    <row r="1253">
      <c r="B1253" s="0" t="inlineStr">
        <is>
          <t xml:space="preserve">N0002419F5202</t>
        </is>
      </c>
      <c r="C1253" s="0" t="inlineStr">
        <is>
          <t xml:space="preserve">broad_maritime</t>
        </is>
      </c>
      <c r="D1253" s="4">
        <v>10.033755</v>
      </c>
      <c r="E1253" s="0" t="inlineStr">
        <is>
          <t xml:space="preserve">AUSTAL USA, LLC</t>
        </is>
      </c>
      <c r="F1253" s="0" t="inlineStr">
        <is>
          <t xml:space="preserve">naics:336611</t>
        </is>
      </c>
    </row>
    <row r="1254">
      <c r="B1254" s="0" t="inlineStr">
        <is>
          <t xml:space="preserve">N3220516C4306</t>
        </is>
      </c>
      <c r="C1254" s="0" t="inlineStr">
        <is>
          <t xml:space="preserve">broad_maritime</t>
        </is>
      </c>
      <c r="D1254" s="4">
        <v>10.009301279999999</v>
      </c>
      <c r="E1254" s="0" t="inlineStr">
        <is>
          <t xml:space="preserve">BOSTON SHIP REPAIR LLC</t>
        </is>
      </c>
      <c r="F1254" s="0" t="inlineStr">
        <is>
          <t xml:space="preserve">naics:336611</t>
        </is>
      </c>
    </row>
    <row r="1255">
      <c r="B1255" s="0" t="inlineStr">
        <is>
          <t xml:space="preserve">0028</t>
        </is>
      </c>
      <c r="C1255" s="0" t="inlineStr">
        <is>
          <t xml:space="preserve">broad_maritime</t>
        </is>
      </c>
      <c r="D1255" s="4">
        <v>9.99838155</v>
      </c>
      <c r="E1255" s="0" t="inlineStr">
        <is>
          <t xml:space="preserve">QED SYSTEMS, INC.</t>
        </is>
      </c>
      <c r="F1255" s="0" t="inlineStr">
        <is>
          <t xml:space="preserve">naics:336611</t>
        </is>
      </c>
    </row>
    <row r="1256">
      <c r="B1256" s="0" t="inlineStr">
        <is>
          <t xml:space="preserve">0001</t>
        </is>
      </c>
      <c r="C1256" s="0" t="inlineStr">
        <is>
          <t xml:space="preserve">broad_maritime</t>
        </is>
      </c>
      <c r="D1256" s="4">
        <v>9.99830388</v>
      </c>
      <c r="E1256" s="0" t="inlineStr">
        <is>
          <t xml:space="preserve">SWIFTSHIPS, LLC</t>
        </is>
      </c>
      <c r="F1256" s="0" t="inlineStr">
        <is>
          <t xml:space="preserve">naics:336611</t>
        </is>
      </c>
    </row>
    <row r="1257">
      <c r="B1257" s="0" t="inlineStr">
        <is>
          <t xml:space="preserve">N3220519C6010</t>
        </is>
      </c>
      <c r="C1257" s="0" t="inlineStr">
        <is>
          <t xml:space="preserve">broad_maritime</t>
        </is>
      </c>
      <c r="D1257" s="4">
        <v>9.998154</v>
      </c>
      <c r="E1257" s="0" t="inlineStr">
        <is>
          <t xml:space="preserve">DETYENS SHIPYARDS INC</t>
        </is>
      </c>
      <c r="F1257" s="0" t="inlineStr">
        <is>
          <t xml:space="preserve">naics:336611</t>
        </is>
      </c>
    </row>
    <row r="1258">
      <c r="B1258" s="0" t="inlineStr">
        <is>
          <t xml:space="preserve">N6133119C0005</t>
        </is>
      </c>
      <c r="C1258" s="0" t="inlineStr">
        <is>
          <t xml:space="preserve">broad_maritime</t>
        </is>
      </c>
      <c r="D1258" s="4">
        <v>9.99132736</v>
      </c>
      <c r="E1258" s="0" t="inlineStr">
        <is>
          <t xml:space="preserve">SEEMANN COMPOSITES, LLC</t>
        </is>
      </c>
      <c r="F1258" s="0" t="inlineStr">
        <is>
          <t xml:space="preserve">psc:1905</t>
        </is>
      </c>
    </row>
    <row r="1259">
      <c r="B1259" s="0" t="inlineStr">
        <is>
          <t xml:space="preserve">N5005417FC033</t>
        </is>
      </c>
      <c r="C1259" s="0" t="inlineStr">
        <is>
          <t xml:space="preserve">broad_maritime</t>
        </is>
      </c>
      <c r="D1259" s="4">
        <v>9.969465</v>
      </c>
      <c r="E1259" s="0" t="inlineStr">
        <is>
          <t xml:space="preserve">BAE SYSTEMS MARITIME SOLUTIONS NORFOLK INC.</t>
        </is>
      </c>
      <c r="F1259" s="0" t="inlineStr">
        <is>
          <t xml:space="preserve">naics:336611</t>
        </is>
      </c>
    </row>
    <row r="1260">
      <c r="B1260" s="0" t="inlineStr">
        <is>
          <t xml:space="preserve">GA01</t>
        </is>
      </c>
      <c r="C1260" s="0" t="inlineStr">
        <is>
          <t xml:space="preserve">broad_maritime</t>
        </is>
      </c>
      <c r="D1260" s="4">
        <v>9.963237999999999</v>
      </c>
      <c r="E1260" s="0" t="inlineStr">
        <is>
          <t xml:space="preserve">ELECTRIC BOAT CORPORATION</t>
        </is>
      </c>
      <c r="F1260" s="0" t="inlineStr">
        <is>
          <t xml:space="preserve">naics:336611</t>
        </is>
      </c>
    </row>
    <row r="1261">
      <c r="B1261" s="0" t="inlineStr">
        <is>
          <t xml:space="preserve">N6449820FBB28</t>
        </is>
      </c>
      <c r="C1261" s="0" t="inlineStr">
        <is>
          <t xml:space="preserve">broad_maritime</t>
        </is>
      </c>
      <c r="D1261" s="4">
        <v>9.95348885</v>
      </c>
      <c r="E1261" s="0" t="inlineStr">
        <is>
          <t xml:space="preserve">GENERAL DYNAMICS INFORMATION TECHNOLOGY, INC.</t>
        </is>
      </c>
      <c r="F1261" s="0" t="inlineStr">
        <is>
          <t xml:space="preserve">naics:336611</t>
        </is>
      </c>
    </row>
    <row r="1262">
      <c r="B1262" s="0" t="inlineStr">
        <is>
          <t xml:space="preserve">N3220519C6003</t>
        </is>
      </c>
      <c r="C1262" s="0" t="inlineStr">
        <is>
          <t xml:space="preserve">broad_maritime</t>
        </is>
      </c>
      <c r="D1262" s="4">
        <v>9.953453</v>
      </c>
      <c r="E1262" s="0" t="inlineStr">
        <is>
          <t xml:space="preserve">VIGOR MARINE LLC</t>
        </is>
      </c>
      <c r="F1262" s="0" t="inlineStr">
        <is>
          <t xml:space="preserve">naics:336611</t>
        </is>
      </c>
    </row>
    <row r="1263">
      <c r="B1263" s="0" t="inlineStr">
        <is>
          <t xml:space="preserve">N0002423F8046</t>
        </is>
      </c>
      <c r="C1263" s="0" t="inlineStr">
        <is>
          <t xml:space="preserve">usv_core</t>
        </is>
      </c>
      <c r="D1263" s="4">
        <v>9.950248</v>
      </c>
      <c r="E1263" s="0" t="inlineStr">
        <is>
          <t xml:space="preserve">THE JOHNS HOPKINS UNIVERSITY APPLIED PHYSICS LABORATORY LLC</t>
        </is>
      </c>
      <c r="F1263" s="0" t="inlineStr">
        <is>
          <t xml:space="preserve">keyword</t>
        </is>
      </c>
    </row>
    <row r="1264">
      <c r="B1264" s="0" t="inlineStr">
        <is>
          <t xml:space="preserve">N3220521C4190</t>
        </is>
      </c>
      <c r="C1264" s="0" t="inlineStr">
        <is>
          <t xml:space="preserve">broad_maritime</t>
        </is>
      </c>
      <c r="D1264" s="4">
        <v>9.94562229</v>
      </c>
      <c r="E1264" s="0" t="inlineStr">
        <is>
          <t xml:space="preserve">COLONNA'S SHIP YARD, INCORPORATED</t>
        </is>
      </c>
      <c r="F1264" s="0" t="inlineStr">
        <is>
          <t xml:space="preserve">naics:336611</t>
        </is>
      </c>
    </row>
    <row r="1265">
      <c r="B1265" s="0" t="inlineStr">
        <is>
          <t xml:space="preserve">N3220514C1007</t>
        </is>
      </c>
      <c r="C1265" s="0" t="inlineStr">
        <is>
          <t xml:space="preserve">broad_maritime</t>
        </is>
      </c>
      <c r="D1265" s="4">
        <v>9.940083</v>
      </c>
      <c r="E1265" s="0" t="inlineStr">
        <is>
          <t xml:space="preserve">BAE SYSTEMS SAN FRANCISCO SHIP REPAIR INC.</t>
        </is>
      </c>
      <c r="F1265" s="0" t="inlineStr">
        <is>
          <t xml:space="preserve">naics:336611</t>
        </is>
      </c>
    </row>
    <row r="1266">
      <c r="B1266" s="0" t="inlineStr">
        <is>
          <t xml:space="preserve">N3220515C1004</t>
        </is>
      </c>
      <c r="C1266" s="0" t="inlineStr">
        <is>
          <t xml:space="preserve">broad_maritime</t>
        </is>
      </c>
      <c r="D1266" s="4">
        <v>9.933869</v>
      </c>
      <c r="E1266" s="0" t="inlineStr">
        <is>
          <t xml:space="preserve">BOSTON SHIP REPAIR LLC</t>
        </is>
      </c>
      <c r="F1266" s="0" t="inlineStr">
        <is>
          <t xml:space="preserve">naics:336611</t>
        </is>
      </c>
    </row>
    <row r="1267">
      <c r="B1267" s="0" t="inlineStr">
        <is>
          <t xml:space="preserve">N6931624F4000</t>
        </is>
      </c>
      <c r="C1267" s="0" t="inlineStr">
        <is>
          <t xml:space="preserve">broad_maritime</t>
        </is>
      </c>
      <c r="D1267" s="4">
        <v>9.920717999999999</v>
      </c>
      <c r="E1267" s="0" t="inlineStr">
        <is>
          <t xml:space="preserve">AUSTAL USA, LLC</t>
        </is>
      </c>
      <c r="F1267" s="0" t="inlineStr">
        <is>
          <t xml:space="preserve">naics:336611</t>
        </is>
      </c>
    </row>
    <row r="1268">
      <c r="B1268" s="0" t="inlineStr">
        <is>
          <t xml:space="preserve">N3220520C6712</t>
        </is>
      </c>
      <c r="C1268" s="0" t="inlineStr">
        <is>
          <t xml:space="preserve">broad_maritime</t>
        </is>
      </c>
      <c r="D1268" s="4">
        <v>9.9194973</v>
      </c>
      <c r="E1268" s="0" t="inlineStr">
        <is>
          <t xml:space="preserve">COLONNA'S SHIP YARD, INCORPORATED</t>
        </is>
      </c>
      <c r="F1268" s="0" t="inlineStr">
        <is>
          <t xml:space="preserve">naics:336611</t>
        </is>
      </c>
    </row>
    <row r="1269">
      <c r="B1269" s="0" t="inlineStr">
        <is>
          <t xml:space="preserve">0168</t>
        </is>
      </c>
      <c r="C1269" s="0" t="inlineStr">
        <is>
          <t xml:space="preserve">broad_maritime</t>
        </is>
      </c>
      <c r="D1269" s="4">
        <v>9.915296810000001</v>
      </c>
      <c r="E1269" s="0" t="inlineStr">
        <is>
          <t xml:space="preserve">HII FLEET SUPPORT GROUP LLC</t>
        </is>
      </c>
      <c r="F1269" s="0" t="inlineStr">
        <is>
          <t xml:space="preserve">naics:336611</t>
        </is>
      </c>
    </row>
    <row r="1270">
      <c r="B1270" s="0" t="inlineStr">
        <is>
          <t xml:space="preserve">N3220521C4117</t>
        </is>
      </c>
      <c r="C1270" s="0" t="inlineStr">
        <is>
          <t xml:space="preserve">broad_maritime</t>
        </is>
      </c>
      <c r="D1270" s="4">
        <v>9.914743960000001</v>
      </c>
      <c r="E1270" s="0" t="inlineStr">
        <is>
          <t xml:space="preserve">VIGOR MARINE LLC</t>
        </is>
      </c>
      <c r="F1270" s="0" t="inlineStr">
        <is>
          <t xml:space="preserve">naics:336611</t>
        </is>
      </c>
    </row>
    <row r="1271">
      <c r="B1271" s="0" t="inlineStr">
        <is>
          <t xml:space="preserve">N3220516C4013</t>
        </is>
      </c>
      <c r="C1271" s="0" t="inlineStr">
        <is>
          <t xml:space="preserve">broad_maritime</t>
        </is>
      </c>
      <c r="D1271" s="4">
        <v>9.89075396</v>
      </c>
      <c r="E1271" s="0" t="inlineStr">
        <is>
          <t xml:space="preserve">COLTEC INDUSTRIES INC.</t>
        </is>
      </c>
      <c r="F1271" s="0" t="inlineStr">
        <is>
          <t xml:space="preserve">psc:2090</t>
        </is>
      </c>
    </row>
    <row r="1272">
      <c r="B1272" s="0" t="inlineStr">
        <is>
          <t xml:space="preserve">N0016725F1139</t>
        </is>
      </c>
      <c r="C1272" s="0" t="inlineStr">
        <is>
          <t xml:space="preserve">broad_maritime</t>
        </is>
      </c>
      <c r="D1272" s="4">
        <v>9.877737</v>
      </c>
      <c r="E1272" s="0" t="inlineStr">
        <is>
          <t xml:space="preserve">BIRD-JOHNSON PROPELLER COMPANY, LLC</t>
        </is>
      </c>
      <c r="F1272" s="0" t="inlineStr">
        <is>
          <t xml:space="preserve">naics:336611</t>
        </is>
      </c>
    </row>
    <row r="1273">
      <c r="B1273" s="0" t="inlineStr">
        <is>
          <t xml:space="preserve">N4215819PS082</t>
        </is>
      </c>
      <c r="C1273" s="0" t="inlineStr">
        <is>
          <t xml:space="preserve">broad_maritime</t>
        </is>
      </c>
      <c r="D1273" s="4">
        <v>9.876050439999998</v>
      </c>
      <c r="E1273" s="0" t="inlineStr">
        <is>
          <t xml:space="preserve">COLONNA'S SHIP YARD, INCORPORATED</t>
        </is>
      </c>
      <c r="F1273" s="0" t="inlineStr">
        <is>
          <t xml:space="preserve">naics:336611</t>
        </is>
      </c>
    </row>
    <row r="1274">
      <c r="B1274" s="0" t="inlineStr">
        <is>
          <t xml:space="preserve">0009</t>
        </is>
      </c>
      <c r="C1274" s="0" t="inlineStr">
        <is>
          <t xml:space="preserve">broad_maritime</t>
        </is>
      </c>
      <c r="D1274" s="4">
        <v>9.86264984</v>
      </c>
      <c r="E1274" s="0" t="inlineStr">
        <is>
          <t xml:space="preserve">HII FLEET SUPPORT GROUP LLC</t>
        </is>
      </c>
      <c r="F1274" s="0" t="inlineStr">
        <is>
          <t xml:space="preserve">naics:336611</t>
        </is>
      </c>
    </row>
    <row r="1275">
      <c r="B1275" s="0" t="inlineStr">
        <is>
          <t xml:space="preserve">N0002421C2101</t>
        </is>
      </c>
      <c r="C1275" s="0" t="inlineStr">
        <is>
          <t xml:space="preserve">broad_maritime</t>
        </is>
      </c>
      <c r="D1275" s="4">
        <v>9.838349599999999</v>
      </c>
      <c r="E1275" s="0" t="inlineStr">
        <is>
          <t xml:space="preserve">MILLS MARINE &amp; SHIP REPAIR LLC</t>
        </is>
      </c>
      <c r="F1275" s="0" t="inlineStr">
        <is>
          <t xml:space="preserve">psc:1905</t>
        </is>
      </c>
    </row>
    <row r="1276">
      <c r="B1276" s="0" t="inlineStr">
        <is>
          <t xml:space="preserve">N5523625C0007</t>
        </is>
      </c>
      <c r="C1276" s="0" t="inlineStr">
        <is>
          <t xml:space="preserve">broad_maritime</t>
        </is>
      </c>
      <c r="D1276" s="4">
        <v>9.82657648</v>
      </c>
      <c r="E1276" s="0" t="inlineStr">
        <is>
          <t xml:space="preserve">EPSILON SYSTEMS SOLUTIONS, INC.</t>
        </is>
      </c>
      <c r="F1276" s="0" t="inlineStr">
        <is>
          <t xml:space="preserve">naics:336611</t>
        </is>
      </c>
    </row>
    <row r="1277">
      <c r="B1277" s="0" t="inlineStr">
        <is>
          <t xml:space="preserve">N3225317F0015</t>
        </is>
      </c>
      <c r="C1277" s="0" t="inlineStr">
        <is>
          <t xml:space="preserve">broad_maritime</t>
        </is>
      </c>
      <c r="D1277" s="4">
        <v>9.81487668</v>
      </c>
      <c r="E1277" s="0" t="inlineStr">
        <is>
          <t xml:space="preserve">PACIFIC SHIPYARDS INTERNATIONAL, LLC</t>
        </is>
      </c>
      <c r="F1277" s="0" t="inlineStr">
        <is>
          <t xml:space="preserve">naics:336611</t>
        </is>
      </c>
    </row>
    <row r="1278">
      <c r="B1278" s="0" t="inlineStr">
        <is>
          <t xml:space="preserve">N5523623F9912</t>
        </is>
      </c>
      <c r="C1278" s="0" t="inlineStr">
        <is>
          <t xml:space="preserve">broad_maritime</t>
        </is>
      </c>
      <c r="D1278" s="4">
        <v>9.765545999999999</v>
      </c>
      <c r="E1278" s="0" t="inlineStr">
        <is>
          <t xml:space="preserve">HUNTINGTON INGALLS INC</t>
        </is>
      </c>
      <c r="F1278" s="0" t="inlineStr">
        <is>
          <t xml:space="preserve">naics:336611</t>
        </is>
      </c>
    </row>
    <row r="1279">
      <c r="B1279" s="0" t="inlineStr">
        <is>
          <t xml:space="preserve">N4034524F0103</t>
        </is>
      </c>
      <c r="C1279" s="0" t="inlineStr">
        <is>
          <t xml:space="preserve">broad_maritime</t>
        </is>
      </c>
      <c r="D1279" s="4">
        <v>9.764622</v>
      </c>
      <c r="E1279" s="0" t="inlineStr">
        <is>
          <t xml:space="preserve">AUSTAL USA, LLC</t>
        </is>
      </c>
      <c r="F1279" s="0" t="inlineStr">
        <is>
          <t xml:space="preserve">naics:336611</t>
        </is>
      </c>
    </row>
    <row r="1280">
      <c r="B1280" s="0" t="inlineStr">
        <is>
          <t xml:space="preserve">N3220515C1000</t>
        </is>
      </c>
      <c r="C1280" s="0" t="inlineStr">
        <is>
          <t xml:space="preserve">broad_maritime</t>
        </is>
      </c>
      <c r="D1280" s="4">
        <v>9.752882999999999</v>
      </c>
      <c r="E1280" s="0" t="inlineStr">
        <is>
          <t xml:space="preserve">VIGOR MARINE LLC</t>
        </is>
      </c>
      <c r="F1280" s="0" t="inlineStr">
        <is>
          <t xml:space="preserve">naics:336611</t>
        </is>
      </c>
    </row>
    <row r="1281">
      <c r="B1281" s="0" t="inlineStr">
        <is>
          <t xml:space="preserve">N5005424F6002</t>
        </is>
      </c>
      <c r="C1281" s="0" t="inlineStr">
        <is>
          <t xml:space="preserve">broad_maritime</t>
        </is>
      </c>
      <c r="D1281" s="4">
        <v>9.75075589</v>
      </c>
      <c r="E1281" s="0" t="inlineStr">
        <is>
          <t xml:space="preserve">HII FLEET SUPPORT GROUP LLC</t>
        </is>
      </c>
      <c r="F1281" s="0" t="inlineStr">
        <is>
          <t xml:space="preserve">naics:336611; psc:1905</t>
        </is>
      </c>
    </row>
    <row r="1282">
      <c r="B1282" s="0" t="inlineStr">
        <is>
          <t xml:space="preserve">N5005418C0003</t>
        </is>
      </c>
      <c r="C1282" s="0" t="inlineStr">
        <is>
          <t xml:space="preserve">broad_maritime</t>
        </is>
      </c>
      <c r="D1282" s="4">
        <v>9.747292</v>
      </c>
      <c r="E1282" s="0" t="inlineStr">
        <is>
          <t xml:space="preserve">LYON SHIPYARD INC</t>
        </is>
      </c>
      <c r="F1282" s="0" t="inlineStr">
        <is>
          <t xml:space="preserve">naics:336611</t>
        </is>
      </c>
    </row>
    <row r="1283">
      <c r="B1283" s="0" t="inlineStr">
        <is>
          <t xml:space="preserve">N3225325F0029</t>
        </is>
      </c>
      <c r="C1283" s="0" t="inlineStr">
        <is>
          <t xml:space="preserve">broad_maritime</t>
        </is>
      </c>
      <c r="D1283" s="4">
        <v>9.74579355</v>
      </c>
      <c r="E1283" s="0" t="inlineStr">
        <is>
          <t xml:space="preserve">PACIFIC SHIPYARDS INTERNATIONAL, LLC</t>
        </is>
      </c>
      <c r="F1283" s="0" t="inlineStr">
        <is>
          <t xml:space="preserve">naics:336611</t>
        </is>
      </c>
    </row>
    <row r="1284">
      <c r="B1284" s="0" t="inlineStr">
        <is>
          <t xml:space="preserve">N3220515C3003</t>
        </is>
      </c>
      <c r="C1284" s="0" t="inlineStr">
        <is>
          <t xml:space="preserve">broad_maritime</t>
        </is>
      </c>
      <c r="D1284" s="4">
        <v>9.7429328</v>
      </c>
      <c r="E1284" s="0" t="inlineStr">
        <is>
          <t xml:space="preserve">DETYENS SHIPYARDS INC</t>
        </is>
      </c>
      <c r="F1284" s="0" t="inlineStr">
        <is>
          <t xml:space="preserve">naics:336611</t>
        </is>
      </c>
    </row>
    <row r="1285">
      <c r="B1285" s="0" t="inlineStr">
        <is>
          <t xml:space="preserve">N4044622F0006</t>
        </is>
      </c>
      <c r="C1285" s="0" t="inlineStr">
        <is>
          <t xml:space="preserve">broad_maritime</t>
        </is>
      </c>
      <c r="D1285" s="4">
        <v>9.740033859999999</v>
      </c>
      <c r="E1285" s="0" t="inlineStr">
        <is>
          <t xml:space="preserve">GUAM INDUSTRIAL SERVICES INC</t>
        </is>
      </c>
      <c r="F1285" s="0" t="inlineStr">
        <is>
          <t xml:space="preserve">naics:336611</t>
        </is>
      </c>
    </row>
    <row r="1286">
      <c r="B1286" s="0" t="inlineStr">
        <is>
          <t xml:space="preserve">0193</t>
        </is>
      </c>
      <c r="C1286" s="0" t="inlineStr">
        <is>
          <t xml:space="preserve">broad_maritime</t>
        </is>
      </c>
      <c r="D1286" s="4">
        <v>9.730119</v>
      </c>
      <c r="E1286" s="0" t="inlineStr">
        <is>
          <t xml:space="preserve">VSE CORPORATION</t>
        </is>
      </c>
      <c r="F1286" s="0" t="inlineStr">
        <is>
          <t xml:space="preserve">naics:336611</t>
        </is>
      </c>
    </row>
    <row r="1287">
      <c r="B1287" s="0" t="inlineStr">
        <is>
          <t xml:space="preserve">N5523623F8398</t>
        </is>
      </c>
      <c r="C1287" s="0" t="inlineStr">
        <is>
          <t xml:space="preserve">broad_maritime</t>
        </is>
      </c>
      <c r="D1287" s="4">
        <v>9.72451961</v>
      </c>
      <c r="E1287" s="0" t="inlineStr">
        <is>
          <t xml:space="preserve">NATIONAL STEEL AND SHIPBUILDING COMPANY</t>
        </is>
      </c>
      <c r="F1287" s="0" t="inlineStr">
        <is>
          <t xml:space="preserve">naics:336611</t>
        </is>
      </c>
    </row>
    <row r="1288">
      <c r="B1288" s="0" t="inlineStr">
        <is>
          <t xml:space="preserve">N3220521C4028</t>
        </is>
      </c>
      <c r="C1288" s="0" t="inlineStr">
        <is>
          <t xml:space="preserve">broad_maritime</t>
        </is>
      </c>
      <c r="D1288" s="4">
        <v>9.707671999999999</v>
      </c>
      <c r="E1288" s="0" t="inlineStr">
        <is>
          <t xml:space="preserve">EAST COAST REPAIR &amp; FABRICATION, LLC</t>
        </is>
      </c>
      <c r="F1288" s="0" t="inlineStr">
        <is>
          <t xml:space="preserve">naics:336611</t>
        </is>
      </c>
    </row>
    <row r="1289">
      <c r="B1289" s="0" t="inlineStr">
        <is>
          <t xml:space="preserve">N4034521F0146</t>
        </is>
      </c>
      <c r="C1289" s="0" t="inlineStr">
        <is>
          <t xml:space="preserve">broad_maritime</t>
        </is>
      </c>
      <c r="D1289" s="4">
        <v>9.7049164</v>
      </c>
      <c r="E1289" s="0" t="inlineStr">
        <is>
          <t xml:space="preserve">MITSUBISHI HEAVY INDUSTRIES, LTD</t>
        </is>
      </c>
      <c r="F1289" s="0" t="inlineStr">
        <is>
          <t xml:space="preserve">naics:336611</t>
        </is>
      </c>
    </row>
    <row r="1290">
      <c r="B1290" s="0" t="inlineStr">
        <is>
          <t xml:space="preserve">N3220516C4009</t>
        </is>
      </c>
      <c r="C1290" s="0" t="inlineStr">
        <is>
          <t xml:space="preserve">broad_maritime</t>
        </is>
      </c>
      <c r="D1290" s="4">
        <v>9.6962947</v>
      </c>
      <c r="E1290" s="0" t="inlineStr">
        <is>
          <t xml:space="preserve">VIGOR MARINE LLC</t>
        </is>
      </c>
      <c r="F1290" s="0" t="inlineStr">
        <is>
          <t xml:space="preserve">naics:336611</t>
        </is>
      </c>
    </row>
    <row r="1291">
      <c r="B1291" s="0" t="inlineStr">
        <is>
          <t xml:space="preserve">N6449825F3052</t>
        </is>
      </c>
      <c r="C1291" s="0" t="inlineStr">
        <is>
          <t xml:space="preserve">broad_maritime</t>
        </is>
      </c>
      <c r="D1291" s="4">
        <v>9.69409464</v>
      </c>
      <c r="E1291" s="0" t="inlineStr">
        <is>
          <t xml:space="preserve">DELPHINUS ENGINEERING, INC.</t>
        </is>
      </c>
      <c r="F1291" s="0" t="inlineStr">
        <is>
          <t xml:space="preserve">naics:336611</t>
        </is>
      </c>
    </row>
    <row r="1292">
      <c r="B1292" s="0" t="inlineStr">
        <is>
          <t xml:space="preserve">N3220516C4006</t>
        </is>
      </c>
      <c r="C1292" s="0" t="inlineStr">
        <is>
          <t xml:space="preserve">broad_maritime</t>
        </is>
      </c>
      <c r="D1292" s="4">
        <v>9.690201499999999</v>
      </c>
      <c r="E1292" s="0" t="inlineStr">
        <is>
          <t xml:space="preserve">DETYENS SHIPYARDS INC</t>
        </is>
      </c>
      <c r="F1292" s="0" t="inlineStr">
        <is>
          <t xml:space="preserve">naics:336611</t>
        </is>
      </c>
    </row>
    <row r="1293">
      <c r="B1293" s="0" t="inlineStr">
        <is>
          <t xml:space="preserve">N5523624F9951</t>
        </is>
      </c>
      <c r="C1293" s="0" t="inlineStr">
        <is>
          <t xml:space="preserve">broad_maritime</t>
        </is>
      </c>
      <c r="D1293" s="4">
        <v>9.685865999999999</v>
      </c>
      <c r="E1293" s="0" t="inlineStr">
        <is>
          <t xml:space="preserve">HII FLEET SUPPORT GROUP LLC</t>
        </is>
      </c>
      <c r="F1293" s="0" t="inlineStr">
        <is>
          <t xml:space="preserve">naics:336611; psc:1905</t>
        </is>
      </c>
    </row>
    <row r="1294">
      <c r="B1294" s="0" t="inlineStr">
        <is>
          <t xml:space="preserve">N5523624F2001</t>
        </is>
      </c>
      <c r="C1294" s="0" t="inlineStr">
        <is>
          <t xml:space="preserve">broad_maritime</t>
        </is>
      </c>
      <c r="D1294" s="4">
        <v>9.6769998</v>
      </c>
      <c r="E1294" s="0" t="inlineStr">
        <is>
          <t xml:space="preserve">PROPULSION CONTROLS ENGINEERING</t>
        </is>
      </c>
      <c r="F1294" s="0" t="inlineStr">
        <is>
          <t xml:space="preserve">naics:336611</t>
        </is>
      </c>
    </row>
    <row r="1295">
      <c r="B1295" s="0" t="inlineStr">
        <is>
          <t xml:space="preserve">N4215821C0001</t>
        </is>
      </c>
      <c r="C1295" s="0" t="inlineStr">
        <is>
          <t xml:space="preserve">broad_maritime</t>
        </is>
      </c>
      <c r="D1295" s="4">
        <v>9.65945384</v>
      </c>
      <c r="E1295" s="0" t="inlineStr">
        <is>
          <t xml:space="preserve">HUNTINGTON INGALLS INC</t>
        </is>
      </c>
      <c r="F1295" s="0" t="inlineStr">
        <is>
          <t xml:space="preserve">naics:336611</t>
        </is>
      </c>
    </row>
    <row r="1296">
      <c r="B1296" s="0" t="inlineStr">
        <is>
          <t xml:space="preserve">N6931619F8000</t>
        </is>
      </c>
      <c r="C1296" s="0" t="inlineStr">
        <is>
          <t xml:space="preserve">small_craft</t>
        </is>
      </c>
      <c r="D1296" s="4">
        <v>9.655329039999998</v>
      </c>
      <c r="E1296" s="0" t="inlineStr">
        <is>
          <t xml:space="preserve">GRAVOIS ALUMINUM BOATS LLC</t>
        </is>
      </c>
      <c r="F1296" s="0" t="inlineStr">
        <is>
          <t xml:space="preserve">naics:336612; psc:1940</t>
        </is>
      </c>
    </row>
    <row r="1297">
      <c r="B1297" s="0" t="inlineStr">
        <is>
          <t xml:space="preserve">N0002423C4204</t>
        </is>
      </c>
      <c r="C1297" s="0" t="inlineStr">
        <is>
          <t xml:space="preserve">broad_maritime</t>
        </is>
      </c>
      <c r="D1297" s="4">
        <v>9.6547</v>
      </c>
      <c r="E1297" s="0" t="inlineStr">
        <is>
          <t xml:space="preserve">MARINE GROUP BOAT WORKS, LLC</t>
        </is>
      </c>
      <c r="F1297" s="0" t="inlineStr">
        <is>
          <t xml:space="preserve">naics:336611</t>
        </is>
      </c>
    </row>
    <row r="1298">
      <c r="B1298" s="0" t="inlineStr">
        <is>
          <t xml:space="preserve">N5005425FL008</t>
        </is>
      </c>
      <c r="C1298" s="0" t="inlineStr">
        <is>
          <t xml:space="preserve">broad_maritime</t>
        </is>
      </c>
      <c r="D1298" s="4">
        <v>9.645766279999998</v>
      </c>
      <c r="E1298" s="0" t="inlineStr">
        <is>
          <t xml:space="preserve">BAE SYSTEMS MARITIME SOLUTIONS NORFOLK INC.</t>
        </is>
      </c>
      <c r="F1298" s="0" t="inlineStr">
        <is>
          <t xml:space="preserve">naics:336611</t>
        </is>
      </c>
    </row>
    <row r="1299">
      <c r="B1299" s="0" t="inlineStr">
        <is>
          <t xml:space="preserve">N3220518C4006</t>
        </is>
      </c>
      <c r="C1299" s="0" t="inlineStr">
        <is>
          <t xml:space="preserve">broad_maritime</t>
        </is>
      </c>
      <c r="D1299" s="4">
        <v>9.643438999999999</v>
      </c>
      <c r="E1299" s="0" t="inlineStr">
        <is>
          <t xml:space="preserve">DETYENS SHIPYARDS INC</t>
        </is>
      </c>
      <c r="F1299" s="0" t="inlineStr">
        <is>
          <t xml:space="preserve">naics:336611</t>
        </is>
      </c>
    </row>
    <row r="1300">
      <c r="B1300" s="0" t="inlineStr">
        <is>
          <t xml:space="preserve">N4523A21C1058</t>
        </is>
      </c>
      <c r="C1300" s="0" t="inlineStr">
        <is>
          <t xml:space="preserve">broad_maritime</t>
        </is>
      </c>
      <c r="D1300" s="4">
        <v>9.638220050000001</v>
      </c>
      <c r="E1300" s="0" t="inlineStr">
        <is>
          <t xml:space="preserve">VIGOR MARINE LLC</t>
        </is>
      </c>
      <c r="F1300" s="0" t="inlineStr">
        <is>
          <t xml:space="preserve">naics:336611</t>
        </is>
      </c>
    </row>
    <row r="1301">
      <c r="B1301" s="0" t="inlineStr">
        <is>
          <t xml:space="preserve">N4034519F0005</t>
        </is>
      </c>
      <c r="C1301" s="0" t="inlineStr">
        <is>
          <t xml:space="preserve">broad_maritime</t>
        </is>
      </c>
      <c r="D1301" s="4">
        <v>9.63567656</v>
      </c>
      <c r="E1301" s="0" t="inlineStr">
        <is>
          <t xml:space="preserve">MARINE GROUP BOAT WORKS, LLC</t>
        </is>
      </c>
      <c r="F1301" s="0" t="inlineStr">
        <is>
          <t xml:space="preserve">naics:336611</t>
        </is>
      </c>
    </row>
    <row r="1302">
      <c r="B1302" s="0" t="inlineStr">
        <is>
          <t xml:space="preserve">N4034523F8003</t>
        </is>
      </c>
      <c r="C1302" s="0" t="inlineStr">
        <is>
          <t xml:space="preserve">broad_maritime</t>
        </is>
      </c>
      <c r="D1302" s="4">
        <v>9.633736189999999</v>
      </c>
      <c r="E1302" s="0" t="inlineStr">
        <is>
          <t xml:space="preserve">AUSTAL USA, LLC</t>
        </is>
      </c>
      <c r="F1302" s="0" t="inlineStr">
        <is>
          <t xml:space="preserve">naics:336611</t>
        </is>
      </c>
    </row>
    <row r="1303">
      <c r="B1303" s="0" t="inlineStr">
        <is>
          <t xml:space="preserve">0012</t>
        </is>
      </c>
      <c r="C1303" s="0" t="inlineStr">
        <is>
          <t xml:space="preserve">broad_maritime</t>
        </is>
      </c>
      <c r="D1303" s="4">
        <v>9.6285068</v>
      </c>
      <c r="E1303" s="0" t="inlineStr">
        <is>
          <t xml:space="preserve">HII FLEET SUPPORT GROUP LLC</t>
        </is>
      </c>
      <c r="F1303" s="0" t="inlineStr">
        <is>
          <t xml:space="preserve">naics:336611</t>
        </is>
      </c>
    </row>
    <row r="1304">
      <c r="B1304" s="0" t="inlineStr">
        <is>
          <t xml:space="preserve">N4523A24F0301</t>
        </is>
      </c>
      <c r="C1304" s="0" t="inlineStr">
        <is>
          <t xml:space="preserve">broad_maritime</t>
        </is>
      </c>
      <c r="D1304" s="4">
        <v>9.627352</v>
      </c>
      <c r="E1304" s="0" t="inlineStr">
        <is>
          <t xml:space="preserve">METRO MACHINE CORP</t>
        </is>
      </c>
      <c r="F1304" s="0" t="inlineStr">
        <is>
          <t xml:space="preserve">naics:336611</t>
        </is>
      </c>
    </row>
    <row r="1305">
      <c r="B1305" s="0" t="inlineStr">
        <is>
          <t xml:space="preserve">N6264916C0008</t>
        </is>
      </c>
      <c r="C1305" s="0" t="inlineStr">
        <is>
          <t xml:space="preserve">broad_maritime</t>
        </is>
      </c>
      <c r="D1305" s="4">
        <v>9.621851470000001</v>
      </c>
      <c r="E1305" s="0" t="inlineStr">
        <is>
          <t xml:space="preserve">SEATRIUM REPAIRS &amp; UPGRADES PTE. LTD.</t>
        </is>
      </c>
      <c r="F1305" s="0" t="inlineStr">
        <is>
          <t xml:space="preserve">naics:336611</t>
        </is>
      </c>
    </row>
    <row r="1306">
      <c r="B1306" s="0" t="inlineStr">
        <is>
          <t xml:space="preserve">N3220516C1011</t>
        </is>
      </c>
      <c r="C1306" s="0" t="inlineStr">
        <is>
          <t xml:space="preserve">broad_maritime</t>
        </is>
      </c>
      <c r="D1306" s="4">
        <v>9.615789999999999</v>
      </c>
      <c r="E1306" s="0" t="inlineStr">
        <is>
          <t xml:space="preserve">DETYENS SHIPYARDS INC</t>
        </is>
      </c>
      <c r="F1306" s="0" t="inlineStr">
        <is>
          <t xml:space="preserve">naics:336611</t>
        </is>
      </c>
    </row>
    <row r="1307">
      <c r="B1307" s="0" t="inlineStr">
        <is>
          <t xml:space="preserve">N5523625F9975</t>
        </is>
      </c>
      <c r="C1307" s="0" t="inlineStr">
        <is>
          <t xml:space="preserve">broad_maritime</t>
        </is>
      </c>
      <c r="D1307" s="4">
        <v>9.588457</v>
      </c>
      <c r="E1307" s="0" t="inlineStr">
        <is>
          <t xml:space="preserve">HII FLEET SUPPORT GROUP LLC</t>
        </is>
      </c>
      <c r="F1307" s="0" t="inlineStr">
        <is>
          <t xml:space="preserve">naics:336611; psc:1905</t>
        </is>
      </c>
    </row>
    <row r="1308">
      <c r="B1308" s="0" t="inlineStr">
        <is>
          <t xml:space="preserve">N6449819FBB42</t>
        </is>
      </c>
      <c r="C1308" s="0" t="inlineStr">
        <is>
          <t xml:space="preserve">broad_maritime</t>
        </is>
      </c>
      <c r="D1308" s="4">
        <v>9.56651994</v>
      </c>
      <c r="E1308" s="0" t="inlineStr">
        <is>
          <t xml:space="preserve">GENERAL DYNAMICS INFORMATION TECHNOLOGY, INC.</t>
        </is>
      </c>
      <c r="F1308" s="0" t="inlineStr">
        <is>
          <t xml:space="preserve">naics:336611</t>
        </is>
      </c>
    </row>
    <row r="1309">
      <c r="B1309" s="0" t="inlineStr">
        <is>
          <t xml:space="preserve">N6278619F0068</t>
        </is>
      </c>
      <c r="C1309" s="0" t="inlineStr">
        <is>
          <t xml:space="preserve">broad_maritime</t>
        </is>
      </c>
      <c r="D1309" s="4">
        <v>9.52742</v>
      </c>
      <c r="E1309" s="0" t="inlineStr">
        <is>
          <t xml:space="preserve">LOCKHEED MARTIN CORPORATION</t>
        </is>
      </c>
      <c r="F1309" s="0" t="inlineStr">
        <is>
          <t xml:space="preserve">naics:336611; psc:1905</t>
        </is>
      </c>
    </row>
    <row r="1310">
      <c r="B1310" s="0" t="inlineStr">
        <is>
          <t xml:space="preserve">N0002417F22V1</t>
        </is>
      </c>
      <c r="C1310" s="0" t="inlineStr">
        <is>
          <t xml:space="preserve">small_craft</t>
        </is>
      </c>
      <c r="D1310" s="4">
        <v>9.517002999999999</v>
      </c>
      <c r="E1310" s="0" t="inlineStr">
        <is>
          <t xml:space="preserve">SNOW &amp; COMPANY, INC.</t>
        </is>
      </c>
      <c r="F1310" s="0" t="inlineStr">
        <is>
          <t xml:space="preserve">naics:336612; psc:1940</t>
        </is>
      </c>
    </row>
    <row r="1311">
      <c r="B1311" s="0" t="inlineStr">
        <is>
          <t xml:space="preserve">N6931620F8001</t>
        </is>
      </c>
      <c r="C1311" s="0" t="inlineStr">
        <is>
          <t xml:space="preserve">small_craft</t>
        </is>
      </c>
      <c r="D1311" s="4">
        <v>9.515429679999999</v>
      </c>
      <c r="E1311" s="0" t="inlineStr">
        <is>
          <t xml:space="preserve">GRAVOIS ALUMINUM BOATS LLC</t>
        </is>
      </c>
      <c r="F1311" s="0" t="inlineStr">
        <is>
          <t xml:space="preserve">naics:336612; psc:1940</t>
        </is>
      </c>
    </row>
    <row r="1312">
      <c r="B1312" s="0" t="inlineStr">
        <is>
          <t xml:space="preserve">N5005423F3003</t>
        </is>
      </c>
      <c r="C1312" s="0" t="inlineStr">
        <is>
          <t xml:space="preserve">broad_maritime</t>
        </is>
      </c>
      <c r="D1312" s="4">
        <v>9.50892543</v>
      </c>
      <c r="E1312" s="0" t="inlineStr">
        <is>
          <t xml:space="preserve">HII FLEET SUPPORT GROUP LLC</t>
        </is>
      </c>
      <c r="F1312" s="0" t="inlineStr">
        <is>
          <t xml:space="preserve">naics:336611; psc:1905</t>
        </is>
      </c>
    </row>
    <row r="1313">
      <c r="B1313" s="0" t="inlineStr">
        <is>
          <t xml:space="preserve">N4523A20F0805</t>
        </is>
      </c>
      <c r="C1313" s="0" t="inlineStr">
        <is>
          <t xml:space="preserve">broad_maritime</t>
        </is>
      </c>
      <c r="D1313" s="4">
        <v>9.50021754</v>
      </c>
      <c r="E1313" s="0" t="inlineStr">
        <is>
          <t xml:space="preserve">IMIA, LLC</t>
        </is>
      </c>
      <c r="F1313" s="0" t="inlineStr">
        <is>
          <t xml:space="preserve">naics:336611</t>
        </is>
      </c>
    </row>
    <row r="1314">
      <c r="B1314" s="0" t="inlineStr">
        <is>
          <t xml:space="preserve">N3220515C1034</t>
        </is>
      </c>
      <c r="C1314" s="0" t="inlineStr">
        <is>
          <t xml:space="preserve">broad_maritime</t>
        </is>
      </c>
      <c r="D1314" s="4">
        <v>9.488833</v>
      </c>
      <c r="E1314" s="0" t="inlineStr">
        <is>
          <t xml:space="preserve">J. W. MARINE EQUIPMENT, INC.</t>
        </is>
      </c>
      <c r="F1314" s="0" t="inlineStr">
        <is>
          <t xml:space="preserve">psc:2090</t>
        </is>
      </c>
    </row>
    <row r="1315">
      <c r="B1315" s="0" t="inlineStr">
        <is>
          <t xml:space="preserve">0058</t>
        </is>
      </c>
      <c r="C1315" s="0" t="inlineStr">
        <is>
          <t xml:space="preserve">broad_maritime</t>
        </is>
      </c>
      <c r="D1315" s="4">
        <v>9.48488397</v>
      </c>
      <c r="E1315" s="0" t="inlineStr">
        <is>
          <t xml:space="preserve">TECNICO CORPORATION</t>
        </is>
      </c>
      <c r="F1315" s="0" t="inlineStr">
        <is>
          <t xml:space="preserve">naics:336611</t>
        </is>
      </c>
    </row>
    <row r="1316">
      <c r="B1316" s="0" t="inlineStr">
        <is>
          <t xml:space="preserve">N0002415C4303</t>
        </is>
      </c>
      <c r="C1316" s="0" t="inlineStr">
        <is>
          <t xml:space="preserve">broad_maritime</t>
        </is>
      </c>
      <c r="D1316" s="4">
        <v>9.475236769999999</v>
      </c>
      <c r="E1316" s="0" t="inlineStr">
        <is>
          <t xml:space="preserve">HUNTINGTON INGALLS INDUSTRIES, INC</t>
        </is>
      </c>
      <c r="F1316" s="0" t="inlineStr">
        <is>
          <t xml:space="preserve">naics:336611</t>
        </is>
      </c>
    </row>
    <row r="1317">
      <c r="B1317" s="0" t="inlineStr">
        <is>
          <t xml:space="preserve">N4215822PS253</t>
        </is>
      </c>
      <c r="C1317" s="0" t="inlineStr">
        <is>
          <t xml:space="preserve">broad_maritime</t>
        </is>
      </c>
      <c r="D1317" s="4">
        <v>9.466626</v>
      </c>
      <c r="E1317" s="0" t="inlineStr">
        <is>
          <t xml:space="preserve">NORTHROP GRUMMAN SYSTEMS CORPORATION</t>
        </is>
      </c>
      <c r="F1317" s="0" t="inlineStr">
        <is>
          <t xml:space="preserve">naics:336611</t>
        </is>
      </c>
    </row>
    <row r="1318">
      <c r="B1318" s="0" t="inlineStr">
        <is>
          <t xml:space="preserve">0001</t>
        </is>
      </c>
      <c r="C1318" s="0" t="inlineStr">
        <is>
          <t xml:space="preserve">broad_maritime</t>
        </is>
      </c>
      <c r="D1318" s="4">
        <v>9.431902</v>
      </c>
      <c r="E1318" s="0" t="inlineStr">
        <is>
          <t xml:space="preserve">HAMILTON SUNDSTRAND CORPORATION</t>
        </is>
      </c>
      <c r="F1318" s="0" t="inlineStr">
        <is>
          <t xml:space="preserve">psc:2090</t>
        </is>
      </c>
    </row>
    <row r="1319">
      <c r="B1319" s="0" t="inlineStr">
        <is>
          <t xml:space="preserve">N3220515C1009</t>
        </is>
      </c>
      <c r="C1319" s="0" t="inlineStr">
        <is>
          <t xml:space="preserve">broad_maritime</t>
        </is>
      </c>
      <c r="D1319" s="4">
        <v>9.427745</v>
      </c>
      <c r="E1319" s="0" t="inlineStr">
        <is>
          <t xml:space="preserve">VIGOR MARINE LLC</t>
        </is>
      </c>
      <c r="F1319" s="0" t="inlineStr">
        <is>
          <t xml:space="preserve">naics:336611</t>
        </is>
      </c>
    </row>
    <row r="1320">
      <c r="B1320" s="0" t="inlineStr">
        <is>
          <t xml:space="preserve">N3220519C6002</t>
        </is>
      </c>
      <c r="C1320" s="0" t="inlineStr">
        <is>
          <t xml:space="preserve">broad_maritime</t>
        </is>
      </c>
      <c r="D1320" s="4">
        <v>9.419271</v>
      </c>
      <c r="E1320" s="0" t="inlineStr">
        <is>
          <t xml:space="preserve">DETYENS SHIPYARDS INC</t>
        </is>
      </c>
      <c r="F1320" s="0" t="inlineStr">
        <is>
          <t xml:space="preserve">naics:336611</t>
        </is>
      </c>
    </row>
    <row r="1321">
      <c r="B1321" s="0" t="inlineStr">
        <is>
          <t xml:space="preserve">N6279322F1000</t>
        </is>
      </c>
      <c r="C1321" s="0" t="inlineStr">
        <is>
          <t xml:space="preserve">broad_maritime</t>
        </is>
      </c>
      <c r="D1321" s="4">
        <v>9.40708508</v>
      </c>
      <c r="E1321" s="0" t="inlineStr">
        <is>
          <t xml:space="preserve">HII FLEET SUPPORT GROUP LLC</t>
        </is>
      </c>
      <c r="F1321" s="0" t="inlineStr">
        <is>
          <t xml:space="preserve">naics:336611; psc:1905</t>
        </is>
      </c>
    </row>
    <row r="1322">
      <c r="B1322" s="0" t="inlineStr">
        <is>
          <t xml:space="preserve">N4523A18F1090</t>
        </is>
      </c>
      <c r="C1322" s="0" t="inlineStr">
        <is>
          <t xml:space="preserve">broad_maritime</t>
        </is>
      </c>
      <c r="D1322" s="4">
        <v>9.404831999999999</v>
      </c>
      <c r="E1322" s="0" t="inlineStr">
        <is>
          <t xml:space="preserve">HUNTINGTON INGALLS INC</t>
        </is>
      </c>
      <c r="F1322" s="0" t="inlineStr">
        <is>
          <t xml:space="preserve">naics:336611</t>
        </is>
      </c>
    </row>
    <row r="1323">
      <c r="B1323" s="0" t="inlineStr">
        <is>
          <t xml:space="preserve">N0002411C4206</t>
        </is>
      </c>
      <c r="C1323" s="0" t="inlineStr">
        <is>
          <t xml:space="preserve">broad_maritime</t>
        </is>
      </c>
      <c r="D1323" s="4">
        <v>9.39829815</v>
      </c>
      <c r="E1323" s="0" t="inlineStr">
        <is>
          <t xml:space="preserve">L3 TECHNOLOGIES, INC.</t>
        </is>
      </c>
      <c r="F1323" s="0" t="inlineStr">
        <is>
          <t xml:space="preserve">naics:336611</t>
        </is>
      </c>
    </row>
    <row r="1324">
      <c r="B1324" s="0" t="inlineStr">
        <is>
          <t xml:space="preserve">N3220524C4092</t>
        </is>
      </c>
      <c r="C1324" s="0" t="inlineStr">
        <is>
          <t xml:space="preserve">broad_maritime</t>
        </is>
      </c>
      <c r="D1324" s="4">
        <v>9.38748</v>
      </c>
      <c r="E1324" s="0" t="inlineStr">
        <is>
          <t xml:space="preserve">DETYENS SHIPYARDS INC</t>
        </is>
      </c>
      <c r="F1324" s="0" t="inlineStr">
        <is>
          <t xml:space="preserve">naics:336611</t>
        </is>
      </c>
    </row>
    <row r="1325">
      <c r="B1325" s="0" t="inlineStr">
        <is>
          <t xml:space="preserve">N4523A05C0001</t>
        </is>
      </c>
      <c r="C1325" s="0" t="inlineStr">
        <is>
          <t xml:space="preserve">other_small</t>
        </is>
      </c>
      <c r="D1325" s="4">
        <v>9.38372797</v>
      </c>
      <c r="E1325" s="0" t="inlineStr">
        <is>
          <t xml:space="preserve">VIGOR WORKS LLC</t>
        </is>
      </c>
      <c r="F1325" s="0" t="inlineStr">
        <is>
          <t xml:space="preserve">naics:336611; psc:1925</t>
        </is>
      </c>
    </row>
    <row r="1326">
      <c r="B1326" s="0" t="inlineStr">
        <is>
          <t xml:space="preserve">N5005425FL022</t>
        </is>
      </c>
      <c r="C1326" s="0" t="inlineStr">
        <is>
          <t xml:space="preserve">broad_maritime</t>
        </is>
      </c>
      <c r="D1326" s="4">
        <v>9.38308576</v>
      </c>
      <c r="E1326" s="0" t="inlineStr">
        <is>
          <t xml:space="preserve">EAST COAST REPAIR &amp; FABRICATION, LLC</t>
        </is>
      </c>
      <c r="F1326" s="0" t="inlineStr">
        <is>
          <t xml:space="preserve">naics:336611</t>
        </is>
      </c>
    </row>
    <row r="1327">
      <c r="B1327" s="0" t="inlineStr">
        <is>
          <t xml:space="preserve">0016</t>
        </is>
      </c>
      <c r="C1327" s="0" t="inlineStr">
        <is>
          <t xml:space="preserve">broad_maritime</t>
        </is>
      </c>
      <c r="D1327" s="4">
        <v>9.381654</v>
      </c>
      <c r="E1327" s="0" t="inlineStr">
        <is>
          <t xml:space="preserve">DELPHINUS ENGINEERING, INC.</t>
        </is>
      </c>
      <c r="F1327" s="0" t="inlineStr">
        <is>
          <t xml:space="preserve">naics:336611</t>
        </is>
      </c>
    </row>
    <row r="1328">
      <c r="B1328" s="0" t="inlineStr">
        <is>
          <t xml:space="preserve">N6279320F2005</t>
        </is>
      </c>
      <c r="C1328" s="0" t="inlineStr">
        <is>
          <t xml:space="preserve">broad_maritime</t>
        </is>
      </c>
      <c r="D1328" s="4">
        <v>9.37314639</v>
      </c>
      <c r="E1328" s="0" t="inlineStr">
        <is>
          <t xml:space="preserve">HUNTINGTON INGALLS INC</t>
        </is>
      </c>
      <c r="F1328" s="0" t="inlineStr">
        <is>
          <t xml:space="preserve">naics:336611; psc:1905</t>
        </is>
      </c>
    </row>
    <row r="1329">
      <c r="B1329" s="0" t="inlineStr">
        <is>
          <t xml:space="preserve">N3220521C4116</t>
        </is>
      </c>
      <c r="C1329" s="0" t="inlineStr">
        <is>
          <t xml:space="preserve">broad_maritime</t>
        </is>
      </c>
      <c r="D1329" s="4">
        <v>9.367574419999999</v>
      </c>
      <c r="E1329" s="0" t="inlineStr">
        <is>
          <t xml:space="preserve">GULF COPPER &amp; MANUFACTURING CORPORATION</t>
        </is>
      </c>
      <c r="F1329" s="0" t="inlineStr">
        <is>
          <t xml:space="preserve">naics:336611</t>
        </is>
      </c>
    </row>
    <row r="1330">
      <c r="B1330" s="0" t="inlineStr">
        <is>
          <t xml:space="preserve">N4044212C1008</t>
        </is>
      </c>
      <c r="C1330" s="0" t="inlineStr">
        <is>
          <t xml:space="preserve">broad_maritime</t>
        </is>
      </c>
      <c r="D1330" s="4">
        <v>9.33904284</v>
      </c>
      <c r="E1330" s="0" t="inlineStr">
        <is>
          <t xml:space="preserve">BOSTON SHIP REPAIR LLC</t>
        </is>
      </c>
      <c r="F1330" s="0" t="inlineStr">
        <is>
          <t xml:space="preserve">naics:336611</t>
        </is>
      </c>
    </row>
    <row r="1331">
      <c r="B1331" s="0" t="inlineStr">
        <is>
          <t xml:space="preserve">N5523622F9928</t>
        </is>
      </c>
      <c r="C1331" s="0" t="inlineStr">
        <is>
          <t xml:space="preserve">broad_maritime</t>
        </is>
      </c>
      <c r="D1331" s="4">
        <v>9.333401</v>
      </c>
      <c r="E1331" s="0" t="inlineStr">
        <is>
          <t xml:space="preserve">HUNTINGTON INGALLS INC</t>
        </is>
      </c>
      <c r="F1331" s="0" t="inlineStr">
        <is>
          <t xml:space="preserve">naics:336611</t>
        </is>
      </c>
    </row>
    <row r="1332">
      <c r="B1332" s="0" t="inlineStr">
        <is>
          <t xml:space="preserve">N6817122F6030</t>
        </is>
      </c>
      <c r="C1332" s="0" t="inlineStr">
        <is>
          <t xml:space="preserve">broad_maritime</t>
        </is>
      </c>
      <c r="D1332" s="4">
        <v>9.32920097</v>
      </c>
      <c r="E1332" s="0" t="inlineStr">
        <is>
          <t xml:space="preserve">NAVANTIA, S.A., S.M.E.</t>
        </is>
      </c>
      <c r="F1332" s="0" t="inlineStr">
        <is>
          <t xml:space="preserve">naics:336611</t>
        </is>
      </c>
    </row>
    <row r="1333">
      <c r="B1333" s="0" t="inlineStr">
        <is>
          <t xml:space="preserve">N4034522F0295</t>
        </is>
      </c>
      <c r="C1333" s="0" t="inlineStr">
        <is>
          <t xml:space="preserve">broad_maritime</t>
        </is>
      </c>
      <c r="D1333" s="4">
        <v>9.327423</v>
      </c>
      <c r="E1333" s="0" t="inlineStr">
        <is>
          <t xml:space="preserve">UNITHAI SHIPYARD &amp; ENGINEERING LIMITED - BRANCH</t>
        </is>
      </c>
      <c r="F1333" s="0" t="inlineStr">
        <is>
          <t xml:space="preserve">naics:336611</t>
        </is>
      </c>
    </row>
    <row r="1334">
      <c r="B1334" s="0" t="inlineStr">
        <is>
          <t xml:space="preserve">N6449819FBB26</t>
        </is>
      </c>
      <c r="C1334" s="0" t="inlineStr">
        <is>
          <t xml:space="preserve">broad_maritime</t>
        </is>
      </c>
      <c r="D1334" s="4">
        <v>9.32523638</v>
      </c>
      <c r="E1334" s="0" t="inlineStr">
        <is>
          <t xml:space="preserve">GENERAL DYNAMICS INFORMATION TECHNOLOGY, INC.</t>
        </is>
      </c>
      <c r="F1334" s="0" t="inlineStr">
        <is>
          <t xml:space="preserve">naics:336611</t>
        </is>
      </c>
    </row>
    <row r="1335">
      <c r="B1335" s="0" t="inlineStr">
        <is>
          <t xml:space="preserve">N0002422F4J15</t>
        </is>
      </c>
      <c r="C1335" s="0" t="inlineStr">
        <is>
          <t xml:space="preserve">broad_maritime</t>
        </is>
      </c>
      <c r="D1335" s="4">
        <v>9.31061898</v>
      </c>
      <c r="E1335" s="0" t="inlineStr">
        <is>
          <t xml:space="preserve">HEXAGON US FEDERAL, INC</t>
        </is>
      </c>
      <c r="F1335" s="0" t="inlineStr">
        <is>
          <t xml:space="preserve">psc:2090</t>
        </is>
      </c>
    </row>
    <row r="1336">
      <c r="B1336" s="0" t="inlineStr">
        <is>
          <t xml:space="preserve">N6449825F3092</t>
        </is>
      </c>
      <c r="C1336" s="0" t="inlineStr">
        <is>
          <t xml:space="preserve">broad_maritime</t>
        </is>
      </c>
      <c r="D1336" s="4">
        <v>9.297396019999999</v>
      </c>
      <c r="E1336" s="0" t="inlineStr">
        <is>
          <t xml:space="preserve">GENERAL DYNAMICS INFORMATION TECHNOLOGY, INC.</t>
        </is>
      </c>
      <c r="F1336" s="0" t="inlineStr">
        <is>
          <t xml:space="preserve">naics:336611</t>
        </is>
      </c>
    </row>
    <row r="1337">
      <c r="B1337" s="0" t="inlineStr">
        <is>
          <t xml:space="preserve">N5005420F5025</t>
        </is>
      </c>
      <c r="C1337" s="0" t="inlineStr">
        <is>
          <t xml:space="preserve">broad_maritime</t>
        </is>
      </c>
      <c r="D1337" s="4">
        <v>9.295045009999999</v>
      </c>
      <c r="E1337" s="0" t="inlineStr">
        <is>
          <t xml:space="preserve">HII FLEET SUPPORT GROUP LLC</t>
        </is>
      </c>
      <c r="F1337" s="0" t="inlineStr">
        <is>
          <t xml:space="preserve">naics:336611</t>
        </is>
      </c>
    </row>
    <row r="1338">
      <c r="B1338" s="0" t="inlineStr">
        <is>
          <t xml:space="preserve">N3220521C4029</t>
        </is>
      </c>
      <c r="C1338" s="0" t="inlineStr">
        <is>
          <t xml:space="preserve">broad_maritime</t>
        </is>
      </c>
      <c r="D1338" s="4">
        <v>9.291269999999999</v>
      </c>
      <c r="E1338" s="0" t="inlineStr">
        <is>
          <t xml:space="preserve">DETYENS SHIPYARDS INC</t>
        </is>
      </c>
      <c r="F1338" s="0" t="inlineStr">
        <is>
          <t xml:space="preserve">naics:336611</t>
        </is>
      </c>
    </row>
    <row r="1339">
      <c r="B1339" s="0" t="inlineStr">
        <is>
          <t xml:space="preserve">N4215818CS001</t>
        </is>
      </c>
      <c r="C1339" s="0" t="inlineStr">
        <is>
          <t xml:space="preserve">broad_maritime</t>
        </is>
      </c>
      <c r="D1339" s="4">
        <v>9.273830599999998</v>
      </c>
      <c r="E1339" s="0" t="inlineStr">
        <is>
          <t xml:space="preserve">OCEANEERING INTERNATIONAL INC</t>
        </is>
      </c>
      <c r="F1339" s="0" t="inlineStr">
        <is>
          <t xml:space="preserve">naics:336611</t>
        </is>
      </c>
    </row>
    <row r="1340">
      <c r="B1340" s="0" t="inlineStr">
        <is>
          <t xml:space="preserve">N6449824F3088</t>
        </is>
      </c>
      <c r="C1340" s="0" t="inlineStr">
        <is>
          <t xml:space="preserve">broad_maritime</t>
        </is>
      </c>
      <c r="D1340" s="4">
        <v>9.272061189999999</v>
      </c>
      <c r="E1340" s="0" t="inlineStr">
        <is>
          <t xml:space="preserve">DELPHINUS ENGINEERING, INC.</t>
        </is>
      </c>
      <c r="F1340" s="0" t="inlineStr">
        <is>
          <t xml:space="preserve">naics:336611</t>
        </is>
      </c>
    </row>
    <row r="1341">
      <c r="B1341" s="0" t="inlineStr">
        <is>
          <t xml:space="preserve">N3220516C4011</t>
        </is>
      </c>
      <c r="C1341" s="0" t="inlineStr">
        <is>
          <t xml:space="preserve">broad_maritime</t>
        </is>
      </c>
      <c r="D1341" s="4">
        <v>9.268674619999999</v>
      </c>
      <c r="E1341" s="0" t="inlineStr">
        <is>
          <t xml:space="preserve">VIGOR MARINE LLC</t>
        </is>
      </c>
      <c r="F1341" s="0" t="inlineStr">
        <is>
          <t xml:space="preserve">naics:336611</t>
        </is>
      </c>
    </row>
    <row r="1342">
      <c r="B1342" s="0" t="inlineStr">
        <is>
          <t xml:space="preserve">N4523A20F0314</t>
        </is>
      </c>
      <c r="C1342" s="0" t="inlineStr">
        <is>
          <t xml:space="preserve">broad_maritime</t>
        </is>
      </c>
      <c r="D1342" s="4">
        <v>9.260066</v>
      </c>
      <c r="E1342" s="0" t="inlineStr">
        <is>
          <t xml:space="preserve">METRO MACHINE CORP</t>
        </is>
      </c>
      <c r="F1342" s="0" t="inlineStr">
        <is>
          <t xml:space="preserve">naics:336611</t>
        </is>
      </c>
    </row>
    <row r="1343">
      <c r="B1343" s="0" t="inlineStr">
        <is>
          <t xml:space="preserve">N3220519C6500</t>
        </is>
      </c>
      <c r="C1343" s="0" t="inlineStr">
        <is>
          <t xml:space="preserve">broad_maritime</t>
        </is>
      </c>
      <c r="D1343" s="4">
        <v>9.245963</v>
      </c>
      <c r="E1343" s="0" t="inlineStr">
        <is>
          <t xml:space="preserve">DETYENS SHIPYARDS INC</t>
        </is>
      </c>
      <c r="F1343" s="0" t="inlineStr">
        <is>
          <t xml:space="preserve">naics:336611</t>
        </is>
      </c>
    </row>
    <row r="1344">
      <c r="B1344" s="0" t="inlineStr">
        <is>
          <t xml:space="preserve">N6817119F6220</t>
        </is>
      </c>
      <c r="C1344" s="0" t="inlineStr">
        <is>
          <t xml:space="preserve">broad_maritime</t>
        </is>
      </c>
      <c r="D1344" s="4">
        <v>9.244768109999999</v>
      </c>
      <c r="E1344" s="0" t="inlineStr">
        <is>
          <t xml:space="preserve">NAVANTIA REPARACIONES SAN FERNANDO</t>
        </is>
      </c>
      <c r="F1344" s="0" t="inlineStr">
        <is>
          <t xml:space="preserve">naics:336611</t>
        </is>
      </c>
    </row>
    <row r="1345">
      <c r="B1345" s="0" t="inlineStr">
        <is>
          <t xml:space="preserve">N5005413C1304</t>
        </is>
      </c>
      <c r="C1345" s="0" t="inlineStr">
        <is>
          <t xml:space="preserve">broad_maritime</t>
        </is>
      </c>
      <c r="D1345" s="4">
        <v>9.23113191</v>
      </c>
      <c r="E1345" s="0" t="inlineStr">
        <is>
          <t xml:space="preserve">COLONNA'S SHIP YARD, INCORPORATED</t>
        </is>
      </c>
      <c r="F1345" s="0" t="inlineStr">
        <is>
          <t xml:space="preserve">naics:336611</t>
        </is>
      </c>
    </row>
    <row r="1346">
      <c r="B1346" s="0" t="inlineStr">
        <is>
          <t xml:space="preserve">N5005421F5086</t>
        </is>
      </c>
      <c r="C1346" s="0" t="inlineStr">
        <is>
          <t xml:space="preserve">broad_maritime</t>
        </is>
      </c>
      <c r="D1346" s="4">
        <v>9.220525599999998</v>
      </c>
      <c r="E1346" s="0" t="inlineStr">
        <is>
          <t xml:space="preserve">LYON SHIPYARD INC</t>
        </is>
      </c>
      <c r="F1346" s="0" t="inlineStr">
        <is>
          <t xml:space="preserve">naics:336611</t>
        </is>
      </c>
    </row>
    <row r="1347">
      <c r="B1347" s="0" t="inlineStr">
        <is>
          <t xml:space="preserve">N0002423F4G19</t>
        </is>
      </c>
      <c r="C1347" s="0" t="inlineStr">
        <is>
          <t xml:space="preserve">broad_maritime</t>
        </is>
      </c>
      <c r="D1347" s="4">
        <v>9.216482029999998</v>
      </c>
      <c r="E1347" s="0" t="inlineStr">
        <is>
          <t xml:space="preserve">SEAWARD MARINE SERVICES, LLC</t>
        </is>
      </c>
      <c r="F1347" s="0" t="inlineStr">
        <is>
          <t xml:space="preserve">naics:336611</t>
        </is>
      </c>
    </row>
    <row r="1348">
      <c r="B1348" s="0" t="inlineStr">
        <is>
          <t xml:space="preserve">N4044625F0004</t>
        </is>
      </c>
      <c r="C1348" s="0" t="inlineStr">
        <is>
          <t xml:space="preserve">broad_maritime</t>
        </is>
      </c>
      <c r="D1348" s="4">
        <v>9.21421943</v>
      </c>
      <c r="E1348" s="0" t="inlineStr">
        <is>
          <t xml:space="preserve">CABRAS MARINE CORPORATION</t>
        </is>
      </c>
      <c r="F1348" s="0" t="inlineStr">
        <is>
          <t xml:space="preserve">naics:336611</t>
        </is>
      </c>
    </row>
    <row r="1349">
      <c r="B1349" s="0" t="inlineStr">
        <is>
          <t xml:space="preserve">N0002419F4127</t>
        </is>
      </c>
      <c r="C1349" s="0" t="inlineStr">
        <is>
          <t xml:space="preserve">broad_maritime</t>
        </is>
      </c>
      <c r="D1349" s="4">
        <v>9.211724</v>
      </c>
      <c r="E1349" s="0" t="inlineStr">
        <is>
          <t xml:space="preserve">GENERAL ELECTRIC COMPANY</t>
        </is>
      </c>
      <c r="F1349" s="0" t="inlineStr">
        <is>
          <t xml:space="preserve">naics:336611</t>
        </is>
      </c>
    </row>
    <row r="1350">
      <c r="B1350" s="0" t="inlineStr">
        <is>
          <t xml:space="preserve">N3904024F0093</t>
        </is>
      </c>
      <c r="C1350" s="0" t="inlineStr">
        <is>
          <t xml:space="preserve">broad_maritime</t>
        </is>
      </c>
      <c r="D1350" s="4">
        <v>9.19363957</v>
      </c>
      <c r="E1350" s="0" t="inlineStr">
        <is>
          <t xml:space="preserve">IMIA, LLC</t>
        </is>
      </c>
      <c r="F1350" s="0" t="inlineStr">
        <is>
          <t xml:space="preserve">naics:336611</t>
        </is>
      </c>
    </row>
    <row r="1351">
      <c r="B1351" s="0" t="inlineStr">
        <is>
          <t xml:space="preserve">0015</t>
        </is>
      </c>
      <c r="C1351" s="0" t="inlineStr">
        <is>
          <t xml:space="preserve">broad_maritime</t>
        </is>
      </c>
      <c r="D1351" s="4">
        <v>9.192081</v>
      </c>
      <c r="E1351" s="0" t="inlineStr">
        <is>
          <t xml:space="preserve">VSE CORPORATION</t>
        </is>
      </c>
      <c r="F1351" s="0" t="inlineStr">
        <is>
          <t xml:space="preserve">naics:336611</t>
        </is>
      </c>
    </row>
    <row r="1352">
      <c r="B1352" s="0" t="inlineStr">
        <is>
          <t xml:space="preserve">N3220524C4002</t>
        </is>
      </c>
      <c r="C1352" s="0" t="inlineStr">
        <is>
          <t xml:space="preserve">broad_maritime</t>
        </is>
      </c>
      <c r="D1352" s="4">
        <v>9.18827624</v>
      </c>
      <c r="E1352" s="0" t="inlineStr">
        <is>
          <t xml:space="preserve">JAG INDUSTRIAL SERVICES, INC</t>
        </is>
      </c>
      <c r="F1352" s="0" t="inlineStr">
        <is>
          <t xml:space="preserve">naics:336611</t>
        </is>
      </c>
    </row>
    <row r="1353">
      <c r="B1353" s="0" t="inlineStr">
        <is>
          <t xml:space="preserve">N4034523F0094</t>
        </is>
      </c>
      <c r="C1353" s="0" t="inlineStr">
        <is>
          <t xml:space="preserve">broad_maritime</t>
        </is>
      </c>
      <c r="D1353" s="4">
        <v>9.185652</v>
      </c>
      <c r="E1353" s="0" t="inlineStr">
        <is>
          <t xml:space="preserve">AUSTAL USA, LLC</t>
        </is>
      </c>
      <c r="F1353" s="0" t="inlineStr">
        <is>
          <t xml:space="preserve">naics:336611</t>
        </is>
      </c>
    </row>
    <row r="1354">
      <c r="B1354" s="0" t="inlineStr">
        <is>
          <t xml:space="preserve">N4034522F0041</t>
        </is>
      </c>
      <c r="C1354" s="0" t="inlineStr">
        <is>
          <t xml:space="preserve">broad_maritime</t>
        </is>
      </c>
      <c r="D1354" s="4">
        <v>9.185652</v>
      </c>
      <c r="E1354" s="0" t="inlineStr">
        <is>
          <t xml:space="preserve">AUSTAL USA, LLC</t>
        </is>
      </c>
      <c r="F1354" s="0" t="inlineStr">
        <is>
          <t xml:space="preserve">naics:336611</t>
        </is>
      </c>
    </row>
    <row r="1355">
      <c r="B1355" s="0" t="inlineStr">
        <is>
          <t xml:space="preserve">N0002418F4234</t>
        </is>
      </c>
      <c r="C1355" s="0" t="inlineStr">
        <is>
          <t xml:space="preserve">broad_maritime</t>
        </is>
      </c>
      <c r="D1355" s="4">
        <v>9.173185</v>
      </c>
      <c r="E1355" s="0" t="inlineStr">
        <is>
          <t xml:space="preserve">VSE CORPORATION</t>
        </is>
      </c>
      <c r="F1355" s="0" t="inlineStr">
        <is>
          <t xml:space="preserve">naics:336611; psc:2090</t>
        </is>
      </c>
    </row>
    <row r="1356">
      <c r="B1356" s="0" t="inlineStr">
        <is>
          <t xml:space="preserve">N5005417F5038</t>
        </is>
      </c>
      <c r="C1356" s="0" t="inlineStr">
        <is>
          <t xml:space="preserve">broad_maritime</t>
        </is>
      </c>
      <c r="D1356" s="4">
        <v>9.157305039999999</v>
      </c>
      <c r="E1356" s="0" t="inlineStr">
        <is>
          <t xml:space="preserve">HII FLEET SUPPORT GROUP LLC</t>
        </is>
      </c>
      <c r="F1356" s="0" t="inlineStr">
        <is>
          <t xml:space="preserve">naics:336611</t>
        </is>
      </c>
    </row>
    <row r="1357">
      <c r="B1357" s="0" t="inlineStr">
        <is>
          <t xml:space="preserve">0016</t>
        </is>
      </c>
      <c r="C1357" s="0" t="inlineStr">
        <is>
          <t xml:space="preserve">broad_maritime</t>
        </is>
      </c>
      <c r="D1357" s="4">
        <v>9.155491249999999</v>
      </c>
      <c r="E1357" s="0" t="inlineStr">
        <is>
          <t xml:space="preserve">HII FLEET SUPPORT GROUP LLC</t>
        </is>
      </c>
      <c r="F1357" s="0" t="inlineStr">
        <is>
          <t xml:space="preserve">naics:336611</t>
        </is>
      </c>
    </row>
    <row r="1358">
      <c r="B1358" s="0" t="inlineStr">
        <is>
          <t xml:space="preserve">N5005424FL017</t>
        </is>
      </c>
      <c r="C1358" s="0" t="inlineStr">
        <is>
          <t xml:space="preserve">broad_maritime</t>
        </is>
      </c>
      <c r="D1358" s="4">
        <v>9.14950126</v>
      </c>
      <c r="E1358" s="0" t="inlineStr">
        <is>
          <t xml:space="preserve">MARINE HYDRAULICS INTERNATIONAL, LLC</t>
        </is>
      </c>
      <c r="F1358" s="0" t="inlineStr">
        <is>
          <t xml:space="preserve">naics:336611</t>
        </is>
      </c>
    </row>
    <row r="1359">
      <c r="B1359" s="0" t="inlineStr">
        <is>
          <t xml:space="preserve">0030</t>
        </is>
      </c>
      <c r="C1359" s="0" t="inlineStr">
        <is>
          <t xml:space="preserve">broad_maritime</t>
        </is>
      </c>
      <c r="D1359" s="4">
        <v>9.14575011</v>
      </c>
      <c r="E1359" s="0" t="inlineStr">
        <is>
          <t xml:space="preserve">DELPHINUS ENGINEERING, INC.</t>
        </is>
      </c>
      <c r="F1359" s="0" t="inlineStr">
        <is>
          <t xml:space="preserve">naics:336611</t>
        </is>
      </c>
    </row>
    <row r="1360">
      <c r="B1360" s="0" t="inlineStr">
        <is>
          <t xml:space="preserve">N3220517C4005</t>
        </is>
      </c>
      <c r="C1360" s="0" t="inlineStr">
        <is>
          <t xml:space="preserve">broad_maritime</t>
        </is>
      </c>
      <c r="D1360" s="4">
        <v>9.124568</v>
      </c>
      <c r="E1360" s="0" t="inlineStr">
        <is>
          <t xml:space="preserve">VIGOR MARINE LLC</t>
        </is>
      </c>
      <c r="F1360" s="0" t="inlineStr">
        <is>
          <t xml:space="preserve">naics:336611</t>
        </is>
      </c>
    </row>
    <row r="1361">
      <c r="B1361" s="0" t="inlineStr">
        <is>
          <t xml:space="preserve">N0002414F2202</t>
        </is>
      </c>
      <c r="C1361" s="0" t="inlineStr">
        <is>
          <t xml:space="preserve">small_craft</t>
        </is>
      </c>
      <c r="D1361" s="4">
        <v>9.1236</v>
      </c>
      <c r="E1361" s="0" t="inlineStr">
        <is>
          <t xml:space="preserve">MAYBANK INDUSTRIES, LLC</t>
        </is>
      </c>
      <c r="F1361" s="0" t="inlineStr">
        <is>
          <t xml:space="preserve">naics:336611; psc:1940</t>
        </is>
      </c>
    </row>
    <row r="1362">
      <c r="B1362" s="0" t="inlineStr">
        <is>
          <t xml:space="preserve">N5523622F9925</t>
        </is>
      </c>
      <c r="C1362" s="0" t="inlineStr">
        <is>
          <t xml:space="preserve">broad_maritime</t>
        </is>
      </c>
      <c r="D1362" s="4">
        <v>9.122116</v>
      </c>
      <c r="E1362" s="0" t="inlineStr">
        <is>
          <t xml:space="preserve">HUNTINGTON INGALLS INC</t>
        </is>
      </c>
      <c r="F1362" s="0" t="inlineStr">
        <is>
          <t xml:space="preserve">naics:336611</t>
        </is>
      </c>
    </row>
    <row r="1363">
      <c r="B1363" s="0" t="inlineStr">
        <is>
          <t xml:space="preserve">N3220517C4503</t>
        </is>
      </c>
      <c r="C1363" s="0" t="inlineStr">
        <is>
          <t xml:space="preserve">other_small</t>
        </is>
      </c>
      <c r="D1363" s="4">
        <v>9.119933</v>
      </c>
      <c r="E1363" s="0" t="inlineStr">
        <is>
          <t xml:space="preserve">DETYENS SHIPYARDS INC</t>
        </is>
      </c>
      <c r="F1363" s="0" t="inlineStr">
        <is>
          <t xml:space="preserve">naics:336611; psc:1925</t>
        </is>
      </c>
    </row>
    <row r="1364">
      <c r="B1364" s="0" t="inlineStr">
        <is>
          <t xml:space="preserve">N6278622F0007</t>
        </is>
      </c>
      <c r="C1364" s="0" t="inlineStr">
        <is>
          <t xml:space="preserve">broad_maritime</t>
        </is>
      </c>
      <c r="D1364" s="4">
        <v>9.095557</v>
      </c>
      <c r="E1364" s="0" t="inlineStr">
        <is>
          <t xml:space="preserve">LOCKHEED MARTIN CORPORATION</t>
        </is>
      </c>
      <c r="F1364" s="0" t="inlineStr">
        <is>
          <t xml:space="preserve">naics:336611; psc:1905</t>
        </is>
      </c>
    </row>
    <row r="1365">
      <c r="B1365" s="0" t="inlineStr">
        <is>
          <t xml:space="preserve">0022</t>
        </is>
      </c>
      <c r="C1365" s="0" t="inlineStr">
        <is>
          <t xml:space="preserve">broad_maritime</t>
        </is>
      </c>
      <c r="D1365" s="4">
        <v>9.08603415</v>
      </c>
      <c r="E1365" s="0" t="inlineStr">
        <is>
          <t xml:space="preserve">HII FLEET SUPPORT GROUP LLC</t>
        </is>
      </c>
      <c r="F1365" s="0" t="inlineStr">
        <is>
          <t xml:space="preserve">naics:336611</t>
        </is>
      </c>
    </row>
    <row r="1366">
      <c r="B1366" s="0" t="inlineStr">
        <is>
          <t xml:space="preserve">N3220526C1209</t>
        </is>
      </c>
      <c r="C1366" s="0" t="inlineStr">
        <is>
          <t xml:space="preserve">broad_maritime</t>
        </is>
      </c>
      <c r="D1366" s="4">
        <v>9.085744</v>
      </c>
      <c r="E1366" s="0" t="inlineStr">
        <is>
          <t xml:space="preserve">ALABAMA SHIPYARD LLC</t>
        </is>
      </c>
      <c r="F1366" s="0" t="inlineStr">
        <is>
          <t xml:space="preserve">naics:336611</t>
        </is>
      </c>
    </row>
    <row r="1367">
      <c r="B1367" s="0" t="inlineStr">
        <is>
          <t xml:space="preserve">N6833517F0037</t>
        </is>
      </c>
      <c r="C1367" s="0" t="inlineStr">
        <is>
          <t xml:space="preserve">broad_maritime</t>
        </is>
      </c>
      <c r="D1367" s="4">
        <v>9.06498081</v>
      </c>
      <c r="E1367" s="0" t="inlineStr">
        <is>
          <t xml:space="preserve">EPSILON SYSTEMS SOLUTIONS INC</t>
        </is>
      </c>
      <c r="F1367" s="0" t="inlineStr">
        <is>
          <t xml:space="preserve">naics:336611</t>
        </is>
      </c>
    </row>
    <row r="1368">
      <c r="B1368" s="0" t="inlineStr">
        <is>
          <t xml:space="preserve">0020</t>
        </is>
      </c>
      <c r="C1368" s="0" t="inlineStr">
        <is>
          <t xml:space="preserve">broad_maritime</t>
        </is>
      </c>
      <c r="D1368" s="4">
        <v>9.049271</v>
      </c>
      <c r="E1368" s="0" t="inlineStr">
        <is>
          <t xml:space="preserve">QED SYSTEMS, INC.</t>
        </is>
      </c>
      <c r="F1368" s="0" t="inlineStr">
        <is>
          <t xml:space="preserve">naics:336611</t>
        </is>
      </c>
    </row>
    <row r="1369">
      <c r="B1369" s="0" t="inlineStr">
        <is>
          <t xml:space="preserve">N5523624F9981</t>
        </is>
      </c>
      <c r="C1369" s="0" t="inlineStr">
        <is>
          <t xml:space="preserve">broad_maritime</t>
        </is>
      </c>
      <c r="D1369" s="4">
        <v>9.040166</v>
      </c>
      <c r="E1369" s="0" t="inlineStr">
        <is>
          <t xml:space="preserve">HII FLEET SUPPORT GROUP LLC</t>
        </is>
      </c>
      <c r="F1369" s="0" t="inlineStr">
        <is>
          <t xml:space="preserve">naics:336611; psc:1905</t>
        </is>
      </c>
    </row>
    <row r="1370">
      <c r="B1370" s="0" t="inlineStr">
        <is>
          <t xml:space="preserve">N5523625F2010</t>
        </is>
      </c>
      <c r="C1370" s="0" t="inlineStr">
        <is>
          <t xml:space="preserve">broad_maritime</t>
        </is>
      </c>
      <c r="D1370" s="4">
        <v>9.037504460000001</v>
      </c>
      <c r="E1370" s="0" t="inlineStr">
        <is>
          <t xml:space="preserve">CONTINENTAL MARITIME OF SAN DIEGO, LLC</t>
        </is>
      </c>
      <c r="F1370" s="0" t="inlineStr">
        <is>
          <t xml:space="preserve">naics:336611</t>
        </is>
      </c>
    </row>
    <row r="1371">
      <c r="B1371" s="0" t="inlineStr">
        <is>
          <t xml:space="preserve">N3220523C2508</t>
        </is>
      </c>
      <c r="C1371" s="0" t="inlineStr">
        <is>
          <t xml:space="preserve">broad_maritime</t>
        </is>
      </c>
      <c r="D1371" s="4">
        <v>9.025025</v>
      </c>
      <c r="E1371" s="0" t="inlineStr">
        <is>
          <t xml:space="preserve">DETYENS SHIPYARDS INC</t>
        </is>
      </c>
      <c r="F1371" s="0" t="inlineStr">
        <is>
          <t xml:space="preserve">naics:336611</t>
        </is>
      </c>
    </row>
    <row r="1372">
      <c r="B1372" s="0" t="inlineStr">
        <is>
          <t xml:space="preserve">N3220525C4061</t>
        </is>
      </c>
      <c r="C1372" s="0" t="inlineStr">
        <is>
          <t xml:space="preserve">broad_maritime</t>
        </is>
      </c>
      <c r="D1372" s="4">
        <v>9.018571</v>
      </c>
      <c r="E1372" s="0" t="inlineStr">
        <is>
          <t xml:space="preserve">DETYENS SHIPYARDS INC</t>
        </is>
      </c>
      <c r="F1372" s="0" t="inlineStr">
        <is>
          <t xml:space="preserve">naics:336611</t>
        </is>
      </c>
    </row>
    <row r="1373">
      <c r="B1373" s="0" t="inlineStr">
        <is>
          <t xml:space="preserve">N3220518C4016</t>
        </is>
      </c>
      <c r="C1373" s="0" t="inlineStr">
        <is>
          <t xml:space="preserve">broad_maritime</t>
        </is>
      </c>
      <c r="D1373" s="4">
        <v>9.01742331</v>
      </c>
      <c r="E1373" s="0" t="inlineStr">
        <is>
          <t xml:space="preserve">DETYENS SHIPYARDS INC</t>
        </is>
      </c>
      <c r="F1373" s="0" t="inlineStr">
        <is>
          <t xml:space="preserve">naics:336611</t>
        </is>
      </c>
    </row>
    <row r="1374">
      <c r="B1374" s="0" t="inlineStr">
        <is>
          <t xml:space="preserve">N6279320F2023</t>
        </is>
      </c>
      <c r="C1374" s="0" t="inlineStr">
        <is>
          <t xml:space="preserve">broad_maritime</t>
        </is>
      </c>
      <c r="D1374" s="4">
        <v>9.007636999999999</v>
      </c>
      <c r="E1374" s="0" t="inlineStr">
        <is>
          <t xml:space="preserve">HUNTINGTON INGALLS INC</t>
        </is>
      </c>
      <c r="F1374" s="0" t="inlineStr">
        <is>
          <t xml:space="preserve">naics:336611; psc:1905</t>
        </is>
      </c>
    </row>
    <row r="1375">
      <c r="B1375" s="0" t="inlineStr">
        <is>
          <t xml:space="preserve">N5005416C0001</t>
        </is>
      </c>
      <c r="C1375" s="0" t="inlineStr">
        <is>
          <t xml:space="preserve">broad_maritime</t>
        </is>
      </c>
      <c r="D1375" s="4">
        <v>9.006241</v>
      </c>
      <c r="E1375" s="0" t="inlineStr">
        <is>
          <t xml:space="preserve">MARINE HYDRAULICS INTERNATIONAL, LLC</t>
        </is>
      </c>
      <c r="F1375" s="0" t="inlineStr">
        <is>
          <t xml:space="preserve">naics:336611</t>
        </is>
      </c>
    </row>
    <row r="1376">
      <c r="B1376" s="0" t="inlineStr">
        <is>
          <t xml:space="preserve">N0001424C1324</t>
        </is>
      </c>
      <c r="C1376" s="0" t="inlineStr">
        <is>
          <t xml:space="preserve">usv_core</t>
        </is>
      </c>
      <c r="D1376" s="4">
        <v>9.0</v>
      </c>
      <c r="E1376" s="0" t="inlineStr">
        <is>
          <t xml:space="preserve">UNIVERSITY OF MAINE SYSTEM</t>
        </is>
      </c>
      <c r="F1376" s="0" t="inlineStr">
        <is>
          <t xml:space="preserve">keyword</t>
        </is>
      </c>
    </row>
    <row r="1377">
      <c r="B1377" s="0" t="inlineStr">
        <is>
          <t xml:space="preserve">EH01</t>
        </is>
      </c>
      <c r="C1377" s="0" t="inlineStr">
        <is>
          <t xml:space="preserve">broad_maritime</t>
        </is>
      </c>
      <c r="D1377" s="4">
        <v>9.0</v>
      </c>
      <c r="E1377" s="0" t="inlineStr">
        <is>
          <t xml:space="preserve">ROLLS-ROYCE MARINE NORTH AMERICA INC.</t>
        </is>
      </c>
      <c r="F1377" s="0" t="inlineStr">
        <is>
          <t xml:space="preserve">naics:336611</t>
        </is>
      </c>
    </row>
    <row r="1378">
      <c r="B1378" s="0" t="inlineStr">
        <is>
          <t xml:space="preserve">N6554015C5004</t>
        </is>
      </c>
      <c r="C1378" s="0" t="inlineStr">
        <is>
          <t xml:space="preserve">broad_maritime</t>
        </is>
      </c>
      <c r="D1378" s="4">
        <v>8.988788</v>
      </c>
      <c r="E1378" s="0" t="inlineStr">
        <is>
          <t xml:space="preserve">RHOADS INDUSTRIES, INC.</t>
        </is>
      </c>
      <c r="F1378" s="0" t="inlineStr">
        <is>
          <t xml:space="preserve">naics:336611</t>
        </is>
      </c>
    </row>
    <row r="1379">
      <c r="B1379" s="0" t="inlineStr">
        <is>
          <t xml:space="preserve">N4034523F0069</t>
        </is>
      </c>
      <c r="C1379" s="0" t="inlineStr">
        <is>
          <t xml:space="preserve">broad_maritime</t>
        </is>
      </c>
      <c r="D1379" s="4">
        <v>8.968323999999999</v>
      </c>
      <c r="E1379" s="0" t="inlineStr">
        <is>
          <t xml:space="preserve">ST ENGINEERING MARINE LTD.</t>
        </is>
      </c>
      <c r="F1379" s="0" t="inlineStr">
        <is>
          <t xml:space="preserve">naics:336611</t>
        </is>
      </c>
    </row>
    <row r="1380">
      <c r="B1380" s="0" t="inlineStr">
        <is>
          <t xml:space="preserve">N3225317C0002</t>
        </is>
      </c>
      <c r="C1380" s="0" t="inlineStr">
        <is>
          <t xml:space="preserve">broad_maritime</t>
        </is>
      </c>
      <c r="D1380" s="4">
        <v>8.943184</v>
      </c>
      <c r="E1380" s="0" t="inlineStr">
        <is>
          <t xml:space="preserve">NORTHROP GRUMMAN SYSTEMS CORPORATION</t>
        </is>
      </c>
      <c r="F1380" s="0" t="inlineStr">
        <is>
          <t xml:space="preserve">naics:336611</t>
        </is>
      </c>
    </row>
    <row r="1381">
      <c r="B1381" s="0" t="inlineStr">
        <is>
          <t xml:space="preserve">N0002417F4250</t>
        </is>
      </c>
      <c r="C1381" s="0" t="inlineStr">
        <is>
          <t xml:space="preserve">broad_maritime</t>
        </is>
      </c>
      <c r="D1381" s="4">
        <v>8.931966</v>
      </c>
      <c r="E1381" s="0" t="inlineStr">
        <is>
          <t xml:space="preserve">VSE CORPORATION</t>
        </is>
      </c>
      <c r="F1381" s="0" t="inlineStr">
        <is>
          <t xml:space="preserve">naics:336611</t>
        </is>
      </c>
    </row>
    <row r="1382">
      <c r="B1382" s="0" t="inlineStr">
        <is>
          <t xml:space="preserve">0002</t>
        </is>
      </c>
      <c r="C1382" s="0" t="inlineStr">
        <is>
          <t xml:space="preserve">broad_maritime</t>
        </is>
      </c>
      <c r="D1382" s="4">
        <v>8.926780189999999</v>
      </c>
      <c r="E1382" s="0" t="inlineStr">
        <is>
          <t xml:space="preserve">HII FLEET SUPPORT GROUP LLC</t>
        </is>
      </c>
      <c r="F1382" s="0" t="inlineStr">
        <is>
          <t xml:space="preserve">naics:336611</t>
        </is>
      </c>
    </row>
    <row r="1383">
      <c r="B1383" s="0" t="inlineStr">
        <is>
          <t xml:space="preserve">N3225314P0036</t>
        </is>
      </c>
      <c r="C1383" s="0" t="inlineStr">
        <is>
          <t xml:space="preserve">broad_maritime</t>
        </is>
      </c>
      <c r="D1383" s="4">
        <v>8.91297397</v>
      </c>
      <c r="E1383" s="0" t="inlineStr">
        <is>
          <t xml:space="preserve">PACIFIC SHIPYARDS INTERNATIONAL, LLC</t>
        </is>
      </c>
      <c r="F1383" s="0" t="inlineStr">
        <is>
          <t xml:space="preserve">naics:336611</t>
        </is>
      </c>
    </row>
    <row r="1384">
      <c r="B1384" s="0" t="inlineStr">
        <is>
          <t xml:space="preserve">N0002402C2205</t>
        </is>
      </c>
      <c r="C1384" s="0" t="inlineStr">
        <is>
          <t xml:space="preserve">broad_maritime</t>
        </is>
      </c>
      <c r="D1384" s="4">
        <v>8.901380999999999</v>
      </c>
      <c r="E1384" s="0" t="inlineStr">
        <is>
          <t xml:space="preserve">BATH IRON WORKS CORPORATION</t>
        </is>
      </c>
      <c r="F1384" s="0" t="inlineStr">
        <is>
          <t xml:space="preserve">naics:336611</t>
        </is>
      </c>
    </row>
    <row r="1385">
      <c r="B1385" s="0" t="inlineStr">
        <is>
          <t xml:space="preserve">N5005421FC002</t>
        </is>
      </c>
      <c r="C1385" s="0" t="inlineStr">
        <is>
          <t xml:space="preserve">broad_maritime</t>
        </is>
      </c>
      <c r="D1385" s="4">
        <v>8.897713</v>
      </c>
      <c r="E1385" s="0" t="inlineStr">
        <is>
          <t xml:space="preserve">MARINE HYDRAULICS INTERNATIONAL, LLC</t>
        </is>
      </c>
      <c r="F1385" s="0" t="inlineStr">
        <is>
          <t xml:space="preserve">naics:336611</t>
        </is>
      </c>
    </row>
    <row r="1386">
      <c r="B1386" s="0" t="inlineStr">
        <is>
          <t xml:space="preserve">0051</t>
        </is>
      </c>
      <c r="C1386" s="0" t="inlineStr">
        <is>
          <t xml:space="preserve">broad_maritime</t>
        </is>
      </c>
      <c r="D1386" s="4">
        <v>8.89424362</v>
      </c>
      <c r="E1386" s="0" t="inlineStr">
        <is>
          <t xml:space="preserve">HII FLEET SUPPORT GROUP LLC</t>
        </is>
      </c>
      <c r="F1386" s="0" t="inlineStr">
        <is>
          <t xml:space="preserve">naics:336611</t>
        </is>
      </c>
    </row>
    <row r="1387">
      <c r="B1387" s="0" t="inlineStr">
        <is>
          <t xml:space="preserve">N4034524F0093</t>
        </is>
      </c>
      <c r="C1387" s="0" t="inlineStr">
        <is>
          <t xml:space="preserve">broad_maritime</t>
        </is>
      </c>
      <c r="D1387" s="4">
        <v>8.87149281</v>
      </c>
      <c r="E1387" s="0" t="inlineStr">
        <is>
          <t xml:space="preserve">SUBIC DRYDOCK CORPORATION</t>
        </is>
      </c>
      <c r="F1387" s="0" t="inlineStr">
        <is>
          <t xml:space="preserve">naics:336611</t>
        </is>
      </c>
    </row>
    <row r="1388">
      <c r="B1388" s="0" t="inlineStr">
        <is>
          <t xml:space="preserve">N3220517C4150</t>
        </is>
      </c>
      <c r="C1388" s="0" t="inlineStr">
        <is>
          <t xml:space="preserve">broad_maritime</t>
        </is>
      </c>
      <c r="D1388" s="4">
        <v>8.844794499999999</v>
      </c>
      <c r="E1388" s="0" t="inlineStr">
        <is>
          <t xml:space="preserve">DETYENS SHIPYARDS INC</t>
        </is>
      </c>
      <c r="F1388" s="0" t="inlineStr">
        <is>
          <t xml:space="preserve">naics:336611</t>
        </is>
      </c>
    </row>
    <row r="1389">
      <c r="B1389" s="0" t="inlineStr">
        <is>
          <t xml:space="preserve">N4523A18F1060</t>
        </is>
      </c>
      <c r="C1389" s="0" t="inlineStr">
        <is>
          <t xml:space="preserve">broad_maritime</t>
        </is>
      </c>
      <c r="D1389" s="4">
        <v>8.839729029999999</v>
      </c>
      <c r="E1389" s="0" t="inlineStr">
        <is>
          <t xml:space="preserve">HUNTINGTON INGALLS INC</t>
        </is>
      </c>
      <c r="F1389" s="0" t="inlineStr">
        <is>
          <t xml:space="preserve">naics:336611</t>
        </is>
      </c>
    </row>
    <row r="1390">
      <c r="B1390" s="0" t="inlineStr">
        <is>
          <t xml:space="preserve">N0016722C0009</t>
        </is>
      </c>
      <c r="C1390" s="0" t="inlineStr">
        <is>
          <t xml:space="preserve">broad_maritime</t>
        </is>
      </c>
      <c r="D1390" s="4">
        <v>8.815422</v>
      </c>
      <c r="E1390" s="0" t="inlineStr">
        <is>
          <t xml:space="preserve">GOODRICH CORPORATION</t>
        </is>
      </c>
      <c r="F1390" s="0" t="inlineStr">
        <is>
          <t xml:space="preserve">naics:336611</t>
        </is>
      </c>
    </row>
    <row r="1391">
      <c r="B1391" s="0" t="inlineStr">
        <is>
          <t xml:space="preserve">N6278619F0054</t>
        </is>
      </c>
      <c r="C1391" s="0" t="inlineStr">
        <is>
          <t xml:space="preserve">broad_maritime</t>
        </is>
      </c>
      <c r="D1391" s="4">
        <v>8.801518</v>
      </c>
      <c r="E1391" s="0" t="inlineStr">
        <is>
          <t xml:space="preserve">LOCKHEED MARTIN CORPORATION</t>
        </is>
      </c>
      <c r="F1391" s="0" t="inlineStr">
        <is>
          <t xml:space="preserve">naics:336611; psc:1905</t>
        </is>
      </c>
    </row>
    <row r="1392">
      <c r="B1392" s="0" t="inlineStr">
        <is>
          <t xml:space="preserve">N6278621F0011</t>
        </is>
      </c>
      <c r="C1392" s="0" t="inlineStr">
        <is>
          <t xml:space="preserve">broad_maritime</t>
        </is>
      </c>
      <c r="D1392" s="4">
        <v>8.800280710000001</v>
      </c>
      <c r="E1392" s="0" t="inlineStr">
        <is>
          <t xml:space="preserve">BAE SYSTEMS MARITIME SOLUTIONS SAN DIEGO INC.</t>
        </is>
      </c>
      <c r="F1392" s="0" t="inlineStr">
        <is>
          <t xml:space="preserve">naics:336611; psc:1905</t>
        </is>
      </c>
    </row>
    <row r="1393">
      <c r="B1393" s="0" t="inlineStr">
        <is>
          <t xml:space="preserve">N4034522F0030</t>
        </is>
      </c>
      <c r="C1393" s="0" t="inlineStr">
        <is>
          <t xml:space="preserve">broad_maritime</t>
        </is>
      </c>
      <c r="D1393" s="4">
        <v>8.76907882</v>
      </c>
      <c r="E1393" s="0" t="inlineStr">
        <is>
          <t xml:space="preserve">JAPAN MARINE UNITED CORPORATION</t>
        </is>
      </c>
      <c r="F1393" s="0" t="inlineStr">
        <is>
          <t xml:space="preserve">naics:336611</t>
        </is>
      </c>
    </row>
    <row r="1394">
      <c r="B1394" s="0" t="inlineStr">
        <is>
          <t xml:space="preserve">N5005419F5143</t>
        </is>
      </c>
      <c r="C1394" s="0" t="inlineStr">
        <is>
          <t xml:space="preserve">broad_maritime</t>
        </is>
      </c>
      <c r="D1394" s="4">
        <v>8.76200309</v>
      </c>
      <c r="E1394" s="0" t="inlineStr">
        <is>
          <t xml:space="preserve">HII FLEET SUPPORT GROUP LLC</t>
        </is>
      </c>
      <c r="F1394" s="0" t="inlineStr">
        <is>
          <t xml:space="preserve">naics:336611</t>
        </is>
      </c>
    </row>
    <row r="1395">
      <c r="B1395" s="0" t="inlineStr">
        <is>
          <t xml:space="preserve">N5005424F5150</t>
        </is>
      </c>
      <c r="C1395" s="0" t="inlineStr">
        <is>
          <t xml:space="preserve">broad_maritime</t>
        </is>
      </c>
      <c r="D1395" s="4">
        <v>8.7595879</v>
      </c>
      <c r="E1395" s="0" t="inlineStr">
        <is>
          <t xml:space="preserve">BMFT JV LLC</t>
        </is>
      </c>
      <c r="F1395" s="0" t="inlineStr">
        <is>
          <t xml:space="preserve">naics:336611</t>
        </is>
      </c>
    </row>
    <row r="1396">
      <c r="B1396" s="0" t="inlineStr">
        <is>
          <t xml:space="preserve">N0002420F4117</t>
        </is>
      </c>
      <c r="C1396" s="0" t="inlineStr">
        <is>
          <t xml:space="preserve">broad_maritime</t>
        </is>
      </c>
      <c r="D1396" s="4">
        <v>8.74772</v>
      </c>
      <c r="E1396" s="0" t="inlineStr">
        <is>
          <t xml:space="preserve">GENERAL ELECTRIC COMPANY</t>
        </is>
      </c>
      <c r="F1396" s="0" t="inlineStr">
        <is>
          <t xml:space="preserve">naics:336611</t>
        </is>
      </c>
    </row>
    <row r="1397">
      <c r="B1397" s="0" t="inlineStr">
        <is>
          <t xml:space="preserve">N0002419F4125</t>
        </is>
      </c>
      <c r="C1397" s="0" t="inlineStr">
        <is>
          <t xml:space="preserve">broad_maritime</t>
        </is>
      </c>
      <c r="D1397" s="4">
        <v>8.74772</v>
      </c>
      <c r="E1397" s="0" t="inlineStr">
        <is>
          <t xml:space="preserve">GENERAL ELECTRIC COMPANY</t>
        </is>
      </c>
      <c r="F1397" s="0" t="inlineStr">
        <is>
          <t xml:space="preserve">naics:336611</t>
        </is>
      </c>
    </row>
    <row r="1398">
      <c r="B1398" s="0" t="inlineStr">
        <is>
          <t xml:space="preserve">0001</t>
        </is>
      </c>
      <c r="C1398" s="0" t="inlineStr">
        <is>
          <t xml:space="preserve">broad_maritime</t>
        </is>
      </c>
      <c r="D1398" s="4">
        <v>8.73313946</v>
      </c>
      <c r="E1398" s="0" t="inlineStr">
        <is>
          <t xml:space="preserve">OWL INTERNATIONAL INC.</t>
        </is>
      </c>
      <c r="F1398" s="0" t="inlineStr">
        <is>
          <t xml:space="preserve">naics:336611</t>
        </is>
      </c>
    </row>
    <row r="1399">
      <c r="B1399" s="0" t="inlineStr">
        <is>
          <t xml:space="preserve">N4002717C0033</t>
        </is>
      </c>
      <c r="C1399" s="0" t="inlineStr">
        <is>
          <t xml:space="preserve">broad_maritime</t>
        </is>
      </c>
      <c r="D1399" s="4">
        <v>8.73160389</v>
      </c>
      <c r="E1399" s="0" t="inlineStr">
        <is>
          <t xml:space="preserve">EAST COAST REPAIR &amp; FABRICATION, LLC</t>
        </is>
      </c>
      <c r="F1399" s="0" t="inlineStr">
        <is>
          <t xml:space="preserve">naics:336611</t>
        </is>
      </c>
    </row>
    <row r="1400">
      <c r="B1400" s="0" t="inlineStr">
        <is>
          <t xml:space="preserve">N0010422CZA28</t>
        </is>
      </c>
      <c r="C1400" s="0" t="inlineStr">
        <is>
          <t xml:space="preserve">small_craft</t>
        </is>
      </c>
      <c r="D1400" s="4">
        <v>8.725247999999999</v>
      </c>
      <c r="E1400" s="0" t="inlineStr">
        <is>
          <t xml:space="preserve">ERIE FORGE &amp; STEEL INC</t>
        </is>
      </c>
      <c r="F1400" s="0" t="inlineStr">
        <is>
          <t xml:space="preserve">naics:336612</t>
        </is>
      </c>
    </row>
    <row r="1401">
      <c r="B1401" s="0" t="inlineStr">
        <is>
          <t xml:space="preserve">N3225324C0002</t>
        </is>
      </c>
      <c r="C1401" s="0" t="inlineStr">
        <is>
          <t xml:space="preserve">broad_maritime</t>
        </is>
      </c>
      <c r="D1401" s="4">
        <v>8.723322</v>
      </c>
      <c r="E1401" s="0" t="inlineStr">
        <is>
          <t xml:space="preserve">NORTHROP GRUMMAN SYSTEMS CORPORATION</t>
        </is>
      </c>
      <c r="F1401" s="0" t="inlineStr">
        <is>
          <t xml:space="preserve">naics:336611</t>
        </is>
      </c>
    </row>
    <row r="1402">
      <c r="B1402" s="0" t="inlineStr">
        <is>
          <t xml:space="preserve">ER01</t>
        </is>
      </c>
      <c r="C1402" s="0" t="inlineStr">
        <is>
          <t xml:space="preserve">broad_maritime</t>
        </is>
      </c>
      <c r="D1402" s="4">
        <v>8.722178999999999</v>
      </c>
      <c r="E1402" s="0" t="inlineStr">
        <is>
          <t xml:space="preserve">BATH IRON WORKS CORPORATION</t>
        </is>
      </c>
      <c r="F1402" s="0" t="inlineStr">
        <is>
          <t xml:space="preserve">naics:336611; psc:1905</t>
        </is>
      </c>
    </row>
    <row r="1403">
      <c r="B1403" s="0" t="inlineStr">
        <is>
          <t xml:space="preserve">N5005425FL030</t>
        </is>
      </c>
      <c r="C1403" s="0" t="inlineStr">
        <is>
          <t xml:space="preserve">broad_maritime</t>
        </is>
      </c>
      <c r="D1403" s="4">
        <v>8.71783471</v>
      </c>
      <c r="E1403" s="0" t="inlineStr">
        <is>
          <t xml:space="preserve">EAST COAST REPAIR &amp; FABRICATION, LLC</t>
        </is>
      </c>
      <c r="F1403" s="0" t="inlineStr">
        <is>
          <t xml:space="preserve">naics:336611</t>
        </is>
      </c>
    </row>
    <row r="1404">
      <c r="B1404" s="0" t="inlineStr">
        <is>
          <t xml:space="preserve">N5005424FP004</t>
        </is>
      </c>
      <c r="C1404" s="0" t="inlineStr">
        <is>
          <t xml:space="preserve">broad_maritime</t>
        </is>
      </c>
      <c r="D1404" s="4">
        <v>8.699739</v>
      </c>
      <c r="E1404" s="0" t="inlineStr">
        <is>
          <t xml:space="preserve">METRO MACHINE CORP.</t>
        </is>
      </c>
      <c r="F1404" s="0" t="inlineStr">
        <is>
          <t xml:space="preserve">naics:336611</t>
        </is>
      </c>
    </row>
    <row r="1405">
      <c r="B1405" s="0" t="inlineStr">
        <is>
          <t xml:space="preserve">N0038321F0W81</t>
        </is>
      </c>
      <c r="C1405" s="0" t="inlineStr">
        <is>
          <t xml:space="preserve">broad_maritime</t>
        </is>
      </c>
      <c r="D1405" s="4">
        <v>8.695243999999999</v>
      </c>
      <c r="E1405" s="0" t="inlineStr">
        <is>
          <t xml:space="preserve">RAYTHEON COMPANY</t>
        </is>
      </c>
      <c r="F1405" s="0" t="inlineStr">
        <is>
          <t xml:space="preserve">naics:336611</t>
        </is>
      </c>
    </row>
    <row r="1406">
      <c r="B1406" s="0" t="inlineStr">
        <is>
          <t xml:space="preserve">0003</t>
        </is>
      </c>
      <c r="C1406" s="0" t="inlineStr">
        <is>
          <t xml:space="preserve">broad_maritime</t>
        </is>
      </c>
      <c r="D1406" s="4">
        <v>8.693783949999998</v>
      </c>
      <c r="E1406" s="0" t="inlineStr">
        <is>
          <t xml:space="preserve">DEFENSE MARITIME SOLUTIONS, INC.</t>
        </is>
      </c>
      <c r="F1406" s="0" t="inlineStr">
        <is>
          <t xml:space="preserve">naics:336611</t>
        </is>
      </c>
    </row>
    <row r="1407">
      <c r="B1407" s="0" t="inlineStr">
        <is>
          <t xml:space="preserve">0006</t>
        </is>
      </c>
      <c r="C1407" s="0" t="inlineStr">
        <is>
          <t xml:space="preserve">broad_maritime</t>
        </is>
      </c>
      <c r="D1407" s="4">
        <v>8.690032429999999</v>
      </c>
      <c r="E1407" s="0" t="inlineStr">
        <is>
          <t xml:space="preserve">L3HARRIS MARITIME SERVICES INC</t>
        </is>
      </c>
      <c r="F1407" s="0" t="inlineStr">
        <is>
          <t xml:space="preserve">naics:336611</t>
        </is>
      </c>
    </row>
    <row r="1408">
      <c r="B1408" s="0" t="inlineStr">
        <is>
          <t xml:space="preserve">N3225316C0001</t>
        </is>
      </c>
      <c r="C1408" s="0" t="inlineStr">
        <is>
          <t xml:space="preserve">broad_maritime</t>
        </is>
      </c>
      <c r="D1408" s="4">
        <v>8.667563</v>
      </c>
      <c r="E1408" s="0" t="inlineStr">
        <is>
          <t xml:space="preserve">NORTHROP GRUMMAN SYSTEMS CORPORATION</t>
        </is>
      </c>
      <c r="F1408" s="0" t="inlineStr">
        <is>
          <t xml:space="preserve">naics:336611</t>
        </is>
      </c>
    </row>
    <row r="1409">
      <c r="B1409" s="0" t="inlineStr">
        <is>
          <t xml:space="preserve">N5523624F8418</t>
        </is>
      </c>
      <c r="C1409" s="0" t="inlineStr">
        <is>
          <t xml:space="preserve">broad_maritime</t>
        </is>
      </c>
      <c r="D1409" s="4">
        <v>8.659858269999999</v>
      </c>
      <c r="E1409" s="0" t="inlineStr">
        <is>
          <t xml:space="preserve">AUSTAL USA, LLC</t>
        </is>
      </c>
      <c r="F1409" s="0" t="inlineStr">
        <is>
          <t xml:space="preserve">naics:336611</t>
        </is>
      </c>
    </row>
    <row r="1410">
      <c r="B1410" s="0" t="inlineStr">
        <is>
          <t xml:space="preserve">N6264926CL003</t>
        </is>
      </c>
      <c r="C1410" s="0" t="inlineStr">
        <is>
          <t xml:space="preserve">broad_maritime</t>
        </is>
      </c>
      <c r="D1410" s="4">
        <v>8.651848</v>
      </c>
      <c r="E1410" s="0" t="inlineStr">
        <is>
          <t xml:space="preserve">HD HYUNDAI HEAVY INDUSTRIES CO.,LTD.</t>
        </is>
      </c>
      <c r="F1410" s="0" t="inlineStr">
        <is>
          <t xml:space="preserve">naics:336611</t>
        </is>
      </c>
    </row>
    <row r="1411">
      <c r="B1411" s="0" t="inlineStr">
        <is>
          <t xml:space="preserve">N6264925FL003</t>
        </is>
      </c>
      <c r="C1411" s="0" t="inlineStr">
        <is>
          <t xml:space="preserve">broad_maritime</t>
        </is>
      </c>
      <c r="D1411" s="4">
        <v>8.64608699</v>
      </c>
      <c r="E1411" s="0" t="inlineStr">
        <is>
          <t xml:space="preserve">UNITHAI SHIPYARD &amp; ENGINEERING LIMITED - BRANCH</t>
        </is>
      </c>
      <c r="F1411" s="0" t="inlineStr">
        <is>
          <t xml:space="preserve">naics:336611</t>
        </is>
      </c>
    </row>
    <row r="1412">
      <c r="B1412" s="0" t="inlineStr">
        <is>
          <t xml:space="preserve">N4034520F0085</t>
        </is>
      </c>
      <c r="C1412" s="0" t="inlineStr">
        <is>
          <t xml:space="preserve">broad_maritime</t>
        </is>
      </c>
      <c r="D1412" s="4">
        <v>8.639472999999999</v>
      </c>
      <c r="E1412" s="0" t="inlineStr">
        <is>
          <t xml:space="preserve">SEATRIUM REPAIRS &amp; UPGRADES PTE. LTD.</t>
        </is>
      </c>
      <c r="F1412" s="0" t="inlineStr">
        <is>
          <t xml:space="preserve">naics:336611</t>
        </is>
      </c>
    </row>
    <row r="1413">
      <c r="B1413" s="0" t="inlineStr">
        <is>
          <t xml:space="preserve">N6449820FBB41</t>
        </is>
      </c>
      <c r="C1413" s="0" t="inlineStr">
        <is>
          <t xml:space="preserve">broad_maritime</t>
        </is>
      </c>
      <c r="D1413" s="4">
        <v>8.62642339</v>
      </c>
      <c r="E1413" s="0" t="inlineStr">
        <is>
          <t xml:space="preserve">EPSILON SYSTEMS SOLUTIONS INC</t>
        </is>
      </c>
      <c r="F1413" s="0" t="inlineStr">
        <is>
          <t xml:space="preserve">naics:336611</t>
        </is>
      </c>
    </row>
    <row r="1414">
      <c r="B1414" s="0" t="inlineStr">
        <is>
          <t xml:space="preserve">JG02</t>
        </is>
      </c>
      <c r="C1414" s="0" t="inlineStr">
        <is>
          <t xml:space="preserve">broad_maritime</t>
        </is>
      </c>
      <c r="D1414" s="4">
        <v>8.625572909999999</v>
      </c>
      <c r="E1414" s="0" t="inlineStr">
        <is>
          <t xml:space="preserve">BRODOGRADILISTE VIKTOR LENAC D.D.</t>
        </is>
      </c>
      <c r="F1414" s="0" t="inlineStr">
        <is>
          <t xml:space="preserve">naics:336611</t>
        </is>
      </c>
    </row>
    <row r="1415">
      <c r="B1415" s="0" t="inlineStr">
        <is>
          <t xml:space="preserve">N5523624F9915</t>
        </is>
      </c>
      <c r="C1415" s="0" t="inlineStr">
        <is>
          <t xml:space="preserve">broad_maritime</t>
        </is>
      </c>
      <c r="D1415" s="4">
        <v>8.621425</v>
      </c>
      <c r="E1415" s="0" t="inlineStr">
        <is>
          <t xml:space="preserve">HUNTINGTON INGALLS INC</t>
        </is>
      </c>
      <c r="F1415" s="0" t="inlineStr">
        <is>
          <t xml:space="preserve">naics:336611</t>
        </is>
      </c>
    </row>
    <row r="1416">
      <c r="B1416" s="0" t="inlineStr">
        <is>
          <t xml:space="preserve">N0002422C2230</t>
        </is>
      </c>
      <c r="C1416" s="0" t="inlineStr">
        <is>
          <t xml:space="preserve">small_craft</t>
        </is>
      </c>
      <c r="D1416" s="4">
        <v>8.61300114</v>
      </c>
      <c r="E1416" s="0" t="inlineStr">
        <is>
          <t xml:space="preserve">SAFE BOATS INTERNATIONAL LLC</t>
        </is>
      </c>
      <c r="F1416" s="0" t="inlineStr">
        <is>
          <t xml:space="preserve">naics:336612; psc:1940</t>
        </is>
      </c>
    </row>
    <row r="1417">
      <c r="B1417" s="0" t="inlineStr">
        <is>
          <t xml:space="preserve">N5005418F5161</t>
        </is>
      </c>
      <c r="C1417" s="0" t="inlineStr">
        <is>
          <t xml:space="preserve">broad_maritime</t>
        </is>
      </c>
      <c r="D1417" s="4">
        <v>8.6104865</v>
      </c>
      <c r="E1417" s="0" t="inlineStr">
        <is>
          <t xml:space="preserve">HII FLEET SUPPORT GROUP LLC</t>
        </is>
      </c>
      <c r="F1417" s="0" t="inlineStr">
        <is>
          <t xml:space="preserve">naics:336611</t>
        </is>
      </c>
    </row>
    <row r="1418">
      <c r="B1418" s="0" t="inlineStr">
        <is>
          <t xml:space="preserve">N4523A22C1054</t>
        </is>
      </c>
      <c r="C1418" s="0" t="inlineStr">
        <is>
          <t xml:space="preserve">broad_maritime</t>
        </is>
      </c>
      <c r="D1418" s="4">
        <v>8.595655119999998</v>
      </c>
      <c r="E1418" s="0" t="inlineStr">
        <is>
          <t xml:space="preserve">VIGOR MARINE LLC</t>
        </is>
      </c>
      <c r="F1418" s="0" t="inlineStr">
        <is>
          <t xml:space="preserve">naics:336611</t>
        </is>
      </c>
    </row>
    <row r="1419">
      <c r="B1419" s="0" t="inlineStr">
        <is>
          <t xml:space="preserve">N6264925CLA02</t>
        </is>
      </c>
      <c r="C1419" s="0" t="inlineStr">
        <is>
          <t xml:space="preserve">broad_maritime</t>
        </is>
      </c>
      <c r="D1419" s="4">
        <v>8.59252248</v>
      </c>
      <c r="E1419" s="0" t="inlineStr">
        <is>
          <t xml:space="preserve">UNITHAI SHIPYARD &amp; ENGINEERING LIMITED - BRANCH</t>
        </is>
      </c>
      <c r="F1419" s="0" t="inlineStr">
        <is>
          <t xml:space="preserve">naics:336611</t>
        </is>
      </c>
    </row>
    <row r="1420">
      <c r="B1420" s="0" t="inlineStr">
        <is>
          <t xml:space="preserve">7F01</t>
        </is>
      </c>
      <c r="C1420" s="0" t="inlineStr">
        <is>
          <t xml:space="preserve">broad_maritime</t>
        </is>
      </c>
      <c r="D1420" s="4">
        <v>8.590826</v>
      </c>
      <c r="E1420" s="0" t="inlineStr">
        <is>
          <t xml:space="preserve">AUSTAL USA, LLC</t>
        </is>
      </c>
      <c r="F1420" s="0" t="inlineStr">
        <is>
          <t xml:space="preserve">naics:336611; psc:1905</t>
        </is>
      </c>
    </row>
    <row r="1421">
      <c r="B1421" s="0" t="inlineStr">
        <is>
          <t xml:space="preserve">0001</t>
        </is>
      </c>
      <c r="C1421" s="0" t="inlineStr">
        <is>
          <t xml:space="preserve">small_craft</t>
        </is>
      </c>
      <c r="D1421" s="4">
        <v>8.5897195</v>
      </c>
      <c r="E1421" s="0" t="inlineStr">
        <is>
          <t xml:space="preserve">MODUTECH MARINE, INC.</t>
        </is>
      </c>
      <c r="F1421" s="0" t="inlineStr">
        <is>
          <t xml:space="preserve">naics:336612; psc:1940</t>
        </is>
      </c>
    </row>
    <row r="1422">
      <c r="B1422" s="0" t="inlineStr">
        <is>
          <t xml:space="preserve">N6278625F0003</t>
        </is>
      </c>
      <c r="C1422" s="0" t="inlineStr">
        <is>
          <t xml:space="preserve">broad_maritime</t>
        </is>
      </c>
      <c r="D1422" s="4">
        <v>8.58873</v>
      </c>
      <c r="E1422" s="0" t="inlineStr">
        <is>
          <t xml:space="preserve">BATH IRON WORKS CORPORATION</t>
        </is>
      </c>
      <c r="F1422" s="0" t="inlineStr">
        <is>
          <t xml:space="preserve">naics:336611; psc:1905</t>
        </is>
      </c>
    </row>
    <row r="1423">
      <c r="B1423" s="0" t="inlineStr">
        <is>
          <t xml:space="preserve">0019</t>
        </is>
      </c>
      <c r="C1423" s="0" t="inlineStr">
        <is>
          <t xml:space="preserve">broad_maritime</t>
        </is>
      </c>
      <c r="D1423" s="4">
        <v>8.5873019</v>
      </c>
      <c r="E1423" s="0" t="inlineStr">
        <is>
          <t xml:space="preserve">DELPHINUS ENGINEERING, INC.</t>
        </is>
      </c>
      <c r="F1423" s="0" t="inlineStr">
        <is>
          <t xml:space="preserve">naics:336611</t>
        </is>
      </c>
    </row>
    <row r="1424">
      <c r="B1424" s="0" t="inlineStr">
        <is>
          <t xml:space="preserve">0002</t>
        </is>
      </c>
      <c r="C1424" s="0" t="inlineStr">
        <is>
          <t xml:space="preserve">broad_maritime</t>
        </is>
      </c>
      <c r="D1424" s="4">
        <v>8.58167117</v>
      </c>
      <c r="E1424" s="0" t="inlineStr">
        <is>
          <t xml:space="preserve">QED SYSTEMS, INC.</t>
        </is>
      </c>
      <c r="F1424" s="0" t="inlineStr">
        <is>
          <t xml:space="preserve">naics:336611</t>
        </is>
      </c>
    </row>
    <row r="1425">
      <c r="B1425" s="0" t="inlineStr">
        <is>
          <t xml:space="preserve">N3225325C1005</t>
        </is>
      </c>
      <c r="C1425" s="0" t="inlineStr">
        <is>
          <t xml:space="preserve">broad_maritime</t>
        </is>
      </c>
      <c r="D1425" s="4">
        <v>8.577822</v>
      </c>
      <c r="E1425" s="0" t="inlineStr">
        <is>
          <t xml:space="preserve">NORTHROP GRUMMAN SYSTEMS CORPORATION</t>
        </is>
      </c>
      <c r="F1425" s="0" t="inlineStr">
        <is>
          <t xml:space="preserve">naics:336611</t>
        </is>
      </c>
    </row>
    <row r="1426">
      <c r="B1426" s="0" t="inlineStr">
        <is>
          <t xml:space="preserve">N4034522F0288</t>
        </is>
      </c>
      <c r="C1426" s="0" t="inlineStr">
        <is>
          <t xml:space="preserve">broad_maritime</t>
        </is>
      </c>
      <c r="D1426" s="4">
        <v>8.571577</v>
      </c>
      <c r="E1426" s="0" t="inlineStr">
        <is>
          <t xml:space="preserve">SEATRIUM REPAIRS &amp; UPGRADES PTE. LTD.</t>
        </is>
      </c>
      <c r="F1426" s="0" t="inlineStr">
        <is>
          <t xml:space="preserve">naics:336611</t>
        </is>
      </c>
    </row>
    <row r="1427">
      <c r="B1427" s="0" t="inlineStr">
        <is>
          <t xml:space="preserve">N6554013C5007</t>
        </is>
      </c>
      <c r="C1427" s="0" t="inlineStr">
        <is>
          <t xml:space="preserve">broad_maritime</t>
        </is>
      </c>
      <c r="D1427" s="4">
        <v>8.566322999999999</v>
      </c>
      <c r="E1427" s="0" t="inlineStr">
        <is>
          <t xml:space="preserve">PHILADELPHIA SHIP REPAIR LLC</t>
        </is>
      </c>
      <c r="F1427" s="0" t="inlineStr">
        <is>
          <t xml:space="preserve">naics:336611</t>
        </is>
      </c>
    </row>
    <row r="1428">
      <c r="B1428" s="0" t="inlineStr">
        <is>
          <t xml:space="preserve">N6449823F3022</t>
        </is>
      </c>
      <c r="C1428" s="0" t="inlineStr">
        <is>
          <t xml:space="preserve">broad_maritime</t>
        </is>
      </c>
      <c r="D1428" s="4">
        <v>8.5599306</v>
      </c>
      <c r="E1428" s="0" t="inlineStr">
        <is>
          <t xml:space="preserve">EPSILON SYSTEMS SOLUTIONS INC</t>
        </is>
      </c>
      <c r="F1428" s="0" t="inlineStr">
        <is>
          <t xml:space="preserve">naics:336611</t>
        </is>
      </c>
    </row>
    <row r="1429">
      <c r="B1429" s="0" t="inlineStr">
        <is>
          <t xml:space="preserve">N5523621F9919</t>
        </is>
      </c>
      <c r="C1429" s="0" t="inlineStr">
        <is>
          <t xml:space="preserve">broad_maritime</t>
        </is>
      </c>
      <c r="D1429" s="4">
        <v>8.556823</v>
      </c>
      <c r="E1429" s="0" t="inlineStr">
        <is>
          <t xml:space="preserve">HUNTINGTON INGALLS INC</t>
        </is>
      </c>
      <c r="F1429" s="0" t="inlineStr">
        <is>
          <t xml:space="preserve">naics:336611</t>
        </is>
      </c>
    </row>
    <row r="1430">
      <c r="B1430" s="0" t="inlineStr">
        <is>
          <t xml:space="preserve">N6278617F0073</t>
        </is>
      </c>
      <c r="C1430" s="0" t="inlineStr">
        <is>
          <t xml:space="preserve">broad_maritime</t>
        </is>
      </c>
      <c r="D1430" s="4">
        <v>8.552412</v>
      </c>
      <c r="E1430" s="0" t="inlineStr">
        <is>
          <t xml:space="preserve">LOCKHEED MARTIN CORPORATION</t>
        </is>
      </c>
      <c r="F1430" s="0" t="inlineStr">
        <is>
          <t xml:space="preserve">naics:336611; psc:1905</t>
        </is>
      </c>
    </row>
    <row r="1431">
      <c r="B1431" s="0" t="inlineStr">
        <is>
          <t xml:space="preserve">0004</t>
        </is>
      </c>
      <c r="C1431" s="0" t="inlineStr">
        <is>
          <t xml:space="preserve">broad_maritime</t>
        </is>
      </c>
      <c r="D1431" s="4">
        <v>8.542719179999999</v>
      </c>
      <c r="E1431" s="0" t="inlineStr">
        <is>
          <t xml:space="preserve">HII FLEET SUPPORT GROUP LLC</t>
        </is>
      </c>
      <c r="F1431" s="0" t="inlineStr">
        <is>
          <t xml:space="preserve">naics:336611</t>
        </is>
      </c>
    </row>
    <row r="1432">
      <c r="B1432" s="0" t="inlineStr">
        <is>
          <t xml:space="preserve">N5005423FC058</t>
        </is>
      </c>
      <c r="C1432" s="0" t="inlineStr">
        <is>
          <t xml:space="preserve">broad_maritime</t>
        </is>
      </c>
      <c r="D1432" s="4">
        <v>8.53765082</v>
      </c>
      <c r="E1432" s="0" t="inlineStr">
        <is>
          <t xml:space="preserve">EAST COAST REPAIR &amp; FABRICATION, LLC</t>
        </is>
      </c>
      <c r="F1432" s="0" t="inlineStr">
        <is>
          <t xml:space="preserve">naics:336611</t>
        </is>
      </c>
    </row>
    <row r="1433">
      <c r="B1433" s="0" t="inlineStr">
        <is>
          <t xml:space="preserve">N6449818FBB60</t>
        </is>
      </c>
      <c r="C1433" s="0" t="inlineStr">
        <is>
          <t xml:space="preserve">broad_maritime</t>
        </is>
      </c>
      <c r="D1433" s="4">
        <v>8.53754362</v>
      </c>
      <c r="E1433" s="0" t="inlineStr">
        <is>
          <t xml:space="preserve">GENERAL DYNAMICS INFORMATION TECHNOLOGY, INC.</t>
        </is>
      </c>
      <c r="F1433" s="0" t="inlineStr">
        <is>
          <t xml:space="preserve">naics:336611</t>
        </is>
      </c>
    </row>
    <row r="1434">
      <c r="B1434" s="0" t="inlineStr">
        <is>
          <t xml:space="preserve">N6264925CL021</t>
        </is>
      </c>
      <c r="C1434" s="0" t="inlineStr">
        <is>
          <t xml:space="preserve">broad_maritime</t>
        </is>
      </c>
      <c r="D1434" s="4">
        <v>8.5353421</v>
      </c>
      <c r="E1434" s="0" t="inlineStr">
        <is>
          <t xml:space="preserve">HD HYUNDAI HEAVY INDUSTRIES CO.,LTD.</t>
        </is>
      </c>
      <c r="F1434" s="0" t="inlineStr">
        <is>
          <t xml:space="preserve">naics:336611</t>
        </is>
      </c>
    </row>
    <row r="1435">
      <c r="B1435" s="0" t="inlineStr">
        <is>
          <t xml:space="preserve">N4523A18F0815</t>
        </is>
      </c>
      <c r="C1435" s="0" t="inlineStr">
        <is>
          <t xml:space="preserve">broad_maritime</t>
        </is>
      </c>
      <c r="D1435" s="4">
        <v>8.53293952</v>
      </c>
      <c r="E1435" s="0" t="inlineStr">
        <is>
          <t xml:space="preserve">IMIA, LLC</t>
        </is>
      </c>
      <c r="F1435" s="0" t="inlineStr">
        <is>
          <t xml:space="preserve">naics:336611</t>
        </is>
      </c>
    </row>
    <row r="1436">
      <c r="B1436" s="0" t="inlineStr">
        <is>
          <t xml:space="preserve">ER07</t>
        </is>
      </c>
      <c r="C1436" s="0" t="inlineStr">
        <is>
          <t xml:space="preserve">broad_maritime</t>
        </is>
      </c>
      <c r="D1436" s="4">
        <v>8.53</v>
      </c>
      <c r="E1436" s="0" t="inlineStr">
        <is>
          <t xml:space="preserve">BATH IRON WORKS CORPORATION</t>
        </is>
      </c>
      <c r="F1436" s="0" t="inlineStr">
        <is>
          <t xml:space="preserve">naics:336611</t>
        </is>
      </c>
    </row>
    <row r="1437">
      <c r="B1437" s="0" t="inlineStr">
        <is>
          <t xml:space="preserve">0185</t>
        </is>
      </c>
      <c r="C1437" s="0" t="inlineStr">
        <is>
          <t xml:space="preserve">broad_maritime</t>
        </is>
      </c>
      <c r="D1437" s="4">
        <v>8.51524016</v>
      </c>
      <c r="E1437" s="0" t="inlineStr">
        <is>
          <t xml:space="preserve">SUMITOMO HEAVY INDUSTRIES, LTD</t>
        </is>
      </c>
      <c r="F1437" s="0" t="inlineStr">
        <is>
          <t xml:space="preserve">naics:336611</t>
        </is>
      </c>
    </row>
    <row r="1438">
      <c r="B1438" s="0" t="inlineStr">
        <is>
          <t xml:space="preserve">N5005426FL002</t>
        </is>
      </c>
      <c r="C1438" s="0" t="inlineStr">
        <is>
          <t xml:space="preserve">broad_maritime</t>
        </is>
      </c>
      <c r="D1438" s="4">
        <v>8.511378689999999</v>
      </c>
      <c r="E1438" s="0" t="inlineStr">
        <is>
          <t xml:space="preserve">BAE SYSTEMS MARITIME SOLUTIONS NORFOLK INC.</t>
        </is>
      </c>
      <c r="F1438" s="0" t="inlineStr">
        <is>
          <t xml:space="preserve">naics:336611</t>
        </is>
      </c>
    </row>
    <row r="1439">
      <c r="B1439" s="0" t="inlineStr">
        <is>
          <t xml:space="preserve">N6449824F3063</t>
        </is>
      </c>
      <c r="C1439" s="0" t="inlineStr">
        <is>
          <t xml:space="preserve">broad_maritime</t>
        </is>
      </c>
      <c r="D1439" s="4">
        <v>8.50580588</v>
      </c>
      <c r="E1439" s="0" t="inlineStr">
        <is>
          <t xml:space="preserve">DELPHINUS ENGINEERING, INC.</t>
        </is>
      </c>
      <c r="F1439" s="0" t="inlineStr">
        <is>
          <t xml:space="preserve">naics:336611</t>
        </is>
      </c>
    </row>
    <row r="1440">
      <c r="B1440" s="0" t="inlineStr">
        <is>
          <t xml:space="preserve">N6449823F3039</t>
        </is>
      </c>
      <c r="C1440" s="0" t="inlineStr">
        <is>
          <t xml:space="preserve">broad_maritime</t>
        </is>
      </c>
      <c r="D1440" s="4">
        <v>8.49839322</v>
      </c>
      <c r="E1440" s="0" t="inlineStr">
        <is>
          <t xml:space="preserve">HII FLEET SUPPORT GROUP LLC</t>
        </is>
      </c>
      <c r="F1440" s="0" t="inlineStr">
        <is>
          <t xml:space="preserve">naics:336611</t>
        </is>
      </c>
    </row>
    <row r="1441">
      <c r="B1441" s="0" t="inlineStr">
        <is>
          <t xml:space="preserve">N0002424F22A6</t>
        </is>
      </c>
      <c r="C1441" s="0" t="inlineStr">
        <is>
          <t xml:space="preserve">small_craft</t>
        </is>
      </c>
      <c r="D1441" s="4">
        <v>8.486336</v>
      </c>
      <c r="E1441" s="0" t="inlineStr">
        <is>
          <t xml:space="preserve">GRAVOIS ALUMINUM BOATS LLC</t>
        </is>
      </c>
      <c r="F1441" s="0" t="inlineStr">
        <is>
          <t xml:space="preserve">naics:336612; psc:1940</t>
        </is>
      </c>
    </row>
    <row r="1442">
      <c r="B1442" s="0" t="inlineStr">
        <is>
          <t xml:space="preserve">N6133122F0026</t>
        </is>
      </c>
      <c r="C1442" s="0" t="inlineStr">
        <is>
          <t xml:space="preserve">broad_maritime</t>
        </is>
      </c>
      <c r="D1442" s="4">
        <v>8.479035</v>
      </c>
      <c r="E1442" s="0" t="inlineStr">
        <is>
          <t xml:space="preserve">HII UNMANNED SYSTEMS, INC</t>
        </is>
      </c>
      <c r="F1442" s="0" t="inlineStr">
        <is>
          <t xml:space="preserve">psc:2090</t>
        </is>
      </c>
    </row>
    <row r="1443">
      <c r="B1443" s="0" t="inlineStr">
        <is>
          <t xml:space="preserve">N6278620F0014</t>
        </is>
      </c>
      <c r="C1443" s="0" t="inlineStr">
        <is>
          <t xml:space="preserve">broad_maritime</t>
        </is>
      </c>
      <c r="D1443" s="4">
        <v>8.477974</v>
      </c>
      <c r="E1443" s="0" t="inlineStr">
        <is>
          <t xml:space="preserve">LOCKHEED MARTIN CORPORATION</t>
        </is>
      </c>
      <c r="F1443" s="0" t="inlineStr">
        <is>
          <t xml:space="preserve">naics:336611; psc:1905</t>
        </is>
      </c>
    </row>
    <row r="1444">
      <c r="B1444" s="0" t="inlineStr">
        <is>
          <t xml:space="preserve">N3904017C0012</t>
        </is>
      </c>
      <c r="C1444" s="0" t="inlineStr">
        <is>
          <t xml:space="preserve">broad_maritime</t>
        </is>
      </c>
      <c r="D1444" s="4">
        <v>8.467291</v>
      </c>
      <c r="E1444" s="0" t="inlineStr">
        <is>
          <t xml:space="preserve">NORTHROP GRUMMAN SYSTEMS CORPORATION</t>
        </is>
      </c>
      <c r="F1444" s="0" t="inlineStr">
        <is>
          <t xml:space="preserve">naics:336611</t>
        </is>
      </c>
    </row>
    <row r="1445">
      <c r="B1445" s="0" t="inlineStr">
        <is>
          <t xml:space="preserve">N0010424CF014</t>
        </is>
      </c>
      <c r="C1445" s="0" t="inlineStr">
        <is>
          <t xml:space="preserve">broad_maritime</t>
        </is>
      </c>
      <c r="D1445" s="4">
        <v>8.45772992</v>
      </c>
      <c r="E1445" s="0" t="inlineStr">
        <is>
          <t xml:space="preserve">ART CRAFT FABRICATORS INC</t>
        </is>
      </c>
      <c r="F1445" s="0" t="inlineStr">
        <is>
          <t xml:space="preserve">naics:336611</t>
        </is>
      </c>
    </row>
    <row r="1446">
      <c r="B1446" s="0" t="inlineStr">
        <is>
          <t xml:space="preserve">N5005418F5128</t>
        </is>
      </c>
      <c r="C1446" s="0" t="inlineStr">
        <is>
          <t xml:space="preserve">broad_maritime</t>
        </is>
      </c>
      <c r="D1446" s="4">
        <v>8.45346115</v>
      </c>
      <c r="E1446" s="0" t="inlineStr">
        <is>
          <t xml:space="preserve">EAST COAST REPAIR &amp; FABRICATION, LLC</t>
        </is>
      </c>
      <c r="F1446" s="0" t="inlineStr">
        <is>
          <t xml:space="preserve">naics:336611</t>
        </is>
      </c>
    </row>
    <row r="1447">
      <c r="B1447" s="0" t="inlineStr">
        <is>
          <t xml:space="preserve">N3220524C4101</t>
        </is>
      </c>
      <c r="C1447" s="0" t="inlineStr">
        <is>
          <t xml:space="preserve">broad_maritime</t>
        </is>
      </c>
      <c r="D1447" s="4">
        <v>8.434130999999999</v>
      </c>
      <c r="E1447" s="0" t="inlineStr">
        <is>
          <t xml:space="preserve">DETYENS SHIPYARDS INC</t>
        </is>
      </c>
      <c r="F1447" s="0" t="inlineStr">
        <is>
          <t xml:space="preserve">naics:336611</t>
        </is>
      </c>
    </row>
    <row r="1448">
      <c r="B1448" s="0" t="inlineStr">
        <is>
          <t xml:space="preserve">N5523625F5025</t>
        </is>
      </c>
      <c r="C1448" s="0" t="inlineStr">
        <is>
          <t xml:space="preserve">broad_maritime</t>
        </is>
      </c>
      <c r="D1448" s="4">
        <v>8.42997853</v>
      </c>
      <c r="E1448" s="0" t="inlineStr">
        <is>
          <t xml:space="preserve">EPSILON SYSTEMS SOLUTIONS INC</t>
        </is>
      </c>
      <c r="F1448" s="0" t="inlineStr">
        <is>
          <t xml:space="preserve">naics:336611</t>
        </is>
      </c>
    </row>
    <row r="1449">
      <c r="B1449" s="0" t="inlineStr">
        <is>
          <t xml:space="preserve">N4002716C0019</t>
        </is>
      </c>
      <c r="C1449" s="0" t="inlineStr">
        <is>
          <t xml:space="preserve">broad_maritime</t>
        </is>
      </c>
      <c r="D1449" s="4">
        <v>8.426824</v>
      </c>
      <c r="E1449" s="0" t="inlineStr">
        <is>
          <t xml:space="preserve">LYON SHIPYARD INC</t>
        </is>
      </c>
      <c r="F1449" s="0" t="inlineStr">
        <is>
          <t xml:space="preserve">naics:336611</t>
        </is>
      </c>
    </row>
    <row r="1450">
      <c r="B1450" s="0" t="inlineStr">
        <is>
          <t xml:space="preserve">N5005417FC030</t>
        </is>
      </c>
      <c r="C1450" s="0" t="inlineStr">
        <is>
          <t xml:space="preserve">broad_maritime</t>
        </is>
      </c>
      <c r="D1450" s="4">
        <v>8.424719999999999</v>
      </c>
      <c r="E1450" s="0" t="inlineStr">
        <is>
          <t xml:space="preserve">METRO MACHINE CORP.</t>
        </is>
      </c>
      <c r="F1450" s="0" t="inlineStr">
        <is>
          <t xml:space="preserve">naics:336611</t>
        </is>
      </c>
    </row>
    <row r="1451">
      <c r="B1451" s="0" t="inlineStr">
        <is>
          <t xml:space="preserve">0015</t>
        </is>
      </c>
      <c r="C1451" s="0" t="inlineStr">
        <is>
          <t xml:space="preserve">broad_maritime</t>
        </is>
      </c>
      <c r="D1451" s="4">
        <v>8.4199557</v>
      </c>
      <c r="E1451" s="0" t="inlineStr">
        <is>
          <t xml:space="preserve">HII FLEET SUPPORT GROUP LLC</t>
        </is>
      </c>
      <c r="F1451" s="0" t="inlineStr">
        <is>
          <t xml:space="preserve">naics:336611</t>
        </is>
      </c>
    </row>
    <row r="1452">
      <c r="B1452" s="0" t="inlineStr">
        <is>
          <t xml:space="preserve">N6278623F0020</t>
        </is>
      </c>
      <c r="C1452" s="0" t="inlineStr">
        <is>
          <t xml:space="preserve">broad_maritime</t>
        </is>
      </c>
      <c r="D1452" s="4">
        <v>8.411844</v>
      </c>
      <c r="E1452" s="0" t="inlineStr">
        <is>
          <t xml:space="preserve">LOCKHEED MARTIN CORPORATION</t>
        </is>
      </c>
      <c r="F1452" s="0" t="inlineStr">
        <is>
          <t xml:space="preserve">naics:336611; psc:1905</t>
        </is>
      </c>
    </row>
    <row r="1453">
      <c r="B1453" s="0" t="inlineStr">
        <is>
          <t xml:space="preserve">N4033917CF012</t>
        </is>
      </c>
      <c r="C1453" s="0" t="inlineStr">
        <is>
          <t xml:space="preserve">broad_maritime</t>
        </is>
      </c>
      <c r="D1453" s="4">
        <v>8.40592121</v>
      </c>
      <c r="E1453" s="0" t="inlineStr">
        <is>
          <t xml:space="preserve">DRYDOCKS WORLD- DUBAI LLC</t>
        </is>
      </c>
      <c r="F1453" s="0" t="inlineStr">
        <is>
          <t xml:space="preserve">naics:336611</t>
        </is>
      </c>
    </row>
    <row r="1454">
      <c r="B1454" s="0" t="inlineStr">
        <is>
          <t xml:space="preserve">N5005423F3001</t>
        </is>
      </c>
      <c r="C1454" s="0" t="inlineStr">
        <is>
          <t xml:space="preserve">broad_maritime</t>
        </is>
      </c>
      <c r="D1454" s="4">
        <v>8.388698980000001</v>
      </c>
      <c r="E1454" s="0" t="inlineStr">
        <is>
          <t xml:space="preserve">HII FLEET SUPPORT GROUP LLC</t>
        </is>
      </c>
      <c r="F1454" s="0" t="inlineStr">
        <is>
          <t xml:space="preserve">naics:336611; psc:1905</t>
        </is>
      </c>
    </row>
    <row r="1455">
      <c r="B1455" s="0" t="inlineStr">
        <is>
          <t xml:space="preserve">N6264925CL024</t>
        </is>
      </c>
      <c r="C1455" s="0" t="inlineStr">
        <is>
          <t xml:space="preserve">broad_maritime</t>
        </is>
      </c>
      <c r="D1455" s="4">
        <v>8.387792</v>
      </c>
      <c r="E1455" s="0" t="inlineStr">
        <is>
          <t xml:space="preserve">SEATRIUM REPAIRS &amp; UPGRADES PTE. LTD.</t>
        </is>
      </c>
      <c r="F1455" s="0" t="inlineStr">
        <is>
          <t xml:space="preserve">naics:336611</t>
        </is>
      </c>
    </row>
    <row r="1456">
      <c r="B1456" s="0" t="inlineStr">
        <is>
          <t xml:space="preserve">N6931622F6000</t>
        </is>
      </c>
      <c r="C1456" s="0" t="inlineStr">
        <is>
          <t xml:space="preserve">broad_maritime</t>
        </is>
      </c>
      <c r="D1456" s="4">
        <v>8.352454</v>
      </c>
      <c r="E1456" s="0" t="inlineStr">
        <is>
          <t xml:space="preserve">HUNTINGTON INGALLS INCORPORATED</t>
        </is>
      </c>
      <c r="F1456" s="0" t="inlineStr">
        <is>
          <t xml:space="preserve">naics:336611</t>
        </is>
      </c>
    </row>
    <row r="1457">
      <c r="B1457" s="0" t="inlineStr">
        <is>
          <t xml:space="preserve">N3220518C4550</t>
        </is>
      </c>
      <c r="C1457" s="0" t="inlineStr">
        <is>
          <t xml:space="preserve">broad_maritime</t>
        </is>
      </c>
      <c r="D1457" s="4">
        <v>8.350424969999999</v>
      </c>
      <c r="E1457" s="0" t="inlineStr">
        <is>
          <t xml:space="preserve">DETYENS SHIPYARDS INC</t>
        </is>
      </c>
      <c r="F1457" s="0" t="inlineStr">
        <is>
          <t xml:space="preserve">naics:336611</t>
        </is>
      </c>
    </row>
    <row r="1458">
      <c r="B1458" s="0" t="inlineStr">
        <is>
          <t xml:space="preserve">N4523A20C0803</t>
        </is>
      </c>
      <c r="C1458" s="0" t="inlineStr">
        <is>
          <t xml:space="preserve">broad_maritime</t>
        </is>
      </c>
      <c r="D1458" s="4">
        <v>8.34276788</v>
      </c>
      <c r="E1458" s="0" t="inlineStr">
        <is>
          <t xml:space="preserve">FAIRBANKS MORSE, LLC</t>
        </is>
      </c>
      <c r="F1458" s="0" t="inlineStr">
        <is>
          <t xml:space="preserve">naics:336611</t>
        </is>
      </c>
    </row>
    <row r="1459">
      <c r="B1459" s="0" t="inlineStr">
        <is>
          <t xml:space="preserve">N5005417F2173</t>
        </is>
      </c>
      <c r="C1459" s="0" t="inlineStr">
        <is>
          <t xml:space="preserve">broad_maritime</t>
        </is>
      </c>
      <c r="D1459" s="4">
        <v>8.32377057</v>
      </c>
      <c r="E1459" s="0" t="inlineStr">
        <is>
          <t xml:space="preserve">COLONNA'S SHIP YARD, INCORPORATED</t>
        </is>
      </c>
      <c r="F1459" s="0" t="inlineStr">
        <is>
          <t xml:space="preserve">naics:336611</t>
        </is>
      </c>
    </row>
    <row r="1460">
      <c r="B1460" s="0" t="inlineStr">
        <is>
          <t xml:space="preserve">N5523624F9962</t>
        </is>
      </c>
      <c r="C1460" s="0" t="inlineStr">
        <is>
          <t xml:space="preserve">broad_maritime</t>
        </is>
      </c>
      <c r="D1460" s="4">
        <v>8.321140999999999</v>
      </c>
      <c r="E1460" s="0" t="inlineStr">
        <is>
          <t xml:space="preserve">HII FLEET SUPPORT GROUP LLC</t>
        </is>
      </c>
      <c r="F1460" s="0" t="inlineStr">
        <is>
          <t xml:space="preserve">naics:336611; psc:1905</t>
        </is>
      </c>
    </row>
    <row r="1461">
      <c r="B1461" s="0" t="inlineStr">
        <is>
          <t xml:space="preserve">N5523624F9960</t>
        </is>
      </c>
      <c r="C1461" s="0" t="inlineStr">
        <is>
          <t xml:space="preserve">broad_maritime</t>
        </is>
      </c>
      <c r="D1461" s="4">
        <v>8.316032</v>
      </c>
      <c r="E1461" s="0" t="inlineStr">
        <is>
          <t xml:space="preserve">HII FLEET SUPPORT GROUP LLC</t>
        </is>
      </c>
      <c r="F1461" s="0" t="inlineStr">
        <is>
          <t xml:space="preserve">naics:336611; psc:1905</t>
        </is>
      </c>
    </row>
    <row r="1462">
      <c r="B1462" s="0" t="inlineStr">
        <is>
          <t xml:space="preserve">N3220525C4114</t>
        </is>
      </c>
      <c r="C1462" s="0" t="inlineStr">
        <is>
          <t xml:space="preserve">broad_maritime</t>
        </is>
      </c>
      <c r="D1462" s="4">
        <v>8.31338555</v>
      </c>
      <c r="E1462" s="0" t="inlineStr">
        <is>
          <t xml:space="preserve">VIGOR MARINE LLC</t>
        </is>
      </c>
      <c r="F1462" s="0" t="inlineStr">
        <is>
          <t xml:space="preserve">naics:336611</t>
        </is>
      </c>
    </row>
    <row r="1463">
      <c r="B1463" s="0" t="inlineStr">
        <is>
          <t xml:space="preserve">N5523624F9964</t>
        </is>
      </c>
      <c r="C1463" s="0" t="inlineStr">
        <is>
          <t xml:space="preserve">broad_maritime</t>
        </is>
      </c>
      <c r="D1463" s="4">
        <v>8.311437</v>
      </c>
      <c r="E1463" s="0" t="inlineStr">
        <is>
          <t xml:space="preserve">HII FLEET SUPPORT GROUP LLC</t>
        </is>
      </c>
      <c r="F1463" s="0" t="inlineStr">
        <is>
          <t xml:space="preserve">naics:336611; psc:1905</t>
        </is>
      </c>
    </row>
    <row r="1464">
      <c r="B1464" s="0" t="inlineStr">
        <is>
          <t xml:space="preserve">N0002422F22A6</t>
        </is>
      </c>
      <c r="C1464" s="0" t="inlineStr">
        <is>
          <t xml:space="preserve">small_craft</t>
        </is>
      </c>
      <c r="D1464" s="4">
        <v>8.31045426</v>
      </c>
      <c r="E1464" s="0" t="inlineStr">
        <is>
          <t xml:space="preserve">RIBCRAFT USA, LLC</t>
        </is>
      </c>
      <c r="F1464" s="0" t="inlineStr">
        <is>
          <t xml:space="preserve">naics:336612; psc:1940</t>
        </is>
      </c>
    </row>
    <row r="1465">
      <c r="B1465" s="0" t="inlineStr">
        <is>
          <t xml:space="preserve">N5523614C0004</t>
        </is>
      </c>
      <c r="C1465" s="0" t="inlineStr">
        <is>
          <t xml:space="preserve">broad_maritime</t>
        </is>
      </c>
      <c r="D1465" s="4">
        <v>8.30730479</v>
      </c>
      <c r="E1465" s="0" t="inlineStr">
        <is>
          <t xml:space="preserve">EPSILON SYSTEMS SOLUTIONS, INC.</t>
        </is>
      </c>
      <c r="F1465" s="0" t="inlineStr">
        <is>
          <t xml:space="preserve">naics:336611</t>
        </is>
      </c>
    </row>
    <row r="1466">
      <c r="B1466" s="0" t="inlineStr">
        <is>
          <t xml:space="preserve">N5005422F3004</t>
        </is>
      </c>
      <c r="C1466" s="0" t="inlineStr">
        <is>
          <t xml:space="preserve">broad_maritime</t>
        </is>
      </c>
      <c r="D1466" s="4">
        <v>8.291203269999999</v>
      </c>
      <c r="E1466" s="0" t="inlineStr">
        <is>
          <t xml:space="preserve">HII FLEET SUPPORT GROUP LLC</t>
        </is>
      </c>
      <c r="F1466" s="0" t="inlineStr">
        <is>
          <t xml:space="preserve">naics:336611; psc:1905</t>
        </is>
      </c>
    </row>
    <row r="1467">
      <c r="B1467" s="0" t="inlineStr">
        <is>
          <t xml:space="preserve">N5523620F9910</t>
        </is>
      </c>
      <c r="C1467" s="0" t="inlineStr">
        <is>
          <t xml:space="preserve">broad_maritime</t>
        </is>
      </c>
      <c r="D1467" s="4">
        <v>8.287899</v>
      </c>
      <c r="E1467" s="0" t="inlineStr">
        <is>
          <t xml:space="preserve">HUNTINGTON INGALLS INC</t>
        </is>
      </c>
      <c r="F1467" s="0" t="inlineStr">
        <is>
          <t xml:space="preserve">naics:336611</t>
        </is>
      </c>
    </row>
    <row r="1468">
      <c r="B1468" s="0" t="inlineStr">
        <is>
          <t xml:space="preserve">N3943019C2111</t>
        </is>
      </c>
      <c r="C1468" s="0" t="inlineStr">
        <is>
          <t xml:space="preserve">broad_maritime</t>
        </is>
      </c>
      <c r="D1468" s="4">
        <v>8.27926048</v>
      </c>
      <c r="E1468" s="0" t="inlineStr">
        <is>
          <t xml:space="preserve">DEFENSE MARITIME SOLUTIONS, INC.</t>
        </is>
      </c>
      <c r="F1468" s="0" t="inlineStr">
        <is>
          <t xml:space="preserve">naics:336611</t>
        </is>
      </c>
    </row>
    <row r="1469">
      <c r="B1469" s="0" t="inlineStr">
        <is>
          <t xml:space="preserve">N5005421C0004</t>
        </is>
      </c>
      <c r="C1469" s="0" t="inlineStr">
        <is>
          <t xml:space="preserve">broad_maritime</t>
        </is>
      </c>
      <c r="D1469" s="4">
        <v>8.27710241</v>
      </c>
      <c r="E1469" s="0" t="inlineStr">
        <is>
          <t xml:space="preserve">LYON SHIPYARD INC</t>
        </is>
      </c>
      <c r="F1469" s="0" t="inlineStr">
        <is>
          <t xml:space="preserve">naics:336611</t>
        </is>
      </c>
    </row>
    <row r="1470">
      <c r="B1470" s="0" t="inlineStr">
        <is>
          <t xml:space="preserve">N5523625F9968</t>
        </is>
      </c>
      <c r="C1470" s="0" t="inlineStr">
        <is>
          <t xml:space="preserve">broad_maritime</t>
        </is>
      </c>
      <c r="D1470" s="4">
        <v>8.271469</v>
      </c>
      <c r="E1470" s="0" t="inlineStr">
        <is>
          <t xml:space="preserve">HII FLEET SUPPORT GROUP LLC</t>
        </is>
      </c>
      <c r="F1470" s="0" t="inlineStr">
        <is>
          <t xml:space="preserve">naics:336611; psc:1905</t>
        </is>
      </c>
    </row>
    <row r="1471">
      <c r="B1471" s="0" t="inlineStr">
        <is>
          <t xml:space="preserve">N4002719F0092</t>
        </is>
      </c>
      <c r="C1471" s="0" t="inlineStr">
        <is>
          <t xml:space="preserve">broad_maritime</t>
        </is>
      </c>
      <c r="D1471" s="4">
        <v>8.27088526</v>
      </c>
      <c r="E1471" s="0" t="inlineStr">
        <is>
          <t xml:space="preserve">BAE SYSTEMS JACKSONVILLE SHIP REPAIR LLC</t>
        </is>
      </c>
      <c r="F1471" s="0" t="inlineStr">
        <is>
          <t xml:space="preserve">naics:336611</t>
        </is>
      </c>
    </row>
    <row r="1472">
      <c r="B1472" s="0" t="inlineStr">
        <is>
          <t xml:space="preserve">N0002420C2410</t>
        </is>
      </c>
      <c r="C1472" s="0" t="inlineStr">
        <is>
          <t xml:space="preserve">broad_maritime</t>
        </is>
      </c>
      <c r="D1472" s="4">
        <v>8.258443999999999</v>
      </c>
      <c r="E1472" s="0" t="inlineStr">
        <is>
          <t xml:space="preserve">SEEMANN COMPOSITES, LLC</t>
        </is>
      </c>
      <c r="F1472" s="0" t="inlineStr">
        <is>
          <t xml:space="preserve">psc:1905</t>
        </is>
      </c>
    </row>
    <row r="1473">
      <c r="B1473" s="0" t="inlineStr">
        <is>
          <t xml:space="preserve">N3220517C4004</t>
        </is>
      </c>
      <c r="C1473" s="0" t="inlineStr">
        <is>
          <t xml:space="preserve">broad_maritime</t>
        </is>
      </c>
      <c r="D1473" s="4">
        <v>8.257595</v>
      </c>
      <c r="E1473" s="0" t="inlineStr">
        <is>
          <t xml:space="preserve">MARINE HYDRAULICS INTERNATIONAL, LLC</t>
        </is>
      </c>
      <c r="F1473" s="0" t="inlineStr">
        <is>
          <t xml:space="preserve">naics:336611</t>
        </is>
      </c>
    </row>
    <row r="1474">
      <c r="B1474" s="0" t="inlineStr">
        <is>
          <t xml:space="preserve">N0002425F22A4</t>
        </is>
      </c>
      <c r="C1474" s="0" t="inlineStr">
        <is>
          <t xml:space="preserve">small_craft</t>
        </is>
      </c>
      <c r="D1474" s="4">
        <v>8.2461342</v>
      </c>
      <c r="E1474" s="0" t="inlineStr">
        <is>
          <t xml:space="preserve">METALCRAFT MARINE US, INC.</t>
        </is>
      </c>
      <c r="F1474" s="0" t="inlineStr">
        <is>
          <t xml:space="preserve">naics:336612; psc:1940</t>
        </is>
      </c>
    </row>
    <row r="1475">
      <c r="B1475" s="0" t="inlineStr">
        <is>
          <t xml:space="preserve">7F19</t>
        </is>
      </c>
      <c r="C1475" s="0" t="inlineStr">
        <is>
          <t xml:space="preserve">broad_maritime</t>
        </is>
      </c>
      <c r="D1475" s="4">
        <v>8.240725</v>
      </c>
      <c r="E1475" s="0" t="inlineStr">
        <is>
          <t xml:space="preserve">AUSTAL USA, LLC</t>
        </is>
      </c>
      <c r="F1475" s="0" t="inlineStr">
        <is>
          <t xml:space="preserve">naics:336611</t>
        </is>
      </c>
    </row>
    <row r="1476">
      <c r="B1476" s="0" t="inlineStr">
        <is>
          <t xml:space="preserve">N3225324C0008</t>
        </is>
      </c>
      <c r="C1476" s="0" t="inlineStr">
        <is>
          <t xml:space="preserve">broad_maritime</t>
        </is>
      </c>
      <c r="D1476" s="4">
        <v>8.236666</v>
      </c>
      <c r="E1476" s="0" t="inlineStr">
        <is>
          <t xml:space="preserve">NORTHROP GRUMMAN SYSTEMS CORPORATION</t>
        </is>
      </c>
      <c r="F1476" s="0" t="inlineStr">
        <is>
          <t xml:space="preserve">naics:336611</t>
        </is>
      </c>
    </row>
    <row r="1477">
      <c r="B1477" s="0" t="inlineStr">
        <is>
          <t xml:space="preserve">N0016724F0263</t>
        </is>
      </c>
      <c r="C1477" s="0" t="inlineStr">
        <is>
          <t xml:space="preserve">broad_maritime</t>
        </is>
      </c>
      <c r="D1477" s="4">
        <v>8.228537</v>
      </c>
      <c r="E1477" s="0" t="inlineStr">
        <is>
          <t xml:space="preserve">FAIRLEAD BOATWORKS, INC.</t>
        </is>
      </c>
      <c r="F1477" s="0" t="inlineStr">
        <is>
          <t xml:space="preserve">naics:336611</t>
        </is>
      </c>
    </row>
    <row r="1478">
      <c r="B1478" s="0" t="inlineStr">
        <is>
          <t xml:space="preserve">N3220526C0502</t>
        </is>
      </c>
      <c r="C1478" s="0" t="inlineStr">
        <is>
          <t xml:space="preserve">broad_maritime</t>
        </is>
      </c>
      <c r="D1478" s="4">
        <v>8.228405</v>
      </c>
      <c r="E1478" s="0" t="inlineStr">
        <is>
          <t xml:space="preserve">JAG INDUSTRIAL SERVICES, INC</t>
        </is>
      </c>
      <c r="F1478" s="0" t="inlineStr">
        <is>
          <t xml:space="preserve">naics:336611</t>
        </is>
      </c>
    </row>
    <row r="1479">
      <c r="B1479" s="0" t="inlineStr">
        <is>
          <t xml:space="preserve">0128</t>
        </is>
      </c>
      <c r="C1479" s="0" t="inlineStr">
        <is>
          <t xml:space="preserve">broad_maritime</t>
        </is>
      </c>
      <c r="D1479" s="4">
        <v>8.228218</v>
      </c>
      <c r="E1479" s="0" t="inlineStr">
        <is>
          <t xml:space="preserve">VSE CORPORATION</t>
        </is>
      </c>
      <c r="F1479" s="0" t="inlineStr">
        <is>
          <t xml:space="preserve">naics:336611</t>
        </is>
      </c>
    </row>
    <row r="1480">
      <c r="B1480" s="0" t="inlineStr">
        <is>
          <t xml:space="preserve">N0002422C2210</t>
        </is>
      </c>
      <c r="C1480" s="0" t="inlineStr">
        <is>
          <t xml:space="preserve">small_craft</t>
        </is>
      </c>
      <c r="D1480" s="4">
        <v>8.19952359</v>
      </c>
      <c r="E1480" s="0" t="inlineStr">
        <is>
          <t xml:space="preserve">WILLARD MARINE, INC.</t>
        </is>
      </c>
      <c r="F1480" s="0" t="inlineStr">
        <is>
          <t xml:space="preserve">naics:336612; psc:1940</t>
        </is>
      </c>
    </row>
    <row r="1481">
      <c r="B1481" s="0" t="inlineStr">
        <is>
          <t xml:space="preserve">L825</t>
        </is>
      </c>
      <c r="C1481" s="0" t="inlineStr">
        <is>
          <t xml:space="preserve">broad_maritime</t>
        </is>
      </c>
      <c r="D1481" s="4">
        <v>8.196693999999999</v>
      </c>
      <c r="E1481" s="0" t="inlineStr">
        <is>
          <t xml:space="preserve">ELECTRIC BOAT CORPORATION</t>
        </is>
      </c>
      <c r="F1481" s="0" t="inlineStr">
        <is>
          <t xml:space="preserve">naics:336611; psc:1905</t>
        </is>
      </c>
    </row>
    <row r="1482">
      <c r="B1482" s="0" t="inlineStr">
        <is>
          <t xml:space="preserve">N3904018C0010</t>
        </is>
      </c>
      <c r="C1482" s="0" t="inlineStr">
        <is>
          <t xml:space="preserve">broad_maritime</t>
        </is>
      </c>
      <c r="D1482" s="4">
        <v>8.191431999999999</v>
      </c>
      <c r="E1482" s="0" t="inlineStr">
        <is>
          <t xml:space="preserve">NORTHROP GRUMMAN SYSTEMS CORPORATION</t>
        </is>
      </c>
      <c r="F1482" s="0" t="inlineStr">
        <is>
          <t xml:space="preserve">naics:336611</t>
        </is>
      </c>
    </row>
    <row r="1483">
      <c r="B1483" s="0" t="inlineStr">
        <is>
          <t xml:space="preserve">N3220522C4073</t>
        </is>
      </c>
      <c r="C1483" s="0" t="inlineStr">
        <is>
          <t xml:space="preserve">broad_maritime</t>
        </is>
      </c>
      <c r="D1483" s="4">
        <v>8.180909999999999</v>
      </c>
      <c r="E1483" s="0" t="inlineStr">
        <is>
          <t xml:space="preserve">ALABAMA SHIPYARD LLC</t>
        </is>
      </c>
      <c r="F1483" s="0" t="inlineStr">
        <is>
          <t xml:space="preserve">naics:336611</t>
        </is>
      </c>
    </row>
    <row r="1484">
      <c r="B1484" s="0" t="inlineStr">
        <is>
          <t xml:space="preserve">N4215818FSF03</t>
        </is>
      </c>
      <c r="C1484" s="0" t="inlineStr">
        <is>
          <t xml:space="preserve">broad_maritime</t>
        </is>
      </c>
      <c r="D1484" s="4">
        <v>8.174436049999999</v>
      </c>
      <c r="E1484" s="0" t="inlineStr">
        <is>
          <t xml:space="preserve">L3HARRIS MARITIME SERVICES INC</t>
        </is>
      </c>
      <c r="F1484" s="0" t="inlineStr">
        <is>
          <t xml:space="preserve">naics:336611</t>
        </is>
      </c>
    </row>
    <row r="1485">
      <c r="B1485" s="0" t="inlineStr">
        <is>
          <t xml:space="preserve">0078</t>
        </is>
      </c>
      <c r="C1485" s="0" t="inlineStr">
        <is>
          <t xml:space="preserve">broad_maritime</t>
        </is>
      </c>
      <c r="D1485" s="4">
        <v>8.17328137</v>
      </c>
      <c r="E1485" s="0" t="inlineStr">
        <is>
          <t xml:space="preserve">HII FLEET SUPPORT GROUP LLC</t>
        </is>
      </c>
      <c r="F1485" s="0" t="inlineStr">
        <is>
          <t xml:space="preserve">naics:336611</t>
        </is>
      </c>
    </row>
    <row r="1486">
      <c r="B1486" s="0" t="inlineStr">
        <is>
          <t xml:space="preserve">N4034521F0091</t>
        </is>
      </c>
      <c r="C1486" s="0" t="inlineStr">
        <is>
          <t xml:space="preserve">broad_maritime</t>
        </is>
      </c>
      <c r="D1486" s="4">
        <v>8.161880559999998</v>
      </c>
      <c r="E1486" s="0" t="inlineStr">
        <is>
          <t xml:space="preserve">MITSUBISHI HEAVY INDUSTRIES, LTD</t>
        </is>
      </c>
      <c r="F1486" s="0" t="inlineStr">
        <is>
          <t xml:space="preserve">naics:336611</t>
        </is>
      </c>
    </row>
    <row r="1487">
      <c r="B1487" s="0" t="inlineStr">
        <is>
          <t xml:space="preserve">N6449823F3073</t>
        </is>
      </c>
      <c r="C1487" s="0" t="inlineStr">
        <is>
          <t xml:space="preserve">broad_maritime</t>
        </is>
      </c>
      <c r="D1487" s="4">
        <v>8.15400865</v>
      </c>
      <c r="E1487" s="0" t="inlineStr">
        <is>
          <t xml:space="preserve">DELPHINUS ENGINEERING, INC.</t>
        </is>
      </c>
      <c r="F1487" s="0" t="inlineStr">
        <is>
          <t xml:space="preserve">naics:336611</t>
        </is>
      </c>
    </row>
    <row r="1488">
      <c r="B1488" s="0" t="inlineStr">
        <is>
          <t xml:space="preserve">N4002719F0100</t>
        </is>
      </c>
      <c r="C1488" s="0" t="inlineStr">
        <is>
          <t xml:space="preserve">broad_maritime</t>
        </is>
      </c>
      <c r="D1488" s="4">
        <v>8.15312599</v>
      </c>
      <c r="E1488" s="0" t="inlineStr">
        <is>
          <t xml:space="preserve">METRO MACHINE CORP</t>
        </is>
      </c>
      <c r="F1488" s="0" t="inlineStr">
        <is>
          <t xml:space="preserve">naics:336611</t>
        </is>
      </c>
    </row>
    <row r="1489">
      <c r="B1489" s="0" t="inlineStr">
        <is>
          <t xml:space="preserve">N3225325C0003</t>
        </is>
      </c>
      <c r="C1489" s="0" t="inlineStr">
        <is>
          <t xml:space="preserve">broad_maritime</t>
        </is>
      </c>
      <c r="D1489" s="4">
        <v>8.127153999999999</v>
      </c>
      <c r="E1489" s="0" t="inlineStr">
        <is>
          <t xml:space="preserve">NORTHROP GRUMMAN SYSTEMS CORPORATION</t>
        </is>
      </c>
      <c r="F1489" s="0" t="inlineStr">
        <is>
          <t xml:space="preserve">naics:336611</t>
        </is>
      </c>
    </row>
    <row r="1490">
      <c r="B1490" s="0" t="inlineStr">
        <is>
          <t xml:space="preserve">N3904018C0005</t>
        </is>
      </c>
      <c r="C1490" s="0" t="inlineStr">
        <is>
          <t xml:space="preserve">broad_maritime</t>
        </is>
      </c>
      <c r="D1490" s="4">
        <v>8.113319559999999</v>
      </c>
      <c r="E1490" s="0" t="inlineStr">
        <is>
          <t xml:space="preserve">NORTHROP GRUMMAN SYSTEMS CORPORATION</t>
        </is>
      </c>
      <c r="F1490" s="0" t="inlineStr">
        <is>
          <t xml:space="preserve">naics:336611</t>
        </is>
      </c>
    </row>
    <row r="1491">
      <c r="B1491" s="0" t="inlineStr">
        <is>
          <t xml:space="preserve">N3220523C0002</t>
        </is>
      </c>
      <c r="C1491" s="0" t="inlineStr">
        <is>
          <t xml:space="preserve">broad_maritime</t>
        </is>
      </c>
      <c r="D1491" s="4">
        <v>8.106524</v>
      </c>
      <c r="E1491" s="0" t="inlineStr">
        <is>
          <t xml:space="preserve">DETYENS SHIPYARDS INC</t>
        </is>
      </c>
      <c r="F1491" s="0" t="inlineStr">
        <is>
          <t xml:space="preserve">naics:336611</t>
        </is>
      </c>
    </row>
    <row r="1492">
      <c r="B1492" s="0" t="inlineStr">
        <is>
          <t xml:space="preserve">0037</t>
        </is>
      </c>
      <c r="C1492" s="0" t="inlineStr">
        <is>
          <t xml:space="preserve">broad_maritime</t>
        </is>
      </c>
      <c r="D1492" s="4">
        <v>8.09823535</v>
      </c>
      <c r="E1492" s="0" t="inlineStr">
        <is>
          <t xml:space="preserve">DELPHINUS ENGINEERING, INC.</t>
        </is>
      </c>
      <c r="F1492" s="0" t="inlineStr">
        <is>
          <t xml:space="preserve">naics:336611</t>
        </is>
      </c>
    </row>
    <row r="1493">
      <c r="B1493" s="0" t="inlineStr">
        <is>
          <t xml:space="preserve">0087</t>
        </is>
      </c>
      <c r="C1493" s="0" t="inlineStr">
        <is>
          <t xml:space="preserve">broad_maritime</t>
        </is>
      </c>
      <c r="D1493" s="4">
        <v>8.08944323</v>
      </c>
      <c r="E1493" s="0" t="inlineStr">
        <is>
          <t xml:space="preserve">SEAWARD MARINE SERVICES, LLC</t>
        </is>
      </c>
      <c r="F1493" s="0" t="inlineStr">
        <is>
          <t xml:space="preserve">naics:336611</t>
        </is>
      </c>
    </row>
    <row r="1494">
      <c r="B1494" s="0" t="inlineStr">
        <is>
          <t xml:space="preserve">N3220515C1005</t>
        </is>
      </c>
      <c r="C1494" s="0" t="inlineStr">
        <is>
          <t xml:space="preserve">broad_maritime</t>
        </is>
      </c>
      <c r="D1494" s="4">
        <v>8.084239</v>
      </c>
      <c r="E1494" s="0" t="inlineStr">
        <is>
          <t xml:space="preserve">VIGOR MARINE LLC</t>
        </is>
      </c>
      <c r="F1494" s="0" t="inlineStr">
        <is>
          <t xml:space="preserve">naics:336611</t>
        </is>
      </c>
    </row>
    <row r="1495">
      <c r="B1495" s="0" t="inlineStr">
        <is>
          <t xml:space="preserve">N5523625F5003</t>
        </is>
      </c>
      <c r="C1495" s="0" t="inlineStr">
        <is>
          <t xml:space="preserve">broad_maritime</t>
        </is>
      </c>
      <c r="D1495" s="4">
        <v>8.073915</v>
      </c>
      <c r="E1495" s="0" t="inlineStr">
        <is>
          <t xml:space="preserve">HII FLEET SUPPORT GROUP LLC</t>
        </is>
      </c>
      <c r="F1495" s="0" t="inlineStr">
        <is>
          <t xml:space="preserve">naics:336611; psc:1905</t>
        </is>
      </c>
    </row>
    <row r="1496">
      <c r="B1496" s="0" t="inlineStr">
        <is>
          <t xml:space="preserve">N5523618F4014</t>
        </is>
      </c>
      <c r="C1496" s="0" t="inlineStr">
        <is>
          <t xml:space="preserve">broad_maritime</t>
        </is>
      </c>
      <c r="D1496" s="4">
        <v>8.07180891</v>
      </c>
      <c r="E1496" s="0" t="inlineStr">
        <is>
          <t xml:space="preserve">HII SAN DIEGO SHIPYARD INC.</t>
        </is>
      </c>
      <c r="F1496" s="0" t="inlineStr">
        <is>
          <t xml:space="preserve">naics:336611</t>
        </is>
      </c>
    </row>
    <row r="1497">
      <c r="B1497" s="0" t="inlineStr">
        <is>
          <t xml:space="preserve">N3220519C6700</t>
        </is>
      </c>
      <c r="C1497" s="0" t="inlineStr">
        <is>
          <t xml:space="preserve">broad_maritime</t>
        </is>
      </c>
      <c r="D1497" s="4">
        <v>8.049999999999999</v>
      </c>
      <c r="E1497" s="0" t="inlineStr">
        <is>
          <t xml:space="preserve">COLONNA'S SHIP YARD, INCORPORATED</t>
        </is>
      </c>
      <c r="F1497" s="0" t="inlineStr">
        <is>
          <t xml:space="preserve">naics:336611</t>
        </is>
      </c>
    </row>
    <row r="1498">
      <c r="B1498" s="0" t="inlineStr">
        <is>
          <t xml:space="preserve">0228</t>
        </is>
      </c>
      <c r="C1498" s="0" t="inlineStr">
        <is>
          <t xml:space="preserve">broad_maritime</t>
        </is>
      </c>
      <c r="D1498" s="4">
        <v>8.04030654</v>
      </c>
      <c r="E1498" s="0" t="inlineStr">
        <is>
          <t xml:space="preserve">HII FLEET SUPPORT GROUP LLC</t>
        </is>
      </c>
      <c r="F1498" s="0" t="inlineStr">
        <is>
          <t xml:space="preserve">naics:336611</t>
        </is>
      </c>
    </row>
    <row r="1499">
      <c r="B1499" s="0" t="inlineStr">
        <is>
          <t xml:space="preserve">N0002422F22A8</t>
        </is>
      </c>
      <c r="C1499" s="0" t="inlineStr">
        <is>
          <t xml:space="preserve">small_craft</t>
        </is>
      </c>
      <c r="D1499" s="4">
        <v>8.03486652</v>
      </c>
      <c r="E1499" s="0" t="inlineStr">
        <is>
          <t xml:space="preserve">GRAVOIS ALUMINUM BOATS LLC</t>
        </is>
      </c>
      <c r="F1499" s="0" t="inlineStr">
        <is>
          <t xml:space="preserve">naics:336612; psc:1940</t>
        </is>
      </c>
    </row>
    <row r="1500">
      <c r="B1500" s="0" t="inlineStr">
        <is>
          <t xml:space="preserve">N4033923CF011</t>
        </is>
      </c>
      <c r="C1500" s="0" t="inlineStr">
        <is>
          <t xml:space="preserve">broad_maritime</t>
        </is>
      </c>
      <c r="D1500" s="4">
        <v>8.03198175</v>
      </c>
      <c r="E1500" s="0" t="inlineStr">
        <is>
          <t xml:space="preserve">ARAB SHIPBUILDING &amp; REPAIR YARD CO. (ASRY)</t>
        </is>
      </c>
      <c r="F1500" s="0" t="inlineStr">
        <is>
          <t xml:space="preserve">naics:336611</t>
        </is>
      </c>
    </row>
    <row r="1501">
      <c r="B1501" s="0" t="inlineStr">
        <is>
          <t xml:space="preserve">4T22</t>
        </is>
      </c>
      <c r="C1501" s="0" t="inlineStr">
        <is>
          <t xml:space="preserve">broad_maritime</t>
        </is>
      </c>
      <c r="D1501" s="4">
        <v>8.01505011</v>
      </c>
      <c r="E1501" s="0" t="inlineStr">
        <is>
          <t xml:space="preserve">HUNTINGTON INGALLS INC</t>
        </is>
      </c>
      <c r="F1501" s="0" t="inlineStr">
        <is>
          <t xml:space="preserve">naics:336611</t>
        </is>
      </c>
    </row>
    <row r="1502">
      <c r="B1502" s="0" t="inlineStr">
        <is>
          <t xml:space="preserve">N0010421CFA50</t>
        </is>
      </c>
      <c r="C1502" s="0" t="inlineStr">
        <is>
          <t xml:space="preserve">small_craft</t>
        </is>
      </c>
      <c r="D1502" s="4">
        <v>8.010375999999999</v>
      </c>
      <c r="E1502" s="0" t="inlineStr">
        <is>
          <t xml:space="preserve">ERIE FORGE &amp; STEEL INC</t>
        </is>
      </c>
      <c r="F1502" s="0" t="inlineStr">
        <is>
          <t xml:space="preserve">naics:336612</t>
        </is>
      </c>
    </row>
    <row r="1503">
      <c r="B1503" s="0" t="inlineStr">
        <is>
          <t xml:space="preserve">N6133118F0249</t>
        </is>
      </c>
      <c r="C1503" s="0" t="inlineStr">
        <is>
          <t xml:space="preserve">broad_maritime</t>
        </is>
      </c>
      <c r="D1503" s="4">
        <v>8.001973</v>
      </c>
      <c r="E1503" s="0" t="inlineStr">
        <is>
          <t xml:space="preserve">HII UNMANNED SYSTEMS, INC</t>
        </is>
      </c>
      <c r="F1503" s="0" t="inlineStr">
        <is>
          <t xml:space="preserve">psc:2090</t>
        </is>
      </c>
    </row>
    <row r="1504">
      <c r="B1504" s="0" t="inlineStr">
        <is>
          <t xml:space="preserve">N3220525C1207</t>
        </is>
      </c>
      <c r="C1504" s="0" t="inlineStr">
        <is>
          <t xml:space="preserve">broad_maritime</t>
        </is>
      </c>
      <c r="D1504" s="4">
        <v>7.993257</v>
      </c>
      <c r="E1504" s="0" t="inlineStr">
        <is>
          <t xml:space="preserve">ALABAMA SHIPYARD LLC</t>
        </is>
      </c>
      <c r="F1504" s="0" t="inlineStr">
        <is>
          <t xml:space="preserve">naics:336611</t>
        </is>
      </c>
    </row>
    <row r="1505">
      <c r="B1505" s="0" t="inlineStr">
        <is>
          <t xml:space="preserve">0022</t>
        </is>
      </c>
      <c r="C1505" s="0" t="inlineStr">
        <is>
          <t xml:space="preserve">broad_maritime</t>
        </is>
      </c>
      <c r="D1505" s="4">
        <v>7.99154782</v>
      </c>
      <c r="E1505" s="0" t="inlineStr">
        <is>
          <t xml:space="preserve">PUGLIA ENGINEERING INC</t>
        </is>
      </c>
      <c r="F1505" s="0" t="inlineStr">
        <is>
          <t xml:space="preserve">naics:336611</t>
        </is>
      </c>
    </row>
    <row r="1506">
      <c r="B1506" s="0" t="inlineStr">
        <is>
          <t xml:space="preserve">N6278623F0012</t>
        </is>
      </c>
      <c r="C1506" s="0" t="inlineStr">
        <is>
          <t xml:space="preserve">broad_maritime</t>
        </is>
      </c>
      <c r="D1506" s="4">
        <v>7.981961999999999</v>
      </c>
      <c r="E1506" s="0" t="inlineStr">
        <is>
          <t xml:space="preserve">BATH IRON WORKS CORPORATION</t>
        </is>
      </c>
      <c r="F1506" s="0" t="inlineStr">
        <is>
          <t xml:space="preserve">naics:336611; psc:1905</t>
        </is>
      </c>
    </row>
    <row r="1507">
      <c r="B1507" s="0" t="inlineStr">
        <is>
          <t xml:space="preserve">N4523A20C0801</t>
        </is>
      </c>
      <c r="C1507" s="0" t="inlineStr">
        <is>
          <t xml:space="preserve">broad_maritime</t>
        </is>
      </c>
      <c r="D1507" s="4">
        <v>7.98110288</v>
      </c>
      <c r="E1507" s="0" t="inlineStr">
        <is>
          <t xml:space="preserve">FAIRBANKS MORSE, LLC</t>
        </is>
      </c>
      <c r="F1507" s="0" t="inlineStr">
        <is>
          <t xml:space="preserve">naics:336611</t>
        </is>
      </c>
    </row>
    <row r="1508">
      <c r="B1508" s="0" t="inlineStr">
        <is>
          <t xml:space="preserve">N0002421F4124</t>
        </is>
      </c>
      <c r="C1508" s="0" t="inlineStr">
        <is>
          <t xml:space="preserve">broad_maritime</t>
        </is>
      </c>
      <c r="D1508" s="4">
        <v>7.96896574</v>
      </c>
      <c r="E1508" s="0" t="inlineStr">
        <is>
          <t xml:space="preserve">HEXAGON US FEDERAL, INC</t>
        </is>
      </c>
      <c r="F1508" s="0" t="inlineStr">
        <is>
          <t xml:space="preserve">psc:2090</t>
        </is>
      </c>
    </row>
    <row r="1509">
      <c r="B1509" s="0" t="inlineStr">
        <is>
          <t xml:space="preserve">N0002423F23A5</t>
        </is>
      </c>
      <c r="C1509" s="0" t="inlineStr">
        <is>
          <t xml:space="preserve">small_craft</t>
        </is>
      </c>
      <c r="D1509" s="4">
        <v>7.95897007</v>
      </c>
      <c r="E1509" s="0" t="inlineStr">
        <is>
          <t xml:space="preserve">GRAVOIS ALUMINUM BOATS LLC</t>
        </is>
      </c>
      <c r="F1509" s="0" t="inlineStr">
        <is>
          <t xml:space="preserve">naics:336612; psc:1940</t>
        </is>
      </c>
    </row>
    <row r="1510">
      <c r="B1510" s="0" t="inlineStr">
        <is>
          <t xml:space="preserve">N3904017C0023</t>
        </is>
      </c>
      <c r="C1510" s="0" t="inlineStr">
        <is>
          <t xml:space="preserve">broad_maritime</t>
        </is>
      </c>
      <c r="D1510" s="4">
        <v>7.958132999999999</v>
      </c>
      <c r="E1510" s="0" t="inlineStr">
        <is>
          <t xml:space="preserve">NORTHROP GRUMMAN SYSTEMS CORPORATION</t>
        </is>
      </c>
      <c r="F1510" s="0" t="inlineStr">
        <is>
          <t xml:space="preserve">naics:336611</t>
        </is>
      </c>
    </row>
    <row r="1511">
      <c r="B1511" s="0" t="inlineStr">
        <is>
          <t xml:space="preserve">N4034522F8011</t>
        </is>
      </c>
      <c r="C1511" s="0" t="inlineStr">
        <is>
          <t xml:space="preserve">broad_maritime</t>
        </is>
      </c>
      <c r="D1511" s="4">
        <v>7.95671133</v>
      </c>
      <c r="E1511" s="0" t="inlineStr">
        <is>
          <t xml:space="preserve">AUSTAL USA, LLC</t>
        </is>
      </c>
      <c r="F1511" s="0" t="inlineStr">
        <is>
          <t xml:space="preserve">naics:336611</t>
        </is>
      </c>
    </row>
    <row r="1512">
      <c r="B1512" s="0" t="inlineStr">
        <is>
          <t xml:space="preserve">N3220519C4002</t>
        </is>
      </c>
      <c r="C1512" s="0" t="inlineStr">
        <is>
          <t xml:space="preserve">broad_maritime</t>
        </is>
      </c>
      <c r="D1512" s="4">
        <v>7.950936</v>
      </c>
      <c r="E1512" s="0" t="inlineStr">
        <is>
          <t xml:space="preserve">DETYENS SHIPYARDS INC</t>
        </is>
      </c>
      <c r="F1512" s="0" t="inlineStr">
        <is>
          <t xml:space="preserve">naics:336611</t>
        </is>
      </c>
    </row>
    <row r="1513">
      <c r="B1513" s="0" t="inlineStr">
        <is>
          <t xml:space="preserve">ER01</t>
        </is>
      </c>
      <c r="C1513" s="0" t="inlineStr">
        <is>
          <t xml:space="preserve">broad_maritime</t>
        </is>
      </c>
      <c r="D1513" s="4">
        <v>7.943721999999999</v>
      </c>
      <c r="E1513" s="0" t="inlineStr">
        <is>
          <t xml:space="preserve">LOCKHEED MARTIN CORPORATION</t>
        </is>
      </c>
      <c r="F1513" s="0" t="inlineStr">
        <is>
          <t xml:space="preserve">naics:336611; psc:1905</t>
        </is>
      </c>
    </row>
    <row r="1514">
      <c r="B1514" s="0" t="inlineStr">
        <is>
          <t xml:space="preserve">N6931620F4002</t>
        </is>
      </c>
      <c r="C1514" s="0" t="inlineStr">
        <is>
          <t xml:space="preserve">broad_maritime</t>
        </is>
      </c>
      <c r="D1514" s="4">
        <v>7.932456999999999</v>
      </c>
      <c r="E1514" s="0" t="inlineStr">
        <is>
          <t xml:space="preserve">AUSTAL USA, LLC</t>
        </is>
      </c>
      <c r="F1514" s="0" t="inlineStr">
        <is>
          <t xml:space="preserve">naics:336611</t>
        </is>
      </c>
    </row>
    <row r="1515">
      <c r="B1515" s="0" t="inlineStr">
        <is>
          <t xml:space="preserve">N6449817FHB17</t>
        </is>
      </c>
      <c r="C1515" s="0" t="inlineStr">
        <is>
          <t xml:space="preserve">broad_maritime</t>
        </is>
      </c>
      <c r="D1515" s="4">
        <v>7.92948135</v>
      </c>
      <c r="E1515" s="0" t="inlineStr">
        <is>
          <t xml:space="preserve">DELPHINUS ENGINEERING, INC.</t>
        </is>
      </c>
      <c r="F1515" s="0" t="inlineStr">
        <is>
          <t xml:space="preserve">naics:336611</t>
        </is>
      </c>
    </row>
    <row r="1516">
      <c r="B1516" s="0" t="inlineStr">
        <is>
          <t xml:space="preserve">N5005419F5028</t>
        </is>
      </c>
      <c r="C1516" s="0" t="inlineStr">
        <is>
          <t xml:space="preserve">broad_maritime</t>
        </is>
      </c>
      <c r="D1516" s="4">
        <v>7.927254629999999</v>
      </c>
      <c r="E1516" s="0" t="inlineStr">
        <is>
          <t xml:space="preserve">HII FLEET SUPPORT GROUP LLC</t>
        </is>
      </c>
      <c r="F1516" s="0" t="inlineStr">
        <is>
          <t xml:space="preserve">naics:336611</t>
        </is>
      </c>
    </row>
    <row r="1517">
      <c r="B1517" s="0" t="inlineStr">
        <is>
          <t xml:space="preserve">N3904026F1008</t>
        </is>
      </c>
      <c r="C1517" s="0" t="inlineStr">
        <is>
          <t xml:space="preserve">broad_maritime</t>
        </is>
      </c>
      <c r="D1517" s="4">
        <v>7.92717887</v>
      </c>
      <c r="E1517" s="0" t="inlineStr">
        <is>
          <t xml:space="preserve">ORBIS SIBRO INC</t>
        </is>
      </c>
      <c r="F1517" s="0" t="inlineStr">
        <is>
          <t xml:space="preserve">naics:336611</t>
        </is>
      </c>
    </row>
    <row r="1518">
      <c r="B1518" s="0" t="inlineStr">
        <is>
          <t xml:space="preserve">N5523624F6048</t>
        </is>
      </c>
      <c r="C1518" s="0" t="inlineStr">
        <is>
          <t xml:space="preserve">broad_maritime</t>
        </is>
      </c>
      <c r="D1518" s="4">
        <v>7.9174650699999995</v>
      </c>
      <c r="E1518" s="0" t="inlineStr">
        <is>
          <t xml:space="preserve">SOUTHCOAST WELDING &amp; MANUFACTURING, LLC.</t>
        </is>
      </c>
      <c r="F1518" s="0" t="inlineStr">
        <is>
          <t xml:space="preserve">naics:336611</t>
        </is>
      </c>
    </row>
    <row r="1519">
      <c r="B1519" s="0" t="inlineStr">
        <is>
          <t xml:space="preserve">N0016720F1076</t>
        </is>
      </c>
      <c r="C1519" s="0" t="inlineStr">
        <is>
          <t xml:space="preserve">broad_maritime</t>
        </is>
      </c>
      <c r="D1519" s="4">
        <v>7.912217</v>
      </c>
      <c r="E1519" s="0" t="inlineStr">
        <is>
          <t xml:space="preserve">THE BOEING COMPANY</t>
        </is>
      </c>
      <c r="F1519" s="0" t="inlineStr">
        <is>
          <t xml:space="preserve">naics:336611</t>
        </is>
      </c>
    </row>
    <row r="1520">
      <c r="B1520" s="0" t="inlineStr">
        <is>
          <t xml:space="preserve">N5523619F9902</t>
        </is>
      </c>
      <c r="C1520" s="0" t="inlineStr">
        <is>
          <t xml:space="preserve">broad_maritime</t>
        </is>
      </c>
      <c r="D1520" s="4">
        <v>7.907983</v>
      </c>
      <c r="E1520" s="0" t="inlineStr">
        <is>
          <t xml:space="preserve">HUNTINGTON INGALLS INC</t>
        </is>
      </c>
      <c r="F1520" s="0" t="inlineStr">
        <is>
          <t xml:space="preserve">naics:336611</t>
        </is>
      </c>
    </row>
    <row r="1521">
      <c r="B1521" s="0" t="inlineStr">
        <is>
          <t xml:space="preserve">0029</t>
        </is>
      </c>
      <c r="C1521" s="0" t="inlineStr">
        <is>
          <t xml:space="preserve">broad_maritime</t>
        </is>
      </c>
      <c r="D1521" s="4">
        <v>7.90755423</v>
      </c>
      <c r="E1521" s="0" t="inlineStr">
        <is>
          <t xml:space="preserve">HII FLEET SUPPORT GROUP LLC</t>
        </is>
      </c>
      <c r="F1521" s="0" t="inlineStr">
        <is>
          <t xml:space="preserve">naics:336611</t>
        </is>
      </c>
    </row>
    <row r="1522">
      <c r="B1522" s="0" t="inlineStr">
        <is>
          <t xml:space="preserve">N3225322C0009</t>
        </is>
      </c>
      <c r="C1522" s="0" t="inlineStr">
        <is>
          <t xml:space="preserve">broad_maritime</t>
        </is>
      </c>
      <c r="D1522" s="4">
        <v>7.90349719</v>
      </c>
      <c r="E1522" s="0" t="inlineStr">
        <is>
          <t xml:space="preserve">PACIFIC SHIPYARDS INTERNATIONAL, LLC</t>
        </is>
      </c>
      <c r="F1522" s="0" t="inlineStr">
        <is>
          <t xml:space="preserve">naics:336611</t>
        </is>
      </c>
    </row>
    <row r="1523">
      <c r="B1523" s="0" t="inlineStr">
        <is>
          <t xml:space="preserve">4T76</t>
        </is>
      </c>
      <c r="C1523" s="0" t="inlineStr">
        <is>
          <t xml:space="preserve">broad_maritime</t>
        </is>
      </c>
      <c r="D1523" s="4">
        <v>7.8974139999999995</v>
      </c>
      <c r="E1523" s="0" t="inlineStr">
        <is>
          <t xml:space="preserve">HUNTINGTON INGALLS INC</t>
        </is>
      </c>
      <c r="F1523" s="0" t="inlineStr">
        <is>
          <t xml:space="preserve">naics:336611</t>
        </is>
      </c>
    </row>
    <row r="1524">
      <c r="B1524" s="0" t="inlineStr">
        <is>
          <t xml:space="preserve">0022</t>
        </is>
      </c>
      <c r="C1524" s="0" t="inlineStr">
        <is>
          <t xml:space="preserve">broad_maritime</t>
        </is>
      </c>
      <c r="D1524" s="4">
        <v>7.896950459999999</v>
      </c>
      <c r="E1524" s="0" t="inlineStr">
        <is>
          <t xml:space="preserve">QED SYSTEMS, INC.</t>
        </is>
      </c>
      <c r="F1524" s="0" t="inlineStr">
        <is>
          <t xml:space="preserve">naics:336611</t>
        </is>
      </c>
    </row>
    <row r="1525">
      <c r="B1525" s="0" t="inlineStr">
        <is>
          <t xml:space="preserve">N3220524C4024</t>
        </is>
      </c>
      <c r="C1525" s="0" t="inlineStr">
        <is>
          <t xml:space="preserve">broad_maritime</t>
        </is>
      </c>
      <c r="D1525" s="4">
        <v>7.881689</v>
      </c>
      <c r="E1525" s="0" t="inlineStr">
        <is>
          <t xml:space="preserve">DETYENS SHIPYARDS INC</t>
        </is>
      </c>
      <c r="F1525" s="0" t="inlineStr">
        <is>
          <t xml:space="preserve">naics:336611</t>
        </is>
      </c>
    </row>
    <row r="1526">
      <c r="B1526" s="0" t="inlineStr">
        <is>
          <t xml:space="preserve">N6449822F3085</t>
        </is>
      </c>
      <c r="C1526" s="0" t="inlineStr">
        <is>
          <t xml:space="preserve">broad_maritime</t>
        </is>
      </c>
      <c r="D1526" s="4">
        <v>7.879199309999999</v>
      </c>
      <c r="E1526" s="0" t="inlineStr">
        <is>
          <t xml:space="preserve">DELPHINUS ENGINEERING, INC.</t>
        </is>
      </c>
      <c r="F1526" s="0" t="inlineStr">
        <is>
          <t xml:space="preserve">naics:336611</t>
        </is>
      </c>
    </row>
    <row r="1527">
      <c r="B1527" s="0" t="inlineStr">
        <is>
          <t xml:space="preserve">N0002423F4H13</t>
        </is>
      </c>
      <c r="C1527" s="0" t="inlineStr">
        <is>
          <t xml:space="preserve">broad_maritime</t>
        </is>
      </c>
      <c r="D1527" s="4">
        <v>7.874</v>
      </c>
      <c r="E1527" s="0" t="inlineStr">
        <is>
          <t xml:space="preserve">PHOENIX INTERNATIONAL HOLDINGS, INC.</t>
        </is>
      </c>
      <c r="F1527" s="0" t="inlineStr">
        <is>
          <t xml:space="preserve">naics:336611</t>
        </is>
      </c>
    </row>
    <row r="1528">
      <c r="B1528" s="0" t="inlineStr">
        <is>
          <t xml:space="preserve">N3220524C4091</t>
        </is>
      </c>
      <c r="C1528" s="0" t="inlineStr">
        <is>
          <t xml:space="preserve">broad_maritime</t>
        </is>
      </c>
      <c r="D1528" s="4">
        <v>7.871155</v>
      </c>
      <c r="E1528" s="0" t="inlineStr">
        <is>
          <t xml:space="preserve">DETYENS SHIPYARDS INC</t>
        </is>
      </c>
      <c r="F1528" s="0" t="inlineStr">
        <is>
          <t xml:space="preserve">naics:336611</t>
        </is>
      </c>
    </row>
    <row r="1529">
      <c r="B1529" s="0" t="inlineStr">
        <is>
          <t xml:space="preserve">N3225321C0002</t>
        </is>
      </c>
      <c r="C1529" s="0" t="inlineStr">
        <is>
          <t xml:space="preserve">broad_maritime</t>
        </is>
      </c>
      <c r="D1529" s="4">
        <v>7.866216</v>
      </c>
      <c r="E1529" s="0" t="inlineStr">
        <is>
          <t xml:space="preserve">NORTHROP GRUMMAN SYSTEMS CORPORATION</t>
        </is>
      </c>
      <c r="F1529" s="0" t="inlineStr">
        <is>
          <t xml:space="preserve">naics:336611</t>
        </is>
      </c>
    </row>
    <row r="1530">
      <c r="B1530" s="0" t="inlineStr">
        <is>
          <t xml:space="preserve">N5523622F9998</t>
        </is>
      </c>
      <c r="C1530" s="0" t="inlineStr">
        <is>
          <t xml:space="preserve">broad_maritime</t>
        </is>
      </c>
      <c r="D1530" s="4">
        <v>7.86256683</v>
      </c>
      <c r="E1530" s="0" t="inlineStr">
        <is>
          <t xml:space="preserve">HII FLEET SUPPORT GROUP LLC</t>
        </is>
      </c>
      <c r="F1530" s="0" t="inlineStr">
        <is>
          <t xml:space="preserve">naics:336611; psc:1905</t>
        </is>
      </c>
    </row>
    <row r="1531">
      <c r="B1531" s="0" t="inlineStr">
        <is>
          <t xml:space="preserve">N5005422F5183</t>
        </is>
      </c>
      <c r="C1531" s="0" t="inlineStr">
        <is>
          <t xml:space="preserve">broad_maritime</t>
        </is>
      </c>
      <c r="D1531" s="4">
        <v>7.84900127</v>
      </c>
      <c r="E1531" s="0" t="inlineStr">
        <is>
          <t xml:space="preserve">EAST COAST REPAIR &amp; FABRICATION, LLC</t>
        </is>
      </c>
      <c r="F1531" s="0" t="inlineStr">
        <is>
          <t xml:space="preserve">naics:336611</t>
        </is>
      </c>
    </row>
    <row r="1532">
      <c r="B1532" s="0" t="inlineStr">
        <is>
          <t xml:space="preserve">0021</t>
        </is>
      </c>
      <c r="C1532" s="0" t="inlineStr">
        <is>
          <t xml:space="preserve">broad_maritime</t>
        </is>
      </c>
      <c r="D1532" s="4">
        <v>7.84719645</v>
      </c>
      <c r="E1532" s="0" t="inlineStr">
        <is>
          <t xml:space="preserve">HII FLEET SUPPORT GROUP LLC</t>
        </is>
      </c>
      <c r="F1532" s="0" t="inlineStr">
        <is>
          <t xml:space="preserve">naics:336611</t>
        </is>
      </c>
    </row>
    <row r="1533">
      <c r="B1533" s="0" t="inlineStr">
        <is>
          <t xml:space="preserve">N6817119C0012</t>
        </is>
      </c>
      <c r="C1533" s="0" t="inlineStr">
        <is>
          <t xml:space="preserve">broad_maritime</t>
        </is>
      </c>
      <c r="D1533" s="4">
        <v>7.84510844</v>
      </c>
      <c r="E1533" s="0" t="inlineStr">
        <is>
          <t xml:space="preserve">BRODOGRADILISTE VIKTOR LENAC D.D.</t>
        </is>
      </c>
      <c r="F1533" s="0" t="inlineStr">
        <is>
          <t xml:space="preserve">naics:336611</t>
        </is>
      </c>
    </row>
    <row r="1534">
      <c r="B1534" s="0" t="inlineStr">
        <is>
          <t xml:space="preserve">N5523621F9990</t>
        </is>
      </c>
      <c r="C1534" s="0" t="inlineStr">
        <is>
          <t xml:space="preserve">broad_maritime</t>
        </is>
      </c>
      <c r="D1534" s="4">
        <v>7.84502676</v>
      </c>
      <c r="E1534" s="0" t="inlineStr">
        <is>
          <t xml:space="preserve">HII FLEET SUPPORT GROUP LLC</t>
        </is>
      </c>
      <c r="F1534" s="0" t="inlineStr">
        <is>
          <t xml:space="preserve">naics:336611</t>
        </is>
      </c>
    </row>
    <row r="1535">
      <c r="B1535" s="0" t="inlineStr">
        <is>
          <t xml:space="preserve">N5005421F3000</t>
        </is>
      </c>
      <c r="C1535" s="0" t="inlineStr">
        <is>
          <t xml:space="preserve">broad_maritime</t>
        </is>
      </c>
      <c r="D1535" s="4">
        <v>7.8342051900000005</v>
      </c>
      <c r="E1535" s="0" t="inlineStr">
        <is>
          <t xml:space="preserve">HII FLEET SUPPORT GROUP LLC</t>
        </is>
      </c>
      <c r="F1535" s="0" t="inlineStr">
        <is>
          <t xml:space="preserve">naics:336611; psc:1905</t>
        </is>
      </c>
    </row>
    <row r="1536">
      <c r="B1536" s="0" t="inlineStr">
        <is>
          <t xml:space="preserve">0263</t>
        </is>
      </c>
      <c r="C1536" s="0" t="inlineStr">
        <is>
          <t xml:space="preserve">broad_maritime</t>
        </is>
      </c>
      <c r="D1536" s="4">
        <v>7.833307</v>
      </c>
      <c r="E1536" s="0" t="inlineStr">
        <is>
          <t xml:space="preserve">VSE CORPORATION</t>
        </is>
      </c>
      <c r="F1536" s="0" t="inlineStr">
        <is>
          <t xml:space="preserve">naics:336611</t>
        </is>
      </c>
    </row>
    <row r="1537">
      <c r="B1537" s="0" t="inlineStr">
        <is>
          <t xml:space="preserve">0036</t>
        </is>
      </c>
      <c r="C1537" s="0" t="inlineStr">
        <is>
          <t xml:space="preserve">broad_maritime</t>
        </is>
      </c>
      <c r="D1537" s="4">
        <v>7.82874865</v>
      </c>
      <c r="E1537" s="0" t="inlineStr">
        <is>
          <t xml:space="preserve">HII FLEET SUPPORT GROUP LLC</t>
        </is>
      </c>
      <c r="F1537" s="0" t="inlineStr">
        <is>
          <t xml:space="preserve">naics:336611</t>
        </is>
      </c>
    </row>
    <row r="1538">
      <c r="B1538" s="0" t="inlineStr">
        <is>
          <t xml:space="preserve">N5523621F9991</t>
        </is>
      </c>
      <c r="C1538" s="0" t="inlineStr">
        <is>
          <t xml:space="preserve">broad_maritime</t>
        </is>
      </c>
      <c r="D1538" s="4">
        <v>7.82639099</v>
      </c>
      <c r="E1538" s="0" t="inlineStr">
        <is>
          <t xml:space="preserve">HII FLEET SUPPORT GROUP LLC</t>
        </is>
      </c>
      <c r="F1538" s="0" t="inlineStr">
        <is>
          <t xml:space="preserve">naics:336611</t>
        </is>
      </c>
    </row>
    <row r="1539">
      <c r="B1539" s="0" t="inlineStr">
        <is>
          <t xml:space="preserve">N4034523F0439</t>
        </is>
      </c>
      <c r="C1539" s="0" t="inlineStr">
        <is>
          <t xml:space="preserve">broad_maritime</t>
        </is>
      </c>
      <c r="D1539" s="4">
        <v>7.81612232</v>
      </c>
      <c r="E1539" s="0" t="inlineStr">
        <is>
          <t xml:space="preserve">UNITHAI SHIPYARD &amp; ENGINEERING LIMITED - BRANCH</t>
        </is>
      </c>
      <c r="F1539" s="0" t="inlineStr">
        <is>
          <t xml:space="preserve">naics:336611</t>
        </is>
      </c>
    </row>
    <row r="1540">
      <c r="B1540" s="0" t="inlineStr">
        <is>
          <t xml:space="preserve">N3220520C6505</t>
        </is>
      </c>
      <c r="C1540" s="0" t="inlineStr">
        <is>
          <t xml:space="preserve">broad_maritime</t>
        </is>
      </c>
      <c r="D1540" s="4">
        <v>7.81509899</v>
      </c>
      <c r="E1540" s="0" t="inlineStr">
        <is>
          <t xml:space="preserve">ATLANTIC FABRICATION &amp; BOILER SERVICES, INC.</t>
        </is>
      </c>
      <c r="F1540" s="0" t="inlineStr">
        <is>
          <t xml:space="preserve">naics:336611</t>
        </is>
      </c>
    </row>
    <row r="1541">
      <c r="B1541" s="0" t="inlineStr">
        <is>
          <t xml:space="preserve">N4034521F0001</t>
        </is>
      </c>
      <c r="C1541" s="0" t="inlineStr">
        <is>
          <t xml:space="preserve">broad_maritime</t>
        </is>
      </c>
      <c r="D1541" s="4">
        <v>7.811233</v>
      </c>
      <c r="E1541" s="0" t="inlineStr">
        <is>
          <t xml:space="preserve">SEATRIUM REPAIRS &amp; UPGRADES PTE. LTD.</t>
        </is>
      </c>
      <c r="F1541" s="0" t="inlineStr">
        <is>
          <t xml:space="preserve">naics:336611</t>
        </is>
      </c>
    </row>
    <row r="1542">
      <c r="B1542" s="0" t="inlineStr">
        <is>
          <t xml:space="preserve">N6278622F0022</t>
        </is>
      </c>
      <c r="C1542" s="0" t="inlineStr">
        <is>
          <t xml:space="preserve">broad_maritime</t>
        </is>
      </c>
      <c r="D1542" s="4">
        <v>7.808945</v>
      </c>
      <c r="E1542" s="0" t="inlineStr">
        <is>
          <t xml:space="preserve">BATH IRON WORKS CORPORATION</t>
        </is>
      </c>
      <c r="F1542" s="0" t="inlineStr">
        <is>
          <t xml:space="preserve">naics:336611; psc:1905</t>
        </is>
      </c>
    </row>
    <row r="1543">
      <c r="B1543" s="0" t="inlineStr">
        <is>
          <t xml:space="preserve">N3943025F4033</t>
        </is>
      </c>
      <c r="C1543" s="0" t="inlineStr">
        <is>
          <t xml:space="preserve">broad_maritime</t>
        </is>
      </c>
      <c r="D1543" s="4">
        <v>7.80581636</v>
      </c>
      <c r="E1543" s="0" t="inlineStr">
        <is>
          <t xml:space="preserve">MARINE VENTURES INTERNATIONAL, INC.</t>
        </is>
      </c>
      <c r="F1543" s="0" t="inlineStr">
        <is>
          <t xml:space="preserve">naics:336611</t>
        </is>
      </c>
    </row>
    <row r="1544">
      <c r="B1544" s="0" t="inlineStr">
        <is>
          <t xml:space="preserve">N6264922F0211</t>
        </is>
      </c>
      <c r="C1544" s="0" t="inlineStr">
        <is>
          <t xml:space="preserve">broad_maritime</t>
        </is>
      </c>
      <c r="D1544" s="4">
        <v>7.77118241</v>
      </c>
      <c r="E1544" s="0" t="inlineStr">
        <is>
          <t xml:space="preserve">JAPAN MARINE UNITED CORPORATION</t>
        </is>
      </c>
      <c r="F1544" s="0" t="inlineStr">
        <is>
          <t xml:space="preserve">naics:336611</t>
        </is>
      </c>
    </row>
    <row r="1545">
      <c r="B1545" s="0" t="inlineStr">
        <is>
          <t xml:space="preserve">0003</t>
        </is>
      </c>
      <c r="C1545" s="0" t="inlineStr">
        <is>
          <t xml:space="preserve">broad_maritime</t>
        </is>
      </c>
      <c r="D1545" s="4">
        <v>7.758818</v>
      </c>
      <c r="E1545" s="0" t="inlineStr">
        <is>
          <t xml:space="preserve">HUNTINGTON INGALLS INCORPORATED</t>
        </is>
      </c>
      <c r="F1545" s="0" t="inlineStr">
        <is>
          <t xml:space="preserve">naics:336611; psc:1905</t>
        </is>
      </c>
    </row>
    <row r="1546">
      <c r="B1546" s="0" t="inlineStr">
        <is>
          <t xml:space="preserve">N6931618F6003</t>
        </is>
      </c>
      <c r="C1546" s="0" t="inlineStr">
        <is>
          <t xml:space="preserve">broad_maritime</t>
        </is>
      </c>
      <c r="D1546" s="4">
        <v>7.7535419999999995</v>
      </c>
      <c r="E1546" s="0" t="inlineStr">
        <is>
          <t xml:space="preserve">HUNTINGTON INGALLS INCORPORATED</t>
        </is>
      </c>
      <c r="F1546" s="0" t="inlineStr">
        <is>
          <t xml:space="preserve">naics:336611</t>
        </is>
      </c>
    </row>
    <row r="1547">
      <c r="B1547" s="0" t="inlineStr">
        <is>
          <t xml:space="preserve">N6278618F0038</t>
        </is>
      </c>
      <c r="C1547" s="0" t="inlineStr">
        <is>
          <t xml:space="preserve">broad_maritime</t>
        </is>
      </c>
      <c r="D1547" s="4">
        <v>7.750636999999999</v>
      </c>
      <c r="E1547" s="0" t="inlineStr">
        <is>
          <t xml:space="preserve">BATH IRON WORKS CORPORATION</t>
        </is>
      </c>
      <c r="F1547" s="0" t="inlineStr">
        <is>
          <t xml:space="preserve">naics:336611; psc:1905</t>
        </is>
      </c>
    </row>
    <row r="1548">
      <c r="B1548" s="0" t="inlineStr">
        <is>
          <t xml:space="preserve">N0002424F22A7</t>
        </is>
      </c>
      <c r="C1548" s="0" t="inlineStr">
        <is>
          <t xml:space="preserve">small_craft</t>
        </is>
      </c>
      <c r="D1548" s="4">
        <v>7.7375359999999995</v>
      </c>
      <c r="E1548" s="0" t="inlineStr">
        <is>
          <t xml:space="preserve">RECONCRAFT, LLC</t>
        </is>
      </c>
      <c r="F1548" s="0" t="inlineStr">
        <is>
          <t xml:space="preserve">naics:336612; psc:1940</t>
        </is>
      </c>
    </row>
    <row r="1549">
      <c r="B1549" s="0" t="inlineStr">
        <is>
          <t xml:space="preserve">M6785423F1047</t>
        </is>
      </c>
      <c r="C1549" s="0" t="inlineStr">
        <is>
          <t xml:space="preserve">small_craft</t>
        </is>
      </c>
      <c r="D1549" s="4">
        <v>7.7307</v>
      </c>
      <c r="E1549" s="0" t="inlineStr">
        <is>
          <t xml:space="preserve">WING INFLATABLES INC</t>
        </is>
      </c>
      <c r="F1549" s="0" t="inlineStr">
        <is>
          <t xml:space="preserve">naics:336612; psc:1940</t>
        </is>
      </c>
    </row>
    <row r="1550">
      <c r="B1550" s="0" t="inlineStr">
        <is>
          <t xml:space="preserve">N4033923CF001</t>
        </is>
      </c>
      <c r="C1550" s="0" t="inlineStr">
        <is>
          <t xml:space="preserve">broad_maritime</t>
        </is>
      </c>
      <c r="D1550" s="4">
        <v>7.728518009999999</v>
      </c>
      <c r="E1550" s="0" t="inlineStr">
        <is>
          <t xml:space="preserve">ARAB SHIPBUILDING &amp; REPAIR YARD CO. (ASRY)</t>
        </is>
      </c>
      <c r="F1550" s="0" t="inlineStr">
        <is>
          <t xml:space="preserve">naics:336611</t>
        </is>
      </c>
    </row>
    <row r="1551">
      <c r="B1551" s="0" t="inlineStr">
        <is>
          <t xml:space="preserve">4T28</t>
        </is>
      </c>
      <c r="C1551" s="0" t="inlineStr">
        <is>
          <t xml:space="preserve">broad_maritime</t>
        </is>
      </c>
      <c r="D1551" s="4">
        <v>7.72504675</v>
      </c>
      <c r="E1551" s="0" t="inlineStr">
        <is>
          <t xml:space="preserve">HUNTINGTON INGALLS INC</t>
        </is>
      </c>
      <c r="F1551" s="0" t="inlineStr">
        <is>
          <t xml:space="preserve">naics:336611</t>
        </is>
      </c>
    </row>
    <row r="1552">
      <c r="B1552" s="0" t="inlineStr">
        <is>
          <t xml:space="preserve">N3220517C4001</t>
        </is>
      </c>
      <c r="C1552" s="0" t="inlineStr">
        <is>
          <t xml:space="preserve">broad_maritime</t>
        </is>
      </c>
      <c r="D1552" s="4">
        <v>7.717346</v>
      </c>
      <c r="E1552" s="0" t="inlineStr">
        <is>
          <t xml:space="preserve">MARINE HYDRAULICS INTERNATIONAL, LLC</t>
        </is>
      </c>
      <c r="F1552" s="0" t="inlineStr">
        <is>
          <t xml:space="preserve">naics:336611</t>
        </is>
      </c>
    </row>
    <row r="1553">
      <c r="B1553" s="0" t="inlineStr">
        <is>
          <t xml:space="preserve">N5005420F5142</t>
        </is>
      </c>
      <c r="C1553" s="0" t="inlineStr">
        <is>
          <t xml:space="preserve">broad_maritime</t>
        </is>
      </c>
      <c r="D1553" s="4">
        <v>7.68342582</v>
      </c>
      <c r="E1553" s="0" t="inlineStr">
        <is>
          <t xml:space="preserve">HII FLEET SUPPORT GROUP LLC</t>
        </is>
      </c>
      <c r="F1553" s="0" t="inlineStr">
        <is>
          <t xml:space="preserve">naics:336611</t>
        </is>
      </c>
    </row>
    <row r="1554">
      <c r="B1554" s="0" t="inlineStr">
        <is>
          <t xml:space="preserve">N5523623F9991</t>
        </is>
      </c>
      <c r="C1554" s="0" t="inlineStr">
        <is>
          <t xml:space="preserve">broad_maritime</t>
        </is>
      </c>
      <c r="D1554" s="4">
        <v>7.67745009</v>
      </c>
      <c r="E1554" s="0" t="inlineStr">
        <is>
          <t xml:space="preserve">HII FLEET SUPPORT GROUP LLC</t>
        </is>
      </c>
      <c r="F1554" s="0" t="inlineStr">
        <is>
          <t xml:space="preserve">naics:336611; psc:1905</t>
        </is>
      </c>
    </row>
    <row r="1555">
      <c r="B1555" s="0" t="inlineStr">
        <is>
          <t xml:space="preserve">0003</t>
        </is>
      </c>
      <c r="C1555" s="0" t="inlineStr">
        <is>
          <t xml:space="preserve">broad_maritime</t>
        </is>
      </c>
      <c r="D1555" s="4">
        <v>7.67155911</v>
      </c>
      <c r="E1555" s="0" t="inlineStr">
        <is>
          <t xml:space="preserve">AMEE BAY, LLC</t>
        </is>
      </c>
      <c r="F1555" s="0" t="inlineStr">
        <is>
          <t xml:space="preserve">naics:336611</t>
        </is>
      </c>
    </row>
    <row r="1556">
      <c r="B1556" s="0" t="inlineStr">
        <is>
          <t xml:space="preserve">N6264925FR005</t>
        </is>
      </c>
      <c r="C1556" s="0" t="inlineStr">
        <is>
          <t xml:space="preserve">broad_maritime</t>
        </is>
      </c>
      <c r="D1556" s="4">
        <v>7.66828388</v>
      </c>
      <c r="E1556" s="0" t="inlineStr">
        <is>
          <t xml:space="preserve">AUSTAL USA, LLC</t>
        </is>
      </c>
      <c r="F1556" s="0" t="inlineStr">
        <is>
          <t xml:space="preserve">naics:336611</t>
        </is>
      </c>
    </row>
    <row r="1557">
      <c r="B1557" s="0" t="inlineStr">
        <is>
          <t xml:space="preserve">N6817118F6117</t>
        </is>
      </c>
      <c r="C1557" s="0" t="inlineStr">
        <is>
          <t xml:space="preserve">broad_maritime</t>
        </is>
      </c>
      <c r="D1557" s="4">
        <v>7.64123673</v>
      </c>
      <c r="E1557" s="0" t="inlineStr">
        <is>
          <t xml:space="preserve">NAVANTIA REPARACIONES SAN FERNANDO</t>
        </is>
      </c>
      <c r="F1557" s="0" t="inlineStr">
        <is>
          <t xml:space="preserve">naics:336611</t>
        </is>
      </c>
    </row>
    <row r="1558">
      <c r="B1558" s="0" t="inlineStr">
        <is>
          <t xml:space="preserve">7F01</t>
        </is>
      </c>
      <c r="C1558" s="0" t="inlineStr">
        <is>
          <t xml:space="preserve">broad_maritime</t>
        </is>
      </c>
      <c r="D1558" s="4">
        <v>7.637389139999999</v>
      </c>
      <c r="E1558" s="0" t="inlineStr">
        <is>
          <t xml:space="preserve">HUNTINGTON INGALLS INCORPORATED</t>
        </is>
      </c>
      <c r="F1558" s="0" t="inlineStr">
        <is>
          <t xml:space="preserve">naics:336611; psc:1905</t>
        </is>
      </c>
    </row>
    <row r="1559">
      <c r="B1559" s="0" t="inlineStr">
        <is>
          <t xml:space="preserve">N3220518C4008</t>
        </is>
      </c>
      <c r="C1559" s="0" t="inlineStr">
        <is>
          <t xml:space="preserve">broad_maritime</t>
        </is>
      </c>
      <c r="D1559" s="4">
        <v>7.635808</v>
      </c>
      <c r="E1559" s="0" t="inlineStr">
        <is>
          <t xml:space="preserve">VIGOR MARINE LLC</t>
        </is>
      </c>
      <c r="F1559" s="0" t="inlineStr">
        <is>
          <t xml:space="preserve">naics:336611</t>
        </is>
      </c>
    </row>
    <row r="1560">
      <c r="B1560" s="0" t="inlineStr">
        <is>
          <t xml:space="preserve">N6833522F0533</t>
        </is>
      </c>
      <c r="C1560" s="0" t="inlineStr">
        <is>
          <t xml:space="preserve">broad_maritime</t>
        </is>
      </c>
      <c r="D1560" s="4">
        <v>7.627026369999999</v>
      </c>
      <c r="E1560" s="0" t="inlineStr">
        <is>
          <t xml:space="preserve">PRISM MARITIME, INC.</t>
        </is>
      </c>
      <c r="F1560" s="0" t="inlineStr">
        <is>
          <t xml:space="preserve">naics:336611</t>
        </is>
      </c>
    </row>
    <row r="1561">
      <c r="B1561" s="0" t="inlineStr">
        <is>
          <t xml:space="preserve">0424</t>
        </is>
      </c>
      <c r="C1561" s="0" t="inlineStr">
        <is>
          <t xml:space="preserve">broad_maritime</t>
        </is>
      </c>
      <c r="D1561" s="4">
        <v>7.6183969099999995</v>
      </c>
      <c r="E1561" s="0" t="inlineStr">
        <is>
          <t xml:space="preserve">SUMITOMO HEAVY INDUSTRIES, LTD</t>
        </is>
      </c>
      <c r="F1561" s="0" t="inlineStr">
        <is>
          <t xml:space="preserve">naics:336611</t>
        </is>
      </c>
    </row>
    <row r="1562">
      <c r="B1562" s="0" t="inlineStr">
        <is>
          <t xml:space="preserve">0004</t>
        </is>
      </c>
      <c r="C1562" s="0" t="inlineStr">
        <is>
          <t xml:space="preserve">broad_maritime</t>
        </is>
      </c>
      <c r="D1562" s="4">
        <v>7.61767769</v>
      </c>
      <c r="E1562" s="0" t="inlineStr">
        <is>
          <t xml:space="preserve">TECNICO CORPORATION</t>
        </is>
      </c>
      <c r="F1562" s="0" t="inlineStr">
        <is>
          <t xml:space="preserve">naics:336611</t>
        </is>
      </c>
    </row>
    <row r="1563">
      <c r="B1563" s="0" t="inlineStr">
        <is>
          <t xml:space="preserve">0011</t>
        </is>
      </c>
      <c r="C1563" s="0" t="inlineStr">
        <is>
          <t xml:space="preserve">broad_maritime</t>
        </is>
      </c>
      <c r="D1563" s="4">
        <v>7.615447</v>
      </c>
      <c r="E1563" s="0" t="inlineStr">
        <is>
          <t xml:space="preserve">BATH IRON WORKS CORPORATION</t>
        </is>
      </c>
      <c r="F1563" s="0" t="inlineStr">
        <is>
          <t xml:space="preserve">naics:336611; psc:1905</t>
        </is>
      </c>
    </row>
    <row r="1564">
      <c r="B1564" s="0" t="inlineStr">
        <is>
          <t xml:space="preserve">N4034522F0069</t>
        </is>
      </c>
      <c r="C1564" s="0" t="inlineStr">
        <is>
          <t xml:space="preserve">broad_maritime</t>
        </is>
      </c>
      <c r="D1564" s="4">
        <v>7.61424</v>
      </c>
      <c r="E1564" s="0" t="inlineStr">
        <is>
          <t xml:space="preserve">UNITHAI SHIPYARD &amp; ENGINEERING LIMITED - BRANCH</t>
        </is>
      </c>
      <c r="F1564" s="0" t="inlineStr">
        <is>
          <t xml:space="preserve">naics:336611</t>
        </is>
      </c>
    </row>
    <row r="1565">
      <c r="B1565" s="0" t="inlineStr">
        <is>
          <t xml:space="preserve">N3225322C0008</t>
        </is>
      </c>
      <c r="C1565" s="0" t="inlineStr">
        <is>
          <t xml:space="preserve">broad_maritime</t>
        </is>
      </c>
      <c r="D1565" s="4">
        <v>7.6123244</v>
      </c>
      <c r="E1565" s="0" t="inlineStr">
        <is>
          <t xml:space="preserve">NORTHROP GRUMMAN SYSTEMS CORPORATION</t>
        </is>
      </c>
      <c r="F1565" s="0" t="inlineStr">
        <is>
          <t xml:space="preserve">naics:336611</t>
        </is>
      </c>
    </row>
    <row r="1566">
      <c r="B1566" s="0" t="inlineStr">
        <is>
          <t xml:space="preserve">N3220515C1001</t>
        </is>
      </c>
      <c r="C1566" s="0" t="inlineStr">
        <is>
          <t xml:space="preserve">broad_maritime</t>
        </is>
      </c>
      <c r="D1566" s="4">
        <v>7.608674499999999</v>
      </c>
      <c r="E1566" s="0" t="inlineStr">
        <is>
          <t xml:space="preserve">BAE SYSTEMS MARITIME SOLUTIONS NORFOLK INC.</t>
        </is>
      </c>
      <c r="F1566" s="0" t="inlineStr">
        <is>
          <t xml:space="preserve">naics:336611</t>
        </is>
      </c>
    </row>
    <row r="1567">
      <c r="B1567" s="0" t="inlineStr">
        <is>
          <t xml:space="preserve">N3904025F0049</t>
        </is>
      </c>
      <c r="C1567" s="0" t="inlineStr">
        <is>
          <t xml:space="preserve">broad_maritime</t>
        </is>
      </c>
      <c r="D1567" s="4">
        <v>7.599498519999999</v>
      </c>
      <c r="E1567" s="0" t="inlineStr">
        <is>
          <t xml:space="preserve">ORBIS SIBRO INC</t>
        </is>
      </c>
      <c r="F1567" s="0" t="inlineStr">
        <is>
          <t xml:space="preserve">naics:336611</t>
        </is>
      </c>
    </row>
    <row r="1568">
      <c r="B1568" s="0" t="inlineStr">
        <is>
          <t xml:space="preserve">N4034519F0062</t>
        </is>
      </c>
      <c r="C1568" s="0" t="inlineStr">
        <is>
          <t xml:space="preserve">broad_maritime</t>
        </is>
      </c>
      <c r="D1568" s="4">
        <v>7.593281999999999</v>
      </c>
      <c r="E1568" s="0" t="inlineStr">
        <is>
          <t xml:space="preserve">SEATRIUM REPAIRS &amp; UPGRADES PTE. LTD.</t>
        </is>
      </c>
      <c r="F1568" s="0" t="inlineStr">
        <is>
          <t xml:space="preserve">naics:336611</t>
        </is>
      </c>
    </row>
    <row r="1569">
      <c r="B1569" s="0" t="inlineStr">
        <is>
          <t xml:space="preserve">N0010423PK045</t>
        </is>
      </c>
      <c r="C1569" s="0" t="inlineStr">
        <is>
          <t xml:space="preserve">broad_maritime</t>
        </is>
      </c>
      <c r="D1569" s="4">
        <v>7.5789599999999995</v>
      </c>
      <c r="E1569" s="0" t="inlineStr">
        <is>
          <t xml:space="preserve">HYSTER-YALE GROUP, INC.</t>
        </is>
      </c>
      <c r="F1569" s="0" t="inlineStr">
        <is>
          <t xml:space="preserve">psc:2090</t>
        </is>
      </c>
    </row>
    <row r="1570">
      <c r="B1570" s="0" t="inlineStr">
        <is>
          <t xml:space="preserve">N0002420F22J2</t>
        </is>
      </c>
      <c r="C1570" s="0" t="inlineStr">
        <is>
          <t xml:space="preserve">small_craft</t>
        </is>
      </c>
      <c r="D1570" s="4">
        <v>7.572363809999999</v>
      </c>
      <c r="E1570" s="0" t="inlineStr">
        <is>
          <t xml:space="preserve">UNITED STATES MARINE INC</t>
        </is>
      </c>
      <c r="F1570" s="0" t="inlineStr">
        <is>
          <t xml:space="preserve">naics:336612; psc:1940</t>
        </is>
      </c>
    </row>
    <row r="1571">
      <c r="B1571" s="0" t="inlineStr">
        <is>
          <t xml:space="preserve">7F04</t>
        </is>
      </c>
      <c r="C1571" s="0" t="inlineStr">
        <is>
          <t xml:space="preserve">broad_maritime</t>
        </is>
      </c>
      <c r="D1571" s="4">
        <v>7.57111</v>
      </c>
      <c r="E1571" s="0" t="inlineStr">
        <is>
          <t xml:space="preserve">NORTHROP GRUMMAN SHIP SYSTEMS,</t>
        </is>
      </c>
      <c r="F1571" s="0" t="inlineStr">
        <is>
          <t xml:space="preserve">naics:336611</t>
        </is>
      </c>
    </row>
    <row r="1572">
      <c r="B1572" s="0" t="inlineStr">
        <is>
          <t xml:space="preserve">0026</t>
        </is>
      </c>
      <c r="C1572" s="0" t="inlineStr">
        <is>
          <t xml:space="preserve">broad_maritime</t>
        </is>
      </c>
      <c r="D1572" s="4">
        <v>7.5604246900000005</v>
      </c>
      <c r="E1572" s="0" t="inlineStr">
        <is>
          <t xml:space="preserve">HII FLEET SUPPORT GROUP LLC</t>
        </is>
      </c>
      <c r="F1572" s="0" t="inlineStr">
        <is>
          <t xml:space="preserve">naics:336611</t>
        </is>
      </c>
    </row>
    <row r="1573">
      <c r="B1573" s="0" t="inlineStr">
        <is>
          <t xml:space="preserve">N3904025C0008</t>
        </is>
      </c>
      <c r="C1573" s="0" t="inlineStr">
        <is>
          <t xml:space="preserve">broad_maritime</t>
        </is>
      </c>
      <c r="D1573" s="4">
        <v>7.55741971</v>
      </c>
      <c r="E1573" s="0" t="inlineStr">
        <is>
          <t xml:space="preserve">NORTHROP GRUMMAN SYSTEMS CORPORATION</t>
        </is>
      </c>
      <c r="F1573" s="0" t="inlineStr">
        <is>
          <t xml:space="preserve">naics:336611</t>
        </is>
      </c>
    </row>
    <row r="1574">
      <c r="B1574" s="0" t="inlineStr">
        <is>
          <t xml:space="preserve">N5005417F0007</t>
        </is>
      </c>
      <c r="C1574" s="0" t="inlineStr">
        <is>
          <t xml:space="preserve">broad_maritime</t>
        </is>
      </c>
      <c r="D1574" s="4">
        <v>7.551232</v>
      </c>
      <c r="E1574" s="0" t="inlineStr">
        <is>
          <t xml:space="preserve">BAE SYSTEMS MARITIME SOLUTIONS NORFOLK INC.</t>
        </is>
      </c>
      <c r="F1574" s="0" t="inlineStr">
        <is>
          <t xml:space="preserve">naics:336611</t>
        </is>
      </c>
    </row>
    <row r="1575">
      <c r="B1575" s="0" t="inlineStr">
        <is>
          <t xml:space="preserve">N6931623F4002</t>
        </is>
      </c>
      <c r="C1575" s="0" t="inlineStr">
        <is>
          <t xml:space="preserve">broad_maritime</t>
        </is>
      </c>
      <c r="D1575" s="4">
        <v>7.544524</v>
      </c>
      <c r="E1575" s="0" t="inlineStr">
        <is>
          <t xml:space="preserve">AUSTAL USA, LLC</t>
        </is>
      </c>
      <c r="F1575" s="0" t="inlineStr">
        <is>
          <t xml:space="preserve">naics:336611</t>
        </is>
      </c>
    </row>
    <row r="1576">
      <c r="B1576" s="0" t="inlineStr">
        <is>
          <t xml:space="preserve">N6893624P0258</t>
        </is>
      </c>
      <c r="C1576" s="0" t="inlineStr">
        <is>
          <t xml:space="preserve">small_craft</t>
        </is>
      </c>
      <c r="D1576" s="4">
        <v>7.54407917</v>
      </c>
      <c r="E1576" s="0" t="inlineStr">
        <is>
          <t xml:space="preserve">GRAVOIS ALUMINUM BOATS LLC</t>
        </is>
      </c>
      <c r="F1576" s="0" t="inlineStr">
        <is>
          <t xml:space="preserve">naics:336612; psc:1940</t>
        </is>
      </c>
    </row>
    <row r="1577">
      <c r="B1577" s="0" t="inlineStr">
        <is>
          <t xml:space="preserve">N5523616C0018</t>
        </is>
      </c>
      <c r="C1577" s="0" t="inlineStr">
        <is>
          <t xml:space="preserve">broad_maritime</t>
        </is>
      </c>
      <c r="D1577" s="4">
        <v>7.53487222</v>
      </c>
      <c r="E1577" s="0" t="inlineStr">
        <is>
          <t xml:space="preserve">VIGOR MARINE LLC</t>
        </is>
      </c>
      <c r="F1577" s="0" t="inlineStr">
        <is>
          <t xml:space="preserve">naics:336611</t>
        </is>
      </c>
    </row>
    <row r="1578">
      <c r="B1578" s="0" t="inlineStr">
        <is>
          <t xml:space="preserve">N5005424FP006</t>
        </is>
      </c>
      <c r="C1578" s="0" t="inlineStr">
        <is>
          <t xml:space="preserve">broad_maritime</t>
        </is>
      </c>
      <c r="D1578" s="4">
        <v>7.52827</v>
      </c>
      <c r="E1578" s="0" t="inlineStr">
        <is>
          <t xml:space="preserve">METRO MACHINE CORP.</t>
        </is>
      </c>
      <c r="F1578" s="0" t="inlineStr">
        <is>
          <t xml:space="preserve">naics:336611</t>
        </is>
      </c>
    </row>
    <row r="1579">
      <c r="B1579" s="0" t="inlineStr">
        <is>
          <t xml:space="preserve">N6449818FBB62</t>
        </is>
      </c>
      <c r="C1579" s="0" t="inlineStr">
        <is>
          <t xml:space="preserve">broad_maritime</t>
        </is>
      </c>
      <c r="D1579" s="4">
        <v>7.52803198</v>
      </c>
      <c r="E1579" s="0" t="inlineStr">
        <is>
          <t xml:space="preserve">GENERAL DYNAMICS INFORMATION TECHNOLOGY, INC.</t>
        </is>
      </c>
      <c r="F1579" s="0" t="inlineStr">
        <is>
          <t xml:space="preserve">naics:336611</t>
        </is>
      </c>
    </row>
    <row r="1580">
      <c r="B1580" s="0" t="inlineStr">
        <is>
          <t xml:space="preserve">N0002422F22A7</t>
        </is>
      </c>
      <c r="C1580" s="0" t="inlineStr">
        <is>
          <t xml:space="preserve">small_craft</t>
        </is>
      </c>
      <c r="D1580" s="4">
        <v>7.508695759999999</v>
      </c>
      <c r="E1580" s="0" t="inlineStr">
        <is>
          <t xml:space="preserve">GRAVOIS ALUMINUM BOATS LLC</t>
        </is>
      </c>
      <c r="F1580" s="0" t="inlineStr">
        <is>
          <t xml:space="preserve">naics:336612; psc:1940</t>
        </is>
      </c>
    </row>
    <row r="1581">
      <c r="B1581" s="0" t="inlineStr">
        <is>
          <t xml:space="preserve">N0002425F22B4</t>
        </is>
      </c>
      <c r="C1581" s="0" t="inlineStr">
        <is>
          <t xml:space="preserve">small_craft</t>
        </is>
      </c>
      <c r="D1581" s="4">
        <v>7.50710377</v>
      </c>
      <c r="E1581" s="0" t="inlineStr">
        <is>
          <t xml:space="preserve">SILVER SHIPS, INC</t>
        </is>
      </c>
      <c r="F1581" s="0" t="inlineStr">
        <is>
          <t xml:space="preserve">naics:336612; psc:1940</t>
        </is>
      </c>
    </row>
    <row r="1582">
      <c r="B1582" s="0" t="inlineStr">
        <is>
          <t xml:space="preserve">N6264925FH015</t>
        </is>
      </c>
      <c r="C1582" s="0" t="inlineStr">
        <is>
          <t xml:space="preserve">broad_maritime</t>
        </is>
      </c>
      <c r="D1582" s="4">
        <v>7.50011942</v>
      </c>
      <c r="E1582" s="0" t="inlineStr">
        <is>
          <t xml:space="preserve">SEAFIX INC</t>
        </is>
      </c>
      <c r="F1582" s="0" t="inlineStr">
        <is>
          <t xml:space="preserve">naics:336611</t>
        </is>
      </c>
    </row>
    <row r="1583">
      <c r="B1583" s="0" t="inlineStr">
        <is>
          <t xml:space="preserve">N5523626F2001</t>
        </is>
      </c>
      <c r="C1583" s="0" t="inlineStr">
        <is>
          <t xml:space="preserve">broad_maritime</t>
        </is>
      </c>
      <c r="D1583" s="4">
        <v>7.499759599999999</v>
      </c>
      <c r="E1583" s="0" t="inlineStr">
        <is>
          <t xml:space="preserve">EPSILON SYSTEMS SOLUTIONS INC</t>
        </is>
      </c>
      <c r="F1583" s="0" t="inlineStr">
        <is>
          <t xml:space="preserve">naics:336611</t>
        </is>
      </c>
    </row>
    <row r="1584">
      <c r="B1584" s="0" t="inlineStr">
        <is>
          <t xml:space="preserve">N4034524F0008</t>
        </is>
      </c>
      <c r="C1584" s="0" t="inlineStr">
        <is>
          <t xml:space="preserve">broad_maritime</t>
        </is>
      </c>
      <c r="D1584" s="4">
        <v>7.497471999999999</v>
      </c>
      <c r="E1584" s="0" t="inlineStr">
        <is>
          <t xml:space="preserve">SEATRIUM REPAIRS &amp; UPGRADES PTE. LTD.</t>
        </is>
      </c>
      <c r="F1584" s="0" t="inlineStr">
        <is>
          <t xml:space="preserve">naics:336611</t>
        </is>
      </c>
    </row>
    <row r="1585">
      <c r="B1585" s="0" t="inlineStr">
        <is>
          <t xml:space="preserve">N0002424F4131</t>
        </is>
      </c>
      <c r="C1585" s="0" t="inlineStr">
        <is>
          <t xml:space="preserve">broad_maritime</t>
        </is>
      </c>
      <c r="D1585" s="4">
        <v>7.48698674</v>
      </c>
      <c r="E1585" s="0" t="inlineStr">
        <is>
          <t xml:space="preserve">ROLLS-ROYCE SOLUTIONS AMERICA INC</t>
        </is>
      </c>
      <c r="F1585" s="0" t="inlineStr">
        <is>
          <t xml:space="preserve">naics:336611</t>
        </is>
      </c>
    </row>
    <row r="1586">
      <c r="B1586" s="0" t="inlineStr">
        <is>
          <t xml:space="preserve">N6817117F6024</t>
        </is>
      </c>
      <c r="C1586" s="0" t="inlineStr">
        <is>
          <t xml:space="preserve">broad_maritime</t>
        </is>
      </c>
      <c r="D1586" s="4">
        <v>7.48684254</v>
      </c>
      <c r="E1586" s="0" t="inlineStr">
        <is>
          <t xml:space="preserve">NAVANTIA REPARACIONES SAN FERNANDO</t>
        </is>
      </c>
      <c r="F1586" s="0" t="inlineStr">
        <is>
          <t xml:space="preserve">naics:336611</t>
        </is>
      </c>
    </row>
    <row r="1587">
      <c r="B1587" s="0" t="inlineStr">
        <is>
          <t xml:space="preserve">0190</t>
        </is>
      </c>
      <c r="C1587" s="0" t="inlineStr">
        <is>
          <t xml:space="preserve">broad_maritime</t>
        </is>
      </c>
      <c r="D1587" s="4">
        <v>7.47944888</v>
      </c>
      <c r="E1587" s="0" t="inlineStr">
        <is>
          <t xml:space="preserve">HII FLEET SUPPORT GROUP LLC</t>
        </is>
      </c>
      <c r="F1587" s="0" t="inlineStr">
        <is>
          <t xml:space="preserve">naics:336611</t>
        </is>
      </c>
    </row>
    <row r="1588">
      <c r="B1588" s="0" t="inlineStr">
        <is>
          <t xml:space="preserve">N0002424F4H17</t>
        </is>
      </c>
      <c r="C1588" s="0" t="inlineStr">
        <is>
          <t xml:space="preserve">broad_maritime</t>
        </is>
      </c>
      <c r="D1588" s="4">
        <v>7.468172</v>
      </c>
      <c r="E1588" s="0" t="inlineStr">
        <is>
          <t xml:space="preserve">PHOENIX INTERNATIONAL HOLDINGS, INC.</t>
        </is>
      </c>
      <c r="F1588" s="0" t="inlineStr">
        <is>
          <t xml:space="preserve">naics:336611</t>
        </is>
      </c>
    </row>
    <row r="1589">
      <c r="B1589" s="0" t="inlineStr">
        <is>
          <t xml:space="preserve">N0002418F22X2</t>
        </is>
      </c>
      <c r="C1589" s="0" t="inlineStr">
        <is>
          <t xml:space="preserve">small_craft</t>
        </is>
      </c>
      <c r="D1589" s="4">
        <v>7.4511261399999995</v>
      </c>
      <c r="E1589" s="0" t="inlineStr">
        <is>
          <t xml:space="preserve">GRAVOIS ALUMINUM BOATS LLC</t>
        </is>
      </c>
      <c r="F1589" s="0" t="inlineStr">
        <is>
          <t xml:space="preserve">naics:336612; psc:1940</t>
        </is>
      </c>
    </row>
    <row r="1590">
      <c r="B1590" s="0" t="inlineStr">
        <is>
          <t xml:space="preserve">N0002419F22W1</t>
        </is>
      </c>
      <c r="C1590" s="0" t="inlineStr">
        <is>
          <t xml:space="preserve">small_craft</t>
        </is>
      </c>
      <c r="D1590" s="4">
        <v>7.43656792</v>
      </c>
      <c r="E1590" s="0" t="inlineStr">
        <is>
          <t xml:space="preserve">RIBCRAFT USA, LLC</t>
        </is>
      </c>
      <c r="F1590" s="0" t="inlineStr">
        <is>
          <t xml:space="preserve">naics:336612; psc:1940</t>
        </is>
      </c>
    </row>
    <row r="1591">
      <c r="B1591" s="0" t="inlineStr">
        <is>
          <t xml:space="preserve">N6279320F2010</t>
        </is>
      </c>
      <c r="C1591" s="0" t="inlineStr">
        <is>
          <t xml:space="preserve">broad_maritime</t>
        </is>
      </c>
      <c r="D1591" s="4">
        <v>7.436538209999999</v>
      </c>
      <c r="E1591" s="0" t="inlineStr">
        <is>
          <t xml:space="preserve">HUNTINGTON INGALLS INC</t>
        </is>
      </c>
      <c r="F1591" s="0" t="inlineStr">
        <is>
          <t xml:space="preserve">naics:336611; psc:1905</t>
        </is>
      </c>
    </row>
    <row r="1592">
      <c r="B1592" s="0" t="inlineStr">
        <is>
          <t xml:space="preserve">N5523623F6005</t>
        </is>
      </c>
      <c r="C1592" s="0" t="inlineStr">
        <is>
          <t xml:space="preserve">broad_maritime</t>
        </is>
      </c>
      <c r="D1592" s="4">
        <v>7.42978594</v>
      </c>
      <c r="E1592" s="0" t="inlineStr">
        <is>
          <t xml:space="preserve">EAST COAST REPAIR &amp; FABRICATION, LLC</t>
        </is>
      </c>
      <c r="F1592" s="0" t="inlineStr">
        <is>
          <t xml:space="preserve">naics:336611</t>
        </is>
      </c>
    </row>
    <row r="1593">
      <c r="B1593" s="0" t="inlineStr">
        <is>
          <t xml:space="preserve">N5005418F5092</t>
        </is>
      </c>
      <c r="C1593" s="0" t="inlineStr">
        <is>
          <t xml:space="preserve">broad_maritime</t>
        </is>
      </c>
      <c r="D1593" s="4">
        <v>7.424695809999999</v>
      </c>
      <c r="E1593" s="0" t="inlineStr">
        <is>
          <t xml:space="preserve">HII FLEET SUPPORT GROUP LLC</t>
        </is>
      </c>
      <c r="F1593" s="0" t="inlineStr">
        <is>
          <t xml:space="preserve">naics:336611</t>
        </is>
      </c>
    </row>
    <row r="1594">
      <c r="B1594" s="0" t="inlineStr">
        <is>
          <t xml:space="preserve">N4033924CF013</t>
        </is>
      </c>
      <c r="C1594" s="0" t="inlineStr">
        <is>
          <t xml:space="preserve">broad_maritime</t>
        </is>
      </c>
      <c r="D1594" s="4">
        <v>7.42072619</v>
      </c>
      <c r="E1594" s="0" t="inlineStr">
        <is>
          <t xml:space="preserve">DRY DOCKS WORLD - DUBAI FZCO</t>
        </is>
      </c>
      <c r="F1594" s="0" t="inlineStr">
        <is>
          <t xml:space="preserve">naics:336611</t>
        </is>
      </c>
    </row>
    <row r="1595">
      <c r="B1595" s="0" t="inlineStr">
        <is>
          <t xml:space="preserve">N5005425F2038</t>
        </is>
      </c>
      <c r="C1595" s="0" t="inlineStr">
        <is>
          <t xml:space="preserve">broad_maritime</t>
        </is>
      </c>
      <c r="D1595" s="4">
        <v>7.41834584</v>
      </c>
      <c r="E1595" s="0" t="inlineStr">
        <is>
          <t xml:space="preserve">COLONNA'S SHIP YARD, INCORPORATED</t>
        </is>
      </c>
      <c r="F1595" s="0" t="inlineStr">
        <is>
          <t xml:space="preserve">naics:336611</t>
        </is>
      </c>
    </row>
    <row r="1596">
      <c r="B1596" s="0" t="inlineStr">
        <is>
          <t xml:space="preserve">0017</t>
        </is>
      </c>
      <c r="C1596" s="0" t="inlineStr">
        <is>
          <t xml:space="preserve">broad_maritime</t>
        </is>
      </c>
      <c r="D1596" s="4">
        <v>7.41682907</v>
      </c>
      <c r="E1596" s="0" t="inlineStr">
        <is>
          <t xml:space="preserve">HII FLEET SUPPORT GROUP LLC</t>
        </is>
      </c>
      <c r="F1596" s="0" t="inlineStr">
        <is>
          <t xml:space="preserve">naics:336611</t>
        </is>
      </c>
    </row>
    <row r="1597">
      <c r="B1597" s="0" t="inlineStr">
        <is>
          <t xml:space="preserve">N6449817FBB48</t>
        </is>
      </c>
      <c r="C1597" s="0" t="inlineStr">
        <is>
          <t xml:space="preserve">broad_maritime</t>
        </is>
      </c>
      <c r="D1597" s="4">
        <v>7.41602789</v>
      </c>
      <c r="E1597" s="0" t="inlineStr">
        <is>
          <t xml:space="preserve">HII FLEET SUPPORT GROUP LLC</t>
        </is>
      </c>
      <c r="F1597" s="0" t="inlineStr">
        <is>
          <t xml:space="preserve">naics:336611</t>
        </is>
      </c>
    </row>
    <row r="1598">
      <c r="B1598" s="0" t="inlineStr">
        <is>
          <t xml:space="preserve">N6449817FBB14</t>
        </is>
      </c>
      <c r="C1598" s="0" t="inlineStr">
        <is>
          <t xml:space="preserve">broad_maritime</t>
        </is>
      </c>
      <c r="D1598" s="4">
        <v>7.4144701699999995</v>
      </c>
      <c r="E1598" s="0" t="inlineStr">
        <is>
          <t xml:space="preserve">DELPHINUS ENGINEERING, INC.</t>
        </is>
      </c>
      <c r="F1598" s="0" t="inlineStr">
        <is>
          <t xml:space="preserve">naics:336611</t>
        </is>
      </c>
    </row>
    <row r="1599">
      <c r="B1599" s="0" t="inlineStr">
        <is>
          <t xml:space="preserve">N5005425F6002</t>
        </is>
      </c>
      <c r="C1599" s="0" t="inlineStr">
        <is>
          <t xml:space="preserve">broad_maritime</t>
        </is>
      </c>
      <c r="D1599" s="4">
        <v>7.40801848</v>
      </c>
      <c r="E1599" s="0" t="inlineStr">
        <is>
          <t xml:space="preserve">HII FLEET SUPPORT GROUP LLC</t>
        </is>
      </c>
      <c r="F1599" s="0" t="inlineStr">
        <is>
          <t xml:space="preserve">naics:336611; psc:1905</t>
        </is>
      </c>
    </row>
    <row r="1600">
      <c r="B1600" s="0" t="inlineStr">
        <is>
          <t xml:space="preserve">0005</t>
        </is>
      </c>
      <c r="C1600" s="0" t="inlineStr">
        <is>
          <t xml:space="preserve">broad_maritime</t>
        </is>
      </c>
      <c r="D1600" s="4">
        <v>7.3946054</v>
      </c>
      <c r="E1600" s="0" t="inlineStr">
        <is>
          <t xml:space="preserve">DEFENSE MARITIME SOLUTIONS, INC.</t>
        </is>
      </c>
      <c r="F1600" s="0" t="inlineStr">
        <is>
          <t xml:space="preserve">naics:336611</t>
        </is>
      </c>
    </row>
    <row r="1601">
      <c r="B1601" s="0" t="inlineStr">
        <is>
          <t xml:space="preserve">0277</t>
        </is>
      </c>
      <c r="C1601" s="0" t="inlineStr">
        <is>
          <t xml:space="preserve">broad_maritime</t>
        </is>
      </c>
      <c r="D1601" s="4">
        <v>7.382775</v>
      </c>
      <c r="E1601" s="0" t="inlineStr">
        <is>
          <t xml:space="preserve">VSE CORPORATION</t>
        </is>
      </c>
      <c r="F1601" s="0" t="inlineStr">
        <is>
          <t xml:space="preserve">naics:336611</t>
        </is>
      </c>
    </row>
    <row r="1602">
      <c r="B1602" s="0" t="inlineStr">
        <is>
          <t xml:space="preserve">N6660421F0150</t>
        </is>
      </c>
      <c r="C1602" s="0" t="inlineStr">
        <is>
          <t xml:space="preserve">broad_maritime</t>
        </is>
      </c>
      <c r="D1602" s="4">
        <v>7.371975</v>
      </c>
      <c r="E1602" s="0" t="inlineStr">
        <is>
          <t xml:space="preserve">LOCKHEED MARTIN SIPPICAN, INC.</t>
        </is>
      </c>
      <c r="F1602" s="0" t="inlineStr">
        <is>
          <t xml:space="preserve">psc:2090</t>
        </is>
      </c>
    </row>
    <row r="1603">
      <c r="B1603" s="0" t="inlineStr">
        <is>
          <t xml:space="preserve">0200</t>
        </is>
      </c>
      <c r="C1603" s="0" t="inlineStr">
        <is>
          <t xml:space="preserve">broad_maritime</t>
        </is>
      </c>
      <c r="D1603" s="4">
        <v>7.369307999999999</v>
      </c>
      <c r="E1603" s="0" t="inlineStr">
        <is>
          <t xml:space="preserve">VSE CORPORATION</t>
        </is>
      </c>
      <c r="F1603" s="0" t="inlineStr">
        <is>
          <t xml:space="preserve">naics:336611</t>
        </is>
      </c>
    </row>
    <row r="1604">
      <c r="B1604" s="0" t="inlineStr">
        <is>
          <t xml:space="preserve">N5523623F9913</t>
        </is>
      </c>
      <c r="C1604" s="0" t="inlineStr">
        <is>
          <t xml:space="preserve">broad_maritime</t>
        </is>
      </c>
      <c r="D1604" s="4">
        <v>7.363966</v>
      </c>
      <c r="E1604" s="0" t="inlineStr">
        <is>
          <t xml:space="preserve">HUNTINGTON INGALLS INC</t>
        </is>
      </c>
      <c r="F1604" s="0" t="inlineStr">
        <is>
          <t xml:space="preserve">naics:336611</t>
        </is>
      </c>
    </row>
    <row r="1605">
      <c r="B1605" s="0" t="inlineStr">
        <is>
          <t xml:space="preserve">N3220518C4013</t>
        </is>
      </c>
      <c r="C1605" s="0" t="inlineStr">
        <is>
          <t xml:space="preserve">broad_maritime</t>
        </is>
      </c>
      <c r="D1605" s="4">
        <v>7.363273179999999</v>
      </c>
      <c r="E1605" s="0" t="inlineStr">
        <is>
          <t xml:space="preserve">DETYENS SHIPYARDS INC</t>
        </is>
      </c>
      <c r="F1605" s="0" t="inlineStr">
        <is>
          <t xml:space="preserve">naics:336611</t>
        </is>
      </c>
    </row>
    <row r="1606">
      <c r="B1606" s="0" t="inlineStr">
        <is>
          <t xml:space="preserve">N0016722F0042</t>
        </is>
      </c>
      <c r="C1606" s="0" t="inlineStr">
        <is>
          <t xml:space="preserve">broad_maritime</t>
        </is>
      </c>
      <c r="D1606" s="4">
        <v>7.35941679</v>
      </c>
      <c r="E1606" s="0" t="inlineStr">
        <is>
          <t xml:space="preserve">SEEMANN COMPOSITES, LLC</t>
        </is>
      </c>
      <c r="F1606" s="0" t="inlineStr">
        <is>
          <t xml:space="preserve">naics:336611</t>
        </is>
      </c>
    </row>
    <row r="1607">
      <c r="B1607" s="0" t="inlineStr">
        <is>
          <t xml:space="preserve">N0002424F4130</t>
        </is>
      </c>
      <c r="C1607" s="0" t="inlineStr">
        <is>
          <t xml:space="preserve">broad_maritime</t>
        </is>
      </c>
      <c r="D1607" s="4">
        <v>7.35556358</v>
      </c>
      <c r="E1607" s="0" t="inlineStr">
        <is>
          <t xml:space="preserve">ROLLS-ROYCE SOLUTIONS AMERICA INC</t>
        </is>
      </c>
      <c r="F1607" s="0" t="inlineStr">
        <is>
          <t xml:space="preserve">naics:336611</t>
        </is>
      </c>
    </row>
    <row r="1608">
      <c r="B1608" s="0" t="inlineStr">
        <is>
          <t xml:space="preserve">N3904021C0004</t>
        </is>
      </c>
      <c r="C1608" s="0" t="inlineStr">
        <is>
          <t xml:space="preserve">broad_maritime</t>
        </is>
      </c>
      <c r="D1608" s="4">
        <v>7.343298</v>
      </c>
      <c r="E1608" s="0" t="inlineStr">
        <is>
          <t xml:space="preserve">NORTHROP GRUMMAN SYSTEMS CORPORATION</t>
        </is>
      </c>
      <c r="F1608" s="0" t="inlineStr">
        <is>
          <t xml:space="preserve">naics:336611</t>
        </is>
      </c>
    </row>
    <row r="1609">
      <c r="B1609" s="0" t="inlineStr">
        <is>
          <t xml:space="preserve">N0002422F4119</t>
        </is>
      </c>
      <c r="C1609" s="0" t="inlineStr">
        <is>
          <t xml:space="preserve">broad_maritime</t>
        </is>
      </c>
      <c r="D1609" s="4">
        <v>7.33690445</v>
      </c>
      <c r="E1609" s="0" t="inlineStr">
        <is>
          <t xml:space="preserve">ROLLS-ROYCE SOLUTIONS AMERICA INC</t>
        </is>
      </c>
      <c r="F1609" s="0" t="inlineStr">
        <is>
          <t xml:space="preserve">naics:336611</t>
        </is>
      </c>
    </row>
    <row r="1610">
      <c r="B1610" s="0" t="inlineStr">
        <is>
          <t xml:space="preserve">N6449818FHB11</t>
        </is>
      </c>
      <c r="C1610" s="0" t="inlineStr">
        <is>
          <t xml:space="preserve">broad_maritime</t>
        </is>
      </c>
      <c r="D1610" s="4">
        <v>7.330089889999999</v>
      </c>
      <c r="E1610" s="0" t="inlineStr">
        <is>
          <t xml:space="preserve">TECNICO CORPORATION</t>
        </is>
      </c>
      <c r="F1610" s="0" t="inlineStr">
        <is>
          <t xml:space="preserve">naics:336611</t>
        </is>
      </c>
    </row>
    <row r="1611">
      <c r="B1611" s="0" t="inlineStr">
        <is>
          <t xml:space="preserve">N0002425C2122</t>
        </is>
      </c>
      <c r="C1611" s="0" t="inlineStr">
        <is>
          <t xml:space="preserve">broad_maritime</t>
        </is>
      </c>
      <c r="D1611" s="4">
        <v>7.3240289999999995</v>
      </c>
      <c r="E1611" s="0" t="inlineStr">
        <is>
          <t xml:space="preserve">HUNTINGTON INGALLS INC</t>
        </is>
      </c>
      <c r="F1611" s="0" t="inlineStr">
        <is>
          <t xml:space="preserve">naics:336611; psc:1905</t>
        </is>
      </c>
    </row>
    <row r="1612">
      <c r="B1612" s="0" t="inlineStr">
        <is>
          <t xml:space="preserve">0125</t>
        </is>
      </c>
      <c r="C1612" s="0" t="inlineStr">
        <is>
          <t xml:space="preserve">broad_maritime</t>
        </is>
      </c>
      <c r="D1612" s="4">
        <v>7.320739</v>
      </c>
      <c r="E1612" s="0" t="inlineStr">
        <is>
          <t xml:space="preserve">VSE CORPORATION</t>
        </is>
      </c>
      <c r="F1612" s="0" t="inlineStr">
        <is>
          <t xml:space="preserve">naics:336611</t>
        </is>
      </c>
    </row>
    <row r="1613">
      <c r="B1613" s="0" t="inlineStr">
        <is>
          <t xml:space="preserve">0001</t>
        </is>
      </c>
      <c r="C1613" s="0" t="inlineStr">
        <is>
          <t xml:space="preserve">broad_maritime</t>
        </is>
      </c>
      <c r="D1613" s="4">
        <v>7.31827908</v>
      </c>
      <c r="E1613" s="0" t="inlineStr">
        <is>
          <t xml:space="preserve">GENERAL DYNAMICS INFORMATION TECHNOLOGY, INC.</t>
        </is>
      </c>
      <c r="F1613" s="0" t="inlineStr">
        <is>
          <t xml:space="preserve">naics:336611</t>
        </is>
      </c>
    </row>
    <row r="1614">
      <c r="B1614" s="0" t="inlineStr">
        <is>
          <t xml:space="preserve">N3220518C4005</t>
        </is>
      </c>
      <c r="C1614" s="0" t="inlineStr">
        <is>
          <t xml:space="preserve">broad_maritime</t>
        </is>
      </c>
      <c r="D1614" s="4">
        <v>7.312867</v>
      </c>
      <c r="E1614" s="0" t="inlineStr">
        <is>
          <t xml:space="preserve">VIGOR MARINE LLC</t>
        </is>
      </c>
      <c r="F1614" s="0" t="inlineStr">
        <is>
          <t xml:space="preserve">naics:336611</t>
        </is>
      </c>
    </row>
    <row r="1615">
      <c r="B1615" s="0" t="inlineStr">
        <is>
          <t xml:space="preserve">N0002424F22A8</t>
        </is>
      </c>
      <c r="C1615" s="0" t="inlineStr">
        <is>
          <t xml:space="preserve">small_craft</t>
        </is>
      </c>
      <c r="D1615" s="4">
        <v>7.300380849999999</v>
      </c>
      <c r="E1615" s="0" t="inlineStr">
        <is>
          <t xml:space="preserve">UNITED STATES MARINE INC</t>
        </is>
      </c>
      <c r="F1615" s="0" t="inlineStr">
        <is>
          <t xml:space="preserve">naics:336612; psc:1940</t>
        </is>
      </c>
    </row>
    <row r="1616">
      <c r="B1616" s="0" t="inlineStr">
        <is>
          <t xml:space="preserve">0024</t>
        </is>
      </c>
      <c r="C1616" s="0" t="inlineStr">
        <is>
          <t xml:space="preserve">broad_maritime</t>
        </is>
      </c>
      <c r="D1616" s="4">
        <v>7.292221809999999</v>
      </c>
      <c r="E1616" s="0" t="inlineStr">
        <is>
          <t xml:space="preserve">HII FLEET SUPPORT GROUP LLC</t>
        </is>
      </c>
      <c r="F1616" s="0" t="inlineStr">
        <is>
          <t xml:space="preserve">naics:336611</t>
        </is>
      </c>
    </row>
    <row r="1617">
      <c r="B1617" s="0" t="inlineStr">
        <is>
          <t xml:space="preserve">0030</t>
        </is>
      </c>
      <c r="C1617" s="0" t="inlineStr">
        <is>
          <t xml:space="preserve">broad_maritime</t>
        </is>
      </c>
      <c r="D1617" s="4">
        <v>7.26643215</v>
      </c>
      <c r="E1617" s="0" t="inlineStr">
        <is>
          <t xml:space="preserve">DELPHINUS ENGINEERING, INC.</t>
        </is>
      </c>
      <c r="F1617" s="0" t="inlineStr">
        <is>
          <t xml:space="preserve">naics:336611</t>
        </is>
      </c>
    </row>
    <row r="1618">
      <c r="B1618" s="0" t="inlineStr">
        <is>
          <t xml:space="preserve">N6660419F0811</t>
        </is>
      </c>
      <c r="C1618" s="0" t="inlineStr">
        <is>
          <t xml:space="preserve">broad_maritime</t>
        </is>
      </c>
      <c r="D1618" s="4">
        <v>7.26635</v>
      </c>
      <c r="E1618" s="0" t="inlineStr">
        <is>
          <t xml:space="preserve">LOCKHEED MARTIN SIPPICAN, INC.</t>
        </is>
      </c>
      <c r="F1618" s="0" t="inlineStr">
        <is>
          <t xml:space="preserve">psc:2090</t>
        </is>
      </c>
    </row>
    <row r="1619">
      <c r="B1619" s="0" t="inlineStr">
        <is>
          <t xml:space="preserve">0012</t>
        </is>
      </c>
      <c r="C1619" s="0" t="inlineStr">
        <is>
          <t xml:space="preserve">broad_maritime</t>
        </is>
      </c>
      <c r="D1619" s="4">
        <v>7.264119999999999</v>
      </c>
      <c r="E1619" s="0" t="inlineStr">
        <is>
          <t xml:space="preserve">VSE CORPORATION</t>
        </is>
      </c>
      <c r="F1619" s="0" t="inlineStr">
        <is>
          <t xml:space="preserve">naics:336611</t>
        </is>
      </c>
    </row>
    <row r="1620">
      <c r="B1620" s="0" t="inlineStr">
        <is>
          <t xml:space="preserve">0180</t>
        </is>
      </c>
      <c r="C1620" s="0" t="inlineStr">
        <is>
          <t xml:space="preserve">broad_maritime</t>
        </is>
      </c>
      <c r="D1620" s="4">
        <v>7.2535359999999995</v>
      </c>
      <c r="E1620" s="0" t="inlineStr">
        <is>
          <t xml:space="preserve">VSE CORPORATION</t>
        </is>
      </c>
      <c r="F1620" s="0" t="inlineStr">
        <is>
          <t xml:space="preserve">naics:336611</t>
        </is>
      </c>
    </row>
    <row r="1621">
      <c r="B1621" s="0" t="inlineStr">
        <is>
          <t xml:space="preserve">N4215825FSS50</t>
        </is>
      </c>
      <c r="C1621" s="0" t="inlineStr">
        <is>
          <t xml:space="preserve">broad_maritime</t>
        </is>
      </c>
      <c r="D1621" s="4">
        <v>7.24343577</v>
      </c>
      <c r="E1621" s="0" t="inlineStr">
        <is>
          <t xml:space="preserve">AMP UNITED LLC</t>
        </is>
      </c>
      <c r="F1621" s="0" t="inlineStr">
        <is>
          <t xml:space="preserve">naics:336611</t>
        </is>
      </c>
    </row>
    <row r="1622">
      <c r="B1622" s="0" t="inlineStr">
        <is>
          <t xml:space="preserve">0005</t>
        </is>
      </c>
      <c r="C1622" s="0" t="inlineStr">
        <is>
          <t xml:space="preserve">broad_maritime</t>
        </is>
      </c>
      <c r="D1622" s="4">
        <v>7.24168598</v>
      </c>
      <c r="E1622" s="0" t="inlineStr">
        <is>
          <t xml:space="preserve">QED SYSTEMS, INC.</t>
        </is>
      </c>
      <c r="F1622" s="0" t="inlineStr">
        <is>
          <t xml:space="preserve">naics:336611</t>
        </is>
      </c>
    </row>
    <row r="1623">
      <c r="B1623" s="0" t="inlineStr">
        <is>
          <t xml:space="preserve">0006</t>
        </is>
      </c>
      <c r="C1623" s="0" t="inlineStr">
        <is>
          <t xml:space="preserve">broad_maritime</t>
        </is>
      </c>
      <c r="D1623" s="4">
        <v>7.235170999999999</v>
      </c>
      <c r="E1623" s="0" t="inlineStr">
        <is>
          <t xml:space="preserve">RAYTHEON COMPANY</t>
        </is>
      </c>
      <c r="F1623" s="0" t="inlineStr">
        <is>
          <t xml:space="preserve">naics:336611</t>
        </is>
      </c>
    </row>
    <row r="1624">
      <c r="B1624" s="0" t="inlineStr">
        <is>
          <t xml:space="preserve">N3220518C4014</t>
        </is>
      </c>
      <c r="C1624" s="0" t="inlineStr">
        <is>
          <t xml:space="preserve">broad_maritime</t>
        </is>
      </c>
      <c r="D1624" s="4">
        <v>7.228854</v>
      </c>
      <c r="E1624" s="0" t="inlineStr">
        <is>
          <t xml:space="preserve">DETYENS SHIPYARDS INC</t>
        </is>
      </c>
      <c r="F1624" s="0" t="inlineStr">
        <is>
          <t xml:space="preserve">naics:336611</t>
        </is>
      </c>
    </row>
    <row r="1625">
      <c r="B1625" s="0" t="inlineStr">
        <is>
          <t xml:space="preserve">N3225322C0003</t>
        </is>
      </c>
      <c r="C1625" s="0" t="inlineStr">
        <is>
          <t xml:space="preserve">broad_maritime</t>
        </is>
      </c>
      <c r="D1625" s="4">
        <v>7.224281159999999</v>
      </c>
      <c r="E1625" s="0" t="inlineStr">
        <is>
          <t xml:space="preserve">NORTHROP GRUMMAN SYSTEMS CORPORATION</t>
        </is>
      </c>
      <c r="F1625" s="0" t="inlineStr">
        <is>
          <t xml:space="preserve">naics:336611</t>
        </is>
      </c>
    </row>
    <row r="1626">
      <c r="B1626" s="0" t="inlineStr">
        <is>
          <t xml:space="preserve">N6449824F3006</t>
        </is>
      </c>
      <c r="C1626" s="0" t="inlineStr">
        <is>
          <t xml:space="preserve">broad_maritime</t>
        </is>
      </c>
      <c r="D1626" s="4">
        <v>7.22094428</v>
      </c>
      <c r="E1626" s="0" t="inlineStr">
        <is>
          <t xml:space="preserve">HII FLEET SUPPORT GROUP LLC</t>
        </is>
      </c>
      <c r="F1626" s="0" t="inlineStr">
        <is>
          <t xml:space="preserve">naics:336611</t>
        </is>
      </c>
    </row>
    <row r="1627">
      <c r="B1627" s="0" t="inlineStr">
        <is>
          <t xml:space="preserve">N0010426FZX01</t>
        </is>
      </c>
      <c r="C1627" s="0" t="inlineStr">
        <is>
          <t xml:space="preserve">broad_maritime</t>
        </is>
      </c>
      <c r="D1627" s="4">
        <v>7.21892001</v>
      </c>
      <c r="E1627" s="0" t="inlineStr">
        <is>
          <t xml:space="preserve">CURTISS-WRIGHT ELECTRO-MECHANICAL CORPORATION</t>
        </is>
      </c>
      <c r="F1627" s="0" t="inlineStr">
        <is>
          <t xml:space="preserve">naics:336611</t>
        </is>
      </c>
    </row>
    <row r="1628">
      <c r="B1628" s="0" t="inlineStr">
        <is>
          <t xml:space="preserve">N5005421FC016</t>
        </is>
      </c>
      <c r="C1628" s="0" t="inlineStr">
        <is>
          <t xml:space="preserve">broad_maritime</t>
        </is>
      </c>
      <c r="D1628" s="4">
        <v>7.206667019999999</v>
      </c>
      <c r="E1628" s="0" t="inlineStr">
        <is>
          <t xml:space="preserve">EAST COAST REPAIR &amp; FABRICATION, LLC</t>
        </is>
      </c>
      <c r="F1628" s="0" t="inlineStr">
        <is>
          <t xml:space="preserve">naics:336611</t>
        </is>
      </c>
    </row>
    <row r="1629">
      <c r="B1629" s="0" t="inlineStr">
        <is>
          <t xml:space="preserve">N0002423F23B4</t>
        </is>
      </c>
      <c r="C1629" s="0" t="inlineStr">
        <is>
          <t xml:space="preserve">small_craft</t>
        </is>
      </c>
      <c r="D1629" s="4">
        <v>7.2065233</v>
      </c>
      <c r="E1629" s="0" t="inlineStr">
        <is>
          <t xml:space="preserve">UNITED STATES MARINE INC</t>
        </is>
      </c>
      <c r="F1629" s="0" t="inlineStr">
        <is>
          <t xml:space="preserve">naics:336612; psc:1940</t>
        </is>
      </c>
    </row>
    <row r="1630">
      <c r="B1630" s="0" t="inlineStr">
        <is>
          <t xml:space="preserve">N6449818FHB31</t>
        </is>
      </c>
      <c r="C1630" s="0" t="inlineStr">
        <is>
          <t xml:space="preserve">broad_maritime</t>
        </is>
      </c>
      <c r="D1630" s="4">
        <v>7.1998868</v>
      </c>
      <c r="E1630" s="0" t="inlineStr">
        <is>
          <t xml:space="preserve">TECNICO CORPORATION</t>
        </is>
      </c>
      <c r="F1630" s="0" t="inlineStr">
        <is>
          <t xml:space="preserve">naics:336611</t>
        </is>
      </c>
    </row>
    <row r="1631">
      <c r="B1631" s="0" t="inlineStr">
        <is>
          <t xml:space="preserve">N5005422F5127</t>
        </is>
      </c>
      <c r="C1631" s="0" t="inlineStr">
        <is>
          <t xml:space="preserve">broad_maritime</t>
        </is>
      </c>
      <c r="D1631" s="4">
        <v>7.1949494</v>
      </c>
      <c r="E1631" s="0" t="inlineStr">
        <is>
          <t xml:space="preserve">COLONNA'S SHIP YARD, INCORPORATED</t>
        </is>
      </c>
      <c r="F1631" s="0" t="inlineStr">
        <is>
          <t xml:space="preserve">naics:336611</t>
        </is>
      </c>
    </row>
    <row r="1632">
      <c r="B1632" s="0" t="inlineStr">
        <is>
          <t xml:space="preserve">N0002418C2316</t>
        </is>
      </c>
      <c r="C1632" s="0" t="inlineStr">
        <is>
          <t xml:space="preserve">broad_maritime</t>
        </is>
      </c>
      <c r="D1632" s="4">
        <v>7.180173</v>
      </c>
      <c r="E1632" s="0" t="inlineStr">
        <is>
          <t xml:space="preserve">PACIFIC SHIP REPAIR &amp; FABRICATION INC</t>
        </is>
      </c>
      <c r="F1632" s="0" t="inlineStr">
        <is>
          <t xml:space="preserve">naics:336611; psc:1905</t>
        </is>
      </c>
    </row>
    <row r="1633">
      <c r="B1633" s="0" t="inlineStr">
        <is>
          <t xml:space="preserve">N6817120F6138</t>
        </is>
      </c>
      <c r="C1633" s="0" t="inlineStr">
        <is>
          <t xml:space="preserve">broad_maritime</t>
        </is>
      </c>
      <c r="D1633" s="4">
        <v>7.17924819</v>
      </c>
      <c r="E1633" s="0" t="inlineStr">
        <is>
          <t xml:space="preserve">NAVANTIA REPARACIONES SAN FERNANDO</t>
        </is>
      </c>
      <c r="F1633" s="0" t="inlineStr">
        <is>
          <t xml:space="preserve">naics:336611</t>
        </is>
      </c>
    </row>
    <row r="1634">
      <c r="B1634" s="0" t="inlineStr">
        <is>
          <t xml:space="preserve">N4033918CF015</t>
        </is>
      </c>
      <c r="C1634" s="0" t="inlineStr">
        <is>
          <t xml:space="preserve">broad_maritime</t>
        </is>
      </c>
      <c r="D1634" s="4">
        <v>7.173575</v>
      </c>
      <c r="E1634" s="0" t="inlineStr">
        <is>
          <t xml:space="preserve">DRY DOCKS WORLD - DUBAI FZCO</t>
        </is>
      </c>
      <c r="F1634" s="0" t="inlineStr">
        <is>
          <t xml:space="preserve">naics:336611</t>
        </is>
      </c>
    </row>
    <row r="1635">
      <c r="B1635" s="0" t="inlineStr">
        <is>
          <t xml:space="preserve">N6449821F3108</t>
        </is>
      </c>
      <c r="C1635" s="0" t="inlineStr">
        <is>
          <t xml:space="preserve">broad_maritime</t>
        </is>
      </c>
      <c r="D1635" s="4">
        <v>7.17316667</v>
      </c>
      <c r="E1635" s="0" t="inlineStr">
        <is>
          <t xml:space="preserve">QED SYSTEMS, INC.</t>
        </is>
      </c>
      <c r="F1635" s="0" t="inlineStr">
        <is>
          <t xml:space="preserve">naics:336611</t>
        </is>
      </c>
    </row>
    <row r="1636">
      <c r="B1636" s="0" t="inlineStr">
        <is>
          <t xml:space="preserve">N0002422F4120</t>
        </is>
      </c>
      <c r="C1636" s="0" t="inlineStr">
        <is>
          <t xml:space="preserve">broad_maritime</t>
        </is>
      </c>
      <c r="D1636" s="4">
        <v>7.16916374</v>
      </c>
      <c r="E1636" s="0" t="inlineStr">
        <is>
          <t xml:space="preserve">ROLLS-ROYCE SOLUTIONS AMERICA INC</t>
        </is>
      </c>
      <c r="F1636" s="0" t="inlineStr">
        <is>
          <t xml:space="preserve">naics:336611</t>
        </is>
      </c>
    </row>
    <row r="1637">
      <c r="B1637" s="0" t="inlineStr">
        <is>
          <t xml:space="preserve">N3220516C4307</t>
        </is>
      </c>
      <c r="C1637" s="0" t="inlineStr">
        <is>
          <t xml:space="preserve">broad_maritime</t>
        </is>
      </c>
      <c r="D1637" s="4">
        <v>7.158579</v>
      </c>
      <c r="E1637" s="0" t="inlineStr">
        <is>
          <t xml:space="preserve">VIGOR MARINE LLC</t>
        </is>
      </c>
      <c r="F1637" s="0" t="inlineStr">
        <is>
          <t xml:space="preserve">naics:336611</t>
        </is>
      </c>
    </row>
    <row r="1638">
      <c r="B1638" s="0" t="inlineStr">
        <is>
          <t xml:space="preserve">N3220519C4008</t>
        </is>
      </c>
      <c r="C1638" s="0" t="inlineStr">
        <is>
          <t xml:space="preserve">broad_maritime</t>
        </is>
      </c>
      <c r="D1638" s="4">
        <v>7.148089</v>
      </c>
      <c r="E1638" s="0" t="inlineStr">
        <is>
          <t xml:space="preserve">VIGOR MARINE LLC</t>
        </is>
      </c>
      <c r="F1638" s="0" t="inlineStr">
        <is>
          <t xml:space="preserve">naics:336611</t>
        </is>
      </c>
    </row>
    <row r="1639">
      <c r="B1639" s="0" t="inlineStr">
        <is>
          <t xml:space="preserve">N6817123F6051</t>
        </is>
      </c>
      <c r="C1639" s="0" t="inlineStr">
        <is>
          <t xml:space="preserve">broad_maritime</t>
        </is>
      </c>
      <c r="D1639" s="4">
        <v>7.146540269999999</v>
      </c>
      <c r="E1639" s="0" t="inlineStr">
        <is>
          <t xml:space="preserve">NAVANTIA, S.A., S.M.E.</t>
        </is>
      </c>
      <c r="F1639" s="0" t="inlineStr">
        <is>
          <t xml:space="preserve">naics:336611</t>
        </is>
      </c>
    </row>
    <row r="1640">
      <c r="B1640" s="0" t="inlineStr">
        <is>
          <t xml:space="preserve">N0001423C1052</t>
        </is>
      </c>
      <c r="C1640" s="0" t="inlineStr">
        <is>
          <t xml:space="preserve">usv_core</t>
        </is>
      </c>
      <c r="D1640" s="4">
        <v>7.14</v>
      </c>
      <c r="E1640" s="0" t="inlineStr">
        <is>
          <t xml:space="preserve">UNIVERSITY OF SOUTH CAROLINA</t>
        </is>
      </c>
      <c r="F1640" s="0" t="inlineStr">
        <is>
          <t xml:space="preserve">keyword</t>
        </is>
      </c>
    </row>
    <row r="1641">
      <c r="B1641" s="0" t="inlineStr">
        <is>
          <t xml:space="preserve">N6931620F6000</t>
        </is>
      </c>
      <c r="C1641" s="0" t="inlineStr">
        <is>
          <t xml:space="preserve">broad_maritime</t>
        </is>
      </c>
      <c r="D1641" s="4">
        <v>7.131593</v>
      </c>
      <c r="E1641" s="0" t="inlineStr">
        <is>
          <t xml:space="preserve">HUNTINGTON INGALLS INCORPORATED</t>
        </is>
      </c>
      <c r="F1641" s="0" t="inlineStr">
        <is>
          <t xml:space="preserve">naics:336611</t>
        </is>
      </c>
    </row>
    <row r="1642">
      <c r="B1642" s="0" t="inlineStr">
        <is>
          <t xml:space="preserve">0001</t>
        </is>
      </c>
      <c r="C1642" s="0" t="inlineStr">
        <is>
          <t xml:space="preserve">broad_maritime</t>
        </is>
      </c>
      <c r="D1642" s="4">
        <v>7.12360206</v>
      </c>
      <c r="E1642" s="0" t="inlineStr">
        <is>
          <t xml:space="preserve">DELPHINUS ENGINEERING, INC.</t>
        </is>
      </c>
      <c r="F1642" s="0" t="inlineStr">
        <is>
          <t xml:space="preserve">naics:336611</t>
        </is>
      </c>
    </row>
    <row r="1643">
      <c r="B1643" s="0" t="inlineStr">
        <is>
          <t xml:space="preserve">N0002419F2240</t>
        </is>
      </c>
      <c r="C1643" s="0" t="inlineStr">
        <is>
          <t xml:space="preserve">small_craft</t>
        </is>
      </c>
      <c r="D1643" s="4">
        <v>7.123011249999999</v>
      </c>
      <c r="E1643" s="0" t="inlineStr">
        <is>
          <t xml:space="preserve">MODUTECH MARINE, INC.</t>
        </is>
      </c>
      <c r="F1643" s="0" t="inlineStr">
        <is>
          <t xml:space="preserve">naics:336612; psc:1925</t>
        </is>
      </c>
    </row>
    <row r="1644">
      <c r="B1644" s="0" t="inlineStr">
        <is>
          <t xml:space="preserve">N0002425C2415</t>
        </is>
      </c>
      <c r="C1644" s="0" t="inlineStr">
        <is>
          <t xml:space="preserve">broad_maritime</t>
        </is>
      </c>
      <c r="D1644" s="4">
        <v>7.122077</v>
      </c>
      <c r="E1644" s="0" t="inlineStr">
        <is>
          <t xml:space="preserve">BOLLINGER SHIPYARDS LOCKPORT, L.L.C.</t>
        </is>
      </c>
      <c r="F1644" s="0" t="inlineStr">
        <is>
          <t xml:space="preserve">naics:336611; psc:1905</t>
        </is>
      </c>
    </row>
    <row r="1645">
      <c r="B1645" s="0" t="inlineStr">
        <is>
          <t xml:space="preserve">N0002422F22A9</t>
        </is>
      </c>
      <c r="C1645" s="0" t="inlineStr">
        <is>
          <t xml:space="preserve">small_craft</t>
        </is>
      </c>
      <c r="D1645" s="4">
        <v>7.12098387</v>
      </c>
      <c r="E1645" s="0" t="inlineStr">
        <is>
          <t xml:space="preserve">GRAVOIS ALUMINUM BOATS LLC</t>
        </is>
      </c>
      <c r="F1645" s="0" t="inlineStr">
        <is>
          <t xml:space="preserve">naics:336612; psc:1940</t>
        </is>
      </c>
    </row>
    <row r="1646">
      <c r="B1646" s="0" t="inlineStr">
        <is>
          <t xml:space="preserve">N3904023C0014</t>
        </is>
      </c>
      <c r="C1646" s="0" t="inlineStr">
        <is>
          <t xml:space="preserve">broad_maritime</t>
        </is>
      </c>
      <c r="D1646" s="4">
        <v>7.120292</v>
      </c>
      <c r="E1646" s="0" t="inlineStr">
        <is>
          <t xml:space="preserve">NORTHROP GRUMMAN SYSTEMS CORPORATION</t>
        </is>
      </c>
      <c r="F1646" s="0" t="inlineStr">
        <is>
          <t xml:space="preserve">naics:336611</t>
        </is>
      </c>
    </row>
    <row r="1647">
      <c r="B1647" s="0" t="inlineStr">
        <is>
          <t xml:space="preserve">N5005423F2078</t>
        </is>
      </c>
      <c r="C1647" s="0" t="inlineStr">
        <is>
          <t xml:space="preserve">broad_maritime</t>
        </is>
      </c>
      <c r="D1647" s="4">
        <v>7.12023214</v>
      </c>
      <c r="E1647" s="0" t="inlineStr">
        <is>
          <t xml:space="preserve">COLONNA'S SHIP YARD, INCORPORATED</t>
        </is>
      </c>
      <c r="F1647" s="0" t="inlineStr">
        <is>
          <t xml:space="preserve">naics:336611</t>
        </is>
      </c>
    </row>
    <row r="1648">
      <c r="B1648" s="0" t="inlineStr">
        <is>
          <t xml:space="preserve">N4215823FSD04</t>
        </is>
      </c>
      <c r="C1648" s="0" t="inlineStr">
        <is>
          <t xml:space="preserve">broad_maritime</t>
        </is>
      </c>
      <c r="D1648" s="4">
        <v>7.11886909</v>
      </c>
      <c r="E1648" s="0" t="inlineStr">
        <is>
          <t xml:space="preserve">EPSILON SYSTEMS SOLUTIONS INC</t>
        </is>
      </c>
      <c r="F1648" s="0" t="inlineStr">
        <is>
          <t xml:space="preserve">naics:336611</t>
        </is>
      </c>
    </row>
    <row r="1649">
      <c r="B1649" s="0" t="inlineStr">
        <is>
          <t xml:space="preserve">N6264925CLA04</t>
        </is>
      </c>
      <c r="C1649" s="0" t="inlineStr">
        <is>
          <t xml:space="preserve">broad_maritime</t>
        </is>
      </c>
      <c r="D1649" s="4">
        <v>7.1149507</v>
      </c>
      <c r="E1649" s="0" t="inlineStr">
        <is>
          <t xml:space="preserve">HANWHA OCEAN CO., LTD.</t>
        </is>
      </c>
      <c r="F1649" s="0" t="inlineStr">
        <is>
          <t xml:space="preserve">naics:336611</t>
        </is>
      </c>
    </row>
    <row r="1650">
      <c r="B1650" s="0" t="inlineStr">
        <is>
          <t xml:space="preserve">N3225320P0029</t>
        </is>
      </c>
      <c r="C1650" s="0" t="inlineStr">
        <is>
          <t xml:space="preserve">broad_maritime</t>
        </is>
      </c>
      <c r="D1650" s="4">
        <v>7.105322879999999</v>
      </c>
      <c r="E1650" s="0" t="inlineStr">
        <is>
          <t xml:space="preserve">FAIRBANKS MORSE, LLC</t>
        </is>
      </c>
      <c r="F1650" s="0" t="inlineStr">
        <is>
          <t xml:space="preserve">naics:336611</t>
        </is>
      </c>
    </row>
    <row r="1651">
      <c r="B1651" s="0" t="inlineStr">
        <is>
          <t xml:space="preserve">N6278623F0018</t>
        </is>
      </c>
      <c r="C1651" s="0" t="inlineStr">
        <is>
          <t xml:space="preserve">broad_maritime</t>
        </is>
      </c>
      <c r="D1651" s="4">
        <v>7.1037</v>
      </c>
      <c r="E1651" s="0" t="inlineStr">
        <is>
          <t xml:space="preserve">LOCKHEED MARTIN CORPORATION</t>
        </is>
      </c>
      <c r="F1651" s="0" t="inlineStr">
        <is>
          <t xml:space="preserve">naics:336611; psc:1905</t>
        </is>
      </c>
    </row>
    <row r="1652">
      <c r="B1652" s="0" t="inlineStr">
        <is>
          <t xml:space="preserve">0014</t>
        </is>
      </c>
      <c r="C1652" s="0" t="inlineStr">
        <is>
          <t xml:space="preserve">broad_maritime</t>
        </is>
      </c>
      <c r="D1652" s="4">
        <v>7.10215367</v>
      </c>
      <c r="E1652" s="0" t="inlineStr">
        <is>
          <t xml:space="preserve">GENERAL DYNAMICS INFORMATION TECHNOLOGY, INC.</t>
        </is>
      </c>
      <c r="F1652" s="0" t="inlineStr">
        <is>
          <t xml:space="preserve">naics:336611</t>
        </is>
      </c>
    </row>
    <row r="1653">
      <c r="B1653" s="0" t="inlineStr">
        <is>
          <t xml:space="preserve">N0002413F2254</t>
        </is>
      </c>
      <c r="C1653" s="0" t="inlineStr">
        <is>
          <t xml:space="preserve">small_craft</t>
        </is>
      </c>
      <c r="D1653" s="4">
        <v>7.06341028</v>
      </c>
      <c r="E1653" s="0" t="inlineStr">
        <is>
          <t xml:space="preserve">SAFE BOATS INTERNATIONAL LLC</t>
        </is>
      </c>
      <c r="F1653" s="0" t="inlineStr">
        <is>
          <t xml:space="preserve">psc:1940</t>
        </is>
      </c>
    </row>
    <row r="1654">
      <c r="B1654" s="0" t="inlineStr">
        <is>
          <t xml:space="preserve">N5523625F9971</t>
        </is>
      </c>
      <c r="C1654" s="0" t="inlineStr">
        <is>
          <t xml:space="preserve">broad_maritime</t>
        </is>
      </c>
      <c r="D1654" s="4">
        <v>7.04596</v>
      </c>
      <c r="E1654" s="0" t="inlineStr">
        <is>
          <t xml:space="preserve">HII FLEET SUPPORT GROUP LLC</t>
        </is>
      </c>
      <c r="F1654" s="0" t="inlineStr">
        <is>
          <t xml:space="preserve">psc:1905</t>
        </is>
      </c>
    </row>
    <row r="1655">
      <c r="B1655" s="0" t="inlineStr">
        <is>
          <t xml:space="preserve">N6279322F0005</t>
        </is>
      </c>
      <c r="C1655" s="0" t="inlineStr">
        <is>
          <t xml:space="preserve">broad_maritime</t>
        </is>
      </c>
      <c r="D1655" s="4">
        <v>7.003441039999999</v>
      </c>
      <c r="E1655" s="0" t="inlineStr">
        <is>
          <t xml:space="preserve">HII FLEET SUPPORT GROUP LLC</t>
        </is>
      </c>
      <c r="F1655" s="0" t="inlineStr">
        <is>
          <t xml:space="preserve">psc:1905</t>
        </is>
      </c>
    </row>
    <row r="1656">
      <c r="B1656" s="0" t="inlineStr">
        <is>
          <t xml:space="preserve">N5005422F3006</t>
        </is>
      </c>
      <c r="C1656" s="0" t="inlineStr">
        <is>
          <t xml:space="preserve">broad_maritime</t>
        </is>
      </c>
      <c r="D1656" s="4">
        <v>6.953241599999999</v>
      </c>
      <c r="E1656" s="0" t="inlineStr">
        <is>
          <t xml:space="preserve">HII FLEET SUPPORT GROUP LLC</t>
        </is>
      </c>
      <c r="F1656" s="0" t="inlineStr">
        <is>
          <t xml:space="preserve">psc:1905</t>
        </is>
      </c>
    </row>
    <row r="1657">
      <c r="B1657" s="0" t="inlineStr">
        <is>
          <t xml:space="preserve">FX05</t>
        </is>
      </c>
      <c r="C1657" s="0" t="inlineStr">
        <is>
          <t xml:space="preserve">broad_maritime</t>
        </is>
      </c>
      <c r="D1657" s="4">
        <v>6.937647</v>
      </c>
      <c r="E1657" s="0" t="inlineStr">
        <is>
          <t xml:space="preserve">HUNTINGTON INGALLS INC</t>
        </is>
      </c>
      <c r="F1657" s="0" t="inlineStr">
        <is>
          <t xml:space="preserve">psc:1905</t>
        </is>
      </c>
    </row>
    <row r="1658">
      <c r="B1658" s="0" t="inlineStr">
        <is>
          <t xml:space="preserve">N0002425F22B1</t>
        </is>
      </c>
      <c r="C1658" s="0" t="inlineStr">
        <is>
          <t xml:space="preserve">small_craft</t>
        </is>
      </c>
      <c r="D1658" s="4">
        <v>6.925910539999999</v>
      </c>
      <c r="E1658" s="0" t="inlineStr">
        <is>
          <t xml:space="preserve">GRAVOIS ALUMINUM BOATS LLC</t>
        </is>
      </c>
      <c r="F1658" s="0" t="inlineStr">
        <is>
          <t xml:space="preserve">naics:336612; psc:1940</t>
        </is>
      </c>
    </row>
    <row r="1659">
      <c r="B1659" s="0" t="inlineStr">
        <is>
          <t xml:space="preserve">N6660418F0285</t>
        </is>
      </c>
      <c r="C1659" s="0" t="inlineStr">
        <is>
          <t xml:space="preserve">broad_maritime</t>
        </is>
      </c>
      <c r="D1659" s="4">
        <v>6.925</v>
      </c>
      <c r="E1659" s="0" t="inlineStr">
        <is>
          <t xml:space="preserve">LOCKHEED MARTIN SIPPICAN, INC.</t>
        </is>
      </c>
      <c r="F1659" s="0" t="inlineStr">
        <is>
          <t xml:space="preserve">psc:2090</t>
        </is>
      </c>
    </row>
    <row r="1660">
      <c r="B1660" s="0" t="inlineStr">
        <is>
          <t xml:space="preserve">0008</t>
        </is>
      </c>
      <c r="C1660" s="0" t="inlineStr">
        <is>
          <t xml:space="preserve">other_small</t>
        </is>
      </c>
      <c r="D1660" s="4">
        <v>6.917803999999999</v>
      </c>
      <c r="E1660" s="0" t="inlineStr">
        <is>
          <t xml:space="preserve">LOCKHEED MARTIN CORPORATION</t>
        </is>
      </c>
      <c r="F1660" s="0" t="inlineStr">
        <is>
          <t xml:space="preserve">psc:1990</t>
        </is>
      </c>
    </row>
    <row r="1661">
      <c r="B1661" s="0" t="inlineStr">
        <is>
          <t xml:space="preserve">N0002421F22B1</t>
        </is>
      </c>
      <c r="C1661" s="0" t="inlineStr">
        <is>
          <t xml:space="preserve">small_craft</t>
        </is>
      </c>
      <c r="D1661" s="4">
        <v>6.892786769999999</v>
      </c>
      <c r="E1661" s="0" t="inlineStr">
        <is>
          <t xml:space="preserve">RIBCRAFT USA, LLC</t>
        </is>
      </c>
      <c r="F1661" s="0" t="inlineStr">
        <is>
          <t xml:space="preserve">naics:336612; psc:1940</t>
        </is>
      </c>
    </row>
    <row r="1662">
      <c r="B1662" s="0" t="inlineStr">
        <is>
          <t xml:space="preserve">N3220517C4700</t>
        </is>
      </c>
      <c r="C1662" s="0" t="inlineStr">
        <is>
          <t xml:space="preserve">other_small</t>
        </is>
      </c>
      <c r="D1662" s="4">
        <v>6.8443225</v>
      </c>
      <c r="E1662" s="0" t="inlineStr">
        <is>
          <t xml:space="preserve">DETYENS SHIPYARDS INC</t>
        </is>
      </c>
      <c r="F1662" s="0" t="inlineStr">
        <is>
          <t xml:space="preserve">psc:1990</t>
        </is>
      </c>
    </row>
    <row r="1663">
      <c r="B1663" s="0" t="inlineStr">
        <is>
          <t xml:space="preserve">N0002425F22A1</t>
        </is>
      </c>
      <c r="C1663" s="0" t="inlineStr">
        <is>
          <t xml:space="preserve">small_craft</t>
        </is>
      </c>
      <c r="D1663" s="4">
        <v>6.816885999999999</v>
      </c>
      <c r="E1663" s="0" t="inlineStr">
        <is>
          <t xml:space="preserve">RECONCRAFT, LLC</t>
        </is>
      </c>
      <c r="F1663" s="0" t="inlineStr">
        <is>
          <t xml:space="preserve">naics:336612; psc:1940</t>
        </is>
      </c>
    </row>
    <row r="1664">
      <c r="B1664" s="0" t="inlineStr">
        <is>
          <t xml:space="preserve">N5005425F6003</t>
        </is>
      </c>
      <c r="C1664" s="0" t="inlineStr">
        <is>
          <t xml:space="preserve">broad_maritime</t>
        </is>
      </c>
      <c r="D1664" s="4">
        <v>6.804661019999999</v>
      </c>
      <c r="E1664" s="0" t="inlineStr">
        <is>
          <t xml:space="preserve">HII FLEET SUPPORT GROUP LLC</t>
        </is>
      </c>
      <c r="F1664" s="0" t="inlineStr">
        <is>
          <t xml:space="preserve">psc:1905</t>
        </is>
      </c>
    </row>
    <row r="1665">
      <c r="B1665" s="0" t="inlineStr">
        <is>
          <t xml:space="preserve">N6279321F0001</t>
        </is>
      </c>
      <c r="C1665" s="0" t="inlineStr">
        <is>
          <t xml:space="preserve">broad_maritime</t>
        </is>
      </c>
      <c r="D1665" s="4">
        <v>6.783656559999999</v>
      </c>
      <c r="E1665" s="0" t="inlineStr">
        <is>
          <t xml:space="preserve">HII FLEET SUPPORT GROUP LLC</t>
        </is>
      </c>
      <c r="F1665" s="0" t="inlineStr">
        <is>
          <t xml:space="preserve">psc:1905</t>
        </is>
      </c>
    </row>
    <row r="1666">
      <c r="B1666" s="0" t="inlineStr">
        <is>
          <t xml:space="preserve">N0002420C2251</t>
        </is>
      </c>
      <c r="C1666" s="0" t="inlineStr">
        <is>
          <t xml:space="preserve">small_craft</t>
        </is>
      </c>
      <c r="D1666" s="4">
        <v>6.760972</v>
      </c>
      <c r="E1666" s="0" t="inlineStr">
        <is>
          <t xml:space="preserve">SILVER SHIPS, INC</t>
        </is>
      </c>
      <c r="F1666" s="0" t="inlineStr">
        <is>
          <t xml:space="preserve">naics:336612; psc:1940</t>
        </is>
      </c>
    </row>
    <row r="1667">
      <c r="B1667" s="0" t="inlineStr">
        <is>
          <t xml:space="preserve">N5523622F9961</t>
        </is>
      </c>
      <c r="C1667" s="0" t="inlineStr">
        <is>
          <t xml:space="preserve">broad_maritime</t>
        </is>
      </c>
      <c r="D1667" s="4">
        <v>6.75498</v>
      </c>
      <c r="E1667" s="0" t="inlineStr">
        <is>
          <t xml:space="preserve">HII FLEET SUPPORT GROUP LLC</t>
        </is>
      </c>
      <c r="F1667" s="0" t="inlineStr">
        <is>
          <t xml:space="preserve">psc:1905</t>
        </is>
      </c>
    </row>
    <row r="1668">
      <c r="B1668" s="0" t="inlineStr">
        <is>
          <t xml:space="preserve">0002</t>
        </is>
      </c>
      <c r="C1668" s="0" t="inlineStr">
        <is>
          <t xml:space="preserve">small_craft</t>
        </is>
      </c>
      <c r="D1668" s="4">
        <v>6.720902</v>
      </c>
      <c r="E1668" s="0" t="inlineStr">
        <is>
          <t xml:space="preserve">SILVER SHIPS, INC</t>
        </is>
      </c>
      <c r="F1668" s="0" t="inlineStr">
        <is>
          <t xml:space="preserve">naics:336612; psc:1940</t>
        </is>
      </c>
    </row>
    <row r="1669">
      <c r="B1669" s="0" t="inlineStr">
        <is>
          <t xml:space="preserve">HR12</t>
        </is>
      </c>
      <c r="C1669" s="0" t="inlineStr">
        <is>
          <t xml:space="preserve">usv_core</t>
        </is>
      </c>
      <c r="D1669" s="4">
        <v>6.703340799999999</v>
      </c>
      <c r="E1669" s="0" t="inlineStr">
        <is>
          <t xml:space="preserve">INNOVATIVE PROFESSIONAL SOLUTIONS, INC.</t>
        </is>
      </c>
      <c r="F1669" s="0" t="inlineStr">
        <is>
          <t xml:space="preserve">keyword</t>
        </is>
      </c>
    </row>
    <row r="1670">
      <c r="B1670" s="0" t="inlineStr">
        <is>
          <t xml:space="preserve">HR06</t>
        </is>
      </c>
      <c r="C1670" s="0" t="inlineStr">
        <is>
          <t xml:space="preserve">usv_core</t>
        </is>
      </c>
      <c r="D1670" s="4">
        <v>6.686191539999999</v>
      </c>
      <c r="E1670" s="0" t="inlineStr">
        <is>
          <t xml:space="preserve">INNOVATIVE PROFESSIONAL SOLUTIONS, INC.</t>
        </is>
      </c>
      <c r="F1670" s="0" t="inlineStr">
        <is>
          <t xml:space="preserve">keyword</t>
        </is>
      </c>
    </row>
    <row r="1671">
      <c r="B1671" s="0" t="inlineStr">
        <is>
          <t xml:space="preserve">N6279319F2020</t>
        </is>
      </c>
      <c r="C1671" s="0" t="inlineStr">
        <is>
          <t xml:space="preserve">broad_maritime</t>
        </is>
      </c>
      <c r="D1671" s="4">
        <v>6.671189999999999</v>
      </c>
      <c r="E1671" s="0" t="inlineStr">
        <is>
          <t xml:space="preserve">HUNTINGTON INGALLS INC</t>
        </is>
      </c>
      <c r="F1671" s="0" t="inlineStr">
        <is>
          <t xml:space="preserve">psc:1905</t>
        </is>
      </c>
    </row>
    <row r="1672">
      <c r="B1672" s="0" t="inlineStr">
        <is>
          <t xml:space="preserve">N0002423C2220</t>
        </is>
      </c>
      <c r="C1672" s="0" t="inlineStr">
        <is>
          <t xml:space="preserve">small_craft</t>
        </is>
      </c>
      <c r="D1672" s="4">
        <v>6.667018</v>
      </c>
      <c r="E1672" s="0" t="inlineStr">
        <is>
          <t xml:space="preserve">MARINE GROUP BOAT WORKS, LLC</t>
        </is>
      </c>
      <c r="F1672" s="0" t="inlineStr">
        <is>
          <t xml:space="preserve">naics:336612; psc:1940</t>
        </is>
      </c>
    </row>
    <row r="1673">
      <c r="B1673" s="0" t="inlineStr">
        <is>
          <t xml:space="preserve">N3220515C4000</t>
        </is>
      </c>
      <c r="C1673" s="0" t="inlineStr">
        <is>
          <t xml:space="preserve">other_small</t>
        </is>
      </c>
      <c r="D1673" s="4">
        <v>6.621688</v>
      </c>
      <c r="E1673" s="0" t="inlineStr">
        <is>
          <t xml:space="preserve">VIGOR MARINE LLC</t>
        </is>
      </c>
      <c r="F1673" s="0" t="inlineStr">
        <is>
          <t xml:space="preserve">psc:1925</t>
        </is>
      </c>
    </row>
    <row r="1674">
      <c r="B1674" s="0" t="inlineStr">
        <is>
          <t xml:space="preserve">N0002419C2214</t>
        </is>
      </c>
      <c r="C1674" s="0" t="inlineStr">
        <is>
          <t xml:space="preserve">small_craft</t>
        </is>
      </c>
      <c r="D1674" s="4">
        <v>6.60235619</v>
      </c>
      <c r="E1674" s="0" t="inlineStr">
        <is>
          <t xml:space="preserve">VETERANS' GROUP LLC</t>
        </is>
      </c>
      <c r="F1674" s="0" t="inlineStr">
        <is>
          <t xml:space="preserve">naics:336612; psc:1940</t>
        </is>
      </c>
    </row>
    <row r="1675">
      <c r="B1675" s="0" t="inlineStr">
        <is>
          <t xml:space="preserve">N0002426C4205</t>
        </is>
      </c>
      <c r="C1675" s="0" t="inlineStr">
        <is>
          <t xml:space="preserve">broad_maritime</t>
        </is>
      </c>
      <c r="D1675" s="4">
        <v>6.5964149999999995</v>
      </c>
      <c r="E1675" s="0" t="inlineStr">
        <is>
          <t xml:space="preserve">LEIDOS, INC.</t>
        </is>
      </c>
      <c r="F1675" s="0" t="inlineStr">
        <is>
          <t xml:space="preserve">psc:2090</t>
        </is>
      </c>
    </row>
    <row r="1676">
      <c r="B1676" s="0" t="inlineStr">
        <is>
          <t xml:space="preserve">N0002419F4116</t>
        </is>
      </c>
      <c r="C1676" s="0" t="inlineStr">
        <is>
          <t xml:space="preserve">broad_maritime</t>
        </is>
      </c>
      <c r="D1676" s="4">
        <v>6.577115999999999</v>
      </c>
      <c r="E1676" s="0" t="inlineStr">
        <is>
          <t xml:space="preserve">HEXAGON US FEDERAL, INC</t>
        </is>
      </c>
      <c r="F1676" s="0" t="inlineStr">
        <is>
          <t xml:space="preserve">psc:2090</t>
        </is>
      </c>
    </row>
    <row r="1677">
      <c r="B1677" s="0" t="inlineStr">
        <is>
          <t xml:space="preserve">N5523625F9976</t>
        </is>
      </c>
      <c r="C1677" s="0" t="inlineStr">
        <is>
          <t xml:space="preserve">broad_maritime</t>
        </is>
      </c>
      <c r="D1677" s="4">
        <v>6.55612</v>
      </c>
      <c r="E1677" s="0" t="inlineStr">
        <is>
          <t xml:space="preserve">HII FLEET SUPPORT GROUP LLC</t>
        </is>
      </c>
      <c r="F1677" s="0" t="inlineStr">
        <is>
          <t xml:space="preserve">psc:1905</t>
        </is>
      </c>
    </row>
    <row r="1678">
      <c r="B1678" s="0" t="inlineStr">
        <is>
          <t xml:space="preserve">N3904016P0031</t>
        </is>
      </c>
      <c r="C1678" s="0" t="inlineStr">
        <is>
          <t xml:space="preserve">broad_maritime</t>
        </is>
      </c>
      <c r="D1678" s="4">
        <v>6.52310282</v>
      </c>
      <c r="E1678" s="0" t="inlineStr">
        <is>
          <t xml:space="preserve">ORBIS SIBRO INC</t>
        </is>
      </c>
      <c r="F1678" s="0" t="inlineStr">
        <is>
          <t xml:space="preserve">psc:1905</t>
        </is>
      </c>
    </row>
    <row r="1679">
      <c r="B1679" s="0" t="inlineStr">
        <is>
          <t xml:space="preserve">N0060422P4099</t>
        </is>
      </c>
      <c r="C1679" s="0" t="inlineStr">
        <is>
          <t xml:space="preserve">broad_maritime</t>
        </is>
      </c>
      <c r="D1679" s="4">
        <v>6.4835164800000005</v>
      </c>
      <c r="E1679" s="0" t="inlineStr">
        <is>
          <t xml:space="preserve">ATLANTIC DIVING SUPPLY, INC.</t>
        </is>
      </c>
      <c r="F1679" s="0" t="inlineStr">
        <is>
          <t xml:space="preserve">psc:2090</t>
        </is>
      </c>
    </row>
    <row r="1680">
      <c r="B1680" s="0" t="inlineStr">
        <is>
          <t xml:space="preserve">0001</t>
        </is>
      </c>
      <c r="C1680" s="0" t="inlineStr">
        <is>
          <t xml:space="preserve">broad_maritime</t>
        </is>
      </c>
      <c r="D1680" s="4">
        <v>6.478891</v>
      </c>
      <c r="E1680" s="0" t="inlineStr">
        <is>
          <t xml:space="preserve">BATH IRON WORKS CORPORATION</t>
        </is>
      </c>
      <c r="F1680" s="0" t="inlineStr">
        <is>
          <t xml:space="preserve">psc:1905</t>
        </is>
      </c>
    </row>
    <row r="1681">
      <c r="B1681" s="0" t="inlineStr">
        <is>
          <t xml:space="preserve">0001</t>
        </is>
      </c>
      <c r="C1681" s="0" t="inlineStr">
        <is>
          <t xml:space="preserve">broad_maritime</t>
        </is>
      </c>
      <c r="D1681" s="4">
        <v>6.472138999999999</v>
      </c>
      <c r="E1681" s="0" t="inlineStr">
        <is>
          <t xml:space="preserve">HUNTINGTON INGALLS INC</t>
        </is>
      </c>
      <c r="F1681" s="0" t="inlineStr">
        <is>
          <t xml:space="preserve">psc:1905</t>
        </is>
      </c>
    </row>
    <row r="1682">
      <c r="B1682" s="0" t="inlineStr">
        <is>
          <t xml:space="preserve">N6278621F0020</t>
        </is>
      </c>
      <c r="C1682" s="0" t="inlineStr">
        <is>
          <t xml:space="preserve">broad_maritime</t>
        </is>
      </c>
      <c r="D1682" s="4">
        <v>6.456191</v>
      </c>
      <c r="E1682" s="0" t="inlineStr">
        <is>
          <t xml:space="preserve">BATH IRON WORKS CORPORATION</t>
        </is>
      </c>
      <c r="F1682" s="0" t="inlineStr">
        <is>
          <t xml:space="preserve">psc:1905</t>
        </is>
      </c>
    </row>
    <row r="1683">
      <c r="B1683" s="0" t="inlineStr">
        <is>
          <t xml:space="preserve">N5523622F9960</t>
        </is>
      </c>
      <c r="C1683" s="0" t="inlineStr">
        <is>
          <t xml:space="preserve">broad_maritime</t>
        </is>
      </c>
      <c r="D1683" s="4">
        <v>6.4522077300000005</v>
      </c>
      <c r="E1683" s="0" t="inlineStr">
        <is>
          <t xml:space="preserve">HII FLEET SUPPORT GROUP LLC</t>
        </is>
      </c>
      <c r="F1683" s="0" t="inlineStr">
        <is>
          <t xml:space="preserve">psc:1905</t>
        </is>
      </c>
    </row>
    <row r="1684">
      <c r="B1684" s="0" t="inlineStr">
        <is>
          <t xml:space="preserve">N6449819F4205</t>
        </is>
      </c>
      <c r="C1684" s="0" t="inlineStr">
        <is>
          <t xml:space="preserve">broad_maritime</t>
        </is>
      </c>
      <c r="D1684" s="4">
        <v>6.451194999999999</v>
      </c>
      <c r="E1684" s="0" t="inlineStr">
        <is>
          <t xml:space="preserve">LAUREL TECHNOLOGIES PARTNERSHIP</t>
        </is>
      </c>
      <c r="F1684" s="0" t="inlineStr">
        <is>
          <t xml:space="preserve">psc:2090</t>
        </is>
      </c>
    </row>
    <row r="1685">
      <c r="B1685" s="0" t="inlineStr">
        <is>
          <t xml:space="preserve">N0002422C2504</t>
        </is>
      </c>
      <c r="C1685" s="0" t="inlineStr">
        <is>
          <t xml:space="preserve">other_small</t>
        </is>
      </c>
      <c r="D1685" s="4">
        <v>6.44862192</v>
      </c>
      <c r="E1685" s="0" t="inlineStr">
        <is>
          <t xml:space="preserve">L3 TECHNOLOGIES, INC.</t>
        </is>
      </c>
      <c r="F1685" s="0" t="inlineStr">
        <is>
          <t xml:space="preserve">psc:1925</t>
        </is>
      </c>
    </row>
    <row r="1686">
      <c r="B1686" s="0" t="inlineStr">
        <is>
          <t xml:space="preserve">N6278624F0032</t>
        </is>
      </c>
      <c r="C1686" s="0" t="inlineStr">
        <is>
          <t xml:space="preserve">broad_maritime</t>
        </is>
      </c>
      <c r="D1686" s="4">
        <v>6.4356789999999995</v>
      </c>
      <c r="E1686" s="0" t="inlineStr">
        <is>
          <t xml:space="preserve">LOCKHEED MARTIN CORPORATION</t>
        </is>
      </c>
      <c r="F1686" s="0" t="inlineStr">
        <is>
          <t xml:space="preserve">psc:1905</t>
        </is>
      </c>
    </row>
    <row r="1687">
      <c r="B1687" s="0" t="inlineStr">
        <is>
          <t xml:space="preserve">0001</t>
        </is>
      </c>
      <c r="C1687" s="0" t="inlineStr">
        <is>
          <t xml:space="preserve">broad_maritime</t>
        </is>
      </c>
      <c r="D1687" s="4">
        <v>6.402546999999999</v>
      </c>
      <c r="E1687" s="0" t="inlineStr">
        <is>
          <t xml:space="preserve">BAE SYSTEMS MARITIME SOLUTIONS SAN DIEGO INC.</t>
        </is>
      </c>
      <c r="F1687" s="0" t="inlineStr">
        <is>
          <t xml:space="preserve">psc:1905</t>
        </is>
      </c>
    </row>
    <row r="1688">
      <c r="B1688" s="0" t="inlineStr">
        <is>
          <t xml:space="preserve">N0002420F22W1</t>
        </is>
      </c>
      <c r="C1688" s="0" t="inlineStr">
        <is>
          <t xml:space="preserve">small_craft</t>
        </is>
      </c>
      <c r="D1688" s="4">
        <v>6.39559304</v>
      </c>
      <c r="E1688" s="0" t="inlineStr">
        <is>
          <t xml:space="preserve">LAKE ASSAULT BOATS, LLC</t>
        </is>
      </c>
      <c r="F1688" s="0" t="inlineStr">
        <is>
          <t xml:space="preserve">naics:336612; psc:1940</t>
        </is>
      </c>
    </row>
    <row r="1689">
      <c r="B1689" s="0" t="inlineStr">
        <is>
          <t xml:space="preserve">N0002423F22C1</t>
        </is>
      </c>
      <c r="C1689" s="0" t="inlineStr">
        <is>
          <t xml:space="preserve">small_craft</t>
        </is>
      </c>
      <c r="D1689" s="4">
        <v>6.39444709</v>
      </c>
      <c r="E1689" s="0" t="inlineStr">
        <is>
          <t xml:space="preserve">METALCRAFT MARINE US, INC.</t>
        </is>
      </c>
      <c r="F1689" s="0" t="inlineStr">
        <is>
          <t xml:space="preserve">naics:336612; psc:1940</t>
        </is>
      </c>
    </row>
    <row r="1690">
      <c r="B1690" s="0" t="inlineStr">
        <is>
          <t xml:space="preserve">N0002422C2506</t>
        </is>
      </c>
      <c r="C1690" s="0" t="inlineStr">
        <is>
          <t xml:space="preserve">other_small</t>
        </is>
      </c>
      <c r="D1690" s="4">
        <v>6.3936855</v>
      </c>
      <c r="E1690" s="0" t="inlineStr">
        <is>
          <t xml:space="preserve">HUNTINGTON INGALLS INCORPORATED</t>
        </is>
      </c>
      <c r="F1690" s="0" t="inlineStr">
        <is>
          <t xml:space="preserve">psc:1925</t>
        </is>
      </c>
    </row>
    <row r="1691">
      <c r="B1691" s="0" t="inlineStr">
        <is>
          <t xml:space="preserve">N0002425F8142</t>
        </is>
      </c>
      <c r="C1691" s="0" t="inlineStr">
        <is>
          <t xml:space="preserve">usv_core</t>
        </is>
      </c>
      <c r="D1691" s="4">
        <v>6.342229</v>
      </c>
      <c r="E1691" s="0" t="inlineStr">
        <is>
          <t xml:space="preserve">THE JOHNS HOPKINS UNIVERSITY APPLIED PHYSICS LABORATORY LLC</t>
        </is>
      </c>
      <c r="F1691" s="0" t="inlineStr">
        <is>
          <t xml:space="preserve">keyword</t>
        </is>
      </c>
    </row>
    <row r="1692">
      <c r="B1692" s="0" t="inlineStr">
        <is>
          <t xml:space="preserve">N0002423F23B3</t>
        </is>
      </c>
      <c r="C1692" s="0" t="inlineStr">
        <is>
          <t xml:space="preserve">small_craft</t>
        </is>
      </c>
      <c r="D1692" s="4">
        <v>6.33191055</v>
      </c>
      <c r="E1692" s="0" t="inlineStr">
        <is>
          <t xml:space="preserve">UNITED STATES MARINE INC</t>
        </is>
      </c>
      <c r="F1692" s="0" t="inlineStr">
        <is>
          <t xml:space="preserve">naics:336612; psc:1940</t>
        </is>
      </c>
    </row>
    <row r="1693">
      <c r="B1693" s="0" t="inlineStr">
        <is>
          <t xml:space="preserve">N0002423F8184</t>
        </is>
      </c>
      <c r="C1693" s="0" t="inlineStr">
        <is>
          <t xml:space="preserve">usv_core</t>
        </is>
      </c>
      <c r="D1693" s="4">
        <v>6.316460999999999</v>
      </c>
      <c r="E1693" s="0" t="inlineStr">
        <is>
          <t xml:space="preserve">THE JOHNS HOPKINS UNIVERSITY APPLIED PHYSICS LABORATORY LLC</t>
        </is>
      </c>
      <c r="F1693" s="0" t="inlineStr">
        <is>
          <t xml:space="preserve">keyword</t>
        </is>
      </c>
    </row>
    <row r="1694">
      <c r="B1694" s="0" t="inlineStr">
        <is>
          <t xml:space="preserve">N0002420F22P2</t>
        </is>
      </c>
      <c r="C1694" s="0" t="inlineStr">
        <is>
          <t xml:space="preserve">small_craft</t>
        </is>
      </c>
      <c r="D1694" s="4">
        <v>6.27065713</v>
      </c>
      <c r="E1694" s="0" t="inlineStr">
        <is>
          <t xml:space="preserve">GRAVOIS ALUMINUM BOATS LLC</t>
        </is>
      </c>
      <c r="F1694" s="0" t="inlineStr">
        <is>
          <t xml:space="preserve">naics:336612; psc:1940</t>
        </is>
      </c>
    </row>
    <row r="1695">
      <c r="B1695" s="0" t="inlineStr">
        <is>
          <t xml:space="preserve">N0002425F22B2</t>
        </is>
      </c>
      <c r="C1695" s="0" t="inlineStr">
        <is>
          <t xml:space="preserve">small_craft</t>
        </is>
      </c>
      <c r="D1695" s="4">
        <v>6.245097599999999</v>
      </c>
      <c r="E1695" s="0" t="inlineStr">
        <is>
          <t xml:space="preserve">METALCRAFT MARINE US, INC.</t>
        </is>
      </c>
      <c r="F1695" s="0" t="inlineStr">
        <is>
          <t xml:space="preserve">naics:336612; psc:1940</t>
        </is>
      </c>
    </row>
    <row r="1696">
      <c r="B1696" s="0" t="inlineStr">
        <is>
          <t xml:space="preserve">N0002421F22C1</t>
        </is>
      </c>
      <c r="C1696" s="0" t="inlineStr">
        <is>
          <t xml:space="preserve">small_craft</t>
        </is>
      </c>
      <c r="D1696" s="4">
        <v>6.239751299999999</v>
      </c>
      <c r="E1696" s="0" t="inlineStr">
        <is>
          <t xml:space="preserve">SNOW &amp; COMPANY, INC.</t>
        </is>
      </c>
      <c r="F1696" s="0" t="inlineStr">
        <is>
          <t xml:space="preserve">naics:336612; psc:1940</t>
        </is>
      </c>
    </row>
    <row r="1697">
      <c r="B1697" s="0" t="inlineStr">
        <is>
          <t xml:space="preserve">N0002424F4147</t>
        </is>
      </c>
      <c r="C1697" s="0" t="inlineStr">
        <is>
          <t xml:space="preserve">broad_maritime</t>
        </is>
      </c>
      <c r="D1697" s="4">
        <v>6.1807190599999995</v>
      </c>
      <c r="E1697" s="0" t="inlineStr">
        <is>
          <t xml:space="preserve">HEXAGON US FEDERAL, INC</t>
        </is>
      </c>
      <c r="F1697" s="0" t="inlineStr">
        <is>
          <t xml:space="preserve">psc:2090</t>
        </is>
      </c>
    </row>
    <row r="1698">
      <c r="B1698" s="0" t="inlineStr">
        <is>
          <t xml:space="preserve">N0002425C6209</t>
        </is>
      </c>
      <c r="C1698" s="0" t="inlineStr">
        <is>
          <t xml:space="preserve">broad_maritime</t>
        </is>
      </c>
      <c r="D1698" s="4">
        <v>6.14720262</v>
      </c>
      <c r="E1698" s="0" t="inlineStr">
        <is>
          <t xml:space="preserve">RITE-SOLUTIONS, INC.</t>
        </is>
      </c>
      <c r="F1698" s="0" t="inlineStr">
        <is>
          <t xml:space="preserve">psc:1905</t>
        </is>
      </c>
    </row>
    <row r="1699">
      <c r="B1699" s="0" t="inlineStr">
        <is>
          <t xml:space="preserve">N0002420F2205</t>
        </is>
      </c>
      <c r="C1699" s="0" t="inlineStr">
        <is>
          <t xml:space="preserve">small_craft</t>
        </is>
      </c>
      <c r="D1699" s="4">
        <v>6.120514</v>
      </c>
      <c r="E1699" s="0" t="inlineStr">
        <is>
          <t xml:space="preserve">SILVER SHIPS, INC</t>
        </is>
      </c>
      <c r="F1699" s="0" t="inlineStr">
        <is>
          <t xml:space="preserve">psc:1940</t>
        </is>
      </c>
    </row>
    <row r="1700">
      <c r="B1700" s="0" t="inlineStr">
        <is>
          <t xml:space="preserve">N0010423CNA02</t>
        </is>
      </c>
      <c r="C1700" s="0" t="inlineStr">
        <is>
          <t xml:space="preserve">broad_maritime</t>
        </is>
      </c>
      <c r="D1700" s="4">
        <v>6.114</v>
      </c>
      <c r="E1700" s="0" t="inlineStr">
        <is>
          <t xml:space="preserve">MARINE POLYMERS, INC</t>
        </is>
      </c>
      <c r="F1700" s="0" t="inlineStr">
        <is>
          <t xml:space="preserve">psc:2090</t>
        </is>
      </c>
    </row>
    <row r="1701">
      <c r="B1701" s="0" t="inlineStr">
        <is>
          <t xml:space="preserve">N0002421F22A1</t>
        </is>
      </c>
      <c r="C1701" s="0" t="inlineStr">
        <is>
          <t xml:space="preserve">small_craft</t>
        </is>
      </c>
      <c r="D1701" s="4">
        <v>6.107126999999999</v>
      </c>
      <c r="E1701" s="0" t="inlineStr">
        <is>
          <t xml:space="preserve">UNITED STATES MARINE INC</t>
        </is>
      </c>
      <c r="F1701" s="0" t="inlineStr">
        <is>
          <t xml:space="preserve">naics:336612; psc:1940</t>
        </is>
      </c>
    </row>
    <row r="1702">
      <c r="B1702" s="0" t="inlineStr">
        <is>
          <t xml:space="preserve">N0002414F2204</t>
        </is>
      </c>
      <c r="C1702" s="0" t="inlineStr">
        <is>
          <t xml:space="preserve">small_craft</t>
        </is>
      </c>
      <c r="D1702" s="4">
        <v>6.069045839999999</v>
      </c>
      <c r="E1702" s="0" t="inlineStr">
        <is>
          <t xml:space="preserve">MARINE GROUP BOAT WORKS, LLC</t>
        </is>
      </c>
      <c r="F1702" s="0" t="inlineStr">
        <is>
          <t xml:space="preserve">psc:1940</t>
        </is>
      </c>
    </row>
    <row r="1703">
      <c r="B1703" s="0" t="inlineStr">
        <is>
          <t xml:space="preserve">N3220517P4038</t>
        </is>
      </c>
      <c r="C1703" s="0" t="inlineStr">
        <is>
          <t xml:space="preserve">broad_maritime</t>
        </is>
      </c>
      <c r="D1703" s="4">
        <v>6.05768554</v>
      </c>
      <c r="E1703" s="0" t="inlineStr">
        <is>
          <t xml:space="preserve">GEISLINGER CORPORATION</t>
        </is>
      </c>
      <c r="F1703" s="0" t="inlineStr">
        <is>
          <t xml:space="preserve">psc:2090</t>
        </is>
      </c>
    </row>
    <row r="1704">
      <c r="B1704" s="0" t="inlineStr">
        <is>
          <t xml:space="preserve">N0016425F5037</t>
        </is>
      </c>
      <c r="C1704" s="0" t="inlineStr">
        <is>
          <t xml:space="preserve">broad_maritime</t>
        </is>
      </c>
      <c r="D1704" s="4">
        <v>6.045999999999999</v>
      </c>
      <c r="E1704" s="0" t="inlineStr">
        <is>
          <t xml:space="preserve">MILLS MARINE &amp; SHIP REPAIR LLC</t>
        </is>
      </c>
      <c r="F1704" s="0" t="inlineStr">
        <is>
          <t xml:space="preserve">psc:1905</t>
        </is>
      </c>
    </row>
    <row r="1705">
      <c r="B1705" s="0" t="inlineStr">
        <is>
          <t xml:space="preserve">N3220517C4701</t>
        </is>
      </c>
      <c r="C1705" s="0" t="inlineStr">
        <is>
          <t xml:space="preserve">other_small</t>
        </is>
      </c>
      <c r="D1705" s="4">
        <v>6.003445999999999</v>
      </c>
      <c r="E1705" s="0" t="inlineStr">
        <is>
          <t xml:space="preserve">DETYENS SHIPYARDS INC</t>
        </is>
      </c>
      <c r="F1705" s="0" t="inlineStr">
        <is>
          <t xml:space="preserve">psc:1990</t>
        </is>
      </c>
    </row>
    <row r="1706">
      <c r="B1706" s="0" t="inlineStr">
        <is>
          <t xml:space="preserve">0001</t>
        </is>
      </c>
      <c r="C1706" s="0" t="inlineStr">
        <is>
          <t xml:space="preserve">small_craft</t>
        </is>
      </c>
      <c r="D1706" s="4">
        <v>5.929398</v>
      </c>
      <c r="E1706" s="0" t="inlineStr">
        <is>
          <t xml:space="preserve">GRAVOIS ALUMINUM BOATS LLC</t>
        </is>
      </c>
      <c r="F1706" s="0" t="inlineStr">
        <is>
          <t xml:space="preserve">naics:336612; psc:1940</t>
        </is>
      </c>
    </row>
    <row r="1707">
      <c r="B1707" s="0" t="inlineStr">
        <is>
          <t xml:space="preserve">N0002416C2311</t>
        </is>
      </c>
      <c r="C1707" s="0" t="inlineStr">
        <is>
          <t xml:space="preserve">broad_maritime</t>
        </is>
      </c>
      <c r="D1707" s="4">
        <v>5.9076569899999996</v>
      </c>
      <c r="E1707" s="0" t="inlineStr">
        <is>
          <t xml:space="preserve">HUNTINGTON INGALLS INCORPORATED</t>
        </is>
      </c>
      <c r="F1707" s="0" t="inlineStr">
        <is>
          <t xml:space="preserve">psc:1905</t>
        </is>
      </c>
    </row>
    <row r="1708">
      <c r="B1708" s="0" t="inlineStr">
        <is>
          <t xml:space="preserve">N5005421F3002</t>
        </is>
      </c>
      <c r="C1708" s="0" t="inlineStr">
        <is>
          <t xml:space="preserve">broad_maritime</t>
        </is>
      </c>
      <c r="D1708" s="4">
        <v>5.90269776</v>
      </c>
      <c r="E1708" s="0" t="inlineStr">
        <is>
          <t xml:space="preserve">HII FLEET SUPPORT GROUP LLC</t>
        </is>
      </c>
      <c r="F1708" s="0" t="inlineStr">
        <is>
          <t xml:space="preserve">psc:1905</t>
        </is>
      </c>
    </row>
    <row r="1709">
      <c r="B1709" s="0" t="inlineStr">
        <is>
          <t xml:space="preserve">N3220523P2180</t>
        </is>
      </c>
      <c r="C1709" s="0" t="inlineStr">
        <is>
          <t xml:space="preserve">broad_maritime</t>
        </is>
      </c>
      <c r="D1709" s="4">
        <v>5.8809444</v>
      </c>
      <c r="E1709" s="0" t="inlineStr">
        <is>
          <t xml:space="preserve">TURBO SYSTEMS US INC</t>
        </is>
      </c>
      <c r="F1709" s="0" t="inlineStr">
        <is>
          <t xml:space="preserve">psc:2090</t>
        </is>
      </c>
    </row>
    <row r="1710">
      <c r="B1710" s="0" t="inlineStr">
        <is>
          <t xml:space="preserve">N0010426CJA04</t>
        </is>
      </c>
      <c r="C1710" s="0" t="inlineStr">
        <is>
          <t xml:space="preserve">small_craft</t>
        </is>
      </c>
      <c r="D1710" s="4">
        <v>5.880178559999999</v>
      </c>
      <c r="E1710" s="0" t="inlineStr">
        <is>
          <t xml:space="preserve">GE AVIATION SYSTEMS LLC</t>
        </is>
      </c>
      <c r="F1710" s="0" t="inlineStr">
        <is>
          <t xml:space="preserve">naics:336612</t>
        </is>
      </c>
    </row>
    <row r="1711">
      <c r="B1711" s="0" t="inlineStr">
        <is>
          <t xml:space="preserve">0010</t>
        </is>
      </c>
      <c r="C1711" s="0" t="inlineStr">
        <is>
          <t xml:space="preserve">broad_maritime</t>
        </is>
      </c>
      <c r="D1711" s="4">
        <v>5.864832</v>
      </c>
      <c r="E1711" s="0" t="inlineStr">
        <is>
          <t xml:space="preserve">LA PLAYA INC OF VIRGINIA</t>
        </is>
      </c>
      <c r="F1711" s="0" t="inlineStr">
        <is>
          <t xml:space="preserve">psc:2090</t>
        </is>
      </c>
    </row>
    <row r="1712">
      <c r="B1712" s="0" t="inlineStr">
        <is>
          <t xml:space="preserve">N0002425F22B8</t>
        </is>
      </c>
      <c r="C1712" s="0" t="inlineStr">
        <is>
          <t xml:space="preserve">small_craft</t>
        </is>
      </c>
      <c r="D1712" s="4">
        <v>5.763532</v>
      </c>
      <c r="E1712" s="0" t="inlineStr">
        <is>
          <t xml:space="preserve">GRAVOIS ALUMINUM BOATS LLC</t>
        </is>
      </c>
      <c r="F1712" s="0" t="inlineStr">
        <is>
          <t xml:space="preserve">naics:336612; psc:1940</t>
        </is>
      </c>
    </row>
    <row r="1713">
      <c r="B1713" s="0" t="inlineStr">
        <is>
          <t xml:space="preserve">N0010423PK048</t>
        </is>
      </c>
      <c r="C1713" s="0" t="inlineStr">
        <is>
          <t xml:space="preserve">broad_maritime</t>
        </is>
      </c>
      <c r="D1713" s="4">
        <v>5.7270199999999996</v>
      </c>
      <c r="E1713" s="0" t="inlineStr">
        <is>
          <t xml:space="preserve">CANADIAN COMMERCIAL CORPORATION</t>
        </is>
      </c>
      <c r="F1713" s="0" t="inlineStr">
        <is>
          <t xml:space="preserve">psc:2090</t>
        </is>
      </c>
    </row>
    <row r="1714">
      <c r="B1714" s="0" t="inlineStr">
        <is>
          <t xml:space="preserve">N3220517C4403</t>
        </is>
      </c>
      <c r="C1714" s="0" t="inlineStr">
        <is>
          <t xml:space="preserve">other_small</t>
        </is>
      </c>
      <c r="D1714" s="4">
        <v>5.65153874</v>
      </c>
      <c r="E1714" s="0" t="inlineStr">
        <is>
          <t xml:space="preserve">COLONNA'S SHIP YARD, INCORPORATED</t>
        </is>
      </c>
      <c r="F1714" s="0" t="inlineStr">
        <is>
          <t xml:space="preserve">psc:1925</t>
        </is>
      </c>
    </row>
    <row r="1715">
      <c r="B1715" s="0" t="inlineStr">
        <is>
          <t xml:space="preserve">N0002425C2414</t>
        </is>
      </c>
      <c r="C1715" s="0" t="inlineStr">
        <is>
          <t xml:space="preserve">broad_maritime</t>
        </is>
      </c>
      <c r="D1715" s="4">
        <v>5.647556</v>
      </c>
      <c r="E1715" s="0" t="inlineStr">
        <is>
          <t xml:space="preserve">DAMEN SHIPBUILDING &amp; COOPERATION B.V.</t>
        </is>
      </c>
      <c r="F1715" s="0" t="inlineStr">
        <is>
          <t xml:space="preserve">psc:1905</t>
        </is>
      </c>
    </row>
    <row r="1716">
      <c r="B1716" s="0" t="inlineStr">
        <is>
          <t xml:space="preserve">N3220518P4101</t>
        </is>
      </c>
      <c r="C1716" s="0" t="inlineStr">
        <is>
          <t xml:space="preserve">broad_maritime</t>
        </is>
      </c>
      <c r="D1716" s="4">
        <v>5.62936704</v>
      </c>
      <c r="E1716" s="0" t="inlineStr">
        <is>
          <t xml:space="preserve">ROLLS-ROYCE SOLUTIONS AMERICA INC</t>
        </is>
      </c>
      <c r="F1716" s="0" t="inlineStr">
        <is>
          <t xml:space="preserve">psc:2090</t>
        </is>
      </c>
    </row>
    <row r="1717">
      <c r="B1717" s="0" t="inlineStr">
        <is>
          <t xml:space="preserve">N3220522P2191</t>
        </is>
      </c>
      <c r="C1717" s="0" t="inlineStr">
        <is>
          <t xml:space="preserve">small_craft</t>
        </is>
      </c>
      <c r="D1717" s="4">
        <v>5.60854128</v>
      </c>
      <c r="E1717" s="0" t="inlineStr">
        <is>
          <t xml:space="preserve">J. W. MARINE EQUIPMENT, INC.</t>
        </is>
      </c>
      <c r="F1717" s="0" t="inlineStr">
        <is>
          <t xml:space="preserve">naics:336612; psc:1940</t>
        </is>
      </c>
    </row>
    <row r="1718">
      <c r="B1718" s="0" t="inlineStr">
        <is>
          <t xml:space="preserve">N6600121F0994</t>
        </is>
      </c>
      <c r="C1718" s="0" t="inlineStr">
        <is>
          <t xml:space="preserve">usv_core</t>
        </is>
      </c>
      <c r="D1718" s="4">
        <v>5.55122366</v>
      </c>
      <c r="E1718" s="0" t="inlineStr">
        <is>
          <t xml:space="preserve">PERATON INC.</t>
        </is>
      </c>
      <c r="F1718" s="0" t="inlineStr">
        <is>
          <t xml:space="preserve">keyword</t>
        </is>
      </c>
    </row>
    <row r="1719">
      <c r="B1719" s="0" t="inlineStr">
        <is>
          <t xml:space="preserve">N0002425F22B7</t>
        </is>
      </c>
      <c r="C1719" s="0" t="inlineStr">
        <is>
          <t xml:space="preserve">small_craft</t>
        </is>
      </c>
      <c r="D1719" s="4">
        <v>5.50390821</v>
      </c>
      <c r="E1719" s="0" t="inlineStr">
        <is>
          <t xml:space="preserve">UNITED STATES MARINE INC</t>
        </is>
      </c>
      <c r="F1719" s="0" t="inlineStr">
        <is>
          <t xml:space="preserve">naics:336612; psc:1940</t>
        </is>
      </c>
    </row>
    <row r="1720">
      <c r="B1720" s="0" t="inlineStr">
        <is>
          <t xml:space="preserve">N0002422F22B1</t>
        </is>
      </c>
      <c r="C1720" s="0" t="inlineStr">
        <is>
          <t xml:space="preserve">small_craft</t>
        </is>
      </c>
      <c r="D1720" s="4">
        <v>5.49898699</v>
      </c>
      <c r="E1720" s="0" t="inlineStr">
        <is>
          <t xml:space="preserve">UNITED STATES MARINE INC</t>
        </is>
      </c>
      <c r="F1720" s="0" t="inlineStr">
        <is>
          <t xml:space="preserve">naics:336612; psc:1940</t>
        </is>
      </c>
    </row>
    <row r="1721">
      <c r="B1721" s="0" t="inlineStr">
        <is>
          <t xml:space="preserve">0002</t>
        </is>
      </c>
      <c r="C1721" s="0" t="inlineStr">
        <is>
          <t xml:space="preserve">broad_maritime</t>
        </is>
      </c>
      <c r="D1721" s="4">
        <v>5.44247984</v>
      </c>
      <c r="E1721" s="0" t="inlineStr">
        <is>
          <t xml:space="preserve">GRYPHON MARINE, LLC</t>
        </is>
      </c>
      <c r="F1721" s="0" t="inlineStr">
        <is>
          <t xml:space="preserve">psc:2090</t>
        </is>
      </c>
    </row>
    <row r="1722">
      <c r="B1722" s="0" t="inlineStr">
        <is>
          <t xml:space="preserve">N6133118F0214</t>
        </is>
      </c>
      <c r="C1722" s="0" t="inlineStr">
        <is>
          <t xml:space="preserve">broad_maritime</t>
        </is>
      </c>
      <c r="D1722" s="4">
        <v>5.4384985</v>
      </c>
      <c r="E1722" s="0" t="inlineStr">
        <is>
          <t xml:space="preserve">ATLANTIC DIVING SUPPLY, INC.</t>
        </is>
      </c>
      <c r="F1722" s="0" t="inlineStr">
        <is>
          <t xml:space="preserve">psc:2090</t>
        </is>
      </c>
    </row>
    <row r="1723">
      <c r="B1723" s="0" t="inlineStr">
        <is>
          <t xml:space="preserve">M6785424F1012</t>
        </is>
      </c>
      <c r="C1723" s="0" t="inlineStr">
        <is>
          <t xml:space="preserve">small_craft</t>
        </is>
      </c>
      <c r="D1723" s="4">
        <v>5.4361999999999995</v>
      </c>
      <c r="E1723" s="0" t="inlineStr">
        <is>
          <t xml:space="preserve">WING INFLATABLES INC</t>
        </is>
      </c>
      <c r="F1723" s="0" t="inlineStr">
        <is>
          <t xml:space="preserve">naics:336612; psc:1940</t>
        </is>
      </c>
    </row>
    <row r="1724">
      <c r="B1724" s="0" t="inlineStr">
        <is>
          <t xml:space="preserve">N3220516C4500</t>
        </is>
      </c>
      <c r="C1724" s="0" t="inlineStr">
        <is>
          <t xml:space="preserve">other_small</t>
        </is>
      </c>
      <c r="D1724" s="4">
        <v>5.4137425</v>
      </c>
      <c r="E1724" s="0" t="inlineStr">
        <is>
          <t xml:space="preserve">DETYENS SHIPYARDS INC</t>
        </is>
      </c>
      <c r="F1724" s="0" t="inlineStr">
        <is>
          <t xml:space="preserve">psc:1990</t>
        </is>
      </c>
    </row>
    <row r="1725">
      <c r="B1725" s="0" t="inlineStr">
        <is>
          <t xml:space="preserve">N3220519P1006</t>
        </is>
      </c>
      <c r="C1725" s="0" t="inlineStr">
        <is>
          <t xml:space="preserve">broad_maritime</t>
        </is>
      </c>
      <c r="D1725" s="4">
        <v>5.3667552999999995</v>
      </c>
      <c r="E1725" s="0" t="inlineStr">
        <is>
          <t xml:space="preserve">SUPERIOR ACCESS SOLUTIONS INC</t>
        </is>
      </c>
      <c r="F1725" s="0" t="inlineStr">
        <is>
          <t xml:space="preserve">psc:2090</t>
        </is>
      </c>
    </row>
    <row r="1726">
      <c r="B1726" s="0" t="inlineStr">
        <is>
          <t xml:space="preserve">N6279323F7900</t>
        </is>
      </c>
      <c r="C1726" s="0" t="inlineStr">
        <is>
          <t xml:space="preserve">broad_maritime</t>
        </is>
      </c>
      <c r="D1726" s="4">
        <v>5.36254216</v>
      </c>
      <c r="E1726" s="0" t="inlineStr">
        <is>
          <t xml:space="preserve">HII FLEET SUPPORT GROUP LLC</t>
        </is>
      </c>
      <c r="F1726" s="0" t="inlineStr">
        <is>
          <t xml:space="preserve">psc:1905</t>
        </is>
      </c>
    </row>
    <row r="1727">
      <c r="B1727" s="0" t="inlineStr">
        <is>
          <t xml:space="preserve">N0010425CYB25</t>
        </is>
      </c>
      <c r="C1727" s="0" t="inlineStr">
        <is>
          <t xml:space="preserve">broad_maritime</t>
        </is>
      </c>
      <c r="D1727" s="4">
        <v>5.34</v>
      </c>
      <c r="E1727" s="0" t="inlineStr">
        <is>
          <t xml:space="preserve">MARINE POLYMERS, INC</t>
        </is>
      </c>
      <c r="F1727" s="0" t="inlineStr">
        <is>
          <t xml:space="preserve">psc:2090</t>
        </is>
      </c>
    </row>
    <row r="1728">
      <c r="B1728" s="0" t="inlineStr">
        <is>
          <t xml:space="preserve">N0002418F4224</t>
        </is>
      </c>
      <c r="C1728" s="0" t="inlineStr">
        <is>
          <t xml:space="preserve">broad_maritime</t>
        </is>
      </c>
      <c r="D1728" s="4">
        <v>5.297803</v>
      </c>
      <c r="E1728" s="0" t="inlineStr">
        <is>
          <t xml:space="preserve">VSE CORPORATION</t>
        </is>
      </c>
      <c r="F1728" s="0" t="inlineStr">
        <is>
          <t xml:space="preserve">psc:2090</t>
        </is>
      </c>
    </row>
    <row r="1729">
      <c r="B1729" s="0" t="inlineStr">
        <is>
          <t xml:space="preserve">N0002417F22K1</t>
        </is>
      </c>
      <c r="C1729" s="0" t="inlineStr">
        <is>
          <t xml:space="preserve">small_craft</t>
        </is>
      </c>
      <c r="D1729" s="4">
        <v>5.27875115</v>
      </c>
      <c r="E1729" s="0" t="inlineStr">
        <is>
          <t xml:space="preserve">WILLARD MARINE, INC.</t>
        </is>
      </c>
      <c r="F1729" s="0" t="inlineStr">
        <is>
          <t xml:space="preserve">naics:336612; psc:1940</t>
        </is>
      </c>
    </row>
    <row r="1730">
      <c r="B1730" s="0" t="inlineStr">
        <is>
          <t xml:space="preserve">N6278621F0003</t>
        </is>
      </c>
      <c r="C1730" s="0" t="inlineStr">
        <is>
          <t xml:space="preserve">broad_maritime</t>
        </is>
      </c>
      <c r="D1730" s="4">
        <v>5.266558379999999</v>
      </c>
      <c r="E1730" s="0" t="inlineStr">
        <is>
          <t xml:space="preserve">BAE SYSTEMS MARITIME SOLUTIONS SAN DIEGO INC.</t>
        </is>
      </c>
      <c r="F1730" s="0" t="inlineStr">
        <is>
          <t xml:space="preserve">psc:1905</t>
        </is>
      </c>
    </row>
    <row r="1731">
      <c r="B1731" s="0" t="inlineStr">
        <is>
          <t xml:space="preserve">N0010422CZA16</t>
        </is>
      </c>
      <c r="C1731" s="0" t="inlineStr">
        <is>
          <t xml:space="preserve">small_craft</t>
        </is>
      </c>
      <c r="D1731" s="4">
        <v>5.249033</v>
      </c>
      <c r="E1731" s="0" t="inlineStr">
        <is>
          <t xml:space="preserve">ERIE FORGE &amp; STEEL INC</t>
        </is>
      </c>
      <c r="F1731" s="0" t="inlineStr">
        <is>
          <t xml:space="preserve">naics:336612</t>
        </is>
      </c>
    </row>
    <row r="1732">
      <c r="B1732" s="0" t="inlineStr">
        <is>
          <t xml:space="preserve">N5523622F9966</t>
        </is>
      </c>
      <c r="C1732" s="0" t="inlineStr">
        <is>
          <t xml:space="preserve">broad_maritime</t>
        </is>
      </c>
      <c r="D1732" s="4">
        <v>5.21193013</v>
      </c>
      <c r="E1732" s="0" t="inlineStr">
        <is>
          <t xml:space="preserve">HII FLEET SUPPORT GROUP LLC</t>
        </is>
      </c>
      <c r="F1732" s="0" t="inlineStr">
        <is>
          <t xml:space="preserve">psc:1905</t>
        </is>
      </c>
    </row>
    <row r="1733">
      <c r="B1733" s="0" t="inlineStr">
        <is>
          <t xml:space="preserve">N6133117C0001</t>
        </is>
      </c>
      <c r="C1733" s="0" t="inlineStr">
        <is>
          <t xml:space="preserve">broad_maritime</t>
        </is>
      </c>
      <c r="D1733" s="4">
        <v>5.20872342</v>
      </c>
      <c r="E1733" s="0" t="inlineStr">
        <is>
          <t xml:space="preserve">HALO MARITIME DEFENSE SYSTEMS INC</t>
        </is>
      </c>
      <c r="F1733" s="0" t="inlineStr">
        <is>
          <t xml:space="preserve">psc:2090</t>
        </is>
      </c>
    </row>
    <row r="1734">
      <c r="B1734" s="0" t="inlineStr">
        <is>
          <t xml:space="preserve">N3220516C4501</t>
        </is>
      </c>
      <c r="C1734" s="0" t="inlineStr">
        <is>
          <t xml:space="preserve">other_small</t>
        </is>
      </c>
      <c r="D1734" s="4">
        <v>5.14480904</v>
      </c>
      <c r="E1734" s="0" t="inlineStr">
        <is>
          <t xml:space="preserve">DETYENS SHIPYARDS INC</t>
        </is>
      </c>
      <c r="F1734" s="0" t="inlineStr">
        <is>
          <t xml:space="preserve">psc:1990</t>
        </is>
      </c>
    </row>
    <row r="1735">
      <c r="B1735" s="0" t="inlineStr">
        <is>
          <t xml:space="preserve">L803</t>
        </is>
      </c>
      <c r="C1735" s="0" t="inlineStr">
        <is>
          <t xml:space="preserve">broad_maritime</t>
        </is>
      </c>
      <c r="D1735" s="4">
        <v>5.113951</v>
      </c>
      <c r="E1735" s="0" t="inlineStr">
        <is>
          <t xml:space="preserve">ELECTRIC BOAT CORPORATION</t>
        </is>
      </c>
      <c r="F1735" s="0" t="inlineStr">
        <is>
          <t xml:space="preserve">psc:1905</t>
        </is>
      </c>
    </row>
    <row r="1736">
      <c r="B1736" s="0" t="inlineStr">
        <is>
          <t xml:space="preserve">N3220516C4402</t>
        </is>
      </c>
      <c r="C1736" s="0" t="inlineStr">
        <is>
          <t xml:space="preserve">other_small</t>
        </is>
      </c>
      <c r="D1736" s="4">
        <v>5.09974516</v>
      </c>
      <c r="E1736" s="0" t="inlineStr">
        <is>
          <t xml:space="preserve">JAG INDUSTRIAL SERVICES, INC</t>
        </is>
      </c>
      <c r="F1736" s="0" t="inlineStr">
        <is>
          <t xml:space="preserve">psc:1925</t>
        </is>
      </c>
    </row>
    <row r="1737">
      <c r="B1737" s="0" t="inlineStr">
        <is>
          <t xml:space="preserve">N3220515C4009</t>
        </is>
      </c>
      <c r="C1737" s="0" t="inlineStr">
        <is>
          <t xml:space="preserve">other_small</t>
        </is>
      </c>
      <c r="D1737" s="4">
        <v>4.98660366</v>
      </c>
      <c r="E1737" s="0" t="inlineStr">
        <is>
          <t xml:space="preserve">DETYENS SHIPYARDS INC</t>
        </is>
      </c>
      <c r="F1737" s="0" t="inlineStr">
        <is>
          <t xml:space="preserve">psc:1990</t>
        </is>
      </c>
    </row>
    <row r="1738">
      <c r="B1738" s="0" t="inlineStr">
        <is>
          <t xml:space="preserve">N5523624F9963</t>
        </is>
      </c>
      <c r="C1738" s="0" t="inlineStr">
        <is>
          <t xml:space="preserve">broad_maritime</t>
        </is>
      </c>
      <c r="D1738" s="4">
        <v>4.971054</v>
      </c>
      <c r="E1738" s="0" t="inlineStr">
        <is>
          <t xml:space="preserve">HII FLEET SUPPORT GROUP LLC</t>
        </is>
      </c>
      <c r="F1738" s="0" t="inlineStr">
        <is>
          <t xml:space="preserve">psc:1905</t>
        </is>
      </c>
    </row>
    <row r="1739">
      <c r="B1739" s="0" t="inlineStr">
        <is>
          <t xml:space="preserve">N0002418F22P1</t>
        </is>
      </c>
      <c r="C1739" s="0" t="inlineStr">
        <is>
          <t xml:space="preserve">small_craft</t>
        </is>
      </c>
      <c r="D1739" s="4">
        <v>4.92522772</v>
      </c>
      <c r="E1739" s="0" t="inlineStr">
        <is>
          <t xml:space="preserve">GRAVOIS ALUMINUM BOATS LLC</t>
        </is>
      </c>
      <c r="F1739" s="0" t="inlineStr">
        <is>
          <t xml:space="preserve">naics:336612; psc:1940</t>
        </is>
      </c>
    </row>
    <row r="1740">
      <c r="B1740" s="0" t="inlineStr">
        <is>
          <t xml:space="preserve">N0002425F4163</t>
        </is>
      </c>
      <c r="C1740" s="0" t="inlineStr">
        <is>
          <t xml:space="preserve">broad_maritime</t>
        </is>
      </c>
      <c r="D1740" s="4">
        <v>4.922156769999999</v>
      </c>
      <c r="E1740" s="0" t="inlineStr">
        <is>
          <t xml:space="preserve">HEXAGON US FEDERAL, INC</t>
        </is>
      </c>
      <c r="F1740" s="0" t="inlineStr">
        <is>
          <t xml:space="preserve">psc:2090</t>
        </is>
      </c>
    </row>
    <row r="1741">
      <c r="B1741" s="0" t="inlineStr">
        <is>
          <t xml:space="preserve">N0002420F22P1</t>
        </is>
      </c>
      <c r="C1741" s="0" t="inlineStr">
        <is>
          <t xml:space="preserve">small_craft</t>
        </is>
      </c>
      <c r="D1741" s="4">
        <v>4.9209665</v>
      </c>
      <c r="E1741" s="0" t="inlineStr">
        <is>
          <t xml:space="preserve">GRAVOIS ALUMINUM BOATS LLC</t>
        </is>
      </c>
      <c r="F1741" s="0" t="inlineStr">
        <is>
          <t xml:space="preserve">naics:336612; psc:1940</t>
        </is>
      </c>
    </row>
    <row r="1742">
      <c r="B1742" s="0" t="inlineStr">
        <is>
          <t xml:space="preserve">N0002423F23B2</t>
        </is>
      </c>
      <c r="C1742" s="0" t="inlineStr">
        <is>
          <t xml:space="preserve">small_craft</t>
        </is>
      </c>
      <c r="D1742" s="4">
        <v>4.9068612599999994</v>
      </c>
      <c r="E1742" s="0" t="inlineStr">
        <is>
          <t xml:space="preserve">RIBCRAFT USA, LLC</t>
        </is>
      </c>
      <c r="F1742" s="0" t="inlineStr">
        <is>
          <t xml:space="preserve">naics:336612; psc:1940</t>
        </is>
      </c>
    </row>
    <row r="1743">
      <c r="B1743" s="0" t="inlineStr">
        <is>
          <t xml:space="preserve">N0001414C5016</t>
        </is>
      </c>
      <c r="C1743" s="0" t="inlineStr">
        <is>
          <t xml:space="preserve">broad_maritime</t>
        </is>
      </c>
      <c r="D1743" s="4">
        <v>4.9039015</v>
      </c>
      <c r="E1743" s="0" t="inlineStr">
        <is>
          <t xml:space="preserve">WOODS HOLE OCEANOGRAPHIC INSTITUTION</t>
        </is>
      </c>
      <c r="F1743" s="0" t="inlineStr">
        <is>
          <t xml:space="preserve">psc:2090</t>
        </is>
      </c>
    </row>
    <row r="1744">
      <c r="B1744" s="0" t="inlineStr">
        <is>
          <t xml:space="preserve">N0001414C5015</t>
        </is>
      </c>
      <c r="C1744" s="0" t="inlineStr">
        <is>
          <t xml:space="preserve">broad_maritime</t>
        </is>
      </c>
      <c r="D1744" s="4">
        <v>4.903773999999999</v>
      </c>
      <c r="E1744" s="0" t="inlineStr">
        <is>
          <t xml:space="preserve">UNIVERSITY OF CALIFORNIA SAN DIEGO</t>
        </is>
      </c>
      <c r="F1744" s="0" t="inlineStr">
        <is>
          <t xml:space="preserve">psc:2090</t>
        </is>
      </c>
    </row>
    <row r="1745">
      <c r="B1745" s="0" t="inlineStr">
        <is>
          <t xml:space="preserve">N0010423FZL00</t>
        </is>
      </c>
      <c r="C1745" s="0" t="inlineStr">
        <is>
          <t xml:space="preserve">small_craft</t>
        </is>
      </c>
      <c r="D1745" s="4">
        <v>4.88850737</v>
      </c>
      <c r="E1745" s="0" t="inlineStr">
        <is>
          <t xml:space="preserve">DEFENSE MARITIME SOLUTIONS, INC.</t>
        </is>
      </c>
      <c r="F1745" s="0" t="inlineStr">
        <is>
          <t xml:space="preserve">naics:336612</t>
        </is>
      </c>
    </row>
    <row r="1746">
      <c r="B1746" s="0" t="inlineStr">
        <is>
          <t xml:space="preserve">N6931618F6000</t>
        </is>
      </c>
      <c r="C1746" s="0" t="inlineStr">
        <is>
          <t xml:space="preserve">broad_maritime</t>
        </is>
      </c>
      <c r="D1746" s="4">
        <v>4.886852</v>
      </c>
      <c r="E1746" s="0" t="inlineStr">
        <is>
          <t xml:space="preserve">HUNTINGTON INGALLS INCORPORATED</t>
        </is>
      </c>
      <c r="F1746" s="0" t="inlineStr">
        <is>
          <t xml:space="preserve">psc:1905</t>
        </is>
      </c>
    </row>
    <row r="1747">
      <c r="B1747" s="0" t="inlineStr">
        <is>
          <t xml:space="preserve">N5523621F9994</t>
        </is>
      </c>
      <c r="C1747" s="0" t="inlineStr">
        <is>
          <t xml:space="preserve">broad_maritime</t>
        </is>
      </c>
      <c r="D1747" s="4">
        <v>4.88024845</v>
      </c>
      <c r="E1747" s="0" t="inlineStr">
        <is>
          <t xml:space="preserve">HII FLEET SUPPORT GROUP LLC</t>
        </is>
      </c>
      <c r="F1747" s="0" t="inlineStr">
        <is>
          <t xml:space="preserve">psc:1905</t>
        </is>
      </c>
    </row>
    <row r="1748">
      <c r="B1748" s="0" t="inlineStr">
        <is>
          <t xml:space="preserve">N5523626F9970</t>
        </is>
      </c>
      <c r="C1748" s="0" t="inlineStr">
        <is>
          <t xml:space="preserve">broad_maritime</t>
        </is>
      </c>
      <c r="D1748" s="4">
        <v>4.875324</v>
      </c>
      <c r="E1748" s="0" t="inlineStr">
        <is>
          <t xml:space="preserve">HII FLEET SUPPORT GROUP LLC</t>
        </is>
      </c>
      <c r="F1748" s="0" t="inlineStr">
        <is>
          <t xml:space="preserve">psc:1905</t>
        </is>
      </c>
    </row>
    <row r="1749">
      <c r="B1749" s="0" t="inlineStr">
        <is>
          <t xml:space="preserve">N5523623F9973</t>
        </is>
      </c>
      <c r="C1749" s="0" t="inlineStr">
        <is>
          <t xml:space="preserve">broad_maritime</t>
        </is>
      </c>
      <c r="D1749" s="4">
        <v>4.866874999999999</v>
      </c>
      <c r="E1749" s="0" t="inlineStr">
        <is>
          <t xml:space="preserve">HII FLEET SUPPORT GROUP LLC</t>
        </is>
      </c>
      <c r="F1749" s="0" t="inlineStr">
        <is>
          <t xml:space="preserve">psc:1905</t>
        </is>
      </c>
    </row>
    <row r="1750">
      <c r="B1750" s="0" t="inlineStr">
        <is>
          <t xml:space="preserve">N0010423CNA03</t>
        </is>
      </c>
      <c r="C1750" s="0" t="inlineStr">
        <is>
          <t xml:space="preserve">broad_maritime</t>
        </is>
      </c>
      <c r="D1750" s="4">
        <v>4.8549999999999995</v>
      </c>
      <c r="E1750" s="0" t="inlineStr">
        <is>
          <t xml:space="preserve">MARINE POLYMERS, INC</t>
        </is>
      </c>
      <c r="F1750" s="0" t="inlineStr">
        <is>
          <t xml:space="preserve">psc:2090</t>
        </is>
      </c>
    </row>
    <row r="1751">
      <c r="B1751" s="0" t="inlineStr">
        <is>
          <t xml:space="preserve">N6279325F7511</t>
        </is>
      </c>
      <c r="C1751" s="0" t="inlineStr">
        <is>
          <t xml:space="preserve">broad_maritime</t>
        </is>
      </c>
      <c r="D1751" s="4">
        <v>4.83400364</v>
      </c>
      <c r="E1751" s="0" t="inlineStr">
        <is>
          <t xml:space="preserve">HII FLEET SUPPORT GROUP LLC</t>
        </is>
      </c>
      <c r="F1751" s="0" t="inlineStr">
        <is>
          <t xml:space="preserve">psc:1905</t>
        </is>
      </c>
    </row>
    <row r="1752">
      <c r="B1752" s="0" t="inlineStr">
        <is>
          <t xml:space="preserve">N0002417F22B1</t>
        </is>
      </c>
      <c r="C1752" s="0" t="inlineStr">
        <is>
          <t xml:space="preserve">small_craft</t>
        </is>
      </c>
      <c r="D1752" s="4">
        <v>4.832312</v>
      </c>
      <c r="E1752" s="0" t="inlineStr">
        <is>
          <t xml:space="preserve">SILVER SHIPS, INC</t>
        </is>
      </c>
      <c r="F1752" s="0" t="inlineStr">
        <is>
          <t xml:space="preserve">naics:336612; psc:1940</t>
        </is>
      </c>
    </row>
    <row r="1753">
      <c r="B1753" s="0" t="inlineStr">
        <is>
          <t xml:space="preserve">N0002418F23A1</t>
        </is>
      </c>
      <c r="C1753" s="0" t="inlineStr">
        <is>
          <t xml:space="preserve">broad_maritime</t>
        </is>
      </c>
      <c r="D1753" s="4">
        <v>4.830996</v>
      </c>
      <c r="E1753" s="0" t="inlineStr">
        <is>
          <t xml:space="preserve">BAE SYSTEMS MARITIME SOLUTIONS SAN DIEGO INC.</t>
        </is>
      </c>
      <c r="F1753" s="0" t="inlineStr">
        <is>
          <t xml:space="preserve">psc:1905</t>
        </is>
      </c>
    </row>
    <row r="1754">
      <c r="B1754" s="0" t="inlineStr">
        <is>
          <t xml:space="preserve">N0002425C4113</t>
        </is>
      </c>
      <c r="C1754" s="0" t="inlineStr">
        <is>
          <t xml:space="preserve">broad_maritime</t>
        </is>
      </c>
      <c r="D1754" s="4">
        <v>4.822952</v>
      </c>
      <c r="E1754" s="0" t="inlineStr">
        <is>
          <t xml:space="preserve">AMERICAN SUPERCONDUCTOR CORP</t>
        </is>
      </c>
      <c r="F1754" s="0" t="inlineStr">
        <is>
          <t xml:space="preserve">psc:1905</t>
        </is>
      </c>
    </row>
    <row r="1755">
      <c r="B1755" s="0" t="inlineStr">
        <is>
          <t xml:space="preserve">0003</t>
        </is>
      </c>
      <c r="C1755" s="0" t="inlineStr">
        <is>
          <t xml:space="preserve">small_craft</t>
        </is>
      </c>
      <c r="D1755" s="4">
        <v>4.8195</v>
      </c>
      <c r="E1755" s="0" t="inlineStr">
        <is>
          <t xml:space="preserve">GRAVOIS ALUMINUM BOATS LLC</t>
        </is>
      </c>
      <c r="F1755" s="0" t="inlineStr">
        <is>
          <t xml:space="preserve">naics:336612; psc:1940</t>
        </is>
      </c>
    </row>
    <row r="1756">
      <c r="B1756" s="0" t="inlineStr">
        <is>
          <t xml:space="preserve">N0002420C4201</t>
        </is>
      </c>
      <c r="C1756" s="0" t="inlineStr">
        <is>
          <t xml:space="preserve">broad_maritime</t>
        </is>
      </c>
      <c r="D1756" s="4">
        <v>4.817352</v>
      </c>
      <c r="E1756" s="0" t="inlineStr">
        <is>
          <t xml:space="preserve">MTU MAINTENANCE BERLIN- BRANDENBURG GMBH</t>
        </is>
      </c>
      <c r="F1756" s="0" t="inlineStr">
        <is>
          <t xml:space="preserve">psc:2090</t>
        </is>
      </c>
    </row>
    <row r="1757">
      <c r="B1757" s="0" t="inlineStr">
        <is>
          <t xml:space="preserve">0001</t>
        </is>
      </c>
      <c r="C1757" s="0" t="inlineStr">
        <is>
          <t xml:space="preserve">small_craft</t>
        </is>
      </c>
      <c r="D1757" s="4">
        <v>4.81203</v>
      </c>
      <c r="E1757" s="0" t="inlineStr">
        <is>
          <t xml:space="preserve">UNITED STATES MARINE INC</t>
        </is>
      </c>
      <c r="F1757" s="0" t="inlineStr">
        <is>
          <t xml:space="preserve">naics:336612; psc:1940</t>
        </is>
      </c>
    </row>
    <row r="1758">
      <c r="B1758" s="0" t="inlineStr">
        <is>
          <t xml:space="preserve">N6426725P5016</t>
        </is>
      </c>
      <c r="C1758" s="0" t="inlineStr">
        <is>
          <t xml:space="preserve">small_craft</t>
        </is>
      </c>
      <c r="D1758" s="4">
        <v>4.796688389999999</v>
      </c>
      <c r="E1758" s="0" t="inlineStr">
        <is>
          <t xml:space="preserve">ST JOHNS SHIP BUILDING INC</t>
        </is>
      </c>
      <c r="F1758" s="0" t="inlineStr">
        <is>
          <t xml:space="preserve">naics:336612; psc:1940</t>
        </is>
      </c>
    </row>
    <row r="1759">
      <c r="B1759" s="0" t="inlineStr">
        <is>
          <t xml:space="preserve">N0002424F22A3</t>
        </is>
      </c>
      <c r="C1759" s="0" t="inlineStr">
        <is>
          <t xml:space="preserve">small_craft</t>
        </is>
      </c>
      <c r="D1759" s="4">
        <v>4.788651</v>
      </c>
      <c r="E1759" s="0" t="inlineStr">
        <is>
          <t xml:space="preserve">SILVER SHIPS, INC</t>
        </is>
      </c>
      <c r="F1759" s="0" t="inlineStr">
        <is>
          <t xml:space="preserve">naics:336612; psc:1940</t>
        </is>
      </c>
    </row>
    <row r="1760">
      <c r="B1760" s="0" t="inlineStr">
        <is>
          <t xml:space="preserve">N0010423PK049</t>
        </is>
      </c>
      <c r="C1760" s="0" t="inlineStr">
        <is>
          <t xml:space="preserve">broad_maritime</t>
        </is>
      </c>
      <c r="D1760" s="4">
        <v>4.7868129999999995</v>
      </c>
      <c r="E1760" s="0" t="inlineStr">
        <is>
          <t xml:space="preserve">CANADIAN COMMERCIAL CORPORATION</t>
        </is>
      </c>
      <c r="F1760" s="0" t="inlineStr">
        <is>
          <t xml:space="preserve">psc:2090</t>
        </is>
      </c>
    </row>
    <row r="1761">
      <c r="B1761" s="0" t="inlineStr">
        <is>
          <t xml:space="preserve">N0002418F4T01</t>
        </is>
      </c>
      <c r="C1761" s="0" t="inlineStr">
        <is>
          <t xml:space="preserve">broad_maritime</t>
        </is>
      </c>
      <c r="D1761" s="4">
        <v>4.78460823</v>
      </c>
      <c r="E1761" s="0" t="inlineStr">
        <is>
          <t xml:space="preserve">HUNTINGTON INGALLS INC</t>
        </is>
      </c>
      <c r="F1761" s="0" t="inlineStr">
        <is>
          <t xml:space="preserve">psc:1905</t>
        </is>
      </c>
    </row>
    <row r="1762">
      <c r="B1762" s="0" t="inlineStr">
        <is>
          <t xml:space="preserve">0004</t>
        </is>
      </c>
      <c r="C1762" s="0" t="inlineStr">
        <is>
          <t xml:space="preserve">small_craft</t>
        </is>
      </c>
      <c r="D1762" s="4">
        <v>4.775001</v>
      </c>
      <c r="E1762" s="0" t="inlineStr">
        <is>
          <t xml:space="preserve">SILVER SHIPS, INC</t>
        </is>
      </c>
      <c r="F1762" s="0" t="inlineStr">
        <is>
          <t xml:space="preserve">naics:336612; psc:1940</t>
        </is>
      </c>
    </row>
    <row r="1763">
      <c r="B1763" s="0" t="inlineStr">
        <is>
          <t xml:space="preserve">N0002422F22A2</t>
        </is>
      </c>
      <c r="C1763" s="0" t="inlineStr">
        <is>
          <t xml:space="preserve">small_craft</t>
        </is>
      </c>
      <c r="D1763" s="4">
        <v>4.77487338</v>
      </c>
      <c r="E1763" s="0" t="inlineStr">
        <is>
          <t xml:space="preserve">SNOW &amp; COMPANY, INC.</t>
        </is>
      </c>
      <c r="F1763" s="0" t="inlineStr">
        <is>
          <t xml:space="preserve">naics:336612; psc:1940</t>
        </is>
      </c>
    </row>
    <row r="1764">
      <c r="B1764" s="0" t="inlineStr">
        <is>
          <t xml:space="preserve">N0001422C1011</t>
        </is>
      </c>
      <c r="C1764" s="0" t="inlineStr">
        <is>
          <t xml:space="preserve">usv_core</t>
        </is>
      </c>
      <c r="D1764" s="4">
        <v>4.75</v>
      </c>
      <c r="E1764" s="0" t="inlineStr">
        <is>
          <t xml:space="preserve">UNIVERSITY OF SOUTH CAROLINA</t>
        </is>
      </c>
      <c r="F1764" s="0" t="inlineStr">
        <is>
          <t xml:space="preserve">keyword</t>
        </is>
      </c>
    </row>
    <row r="1765">
      <c r="B1765" s="0" t="inlineStr">
        <is>
          <t xml:space="preserve">N6279321F0003</t>
        </is>
      </c>
      <c r="C1765" s="0" t="inlineStr">
        <is>
          <t xml:space="preserve">broad_maritime</t>
        </is>
      </c>
      <c r="D1765" s="4">
        <v>4.74994876</v>
      </c>
      <c r="E1765" s="0" t="inlineStr">
        <is>
          <t xml:space="preserve">HII FLEET SUPPORT GROUP LLC</t>
        </is>
      </c>
      <c r="F1765" s="0" t="inlineStr">
        <is>
          <t xml:space="preserve">psc:1905</t>
        </is>
      </c>
    </row>
    <row r="1766">
      <c r="B1766" s="0" t="inlineStr">
        <is>
          <t xml:space="preserve">N3220516C4200</t>
        </is>
      </c>
      <c r="C1766" s="0" t="inlineStr">
        <is>
          <t xml:space="preserve">other_small</t>
        </is>
      </c>
      <c r="D1766" s="4">
        <v>4.74843403</v>
      </c>
      <c r="E1766" s="0" t="inlineStr">
        <is>
          <t xml:space="preserve">DETYENS SHIPYARDS INC</t>
        </is>
      </c>
      <c r="F1766" s="0" t="inlineStr">
        <is>
          <t xml:space="preserve">psc:1990</t>
        </is>
      </c>
    </row>
    <row r="1767">
      <c r="B1767" s="0" t="inlineStr">
        <is>
          <t xml:space="preserve">N6278619F0051</t>
        </is>
      </c>
      <c r="C1767" s="0" t="inlineStr">
        <is>
          <t xml:space="preserve">broad_maritime</t>
        </is>
      </c>
      <c r="D1767" s="4">
        <v>4.730542</v>
      </c>
      <c r="E1767" s="0" t="inlineStr">
        <is>
          <t xml:space="preserve">BAE SYSTEMS MARITIME SOLUTIONS SAN DIEGO INC.</t>
        </is>
      </c>
      <c r="F1767" s="0" t="inlineStr">
        <is>
          <t xml:space="preserve">psc:1905</t>
        </is>
      </c>
    </row>
    <row r="1768">
      <c r="B1768" s="0" t="inlineStr">
        <is>
          <t xml:space="preserve">N6278618F0048</t>
        </is>
      </c>
      <c r="C1768" s="0" t="inlineStr">
        <is>
          <t xml:space="preserve">broad_maritime</t>
        </is>
      </c>
      <c r="D1768" s="4">
        <v>4.718464</v>
      </c>
      <c r="E1768" s="0" t="inlineStr">
        <is>
          <t xml:space="preserve">LOCKHEED MARTIN CORPORATION</t>
        </is>
      </c>
      <c r="F1768" s="0" t="inlineStr">
        <is>
          <t xml:space="preserve">psc:1905</t>
        </is>
      </c>
    </row>
    <row r="1769">
      <c r="B1769" s="0" t="inlineStr">
        <is>
          <t xml:space="preserve">N0002417F22P1</t>
        </is>
      </c>
      <c r="C1769" s="0" t="inlineStr">
        <is>
          <t xml:space="preserve">small_craft</t>
        </is>
      </c>
      <c r="D1769" s="4">
        <v>4.663880519999999</v>
      </c>
      <c r="E1769" s="0" t="inlineStr">
        <is>
          <t xml:space="preserve">GRAVOIS ALUMINUM BOATS LLC</t>
        </is>
      </c>
      <c r="F1769" s="0" t="inlineStr">
        <is>
          <t xml:space="preserve">naics:336612; psc:1940</t>
        </is>
      </c>
    </row>
    <row r="1770">
      <c r="B1770" s="0" t="inlineStr">
        <is>
          <t xml:space="preserve">0001</t>
        </is>
      </c>
      <c r="C1770" s="0" t="inlineStr">
        <is>
          <t xml:space="preserve">small_craft</t>
        </is>
      </c>
      <c r="D1770" s="4">
        <v>4.6437919999999995</v>
      </c>
      <c r="E1770" s="0" t="inlineStr">
        <is>
          <t xml:space="preserve">VIGOR KVICHAK LLC</t>
        </is>
      </c>
      <c r="F1770" s="0" t="inlineStr">
        <is>
          <t xml:space="preserve">naics:336612; psc:1940</t>
        </is>
      </c>
    </row>
    <row r="1771">
      <c r="B1771" s="0" t="inlineStr">
        <is>
          <t xml:space="preserve">N6278624F0029</t>
        </is>
      </c>
      <c r="C1771" s="0" t="inlineStr">
        <is>
          <t xml:space="preserve">broad_maritime</t>
        </is>
      </c>
      <c r="D1771" s="4">
        <v>4.630144</v>
      </c>
      <c r="E1771" s="0" t="inlineStr">
        <is>
          <t xml:space="preserve">LOCKHEED MARTIN CORPORATION</t>
        </is>
      </c>
      <c r="F1771" s="0" t="inlineStr">
        <is>
          <t xml:space="preserve">psc:1905</t>
        </is>
      </c>
    </row>
    <row r="1772">
      <c r="B1772" s="0" t="inlineStr">
        <is>
          <t xml:space="preserve">N0002418F22P3</t>
        </is>
      </c>
      <c r="C1772" s="0" t="inlineStr">
        <is>
          <t xml:space="preserve">small_craft</t>
        </is>
      </c>
      <c r="D1772" s="4">
        <v>4.61941221</v>
      </c>
      <c r="E1772" s="0" t="inlineStr">
        <is>
          <t xml:space="preserve">GRAVOIS ALUMINUM BOATS LLC</t>
        </is>
      </c>
      <c r="F1772" s="0" t="inlineStr">
        <is>
          <t xml:space="preserve">naics:336612; psc:1940</t>
        </is>
      </c>
    </row>
    <row r="1773">
      <c r="B1773" s="0" t="inlineStr">
        <is>
          <t xml:space="preserve">N0002421C2213</t>
        </is>
      </c>
      <c r="C1773" s="0" t="inlineStr">
        <is>
          <t xml:space="preserve">other_small</t>
        </is>
      </c>
      <c r="D1773" s="4">
        <v>4.60680558</v>
      </c>
      <c r="E1773" s="0" t="inlineStr">
        <is>
          <t xml:space="preserve">HANWHA PHILLY SHIPYARD, INC.</t>
        </is>
      </c>
      <c r="F1773" s="0" t="inlineStr">
        <is>
          <t xml:space="preserve">psc:1925</t>
        </is>
      </c>
    </row>
    <row r="1774">
      <c r="B1774" s="0" t="inlineStr">
        <is>
          <t xml:space="preserve">N0002425C4112</t>
        </is>
      </c>
      <c r="C1774" s="0" t="inlineStr">
        <is>
          <t xml:space="preserve">broad_maritime</t>
        </is>
      </c>
      <c r="D1774" s="4">
        <v>4.576245999999999</v>
      </c>
      <c r="E1774" s="0" t="inlineStr">
        <is>
          <t xml:space="preserve">GE ENERGY POWER CONVERSION NAVAL SYSTEMS INC.</t>
        </is>
      </c>
      <c r="F1774" s="0" t="inlineStr">
        <is>
          <t xml:space="preserve">psc:1905</t>
        </is>
      </c>
    </row>
    <row r="1775">
      <c r="B1775" s="0" t="inlineStr">
        <is>
          <t xml:space="preserve">N0002419F2221</t>
        </is>
      </c>
      <c r="C1775" s="0" t="inlineStr">
        <is>
          <t xml:space="preserve">small_craft</t>
        </is>
      </c>
      <c r="D1775" s="4">
        <v>4.57136897</v>
      </c>
      <c r="E1775" s="0" t="inlineStr">
        <is>
          <t xml:space="preserve">MODUTECH MARINE, INC.</t>
        </is>
      </c>
      <c r="F1775" s="0" t="inlineStr">
        <is>
          <t xml:space="preserve">naics:336612; psc:1940</t>
        </is>
      </c>
    </row>
    <row r="1776">
      <c r="B1776" s="0" t="inlineStr">
        <is>
          <t xml:space="preserve">N6133119F0034</t>
        </is>
      </c>
      <c r="C1776" s="0" t="inlineStr">
        <is>
          <t xml:space="preserve">broad_maritime</t>
        </is>
      </c>
      <c r="D1776" s="4">
        <v>4.564106</v>
      </c>
      <c r="E1776" s="0" t="inlineStr">
        <is>
          <t xml:space="preserve">HII UNMANNED SYSTEMS, INC</t>
        </is>
      </c>
      <c r="F1776" s="0" t="inlineStr">
        <is>
          <t xml:space="preserve">psc:2090</t>
        </is>
      </c>
    </row>
    <row r="1777">
      <c r="B1777" s="0" t="inlineStr">
        <is>
          <t xml:space="preserve">N5523625F9966</t>
        </is>
      </c>
      <c r="C1777" s="0" t="inlineStr">
        <is>
          <t xml:space="preserve">broad_maritime</t>
        </is>
      </c>
      <c r="D1777" s="4">
        <v>4.539969</v>
      </c>
      <c r="E1777" s="0" t="inlineStr">
        <is>
          <t xml:space="preserve">HII FLEET SUPPORT GROUP LLC</t>
        </is>
      </c>
      <c r="F1777" s="0" t="inlineStr">
        <is>
          <t xml:space="preserve">psc:1905</t>
        </is>
      </c>
    </row>
    <row r="1778">
      <c r="B1778" s="0" t="inlineStr">
        <is>
          <t xml:space="preserve">ER02</t>
        </is>
      </c>
      <c r="C1778" s="0" t="inlineStr">
        <is>
          <t xml:space="preserve">broad_maritime</t>
        </is>
      </c>
      <c r="D1778" s="4">
        <v>4.533834</v>
      </c>
      <c r="E1778" s="0" t="inlineStr">
        <is>
          <t xml:space="preserve">BATH IRON WORKS CORPORATION</t>
        </is>
      </c>
      <c r="F1778" s="0" t="inlineStr">
        <is>
          <t xml:space="preserve">psc:1905</t>
        </is>
      </c>
    </row>
    <row r="1779">
      <c r="B1779" s="0" t="inlineStr">
        <is>
          <t xml:space="preserve">N0018920PQ026</t>
        </is>
      </c>
      <c r="C1779" s="0" t="inlineStr">
        <is>
          <t xml:space="preserve">broad_maritime</t>
        </is>
      </c>
      <c r="D1779" s="4">
        <v>4.4986</v>
      </c>
      <c r="E1779" s="0" t="inlineStr">
        <is>
          <t xml:space="preserve">KONGSBERG DISCOVERY US, LLC</t>
        </is>
      </c>
      <c r="F1779" s="0" t="inlineStr">
        <is>
          <t xml:space="preserve">psc:2090</t>
        </is>
      </c>
    </row>
    <row r="1780">
      <c r="B1780" s="0" t="inlineStr">
        <is>
          <t xml:space="preserve">N6600120F0254</t>
        </is>
      </c>
      <c r="C1780" s="0" t="inlineStr">
        <is>
          <t xml:space="preserve">usv_core</t>
        </is>
      </c>
      <c r="D1780" s="4">
        <v>4.46578114</v>
      </c>
      <c r="E1780" s="0" t="inlineStr">
        <is>
          <t xml:space="preserve">OASIS SYSTEMS, LLC</t>
        </is>
      </c>
      <c r="F1780" s="0" t="inlineStr">
        <is>
          <t xml:space="preserve">keyword</t>
        </is>
      </c>
    </row>
    <row r="1781">
      <c r="B1781" s="0" t="inlineStr">
        <is>
          <t xml:space="preserve">N0002422F22A4</t>
        </is>
      </c>
      <c r="C1781" s="0" t="inlineStr">
        <is>
          <t xml:space="preserve">small_craft</t>
        </is>
      </c>
      <c r="D1781" s="4">
        <v>4.460888440000001</v>
      </c>
      <c r="E1781" s="0" t="inlineStr">
        <is>
          <t xml:space="preserve">METALCRAFT MARINE US, INC.</t>
        </is>
      </c>
      <c r="F1781" s="0" t="inlineStr">
        <is>
          <t xml:space="preserve">naics:336612; psc:1940</t>
        </is>
      </c>
    </row>
    <row r="1782">
      <c r="B1782" s="0" t="inlineStr">
        <is>
          <t xml:space="preserve">0003</t>
        </is>
      </c>
      <c r="C1782" s="0" t="inlineStr">
        <is>
          <t xml:space="preserve">small_craft</t>
        </is>
      </c>
      <c r="D1782" s="4">
        <v>4.45772248</v>
      </c>
      <c r="E1782" s="0" t="inlineStr">
        <is>
          <t xml:space="preserve">MARINE GROUP BOAT WORKS, LLC</t>
        </is>
      </c>
      <c r="F1782" s="0" t="inlineStr">
        <is>
          <t xml:space="preserve">naics:336612; psc:1940</t>
        </is>
      </c>
    </row>
    <row r="1783">
      <c r="B1783" s="0" t="inlineStr">
        <is>
          <t xml:space="preserve">N0002420F22Y2</t>
        </is>
      </c>
      <c r="C1783" s="0" t="inlineStr">
        <is>
          <t xml:space="preserve">small_craft</t>
        </is>
      </c>
      <c r="D1783" s="4">
        <v>4.45587445</v>
      </c>
      <c r="E1783" s="0" t="inlineStr">
        <is>
          <t xml:space="preserve">LAKE ASSAULT BOATS, LLC</t>
        </is>
      </c>
      <c r="F1783" s="0" t="inlineStr">
        <is>
          <t xml:space="preserve">naics:336612; psc:1940</t>
        </is>
      </c>
    </row>
    <row r="1784">
      <c r="B1784" s="0" t="inlineStr">
        <is>
          <t xml:space="preserve">N0002418F22P2</t>
        </is>
      </c>
      <c r="C1784" s="0" t="inlineStr">
        <is>
          <t xml:space="preserve">small_craft</t>
        </is>
      </c>
      <c r="D1784" s="4">
        <v>4.45543816</v>
      </c>
      <c r="E1784" s="0" t="inlineStr">
        <is>
          <t xml:space="preserve">GRAVOIS ALUMINUM BOATS LLC</t>
        </is>
      </c>
      <c r="F1784" s="0" t="inlineStr">
        <is>
          <t xml:space="preserve">naics:336612; psc:1940</t>
        </is>
      </c>
    </row>
    <row r="1785">
      <c r="B1785" s="0" t="inlineStr">
        <is>
          <t xml:space="preserve">N0002419F22D1</t>
        </is>
      </c>
      <c r="C1785" s="0" t="inlineStr">
        <is>
          <t xml:space="preserve">small_craft</t>
        </is>
      </c>
      <c r="D1785" s="4">
        <v>4.449625</v>
      </c>
      <c r="E1785" s="0" t="inlineStr">
        <is>
          <t xml:space="preserve">UNITED STATES MARINE INC</t>
        </is>
      </c>
      <c r="F1785" s="0" t="inlineStr">
        <is>
          <t xml:space="preserve">naics:336612; psc:1940</t>
        </is>
      </c>
    </row>
    <row r="1786">
      <c r="B1786" s="0" t="inlineStr">
        <is>
          <t xml:space="preserve">0002</t>
        </is>
      </c>
      <c r="C1786" s="0" t="inlineStr">
        <is>
          <t xml:space="preserve">broad_maritime</t>
        </is>
      </c>
      <c r="D1786" s="4">
        <v>4.435455</v>
      </c>
      <c r="E1786" s="0" t="inlineStr">
        <is>
          <t xml:space="preserve">BATH IRON WORKS CORPORATION</t>
        </is>
      </c>
      <c r="F1786" s="0" t="inlineStr">
        <is>
          <t xml:space="preserve">psc:1905</t>
        </is>
      </c>
    </row>
    <row r="1787">
      <c r="B1787" s="0" t="inlineStr">
        <is>
          <t xml:space="preserve">N0016721C0002</t>
        </is>
      </c>
      <c r="C1787" s="0" t="inlineStr">
        <is>
          <t xml:space="preserve">broad_maritime</t>
        </is>
      </c>
      <c r="D1787" s="4">
        <v>4.43444341</v>
      </c>
      <c r="E1787" s="0" t="inlineStr">
        <is>
          <t xml:space="preserve">THE COLUMBIA GROUP INC</t>
        </is>
      </c>
      <c r="F1787" s="0" t="inlineStr">
        <is>
          <t xml:space="preserve">psc:2090</t>
        </is>
      </c>
    </row>
    <row r="1788">
      <c r="B1788" s="0" t="inlineStr">
        <is>
          <t xml:space="preserve">N6426723P5017</t>
        </is>
      </c>
      <c r="C1788" s="0" t="inlineStr">
        <is>
          <t xml:space="preserve">small_craft</t>
        </is>
      </c>
      <c r="D1788" s="4">
        <v>4.409799</v>
      </c>
      <c r="E1788" s="0" t="inlineStr">
        <is>
          <t xml:space="preserve">FRASER SHIPYARDS LLC</t>
        </is>
      </c>
      <c r="F1788" s="0" t="inlineStr">
        <is>
          <t xml:space="preserve">naics:336612; psc:1940</t>
        </is>
      </c>
    </row>
    <row r="1789">
      <c r="B1789" s="0" t="inlineStr">
        <is>
          <t xml:space="preserve">N0002421F22V1</t>
        </is>
      </c>
      <c r="C1789" s="0" t="inlineStr">
        <is>
          <t xml:space="preserve">small_craft</t>
        </is>
      </c>
      <c r="D1789" s="4">
        <v>4.40270052</v>
      </c>
      <c r="E1789" s="0" t="inlineStr">
        <is>
          <t xml:space="preserve">SNOW &amp; COMPANY, INC.</t>
        </is>
      </c>
      <c r="F1789" s="0" t="inlineStr">
        <is>
          <t xml:space="preserve">naics:336612; psc:1940</t>
        </is>
      </c>
    </row>
    <row r="1790">
      <c r="B1790" s="0" t="inlineStr">
        <is>
          <t xml:space="preserve">0014</t>
        </is>
      </c>
      <c r="C1790" s="0" t="inlineStr">
        <is>
          <t xml:space="preserve">broad_maritime</t>
        </is>
      </c>
      <c r="D1790" s="4">
        <v>4.399825</v>
      </c>
      <c r="E1790" s="0" t="inlineStr">
        <is>
          <t xml:space="preserve">LOCKHEED MARTIN CORPORATION</t>
        </is>
      </c>
      <c r="F1790" s="0" t="inlineStr">
        <is>
          <t xml:space="preserve">psc:1905</t>
        </is>
      </c>
    </row>
    <row r="1791">
      <c r="B1791" s="0" t="inlineStr">
        <is>
          <t xml:space="preserve">N0010422CNA10</t>
        </is>
      </c>
      <c r="C1791" s="0" t="inlineStr">
        <is>
          <t xml:space="preserve">small_craft</t>
        </is>
      </c>
      <c r="D1791" s="4">
        <v>4.38903744</v>
      </c>
      <c r="E1791" s="0" t="inlineStr">
        <is>
          <t xml:space="preserve">DEFENSE MARITIME SOLUTIONS, INC.</t>
        </is>
      </c>
      <c r="F1791" s="0" t="inlineStr">
        <is>
          <t xml:space="preserve">naics:336612</t>
        </is>
      </c>
    </row>
    <row r="1792">
      <c r="B1792" s="0" t="inlineStr">
        <is>
          <t xml:space="preserve">N0002419F22H1</t>
        </is>
      </c>
      <c r="C1792" s="0" t="inlineStr">
        <is>
          <t xml:space="preserve">small_craft</t>
        </is>
      </c>
      <c r="D1792" s="4">
        <v>4.376781019999999</v>
      </c>
      <c r="E1792" s="0" t="inlineStr">
        <is>
          <t xml:space="preserve">MARINE GROUP BOAT WORKS, LLC</t>
        </is>
      </c>
      <c r="F1792" s="0" t="inlineStr">
        <is>
          <t xml:space="preserve">naics:336612; psc:1940</t>
        </is>
      </c>
    </row>
    <row r="1793">
      <c r="B1793" s="0" t="inlineStr">
        <is>
          <t xml:space="preserve">N0002416C2220</t>
        </is>
      </c>
      <c r="C1793" s="0" t="inlineStr">
        <is>
          <t xml:space="preserve">small_craft</t>
        </is>
      </c>
      <c r="D1793" s="4">
        <v>4.31878574</v>
      </c>
      <c r="E1793" s="0" t="inlineStr">
        <is>
          <t xml:space="preserve">UNITED STATES MARINE INC</t>
        </is>
      </c>
      <c r="F1793" s="0" t="inlineStr">
        <is>
          <t xml:space="preserve">naics:336612; psc:1940</t>
        </is>
      </c>
    </row>
    <row r="1794">
      <c r="B1794" s="0" t="inlineStr">
        <is>
          <t xml:space="preserve">0019</t>
        </is>
      </c>
      <c r="C1794" s="0" t="inlineStr">
        <is>
          <t xml:space="preserve">broad_maritime</t>
        </is>
      </c>
      <c r="D1794" s="4">
        <v>4.318033</v>
      </c>
      <c r="E1794" s="0" t="inlineStr">
        <is>
          <t xml:space="preserve">LOCKHEED MARTIN CORPORATION</t>
        </is>
      </c>
      <c r="F1794" s="0" t="inlineStr">
        <is>
          <t xml:space="preserve">psc:1905</t>
        </is>
      </c>
    </row>
    <row r="1795">
      <c r="B1795" s="0" t="inlineStr">
        <is>
          <t xml:space="preserve">N6278621F0002</t>
        </is>
      </c>
      <c r="C1795" s="0" t="inlineStr">
        <is>
          <t xml:space="preserve">broad_maritime</t>
        </is>
      </c>
      <c r="D1795" s="4">
        <v>4.300437</v>
      </c>
      <c r="E1795" s="0" t="inlineStr">
        <is>
          <t xml:space="preserve">BAE SYSTEMS MARITIME SOLUTIONS SAN DIEGO INC.</t>
        </is>
      </c>
      <c r="F1795" s="0" t="inlineStr">
        <is>
          <t xml:space="preserve">psc:1905</t>
        </is>
      </c>
    </row>
    <row r="1796">
      <c r="B1796" s="0" t="inlineStr">
        <is>
          <t xml:space="preserve">N6554005C0007</t>
        </is>
      </c>
      <c r="C1796" s="0" t="inlineStr">
        <is>
          <t xml:space="preserve">broad_maritime</t>
        </is>
      </c>
      <c r="D1796" s="4">
        <v>4.28430511</v>
      </c>
      <c r="E1796" s="0" t="inlineStr">
        <is>
          <t xml:space="preserve">PACIFIC CONSOLIDATED INDUSTRIES LLC</t>
        </is>
      </c>
      <c r="F1796" s="0" t="inlineStr">
        <is>
          <t xml:space="preserve">psc:2090</t>
        </is>
      </c>
    </row>
    <row r="1797">
      <c r="B1797" s="0" t="inlineStr">
        <is>
          <t xml:space="preserve">N0003314C2002</t>
        </is>
      </c>
      <c r="C1797" s="0" t="inlineStr">
        <is>
          <t xml:space="preserve">other_small</t>
        </is>
      </c>
      <c r="D1797" s="4">
        <v>4.276731099999999</v>
      </c>
      <c r="E1797" s="0" t="inlineStr">
        <is>
          <t xml:space="preserve">HAWAII RESOURCE GROUP LLC</t>
        </is>
      </c>
      <c r="F1797" s="0" t="inlineStr">
        <is>
          <t xml:space="preserve">psc:1990</t>
        </is>
      </c>
    </row>
    <row r="1798">
      <c r="B1798" s="0" t="inlineStr">
        <is>
          <t xml:space="preserve">N0002421C2212</t>
        </is>
      </c>
      <c r="C1798" s="0" t="inlineStr">
        <is>
          <t xml:space="preserve">other_small</t>
        </is>
      </c>
      <c r="D1798" s="4">
        <v>4.207437</v>
      </c>
      <c r="E1798" s="0" t="inlineStr">
        <is>
          <t xml:space="preserve">NATIONAL STEEL AND SHIPBUILDING COMPANY</t>
        </is>
      </c>
      <c r="F1798" s="0" t="inlineStr">
        <is>
          <t xml:space="preserve">psc:1925</t>
        </is>
      </c>
    </row>
    <row r="1799">
      <c r="B1799" s="0" t="inlineStr">
        <is>
          <t xml:space="preserve">N5005426FP001</t>
        </is>
      </c>
      <c r="C1799" s="0" t="inlineStr">
        <is>
          <t xml:space="preserve">broad_maritime</t>
        </is>
      </c>
      <c r="D1799" s="4">
        <v>4.2040869999999995</v>
      </c>
      <c r="E1799" s="0" t="inlineStr">
        <is>
          <t xml:space="preserve">METRO MACHINE CORP.</t>
        </is>
      </c>
      <c r="F1799" s="0" t="inlineStr">
        <is>
          <t xml:space="preserve">psc:1905</t>
        </is>
      </c>
    </row>
    <row r="1800">
      <c r="B1800" s="0" t="inlineStr">
        <is>
          <t xml:space="preserve">N0002425C2413</t>
        </is>
      </c>
      <c r="C1800" s="0" t="inlineStr">
        <is>
          <t xml:space="preserve">broad_maritime</t>
        </is>
      </c>
      <c r="D1800" s="4">
        <v>4.2</v>
      </c>
      <c r="E1800" s="0" t="inlineStr">
        <is>
          <t xml:space="preserve">BOLLINGER SHIPYARDS LOCKPORT, L.L.C.</t>
        </is>
      </c>
      <c r="F1800" s="0" t="inlineStr">
        <is>
          <t xml:space="preserve">psc:1905</t>
        </is>
      </c>
    </row>
    <row r="1801">
      <c r="B1801" s="0" t="inlineStr">
        <is>
          <t xml:space="preserve">N0002425F22A7</t>
        </is>
      </c>
      <c r="C1801" s="0" t="inlineStr">
        <is>
          <t xml:space="preserve">small_craft</t>
        </is>
      </c>
      <c r="D1801" s="4">
        <v>4.18624895</v>
      </c>
      <c r="E1801" s="0" t="inlineStr">
        <is>
          <t xml:space="preserve">SNOW &amp; COMPANY, INC.</t>
        </is>
      </c>
      <c r="F1801" s="0" t="inlineStr">
        <is>
          <t xml:space="preserve">naics:336612; psc:1940</t>
        </is>
      </c>
    </row>
    <row r="1802">
      <c r="B1802" s="0" t="inlineStr">
        <is>
          <t xml:space="preserve">N0002423F4123</t>
        </is>
      </c>
      <c r="C1802" s="0" t="inlineStr">
        <is>
          <t xml:space="preserve">small_craft</t>
        </is>
      </c>
      <c r="D1802" s="4">
        <v>4.18550531</v>
      </c>
      <c r="E1802" s="0" t="inlineStr">
        <is>
          <t xml:space="preserve">ROLLS-ROYCE SOLUTIONS AMERICA INC</t>
        </is>
      </c>
      <c r="F1802" s="0" t="inlineStr">
        <is>
          <t xml:space="preserve">psc:1940</t>
        </is>
      </c>
    </row>
    <row r="1803">
      <c r="B1803" s="0" t="inlineStr">
        <is>
          <t xml:space="preserve">N6426724P5020</t>
        </is>
      </c>
      <c r="C1803" s="0" t="inlineStr">
        <is>
          <t xml:space="preserve">small_craft</t>
        </is>
      </c>
      <c r="D1803" s="4">
        <v>4.1847550899999995</v>
      </c>
      <c r="E1803" s="0" t="inlineStr">
        <is>
          <t xml:space="preserve">PLATYPUS MARINE INC</t>
        </is>
      </c>
      <c r="F1803" s="0" t="inlineStr">
        <is>
          <t xml:space="preserve">naics:336612; psc:1940</t>
        </is>
      </c>
    </row>
    <row r="1804">
      <c r="B1804" s="0" t="inlineStr">
        <is>
          <t xml:space="preserve">N0002420F22H1</t>
        </is>
      </c>
      <c r="C1804" s="0" t="inlineStr">
        <is>
          <t xml:space="preserve">small_craft</t>
        </is>
      </c>
      <c r="D1804" s="4">
        <v>4.1559525399999995</v>
      </c>
      <c r="E1804" s="0" t="inlineStr">
        <is>
          <t xml:space="preserve">MARINE GROUP BOAT WORKS, LLC</t>
        </is>
      </c>
      <c r="F1804" s="0" t="inlineStr">
        <is>
          <t xml:space="preserve">naics:336612; psc:1940</t>
        </is>
      </c>
    </row>
    <row r="1805">
      <c r="B1805" s="0" t="inlineStr">
        <is>
          <t xml:space="preserve">N5523622F9965</t>
        </is>
      </c>
      <c r="C1805" s="0" t="inlineStr">
        <is>
          <t xml:space="preserve">broad_maritime</t>
        </is>
      </c>
      <c r="D1805" s="4">
        <v>4.15525606</v>
      </c>
      <c r="E1805" s="0" t="inlineStr">
        <is>
          <t xml:space="preserve">HII FLEET SUPPORT GROUP LLC</t>
        </is>
      </c>
      <c r="F1805" s="0" t="inlineStr">
        <is>
          <t xml:space="preserve">psc:1905</t>
        </is>
      </c>
    </row>
    <row r="1806">
      <c r="B1806" s="0" t="inlineStr">
        <is>
          <t xml:space="preserve">N6449820F4029</t>
        </is>
      </c>
      <c r="C1806" s="0" t="inlineStr">
        <is>
          <t xml:space="preserve">broad_maritime</t>
        </is>
      </c>
      <c r="D1806" s="4">
        <v>4.151116</v>
      </c>
      <c r="E1806" s="0" t="inlineStr">
        <is>
          <t xml:space="preserve">OCEANEERING INTERNATIONAL INC</t>
        </is>
      </c>
      <c r="F1806" s="0" t="inlineStr">
        <is>
          <t xml:space="preserve">psc:1905</t>
        </is>
      </c>
    </row>
    <row r="1807">
      <c r="B1807" s="0" t="inlineStr">
        <is>
          <t xml:space="preserve">N6279322F0003</t>
        </is>
      </c>
      <c r="C1807" s="0" t="inlineStr">
        <is>
          <t xml:space="preserve">broad_maritime</t>
        </is>
      </c>
      <c r="D1807" s="4">
        <v>4.1262699099999995</v>
      </c>
      <c r="E1807" s="0" t="inlineStr">
        <is>
          <t xml:space="preserve">HII FLEET SUPPORT GROUP LLC</t>
        </is>
      </c>
      <c r="F1807" s="0" t="inlineStr">
        <is>
          <t xml:space="preserve">psc:1905</t>
        </is>
      </c>
    </row>
    <row r="1808">
      <c r="B1808" s="0" t="inlineStr">
        <is>
          <t xml:space="preserve">N0002426C2210</t>
        </is>
      </c>
      <c r="C1808" s="0" t="inlineStr">
        <is>
          <t xml:space="preserve">small_craft</t>
        </is>
      </c>
      <c r="D1808" s="4">
        <v>4.116549</v>
      </c>
      <c r="E1808" s="0" t="inlineStr">
        <is>
          <t xml:space="preserve">DOCK HIGH, LLC</t>
        </is>
      </c>
      <c r="F1808" s="0" t="inlineStr">
        <is>
          <t xml:space="preserve">naics:336612; psc:1940</t>
        </is>
      </c>
    </row>
    <row r="1809">
      <c r="B1809" s="0" t="inlineStr">
        <is>
          <t xml:space="preserve">N0002426F22A1</t>
        </is>
      </c>
      <c r="C1809" s="0" t="inlineStr">
        <is>
          <t xml:space="preserve">small_craft</t>
        </is>
      </c>
      <c r="D1809" s="4">
        <v>4.10818</v>
      </c>
      <c r="E1809" s="0" t="inlineStr">
        <is>
          <t xml:space="preserve">SILVER SHIPS, INC</t>
        </is>
      </c>
      <c r="F1809" s="0" t="inlineStr">
        <is>
          <t xml:space="preserve">naics:336612; psc:1940</t>
        </is>
      </c>
    </row>
    <row r="1810">
      <c r="B1810" s="0" t="inlineStr">
        <is>
          <t xml:space="preserve">0005</t>
        </is>
      </c>
      <c r="C1810" s="0" t="inlineStr">
        <is>
          <t xml:space="preserve">small_craft</t>
        </is>
      </c>
      <c r="D1810" s="4">
        <v>4.096592</v>
      </c>
      <c r="E1810" s="0" t="inlineStr">
        <is>
          <t xml:space="preserve">SILVER SHIPS, INC</t>
        </is>
      </c>
      <c r="F1810" s="0" t="inlineStr">
        <is>
          <t xml:space="preserve">naics:336612; psc:1940</t>
        </is>
      </c>
    </row>
    <row r="1811">
      <c r="B1811" s="0" t="inlineStr">
        <is>
          <t xml:space="preserve">N0002419F4117</t>
        </is>
      </c>
      <c r="C1811" s="0" t="inlineStr">
        <is>
          <t xml:space="preserve">broad_maritime</t>
        </is>
      </c>
      <c r="D1811" s="4">
        <v>4.096070279999999</v>
      </c>
      <c r="E1811" s="0" t="inlineStr">
        <is>
          <t xml:space="preserve">HEXAGON US FEDERAL, INC</t>
        </is>
      </c>
      <c r="F1811" s="0" t="inlineStr">
        <is>
          <t xml:space="preserve">psc:2090</t>
        </is>
      </c>
    </row>
    <row r="1812">
      <c r="B1812" s="0" t="inlineStr">
        <is>
          <t xml:space="preserve">N0002418F4237</t>
        </is>
      </c>
      <c r="C1812" s="0" t="inlineStr">
        <is>
          <t xml:space="preserve">broad_maritime</t>
        </is>
      </c>
      <c r="D1812" s="4">
        <v>4.094842</v>
      </c>
      <c r="E1812" s="0" t="inlineStr">
        <is>
          <t xml:space="preserve">VSE CORPORATION</t>
        </is>
      </c>
      <c r="F1812" s="0" t="inlineStr">
        <is>
          <t xml:space="preserve">psc:2090</t>
        </is>
      </c>
    </row>
    <row r="1813">
      <c r="B1813" s="0" t="inlineStr">
        <is>
          <t xml:space="preserve">N0002423C2213</t>
        </is>
      </c>
      <c r="C1813" s="0" t="inlineStr">
        <is>
          <t xml:space="preserve">small_craft</t>
        </is>
      </c>
      <c r="D1813" s="4">
        <v>4.09097357</v>
      </c>
      <c r="E1813" s="0" t="inlineStr">
        <is>
          <t xml:space="preserve">ZODIAC OF NORTH AMERICA, INC.</t>
        </is>
      </c>
      <c r="F1813" s="0" t="inlineStr">
        <is>
          <t xml:space="preserve">naics:336612; psc:1940</t>
        </is>
      </c>
    </row>
    <row r="1814">
      <c r="B1814" s="0" t="inlineStr">
        <is>
          <t xml:space="preserve">N6449821F5059</t>
        </is>
      </c>
      <c r="C1814" s="0" t="inlineStr">
        <is>
          <t xml:space="preserve">broad_maritime</t>
        </is>
      </c>
      <c r="D1814" s="4">
        <v>4.071303879999999</v>
      </c>
      <c r="E1814" s="0" t="inlineStr">
        <is>
          <t xml:space="preserve">LEIDOS, INC.</t>
        </is>
      </c>
      <c r="F1814" s="0" t="inlineStr">
        <is>
          <t xml:space="preserve">psc:2090</t>
        </is>
      </c>
    </row>
    <row r="1815">
      <c r="B1815" s="0" t="inlineStr">
        <is>
          <t xml:space="preserve">N5523625F9978</t>
        </is>
      </c>
      <c r="C1815" s="0" t="inlineStr">
        <is>
          <t xml:space="preserve">broad_maritime</t>
        </is>
      </c>
      <c r="D1815" s="4">
        <v>4.070818</v>
      </c>
      <c r="E1815" s="0" t="inlineStr">
        <is>
          <t xml:space="preserve">HII FLEET SUPPORT GROUP LLC</t>
        </is>
      </c>
      <c r="F1815" s="0" t="inlineStr">
        <is>
          <t xml:space="preserve">psc:1905</t>
        </is>
      </c>
    </row>
    <row r="1816">
      <c r="B1816" s="0" t="inlineStr">
        <is>
          <t xml:space="preserve">N0002424F22B1</t>
        </is>
      </c>
      <c r="C1816" s="0" t="inlineStr">
        <is>
          <t xml:space="preserve">small_craft</t>
        </is>
      </c>
      <c r="D1816" s="4">
        <v>4.03806999</v>
      </c>
      <c r="E1816" s="0" t="inlineStr">
        <is>
          <t xml:space="preserve">RIBCRAFT USA, LLC</t>
        </is>
      </c>
      <c r="F1816" s="0" t="inlineStr">
        <is>
          <t xml:space="preserve">naics:336612; psc:1940</t>
        </is>
      </c>
    </row>
    <row r="1817">
      <c r="B1817" s="0" t="inlineStr">
        <is>
          <t xml:space="preserve">N0010423PK076</t>
        </is>
      </c>
      <c r="C1817" s="0" t="inlineStr">
        <is>
          <t xml:space="preserve">broad_maritime</t>
        </is>
      </c>
      <c r="D1817" s="4">
        <v>4.028905</v>
      </c>
      <c r="E1817" s="0" t="inlineStr">
        <is>
          <t xml:space="preserve">SROKA INC.</t>
        </is>
      </c>
      <c r="F1817" s="0" t="inlineStr">
        <is>
          <t xml:space="preserve">psc:2090</t>
        </is>
      </c>
    </row>
    <row r="1818">
      <c r="B1818" s="0" t="inlineStr">
        <is>
          <t xml:space="preserve">N6449820F4013</t>
        </is>
      </c>
      <c r="C1818" s="0" t="inlineStr">
        <is>
          <t xml:space="preserve">broad_maritime</t>
        </is>
      </c>
      <c r="D1818" s="4">
        <v>4.022569</v>
      </c>
      <c r="E1818" s="0" t="inlineStr">
        <is>
          <t xml:space="preserve">HAMILTON SUNDSTRAND CORPORATION</t>
        </is>
      </c>
      <c r="F1818" s="0" t="inlineStr">
        <is>
          <t xml:space="preserve">psc:2090</t>
        </is>
      </c>
    </row>
    <row r="1819">
      <c r="B1819" s="0" t="inlineStr">
        <is>
          <t xml:space="preserve">N3220516C4504</t>
        </is>
      </c>
      <c r="C1819" s="0" t="inlineStr">
        <is>
          <t xml:space="preserve">other_small</t>
        </is>
      </c>
      <c r="D1819" s="4">
        <v>4.012125</v>
      </c>
      <c r="E1819" s="0" t="inlineStr">
        <is>
          <t xml:space="preserve">DETYENS SHIPYARDS INC</t>
        </is>
      </c>
      <c r="F1819" s="0" t="inlineStr">
        <is>
          <t xml:space="preserve">psc:1990</t>
        </is>
      </c>
    </row>
    <row r="1820">
      <c r="B1820" s="0" t="inlineStr">
        <is>
          <t xml:space="preserve">N0002422F22B6</t>
        </is>
      </c>
      <c r="C1820" s="0" t="inlineStr">
        <is>
          <t xml:space="preserve">small_craft</t>
        </is>
      </c>
      <c r="D1820" s="4">
        <v>4.00251588</v>
      </c>
      <c r="E1820" s="0" t="inlineStr">
        <is>
          <t xml:space="preserve">RIBCRAFT USA, LLC</t>
        </is>
      </c>
      <c r="F1820" s="0" t="inlineStr">
        <is>
          <t xml:space="preserve">naics:336612; psc:1940</t>
        </is>
      </c>
    </row>
    <row r="1821">
      <c r="B1821" s="0" t="inlineStr">
        <is>
          <t xml:space="preserve">0002</t>
        </is>
      </c>
      <c r="C1821" s="0" t="inlineStr">
        <is>
          <t xml:space="preserve">small_craft</t>
        </is>
      </c>
      <c r="D1821" s="4">
        <v>3.9995459999999996</v>
      </c>
      <c r="E1821" s="0" t="inlineStr">
        <is>
          <t xml:space="preserve">GRAVOIS ALUMINUM BOATS LLC</t>
        </is>
      </c>
      <c r="F1821" s="0" t="inlineStr">
        <is>
          <t xml:space="preserve">naics:336612; psc:1940</t>
        </is>
      </c>
    </row>
    <row r="1822">
      <c r="B1822" s="0" t="inlineStr">
        <is>
          <t xml:space="preserve">N0002414F2201</t>
        </is>
      </c>
      <c r="C1822" s="0" t="inlineStr">
        <is>
          <t xml:space="preserve">small_craft</t>
        </is>
      </c>
      <c r="D1822" s="4">
        <v>3.9949999999999997</v>
      </c>
      <c r="E1822" s="0" t="inlineStr">
        <is>
          <t xml:space="preserve">MARINE GROUP BOAT WORKS, LLC</t>
        </is>
      </c>
      <c r="F1822" s="0" t="inlineStr">
        <is>
          <t xml:space="preserve">psc:1940</t>
        </is>
      </c>
    </row>
    <row r="1823">
      <c r="B1823" s="0" t="inlineStr">
        <is>
          <t xml:space="preserve">0002</t>
        </is>
      </c>
      <c r="C1823" s="0" t="inlineStr">
        <is>
          <t xml:space="preserve">small_craft</t>
        </is>
      </c>
      <c r="D1823" s="4">
        <v>3.97667857</v>
      </c>
      <c r="E1823" s="0" t="inlineStr">
        <is>
          <t xml:space="preserve">MARINE GROUP BOAT WORKS, LLC</t>
        </is>
      </c>
      <c r="F1823" s="0" t="inlineStr">
        <is>
          <t xml:space="preserve">naics:336612; psc:1940</t>
        </is>
      </c>
    </row>
    <row r="1824">
      <c r="B1824" s="0" t="inlineStr">
        <is>
          <t xml:space="preserve">N5523622F9953</t>
        </is>
      </c>
      <c r="C1824" s="0" t="inlineStr">
        <is>
          <t xml:space="preserve">broad_maritime</t>
        </is>
      </c>
      <c r="D1824" s="4">
        <v>3.97635397</v>
      </c>
      <c r="E1824" s="0" t="inlineStr">
        <is>
          <t xml:space="preserve">HII FLEET SUPPORT GROUP LLC</t>
        </is>
      </c>
      <c r="F1824" s="0" t="inlineStr">
        <is>
          <t xml:space="preserve">psc:1905</t>
        </is>
      </c>
    </row>
    <row r="1825">
      <c r="B1825" s="0" t="inlineStr">
        <is>
          <t xml:space="preserve">N0002425F22A6</t>
        </is>
      </c>
      <c r="C1825" s="0" t="inlineStr">
        <is>
          <t xml:space="preserve">small_craft</t>
        </is>
      </c>
      <c r="D1825" s="4">
        <v>3.97382</v>
      </c>
      <c r="E1825" s="0" t="inlineStr">
        <is>
          <t xml:space="preserve">SILVER SHIPS, INC</t>
        </is>
      </c>
      <c r="F1825" s="0" t="inlineStr">
        <is>
          <t xml:space="preserve">naics:336612; psc:1940</t>
        </is>
      </c>
    </row>
    <row r="1826">
      <c r="B1826" s="0" t="inlineStr">
        <is>
          <t xml:space="preserve">N3220515C4006</t>
        </is>
      </c>
      <c r="C1826" s="0" t="inlineStr">
        <is>
          <t xml:space="preserve">other_small</t>
        </is>
      </c>
      <c r="D1826" s="4">
        <v>3.9500078899999997</v>
      </c>
      <c r="E1826" s="0" t="inlineStr">
        <is>
          <t xml:space="preserve">DETYENS SHIPYARDS INC</t>
        </is>
      </c>
      <c r="F1826" s="0" t="inlineStr">
        <is>
          <t xml:space="preserve">psc:1990</t>
        </is>
      </c>
    </row>
    <row r="1827">
      <c r="B1827" s="0" t="inlineStr">
        <is>
          <t xml:space="preserve">0013</t>
        </is>
      </c>
      <c r="C1827" s="0" t="inlineStr">
        <is>
          <t xml:space="preserve">broad_maritime</t>
        </is>
      </c>
      <c r="D1827" s="4">
        <v>3.948337</v>
      </c>
      <c r="E1827" s="0" t="inlineStr">
        <is>
          <t xml:space="preserve">BATH IRON WORKS CORPORATION</t>
        </is>
      </c>
      <c r="F1827" s="0" t="inlineStr">
        <is>
          <t xml:space="preserve">psc:1905</t>
        </is>
      </c>
    </row>
    <row r="1828">
      <c r="B1828" s="0" t="inlineStr">
        <is>
          <t xml:space="preserve">N3220514C5004</t>
        </is>
      </c>
      <c r="C1828" s="0" t="inlineStr">
        <is>
          <t xml:space="preserve">broad_maritime</t>
        </is>
      </c>
      <c r="D1828" s="4">
        <v>3.9303519999999996</v>
      </c>
      <c r="E1828" s="0" t="inlineStr">
        <is>
          <t xml:space="preserve">DETYENS SHIPYARDS INC</t>
        </is>
      </c>
      <c r="F1828" s="0" t="inlineStr">
        <is>
          <t xml:space="preserve">psc:2090</t>
        </is>
      </c>
    </row>
    <row r="1829">
      <c r="B1829" s="0" t="inlineStr">
        <is>
          <t xml:space="preserve">N0010425CYB07</t>
        </is>
      </c>
      <c r="C1829" s="0" t="inlineStr">
        <is>
          <t xml:space="preserve">broad_maritime</t>
        </is>
      </c>
      <c r="D1829" s="4">
        <v>3.9299999999999997</v>
      </c>
      <c r="E1829" s="0" t="inlineStr">
        <is>
          <t xml:space="preserve">MARINE POLYMERS, INC</t>
        </is>
      </c>
      <c r="F1829" s="0" t="inlineStr">
        <is>
          <t xml:space="preserve">psc:2090</t>
        </is>
      </c>
    </row>
    <row r="1830">
      <c r="B1830" s="0" t="inlineStr">
        <is>
          <t xml:space="preserve">N3220519P6102</t>
        </is>
      </c>
      <c r="C1830" s="0" t="inlineStr">
        <is>
          <t xml:space="preserve">broad_maritime</t>
        </is>
      </c>
      <c r="D1830" s="4">
        <v>3.88321979</v>
      </c>
      <c r="E1830" s="0" t="inlineStr">
        <is>
          <t xml:space="preserve">L3HARRIS TECHNOLOGIES, INC.</t>
        </is>
      </c>
      <c r="F1830" s="0" t="inlineStr">
        <is>
          <t xml:space="preserve">psc:2090</t>
        </is>
      </c>
    </row>
    <row r="1831">
      <c r="B1831" s="0" t="inlineStr">
        <is>
          <t xml:space="preserve">N0002421C2250</t>
        </is>
      </c>
      <c r="C1831" s="0" t="inlineStr">
        <is>
          <t xml:space="preserve">small_craft</t>
        </is>
      </c>
      <c r="D1831" s="4">
        <v>3.882914</v>
      </c>
      <c r="E1831" s="0" t="inlineStr">
        <is>
          <t xml:space="preserve">FRASER SHIPYARDS LLC</t>
        </is>
      </c>
      <c r="F1831" s="0" t="inlineStr">
        <is>
          <t xml:space="preserve">naics:336612; psc:1940</t>
        </is>
      </c>
    </row>
    <row r="1832">
      <c r="B1832" s="0" t="inlineStr">
        <is>
          <t xml:space="preserve">N6449819F4072</t>
        </is>
      </c>
      <c r="C1832" s="0" t="inlineStr">
        <is>
          <t xml:space="preserve">broad_maritime</t>
        </is>
      </c>
      <c r="D1832" s="4">
        <v>3.8722119999999998</v>
      </c>
      <c r="E1832" s="0" t="inlineStr">
        <is>
          <t xml:space="preserve">HAMILTON SUNDSTRAND CORPORATION</t>
        </is>
      </c>
      <c r="F1832" s="0" t="inlineStr">
        <is>
          <t xml:space="preserve">psc:2090</t>
        </is>
      </c>
    </row>
    <row r="1833">
      <c r="B1833" s="0" t="inlineStr">
        <is>
          <t xml:space="preserve">N0002417F6201</t>
        </is>
      </c>
      <c r="C1833" s="0" t="inlineStr">
        <is>
          <t xml:space="preserve">broad_maritime</t>
        </is>
      </c>
      <c r="D1833" s="4">
        <v>3.8639509999999997</v>
      </c>
      <c r="E1833" s="0" t="inlineStr">
        <is>
          <t xml:space="preserve">ARGON ST, INC.</t>
        </is>
      </c>
      <c r="F1833" s="0" t="inlineStr">
        <is>
          <t xml:space="preserve">psc:1905</t>
        </is>
      </c>
    </row>
    <row r="1834">
      <c r="B1834" s="0" t="inlineStr">
        <is>
          <t xml:space="preserve">N6600118P0192</t>
        </is>
      </c>
      <c r="C1834" s="0" t="inlineStr">
        <is>
          <t xml:space="preserve">broad_maritime</t>
        </is>
      </c>
      <c r="D1834" s="4">
        <v>3.82659681</v>
      </c>
      <c r="E1834" s="0" t="inlineStr">
        <is>
          <t xml:space="preserve">LIQUID ROBOTICS, INC.</t>
        </is>
      </c>
      <c r="F1834" s="0" t="inlineStr">
        <is>
          <t xml:space="preserve">psc:2090</t>
        </is>
      </c>
    </row>
    <row r="1835">
      <c r="B1835" s="0" t="inlineStr">
        <is>
          <t xml:space="preserve">N0002420F22V2</t>
        </is>
      </c>
      <c r="C1835" s="0" t="inlineStr">
        <is>
          <t xml:space="preserve">small_craft</t>
        </is>
      </c>
      <c r="D1835" s="4">
        <v>3.7916317999999998</v>
      </c>
      <c r="E1835" s="0" t="inlineStr">
        <is>
          <t xml:space="preserve">SNOW &amp; COMPANY, INC.</t>
        </is>
      </c>
      <c r="F1835" s="0" t="inlineStr">
        <is>
          <t xml:space="preserve">naics:336612; psc:1940</t>
        </is>
      </c>
    </row>
    <row r="1836">
      <c r="B1836" s="0" t="inlineStr">
        <is>
          <t xml:space="preserve">N0002424F8567</t>
        </is>
      </c>
      <c r="C1836" s="0" t="inlineStr">
        <is>
          <t xml:space="preserve">usv_core</t>
        </is>
      </c>
      <c r="D1836" s="4">
        <v>3.7851079999999997</v>
      </c>
      <c r="E1836" s="0" t="inlineStr">
        <is>
          <t xml:space="preserve">UNIVERSITY OF TEXAS AT AUSTIN</t>
        </is>
      </c>
      <c r="F1836" s="0" t="inlineStr">
        <is>
          <t xml:space="preserve">keyword</t>
        </is>
      </c>
    </row>
    <row r="1837">
      <c r="B1837" s="0" t="inlineStr">
        <is>
          <t xml:space="preserve">N0002422C2225</t>
        </is>
      </c>
      <c r="C1837" s="0" t="inlineStr">
        <is>
          <t xml:space="preserve">small_craft</t>
        </is>
      </c>
      <c r="D1837" s="4">
        <v>3.7838429999999996</v>
      </c>
      <c r="E1837" s="0" t="inlineStr">
        <is>
          <t xml:space="preserve">SAFE BOATS INTERNATIONAL LLC</t>
        </is>
      </c>
      <c r="F1837" s="0" t="inlineStr">
        <is>
          <t xml:space="preserve">naics:336612; psc:1940</t>
        </is>
      </c>
    </row>
    <row r="1838">
      <c r="B1838" s="0" t="inlineStr">
        <is>
          <t xml:space="preserve">0006</t>
        </is>
      </c>
      <c r="C1838" s="0" t="inlineStr">
        <is>
          <t xml:space="preserve">broad_maritime</t>
        </is>
      </c>
      <c r="D1838" s="4">
        <v>3.730816</v>
      </c>
      <c r="E1838" s="0" t="inlineStr">
        <is>
          <t xml:space="preserve">HUNTINGTON INGALLS INCORPORATED</t>
        </is>
      </c>
      <c r="F1838" s="0" t="inlineStr">
        <is>
          <t xml:space="preserve">psc:1905</t>
        </is>
      </c>
    </row>
    <row r="1839">
      <c r="B1839" s="0" t="inlineStr">
        <is>
          <t xml:space="preserve">0004</t>
        </is>
      </c>
      <c r="C1839" s="0" t="inlineStr">
        <is>
          <t xml:space="preserve">small_craft</t>
        </is>
      </c>
      <c r="D1839" s="4">
        <v>3.7274</v>
      </c>
      <c r="E1839" s="0" t="inlineStr">
        <is>
          <t xml:space="preserve">GRAVOIS ALUMINUM BOATS LLC</t>
        </is>
      </c>
      <c r="F1839" s="0" t="inlineStr">
        <is>
          <t xml:space="preserve">naics:336612; psc:1940</t>
        </is>
      </c>
    </row>
    <row r="1840">
      <c r="B1840" s="0" t="inlineStr">
        <is>
          <t xml:space="preserve">N3904018F0081</t>
        </is>
      </c>
      <c r="C1840" s="0" t="inlineStr">
        <is>
          <t xml:space="preserve">broad_maritime</t>
        </is>
      </c>
      <c r="D1840" s="4">
        <v>3.7107069999999998</v>
      </c>
      <c r="E1840" s="0" t="inlineStr">
        <is>
          <t xml:space="preserve">ELECTRIC BOAT CORPORATION</t>
        </is>
      </c>
      <c r="F1840" s="0" t="inlineStr">
        <is>
          <t xml:space="preserve">psc:2090</t>
        </is>
      </c>
    </row>
    <row r="1841">
      <c r="B1841" s="0" t="inlineStr">
        <is>
          <t xml:space="preserve">0022</t>
        </is>
      </c>
      <c r="C1841" s="0" t="inlineStr">
        <is>
          <t xml:space="preserve">broad_maritime</t>
        </is>
      </c>
      <c r="D1841" s="4">
        <v>3.7063256499999997</v>
      </c>
      <c r="E1841" s="0" t="inlineStr">
        <is>
          <t xml:space="preserve">LOCKHEED MARTIN CORPORATION</t>
        </is>
      </c>
      <c r="F1841" s="0" t="inlineStr">
        <is>
          <t xml:space="preserve">psc:1905</t>
        </is>
      </c>
    </row>
    <row r="1842">
      <c r="B1842" s="0" t="inlineStr">
        <is>
          <t xml:space="preserve">N0002421C2457</t>
        </is>
      </c>
      <c r="C1842" s="0" t="inlineStr">
        <is>
          <t xml:space="preserve">small_craft</t>
        </is>
      </c>
      <c r="D1842" s="4">
        <v>3.668811</v>
      </c>
      <c r="E1842" s="0" t="inlineStr">
        <is>
          <t xml:space="preserve">AUSTAL USA, LLC</t>
        </is>
      </c>
      <c r="F1842" s="0" t="inlineStr">
        <is>
          <t xml:space="preserve">naics:336612; psc:1905</t>
        </is>
      </c>
    </row>
    <row r="1843">
      <c r="B1843" s="0" t="inlineStr">
        <is>
          <t xml:space="preserve">N0002414C2226</t>
        </is>
      </c>
      <c r="C1843" s="0" t="inlineStr">
        <is>
          <t xml:space="preserve">small_craft</t>
        </is>
      </c>
      <c r="D1843" s="4">
        <v>3.6553717999999997</v>
      </c>
      <c r="E1843" s="0" t="inlineStr">
        <is>
          <t xml:space="preserve">UNITED STATES MARINE INC</t>
        </is>
      </c>
      <c r="F1843" s="0" t="inlineStr">
        <is>
          <t xml:space="preserve">naics:336612; psc:1940</t>
        </is>
      </c>
    </row>
    <row r="1844">
      <c r="B1844" s="0" t="inlineStr">
        <is>
          <t xml:space="preserve">N6449818F4003</t>
        </is>
      </c>
      <c r="C1844" s="0" t="inlineStr">
        <is>
          <t xml:space="preserve">broad_maritime</t>
        </is>
      </c>
      <c r="D1844" s="4">
        <v>3.649876</v>
      </c>
      <c r="E1844" s="0" t="inlineStr">
        <is>
          <t xml:space="preserve">HAMILTON SUNDSTRAND CORPORATION</t>
        </is>
      </c>
      <c r="F1844" s="0" t="inlineStr">
        <is>
          <t xml:space="preserve">psc:2090</t>
        </is>
      </c>
    </row>
    <row r="1845">
      <c r="B1845" s="0" t="inlineStr">
        <is>
          <t xml:space="preserve">N6279321F1002</t>
        </is>
      </c>
      <c r="C1845" s="0" t="inlineStr">
        <is>
          <t xml:space="preserve">broad_maritime</t>
        </is>
      </c>
      <c r="D1845" s="4">
        <v>3.6430071299999995</v>
      </c>
      <c r="E1845" s="0" t="inlineStr">
        <is>
          <t xml:space="preserve">HII FLEET SUPPORT GROUP LLC</t>
        </is>
      </c>
      <c r="F1845" s="0" t="inlineStr">
        <is>
          <t xml:space="preserve">psc:1905</t>
        </is>
      </c>
    </row>
    <row r="1846">
      <c r="B1846" s="0" t="inlineStr">
        <is>
          <t xml:space="preserve">N0002416C2206</t>
        </is>
      </c>
      <c r="C1846" s="0" t="inlineStr">
        <is>
          <t xml:space="preserve">small_craft</t>
        </is>
      </c>
      <c r="D1846" s="4">
        <v>3.587782</v>
      </c>
      <c r="E1846" s="0" t="inlineStr">
        <is>
          <t xml:space="preserve">BRUNSWICK COMMERCIAL &amp; GOVERNMENT PRODUCTS, INC.</t>
        </is>
      </c>
      <c r="F1846" s="0" t="inlineStr">
        <is>
          <t xml:space="preserve">naics:336612; psc:1940</t>
        </is>
      </c>
    </row>
    <row r="1847">
      <c r="B1847" s="0" t="inlineStr">
        <is>
          <t xml:space="preserve">N6449820F4266</t>
        </is>
      </c>
      <c r="C1847" s="0" t="inlineStr">
        <is>
          <t xml:space="preserve">broad_maritime</t>
        </is>
      </c>
      <c r="D1847" s="4">
        <v>3.5651405099999995</v>
      </c>
      <c r="E1847" s="0" t="inlineStr">
        <is>
          <t xml:space="preserve">LAUREL TECHNOLOGIES PARTNERSHIP</t>
        </is>
      </c>
      <c r="F1847" s="0" t="inlineStr">
        <is>
          <t xml:space="preserve">psc:2090</t>
        </is>
      </c>
    </row>
    <row r="1848">
      <c r="B1848" s="0" t="inlineStr">
        <is>
          <t xml:space="preserve">N0002422C2209</t>
        </is>
      </c>
      <c r="C1848" s="0" t="inlineStr">
        <is>
          <t xml:space="preserve">other_small</t>
        </is>
      </c>
      <c r="D1848" s="4">
        <v>3.5578352499999997</v>
      </c>
      <c r="E1848" s="0" t="inlineStr">
        <is>
          <t xml:space="preserve">AUSTAL USA, LLC</t>
        </is>
      </c>
      <c r="F1848" s="0" t="inlineStr">
        <is>
          <t xml:space="preserve">psc:1925</t>
        </is>
      </c>
    </row>
    <row r="1849">
      <c r="B1849" s="0" t="inlineStr">
        <is>
          <t xml:space="preserve">N5005425FP003</t>
        </is>
      </c>
      <c r="C1849" s="0" t="inlineStr">
        <is>
          <t xml:space="preserve">broad_maritime</t>
        </is>
      </c>
      <c r="D1849" s="4">
        <v>3.556616</v>
      </c>
      <c r="E1849" s="0" t="inlineStr">
        <is>
          <t xml:space="preserve">METRO MACHINE CORP.</t>
        </is>
      </c>
      <c r="F1849" s="0" t="inlineStr">
        <is>
          <t xml:space="preserve">psc:1905</t>
        </is>
      </c>
    </row>
    <row r="1850">
      <c r="B1850" s="0" t="inlineStr">
        <is>
          <t xml:space="preserve">N0003925F1019</t>
        </is>
      </c>
      <c r="C1850" s="0" t="inlineStr">
        <is>
          <t xml:space="preserve">small_craft</t>
        </is>
      </c>
      <c r="D1850" s="4">
        <v>3.5407409999999997</v>
      </c>
      <c r="E1850" s="0" t="inlineStr">
        <is>
          <t xml:space="preserve">TELEDYNE BROWN ENGINEERING, INC.</t>
        </is>
      </c>
      <c r="F1850" s="0" t="inlineStr">
        <is>
          <t xml:space="preserve">psc:1940</t>
        </is>
      </c>
    </row>
    <row r="1851">
      <c r="B1851" s="0" t="inlineStr">
        <is>
          <t xml:space="preserve">N0002425C2121</t>
        </is>
      </c>
      <c r="C1851" s="0" t="inlineStr">
        <is>
          <t xml:space="preserve">broad_maritime</t>
        </is>
      </c>
      <c r="D1851" s="4">
        <v>3.5372209999999997</v>
      </c>
      <c r="E1851" s="0" t="inlineStr">
        <is>
          <t xml:space="preserve">MILLS MARINE &amp; SHIP REPAIR LLC</t>
        </is>
      </c>
      <c r="F1851" s="0" t="inlineStr">
        <is>
          <t xml:space="preserve">psc:1905</t>
        </is>
      </c>
    </row>
    <row r="1852">
      <c r="B1852" s="0" t="inlineStr">
        <is>
          <t xml:space="preserve">N6600121P6004</t>
        </is>
      </c>
      <c r="C1852" s="0" t="inlineStr">
        <is>
          <t xml:space="preserve">other_small</t>
        </is>
      </c>
      <c r="D1852" s="4">
        <v>3.5352099999999997</v>
      </c>
      <c r="E1852" s="0" t="inlineStr">
        <is>
          <t xml:space="preserve">LIQUID ROBOTICS, INC.</t>
        </is>
      </c>
      <c r="F1852" s="0" t="inlineStr">
        <is>
          <t xml:space="preserve">psc:1990</t>
        </is>
      </c>
    </row>
    <row r="1853">
      <c r="B1853" s="0" t="inlineStr">
        <is>
          <t xml:space="preserve">N0002420F22E1</t>
        </is>
      </c>
      <c r="C1853" s="0" t="inlineStr">
        <is>
          <t xml:space="preserve">small_craft</t>
        </is>
      </c>
      <c r="D1853" s="4">
        <v>3.51098039</v>
      </c>
      <c r="E1853" s="0" t="inlineStr">
        <is>
          <t xml:space="preserve">SILVER SHIPS, INC</t>
        </is>
      </c>
      <c r="F1853" s="0" t="inlineStr">
        <is>
          <t xml:space="preserve">naics:336612; psc:1940</t>
        </is>
      </c>
    </row>
    <row r="1854">
      <c r="B1854" s="0" t="inlineStr">
        <is>
          <t xml:space="preserve">N0002422F6206</t>
        </is>
      </c>
      <c r="C1854" s="0" t="inlineStr">
        <is>
          <t xml:space="preserve">broad_maritime</t>
        </is>
      </c>
      <c r="D1854" s="4">
        <v>3.5109208499999998</v>
      </c>
      <c r="E1854" s="0" t="inlineStr">
        <is>
          <t xml:space="preserve">HEXAGON US FEDERAL, INC</t>
        </is>
      </c>
      <c r="F1854" s="0" t="inlineStr">
        <is>
          <t xml:space="preserve">psc:2090</t>
        </is>
      </c>
    </row>
    <row r="1855">
      <c r="B1855" s="0" t="inlineStr">
        <is>
          <t xml:space="preserve">N0002421C2454</t>
        </is>
      </c>
      <c r="C1855" s="0" t="inlineStr">
        <is>
          <t xml:space="preserve">small_craft</t>
        </is>
      </c>
      <c r="D1855" s="4">
        <v>3.507201</v>
      </c>
      <c r="E1855" s="0" t="inlineStr">
        <is>
          <t xml:space="preserve">MARINETTE MARINE CORPORATION</t>
        </is>
      </c>
      <c r="F1855" s="0" t="inlineStr">
        <is>
          <t xml:space="preserve">naics:336612; psc:1905</t>
        </is>
      </c>
    </row>
    <row r="1856">
      <c r="B1856" s="0" t="inlineStr">
        <is>
          <t xml:space="preserve">N5523622F9963</t>
        </is>
      </c>
      <c r="C1856" s="0" t="inlineStr">
        <is>
          <t xml:space="preserve">broad_maritime</t>
        </is>
      </c>
      <c r="D1856" s="4">
        <v>3.50018145</v>
      </c>
      <c r="E1856" s="0" t="inlineStr">
        <is>
          <t xml:space="preserve">HII FLEET SUPPORT GROUP LLC</t>
        </is>
      </c>
      <c r="F1856" s="0" t="inlineStr">
        <is>
          <t xml:space="preserve">psc:1905</t>
        </is>
      </c>
    </row>
    <row r="1857">
      <c r="B1857" s="0" t="inlineStr">
        <is>
          <t xml:space="preserve">N0003921F2173</t>
        </is>
      </c>
      <c r="C1857" s="0" t="inlineStr">
        <is>
          <t xml:space="preserve">small_craft</t>
        </is>
      </c>
      <c r="D1857" s="4">
        <v>3.4901412799999996</v>
      </c>
      <c r="E1857" s="0" t="inlineStr">
        <is>
          <t xml:space="preserve">TELEDYNE BROWN ENGINEERING, INC.</t>
        </is>
      </c>
      <c r="F1857" s="0" t="inlineStr">
        <is>
          <t xml:space="preserve">psc:1940</t>
        </is>
      </c>
    </row>
    <row r="1858">
      <c r="B1858" s="0" t="inlineStr">
        <is>
          <t xml:space="preserve">N3220517P4267</t>
        </is>
      </c>
      <c r="C1858" s="0" t="inlineStr">
        <is>
          <t xml:space="preserve">broad_maritime</t>
        </is>
      </c>
      <c r="D1858" s="4">
        <v>3.47217945</v>
      </c>
      <c r="E1858" s="0" t="inlineStr">
        <is>
          <t xml:space="preserve">DEFENSE MARITIME SOLUTIONS, INC.</t>
        </is>
      </c>
      <c r="F1858" s="0" t="inlineStr">
        <is>
          <t xml:space="preserve">psc:2090</t>
        </is>
      </c>
    </row>
    <row r="1859">
      <c r="B1859" s="0" t="inlineStr">
        <is>
          <t xml:space="preserve">N6449821F4186</t>
        </is>
      </c>
      <c r="C1859" s="0" t="inlineStr">
        <is>
          <t xml:space="preserve">broad_maritime</t>
        </is>
      </c>
      <c r="D1859" s="4">
        <v>3.45337</v>
      </c>
      <c r="E1859" s="0" t="inlineStr">
        <is>
          <t xml:space="preserve">OCEANEERING INTERNATIONAL INC</t>
        </is>
      </c>
      <c r="F1859" s="0" t="inlineStr">
        <is>
          <t xml:space="preserve">psc:1905</t>
        </is>
      </c>
    </row>
    <row r="1860">
      <c r="B1860" s="0" t="inlineStr">
        <is>
          <t xml:space="preserve">N3220518P4388</t>
        </is>
      </c>
      <c r="C1860" s="0" t="inlineStr">
        <is>
          <t xml:space="preserve">broad_maritime</t>
        </is>
      </c>
      <c r="D1860" s="4">
        <v>3.44961496</v>
      </c>
      <c r="E1860" s="0" t="inlineStr">
        <is>
          <t xml:space="preserve">SAFETY STORAGE, INC</t>
        </is>
      </c>
      <c r="F1860" s="0" t="inlineStr">
        <is>
          <t xml:space="preserve">psc:2090</t>
        </is>
      </c>
    </row>
    <row r="1861">
      <c r="B1861" s="0" t="inlineStr">
        <is>
          <t xml:space="preserve">N0002421C2455</t>
        </is>
      </c>
      <c r="C1861" s="0" t="inlineStr">
        <is>
          <t xml:space="preserve">small_craft</t>
        </is>
      </c>
      <c r="D1861" s="4">
        <v>3.436734</v>
      </c>
      <c r="E1861" s="0" t="inlineStr">
        <is>
          <t xml:space="preserve">BOLLINGER SHIPYARDS LOCKPORT, L.L.C.</t>
        </is>
      </c>
      <c r="F1861" s="0" t="inlineStr">
        <is>
          <t xml:space="preserve">naics:336612; psc:1905</t>
        </is>
      </c>
    </row>
    <row r="1862">
      <c r="B1862" s="0" t="inlineStr">
        <is>
          <t xml:space="preserve">N3220519P6520</t>
        </is>
      </c>
      <c r="C1862" s="0" t="inlineStr">
        <is>
          <t xml:space="preserve">small_craft</t>
        </is>
      </c>
      <c r="D1862" s="4">
        <v>3.42757</v>
      </c>
      <c r="E1862" s="0" t="inlineStr">
        <is>
          <t xml:space="preserve">J. W. MARINE EQUIPMENT, INC.</t>
        </is>
      </c>
      <c r="F1862" s="0" t="inlineStr">
        <is>
          <t xml:space="preserve">naics:336612; psc:1940</t>
        </is>
      </c>
    </row>
    <row r="1863">
      <c r="B1863" s="0" t="inlineStr">
        <is>
          <t xml:space="preserve">0006</t>
        </is>
      </c>
      <c r="C1863" s="0" t="inlineStr">
        <is>
          <t xml:space="preserve">small_craft</t>
        </is>
      </c>
      <c r="D1863" s="4">
        <v>3.40865741</v>
      </c>
      <c r="E1863" s="0" t="inlineStr">
        <is>
          <t xml:space="preserve">GRAVOIS ALUMINUM BOATS LLC</t>
        </is>
      </c>
      <c r="F1863" s="0" t="inlineStr">
        <is>
          <t xml:space="preserve">naics:336612; psc:1940</t>
        </is>
      </c>
    </row>
    <row r="1864">
      <c r="B1864" s="0" t="inlineStr">
        <is>
          <t xml:space="preserve">N0002421C2456</t>
        </is>
      </c>
      <c r="C1864" s="0" t="inlineStr">
        <is>
          <t xml:space="preserve">small_craft</t>
        </is>
      </c>
      <c r="D1864" s="4">
        <v>3.405995</v>
      </c>
      <c r="E1864" s="0" t="inlineStr">
        <is>
          <t xml:space="preserve">TAI ENGINEERS, LLC</t>
        </is>
      </c>
      <c r="F1864" s="0" t="inlineStr">
        <is>
          <t xml:space="preserve">naics:336612; psc:1905</t>
        </is>
      </c>
    </row>
    <row r="1865">
      <c r="B1865" s="0" t="inlineStr">
        <is>
          <t xml:space="preserve">N0003924F1013</t>
        </is>
      </c>
      <c r="C1865" s="0" t="inlineStr">
        <is>
          <t xml:space="preserve">small_craft</t>
        </is>
      </c>
      <c r="D1865" s="4">
        <v>3.4049502</v>
      </c>
      <c r="E1865" s="0" t="inlineStr">
        <is>
          <t xml:space="preserve">TELEDYNE BROWN ENGINEERING, INC.</t>
        </is>
      </c>
      <c r="F1865" s="0" t="inlineStr">
        <is>
          <t xml:space="preserve">psc:1940</t>
        </is>
      </c>
    </row>
    <row r="1866">
      <c r="B1866" s="0" t="inlineStr">
        <is>
          <t xml:space="preserve">N5523617F5012</t>
        </is>
      </c>
      <c r="C1866" s="0" t="inlineStr">
        <is>
          <t xml:space="preserve">broad_maritime</t>
        </is>
      </c>
      <c r="D1866" s="4">
        <v>3.400601</v>
      </c>
      <c r="E1866" s="0" t="inlineStr">
        <is>
          <t xml:space="preserve">BAE SYSTEMS MARITIME SOLUTIONS SAN DIEGO INC.</t>
        </is>
      </c>
      <c r="F1866" s="0" t="inlineStr">
        <is>
          <t xml:space="preserve">psc:1905</t>
        </is>
      </c>
    </row>
    <row r="1867">
      <c r="B1867" s="0" t="inlineStr">
        <is>
          <t xml:space="preserve">N6449819F4239</t>
        </is>
      </c>
      <c r="C1867" s="0" t="inlineStr">
        <is>
          <t xml:space="preserve">broad_maritime</t>
        </is>
      </c>
      <c r="D1867" s="4">
        <v>3.36897756</v>
      </c>
      <c r="E1867" s="0" t="inlineStr">
        <is>
          <t xml:space="preserve">OCEANEERING INTERNATIONAL INC</t>
        </is>
      </c>
      <c r="F1867" s="0" t="inlineStr">
        <is>
          <t xml:space="preserve">psc:1905</t>
        </is>
      </c>
    </row>
    <row r="1868">
      <c r="B1868" s="0" t="inlineStr">
        <is>
          <t xml:space="preserve">N0016718P0080</t>
        </is>
      </c>
      <c r="C1868" s="0" t="inlineStr">
        <is>
          <t xml:space="preserve">broad_maritime</t>
        </is>
      </c>
      <c r="D1868" s="4">
        <v>3.36758657</v>
      </c>
      <c r="E1868" s="0" t="inlineStr">
        <is>
          <t xml:space="preserve">MARISCO, LTD.</t>
        </is>
      </c>
      <c r="F1868" s="0" t="inlineStr">
        <is>
          <t xml:space="preserve">psc:2090</t>
        </is>
      </c>
    </row>
    <row r="1869">
      <c r="B1869" s="0" t="inlineStr">
        <is>
          <t xml:space="preserve">N6279322F1003</t>
        </is>
      </c>
      <c r="C1869" s="0" t="inlineStr">
        <is>
          <t xml:space="preserve">broad_maritime</t>
        </is>
      </c>
      <c r="D1869" s="4">
        <v>3.3627546899999996</v>
      </c>
      <c r="E1869" s="0" t="inlineStr">
        <is>
          <t xml:space="preserve">HII FLEET SUPPORT GROUP LLC</t>
        </is>
      </c>
      <c r="F1869" s="0" t="inlineStr">
        <is>
          <t xml:space="preserve">psc:1905</t>
        </is>
      </c>
    </row>
    <row r="1870">
      <c r="B1870" s="0" t="inlineStr">
        <is>
          <t xml:space="preserve">N6600118P0369</t>
        </is>
      </c>
      <c r="C1870" s="0" t="inlineStr">
        <is>
          <t xml:space="preserve">small_craft</t>
        </is>
      </c>
      <c r="D1870" s="4">
        <v>3.3512619999999997</v>
      </c>
      <c r="E1870" s="0" t="inlineStr">
        <is>
          <t xml:space="preserve">LIQUID ROBOTICS, INC.</t>
        </is>
      </c>
      <c r="F1870" s="0" t="inlineStr">
        <is>
          <t xml:space="preserve">naics:336612; psc:1940</t>
        </is>
      </c>
    </row>
    <row r="1871">
      <c r="B1871" s="0" t="inlineStr">
        <is>
          <t xml:space="preserve">N6133117F0137</t>
        </is>
      </c>
      <c r="C1871" s="0" t="inlineStr">
        <is>
          <t xml:space="preserve">broad_maritime</t>
        </is>
      </c>
      <c r="D1871" s="4">
        <v>3.3484610999999997</v>
      </c>
      <c r="E1871" s="0" t="inlineStr">
        <is>
          <t xml:space="preserve">ATLANTIC DIVING SUPPLY, INC.</t>
        </is>
      </c>
      <c r="F1871" s="0" t="inlineStr">
        <is>
          <t xml:space="preserve">psc:2090</t>
        </is>
      </c>
    </row>
    <row r="1872">
      <c r="B1872" s="0" t="inlineStr">
        <is>
          <t xml:space="preserve">N6133118F0209</t>
        </is>
      </c>
      <c r="C1872" s="0" t="inlineStr">
        <is>
          <t xml:space="preserve">broad_maritime</t>
        </is>
      </c>
      <c r="D1872" s="4">
        <v>3.3185692799999997</v>
      </c>
      <c r="E1872" s="0" t="inlineStr">
        <is>
          <t xml:space="preserve">ATLANTIC DIVING SUPPLY, INC.</t>
        </is>
      </c>
      <c r="F1872" s="0" t="inlineStr">
        <is>
          <t xml:space="preserve">psc:2090</t>
        </is>
      </c>
    </row>
    <row r="1873">
      <c r="B1873" s="0" t="inlineStr">
        <is>
          <t xml:space="preserve">N0002424F22A2</t>
        </is>
      </c>
      <c r="C1873" s="0" t="inlineStr">
        <is>
          <t xml:space="preserve">small_craft</t>
        </is>
      </c>
      <c r="D1873" s="4">
        <v>3.2750310099999997</v>
      </c>
      <c r="E1873" s="0" t="inlineStr">
        <is>
          <t xml:space="preserve">UNITED STATES MARINE INC</t>
        </is>
      </c>
      <c r="F1873" s="0" t="inlineStr">
        <is>
          <t xml:space="preserve">naics:336612; psc:1940</t>
        </is>
      </c>
    </row>
    <row r="1874">
      <c r="B1874" s="0" t="inlineStr">
        <is>
          <t xml:space="preserve">N0010425CZA14</t>
        </is>
      </c>
      <c r="C1874" s="0" t="inlineStr">
        <is>
          <t xml:space="preserve">small_craft</t>
        </is>
      </c>
      <c r="D1874" s="4">
        <v>3.220944</v>
      </c>
      <c r="E1874" s="0" t="inlineStr">
        <is>
          <t xml:space="preserve">DERBYSHIRE MACHINE &amp; TOOL CO</t>
        </is>
      </c>
      <c r="F1874" s="0" t="inlineStr">
        <is>
          <t xml:space="preserve">naics:336612</t>
        </is>
      </c>
    </row>
    <row r="1875">
      <c r="B1875" s="0" t="inlineStr">
        <is>
          <t xml:space="preserve">0002</t>
        </is>
      </c>
      <c r="C1875" s="0" t="inlineStr">
        <is>
          <t xml:space="preserve">broad_maritime</t>
        </is>
      </c>
      <c r="D1875" s="4">
        <v>3.214</v>
      </c>
      <c r="E1875" s="0" t="inlineStr">
        <is>
          <t xml:space="preserve">L.B.I., INC.</t>
        </is>
      </c>
      <c r="F1875" s="0" t="inlineStr">
        <is>
          <t xml:space="preserve">psc:2090</t>
        </is>
      </c>
    </row>
    <row r="1876">
      <c r="B1876" s="0" t="inlineStr">
        <is>
          <t xml:space="preserve">N0003312C7503</t>
        </is>
      </c>
      <c r="C1876" s="0" t="inlineStr">
        <is>
          <t xml:space="preserve">small_craft</t>
        </is>
      </c>
      <c r="D1876" s="4">
        <v>3.20833429</v>
      </c>
      <c r="E1876" s="0" t="inlineStr">
        <is>
          <t xml:space="preserve">J. W. MARINE EQUIPMENT, INC.</t>
        </is>
      </c>
      <c r="F1876" s="0" t="inlineStr">
        <is>
          <t xml:space="preserve">psc:1940</t>
        </is>
      </c>
    </row>
    <row r="1877">
      <c r="B1877" s="0" t="inlineStr">
        <is>
          <t xml:space="preserve">N0002418F22D2</t>
        </is>
      </c>
      <c r="C1877" s="0" t="inlineStr">
        <is>
          <t xml:space="preserve">small_craft</t>
        </is>
      </c>
      <c r="D1877" s="4">
        <v>3.2029597499999998</v>
      </c>
      <c r="E1877" s="0" t="inlineStr">
        <is>
          <t xml:space="preserve">UNITED STATES MARINE INC</t>
        </is>
      </c>
      <c r="F1877" s="0" t="inlineStr">
        <is>
          <t xml:space="preserve">naics:336612; psc:1940</t>
        </is>
      </c>
    </row>
    <row r="1878">
      <c r="B1878" s="0" t="inlineStr">
        <is>
          <t xml:space="preserve">N3220518P4038</t>
        </is>
      </c>
      <c r="C1878" s="0" t="inlineStr">
        <is>
          <t xml:space="preserve">broad_maritime</t>
        </is>
      </c>
      <c r="D1878" s="4">
        <v>3.19703089</v>
      </c>
      <c r="E1878" s="0" t="inlineStr">
        <is>
          <t xml:space="preserve">FAIRBANKS MORSE, LLC</t>
        </is>
      </c>
      <c r="F1878" s="0" t="inlineStr">
        <is>
          <t xml:space="preserve">psc:2090</t>
        </is>
      </c>
    </row>
    <row r="1879">
      <c r="B1879" s="0" t="inlineStr">
        <is>
          <t xml:space="preserve">0001</t>
        </is>
      </c>
      <c r="C1879" s="0" t="inlineStr">
        <is>
          <t xml:space="preserve">broad_maritime</t>
        </is>
      </c>
      <c r="D1879" s="4">
        <v>3.1928099999999997</v>
      </c>
      <c r="E1879" s="0" t="inlineStr">
        <is>
          <t xml:space="preserve">LOCKHEED MARTIN CORPORATION</t>
        </is>
      </c>
      <c r="F1879" s="0" t="inlineStr">
        <is>
          <t xml:space="preserve">psc:1905</t>
        </is>
      </c>
    </row>
    <row r="1880">
      <c r="B1880" s="0" t="inlineStr">
        <is>
          <t xml:space="preserve">N0002425F4125</t>
        </is>
      </c>
      <c r="C1880" s="0" t="inlineStr">
        <is>
          <t xml:space="preserve">broad_maritime</t>
        </is>
      </c>
      <c r="D1880" s="4">
        <v>3.18970837</v>
      </c>
      <c r="E1880" s="0" t="inlineStr">
        <is>
          <t xml:space="preserve">BOWHEAD MARINE SUPPORT SERVICES, LLC</t>
        </is>
      </c>
      <c r="F1880" s="0" t="inlineStr">
        <is>
          <t xml:space="preserve">psc:2090</t>
        </is>
      </c>
    </row>
    <row r="1881">
      <c r="B1881" s="0" t="inlineStr">
        <is>
          <t xml:space="preserve">N0002421C2453</t>
        </is>
      </c>
      <c r="C1881" s="0" t="inlineStr">
        <is>
          <t xml:space="preserve">small_craft</t>
        </is>
      </c>
      <c r="D1881" s="4">
        <v>3.184377</v>
      </c>
      <c r="E1881" s="0" t="inlineStr">
        <is>
          <t xml:space="preserve">BOLLINGER MISSISSIPPI SHIPBUILDING, LLC</t>
        </is>
      </c>
      <c r="F1881" s="0" t="inlineStr">
        <is>
          <t xml:space="preserve">naics:336612; psc:1905</t>
        </is>
      </c>
    </row>
    <row r="1882">
      <c r="B1882" s="0" t="inlineStr">
        <is>
          <t xml:space="preserve">N0002417C2235</t>
        </is>
      </c>
      <c r="C1882" s="0" t="inlineStr">
        <is>
          <t xml:space="preserve">other_small</t>
        </is>
      </c>
      <c r="D1882" s="4">
        <v>3.1801209999999998</v>
      </c>
      <c r="E1882" s="0" t="inlineStr">
        <is>
          <t xml:space="preserve">P &amp; R WATER TAXI LLC</t>
        </is>
      </c>
      <c r="F1882" s="0" t="inlineStr">
        <is>
          <t xml:space="preserve">psc:1990</t>
        </is>
      </c>
    </row>
    <row r="1883">
      <c r="B1883" s="0" t="inlineStr">
        <is>
          <t xml:space="preserve">N0010423CNA07</t>
        </is>
      </c>
      <c r="C1883" s="0" t="inlineStr">
        <is>
          <t xml:space="preserve">small_craft</t>
        </is>
      </c>
      <c r="D1883" s="4">
        <v>3.1715999999999998</v>
      </c>
      <c r="E1883" s="0" t="inlineStr">
        <is>
          <t xml:space="preserve">MOOG INC.</t>
        </is>
      </c>
      <c r="F1883" s="0" t="inlineStr">
        <is>
          <t xml:space="preserve">naics:336612</t>
        </is>
      </c>
    </row>
    <row r="1884">
      <c r="B1884" s="0" t="inlineStr">
        <is>
          <t xml:space="preserve">N0002415C2210</t>
        </is>
      </c>
      <c r="C1884" s="0" t="inlineStr">
        <is>
          <t xml:space="preserve">small_craft</t>
        </is>
      </c>
      <c r="D1884" s="4">
        <v>3.16805897</v>
      </c>
      <c r="E1884" s="0" t="inlineStr">
        <is>
          <t xml:space="preserve">BRUNSWICK COMMERCIAL &amp; GOVERNMENT PRODUCTS, INC.</t>
        </is>
      </c>
      <c r="F1884" s="0" t="inlineStr">
        <is>
          <t xml:space="preserve">naics:336612; psc:1940</t>
        </is>
      </c>
    </row>
    <row r="1885">
      <c r="B1885" s="0" t="inlineStr">
        <is>
          <t xml:space="preserve">0003</t>
        </is>
      </c>
      <c r="C1885" s="0" t="inlineStr">
        <is>
          <t xml:space="preserve">broad_maritime</t>
        </is>
      </c>
      <c r="D1885" s="4">
        <v>3.166982</v>
      </c>
      <c r="E1885" s="0" t="inlineStr">
        <is>
          <t xml:space="preserve">BATH IRON WORKS CORPORATION</t>
        </is>
      </c>
      <c r="F1885" s="0" t="inlineStr">
        <is>
          <t xml:space="preserve">psc:1905</t>
        </is>
      </c>
    </row>
    <row r="1886">
      <c r="B1886" s="0" t="inlineStr">
        <is>
          <t xml:space="preserve">N4044212P1018</t>
        </is>
      </c>
      <c r="C1886" s="0" t="inlineStr">
        <is>
          <t xml:space="preserve">broad_maritime</t>
        </is>
      </c>
      <c r="D1886" s="4">
        <v>3.1567250099999997</v>
      </c>
      <c r="E1886" s="0" t="inlineStr">
        <is>
          <t xml:space="preserve">COLTEC INDUSTRIES INC.</t>
        </is>
      </c>
      <c r="F1886" s="0" t="inlineStr">
        <is>
          <t xml:space="preserve">psc:2090</t>
        </is>
      </c>
    </row>
    <row r="1887">
      <c r="B1887" s="0" t="inlineStr">
        <is>
          <t xml:space="preserve">N6449822F4052</t>
        </is>
      </c>
      <c r="C1887" s="0" t="inlineStr">
        <is>
          <t xml:space="preserve">broad_maritime</t>
        </is>
      </c>
      <c r="D1887" s="4">
        <v>3.15447</v>
      </c>
      <c r="E1887" s="0" t="inlineStr">
        <is>
          <t xml:space="preserve">OCEANEERING INTERNATIONAL INC</t>
        </is>
      </c>
      <c r="F1887" s="0" t="inlineStr">
        <is>
          <t xml:space="preserve">psc:1905</t>
        </is>
      </c>
    </row>
    <row r="1888">
      <c r="B1888" s="0" t="inlineStr">
        <is>
          <t xml:space="preserve">N5523623F9969</t>
        </is>
      </c>
      <c r="C1888" s="0" t="inlineStr">
        <is>
          <t xml:space="preserve">broad_maritime</t>
        </is>
      </c>
      <c r="D1888" s="4">
        <v>3.1519330599999997</v>
      </c>
      <c r="E1888" s="0" t="inlineStr">
        <is>
          <t xml:space="preserve">HII FLEET SUPPORT GROUP LLC</t>
        </is>
      </c>
      <c r="F1888" s="0" t="inlineStr">
        <is>
          <t xml:space="preserve">psc:1905</t>
        </is>
      </c>
    </row>
    <row r="1889">
      <c r="B1889" s="0" t="inlineStr">
        <is>
          <t xml:space="preserve">N0002421C2211</t>
        </is>
      </c>
      <c r="C1889" s="0" t="inlineStr">
        <is>
          <t xml:space="preserve">other_small</t>
        </is>
      </c>
      <c r="D1889" s="4">
        <v>3.11204431</v>
      </c>
      <c r="E1889" s="0" t="inlineStr">
        <is>
          <t xml:space="preserve">BMT DESIGNERS &amp; PLANNERS, INC.</t>
        </is>
      </c>
      <c r="F1889" s="0" t="inlineStr">
        <is>
          <t xml:space="preserve">psc:1925</t>
        </is>
      </c>
    </row>
    <row r="1890">
      <c r="B1890" s="0" t="inlineStr">
        <is>
          <t xml:space="preserve">0001</t>
        </is>
      </c>
      <c r="C1890" s="0" t="inlineStr">
        <is>
          <t xml:space="preserve">broad_maritime</t>
        </is>
      </c>
      <c r="D1890" s="4">
        <v>3.110406</v>
      </c>
      <c r="E1890" s="0" t="inlineStr">
        <is>
          <t xml:space="preserve">BOSTON ENGINEERING CORPORATION</t>
        </is>
      </c>
      <c r="F1890" s="0" t="inlineStr">
        <is>
          <t xml:space="preserve">psc:2090</t>
        </is>
      </c>
    </row>
    <row r="1891">
      <c r="B1891" s="0" t="inlineStr">
        <is>
          <t xml:space="preserve">N5005425F6001</t>
        </is>
      </c>
      <c r="C1891" s="0" t="inlineStr">
        <is>
          <t xml:space="preserve">broad_maritime</t>
        </is>
      </c>
      <c r="D1891" s="4">
        <v>3.07784022</v>
      </c>
      <c r="E1891" s="0" t="inlineStr">
        <is>
          <t xml:space="preserve">HII FLEET SUPPORT GROUP LLC</t>
        </is>
      </c>
      <c r="F1891" s="0" t="inlineStr">
        <is>
          <t xml:space="preserve">psc:1905</t>
        </is>
      </c>
    </row>
    <row r="1892">
      <c r="B1892" s="0" t="inlineStr">
        <is>
          <t xml:space="preserve">N0002418F4204</t>
        </is>
      </c>
      <c r="C1892" s="0" t="inlineStr">
        <is>
          <t xml:space="preserve">broad_maritime</t>
        </is>
      </c>
      <c r="D1892" s="4">
        <v>3.0726533799999998</v>
      </c>
      <c r="E1892" s="0" t="inlineStr">
        <is>
          <t xml:space="preserve">VSE CORPORATION</t>
        </is>
      </c>
      <c r="F1892" s="0" t="inlineStr">
        <is>
          <t xml:space="preserve">psc:2090</t>
        </is>
      </c>
    </row>
    <row r="1893">
      <c r="B1893" s="0" t="inlineStr">
        <is>
          <t xml:space="preserve">M6785421F1937</t>
        </is>
      </c>
      <c r="C1893" s="0" t="inlineStr">
        <is>
          <t xml:space="preserve">small_craft</t>
        </is>
      </c>
      <c r="D1893" s="4">
        <v>3.0711</v>
      </c>
      <c r="E1893" s="0" t="inlineStr">
        <is>
          <t xml:space="preserve">WING INFLATABLES INC</t>
        </is>
      </c>
      <c r="F1893" s="0" t="inlineStr">
        <is>
          <t xml:space="preserve">naics:336612; psc:1940</t>
        </is>
      </c>
    </row>
    <row r="1894">
      <c r="B1894" s="0" t="inlineStr">
        <is>
          <t xml:space="preserve">N0001417C2036</t>
        </is>
      </c>
      <c r="C1894" s="0" t="inlineStr">
        <is>
          <t xml:space="preserve">usv_core</t>
        </is>
      </c>
      <c r="D1894" s="4">
        <v>3.05282131</v>
      </c>
      <c r="E1894" s="0" t="inlineStr">
        <is>
          <t xml:space="preserve">GEORGIA TECH APPLIED RESEARCH CORP</t>
        </is>
      </c>
      <c r="F1894" s="0" t="inlineStr">
        <is>
          <t xml:space="preserve">keyword</t>
        </is>
      </c>
    </row>
    <row r="1895">
      <c r="B1895" s="0" t="inlineStr">
        <is>
          <t xml:space="preserve">N6600124P6022</t>
        </is>
      </c>
      <c r="C1895" s="0" t="inlineStr">
        <is>
          <t xml:space="preserve">other_small</t>
        </is>
      </c>
      <c r="D1895" s="4">
        <v>3.04270498</v>
      </c>
      <c r="E1895" s="0" t="inlineStr">
        <is>
          <t xml:space="preserve">HYDRONALIX INC</t>
        </is>
      </c>
      <c r="F1895" s="0" t="inlineStr">
        <is>
          <t xml:space="preserve">psc:1925</t>
        </is>
      </c>
    </row>
    <row r="1896">
      <c r="B1896" s="0" t="inlineStr">
        <is>
          <t xml:space="preserve">N0002422C2208</t>
        </is>
      </c>
      <c r="C1896" s="0" t="inlineStr">
        <is>
          <t xml:space="preserve">other_small</t>
        </is>
      </c>
      <c r="D1896" s="4">
        <v>3.0195810899999995</v>
      </c>
      <c r="E1896" s="0" t="inlineStr">
        <is>
          <t xml:space="preserve">BOLLINGER SHIPYARDS LOCKPORT, L.L.C.</t>
        </is>
      </c>
      <c r="F1896" s="0" t="inlineStr">
        <is>
          <t xml:space="preserve">psc:1925</t>
        </is>
      </c>
    </row>
    <row r="1897">
      <c r="B1897" s="0" t="inlineStr">
        <is>
          <t xml:space="preserve">N6449818F4233</t>
        </is>
      </c>
      <c r="C1897" s="0" t="inlineStr">
        <is>
          <t xml:space="preserve">broad_maritime</t>
        </is>
      </c>
      <c r="D1897" s="4">
        <v>3.00522</v>
      </c>
      <c r="E1897" s="0" t="inlineStr">
        <is>
          <t xml:space="preserve">LAUREL TECHNOLOGIES PARTNERSHIP</t>
        </is>
      </c>
      <c r="F1897" s="0" t="inlineStr">
        <is>
          <t xml:space="preserve">psc:2090</t>
        </is>
      </c>
    </row>
    <row r="1898">
      <c r="B1898" s="0" t="inlineStr">
        <is>
          <t xml:space="preserve">N0002421F22W1</t>
        </is>
      </c>
      <c r="C1898" s="0" t="inlineStr">
        <is>
          <t xml:space="preserve">small_craft</t>
        </is>
      </c>
      <c r="D1898" s="4">
        <v>3.0004446099999997</v>
      </c>
      <c r="E1898" s="0" t="inlineStr">
        <is>
          <t xml:space="preserve">RIBCRAFT USA, LLC</t>
        </is>
      </c>
      <c r="F1898" s="0" t="inlineStr">
        <is>
          <t xml:space="preserve">naics:336612; psc:1940</t>
        </is>
      </c>
    </row>
    <row r="1899">
      <c r="B1899" s="0" t="inlineStr">
        <is>
          <t xml:space="preserve">N0002420F22Q1</t>
        </is>
      </c>
      <c r="C1899" s="0" t="inlineStr">
        <is>
          <t xml:space="preserve">small_craft</t>
        </is>
      </c>
      <c r="D1899" s="4">
        <v>2.9970045599999997</v>
      </c>
      <c r="E1899" s="0" t="inlineStr">
        <is>
          <t xml:space="preserve">MODUTECH MARINE, INC.</t>
        </is>
      </c>
      <c r="F1899" s="0" t="inlineStr">
        <is>
          <t xml:space="preserve">naics:336612; psc:1940</t>
        </is>
      </c>
    </row>
    <row r="1900">
      <c r="B1900" s="0" t="inlineStr">
        <is>
          <t xml:space="preserve">N6449821F4212</t>
        </is>
      </c>
      <c r="C1900" s="0" t="inlineStr">
        <is>
          <t xml:space="preserve">broad_maritime</t>
        </is>
      </c>
      <c r="D1900" s="4">
        <v>2.99137446</v>
      </c>
      <c r="E1900" s="0" t="inlineStr">
        <is>
          <t xml:space="preserve">LAUREL TECHNOLOGIES PARTNERSHIP</t>
        </is>
      </c>
      <c r="F1900" s="0" t="inlineStr">
        <is>
          <t xml:space="preserve">psc:2090</t>
        </is>
      </c>
    </row>
    <row r="1901">
      <c r="B1901" s="0" t="inlineStr">
        <is>
          <t xml:space="preserve">N0003923F1001</t>
        </is>
      </c>
      <c r="C1901" s="0" t="inlineStr">
        <is>
          <t xml:space="preserve">small_craft</t>
        </is>
      </c>
      <c r="D1901" s="4">
        <v>2.9894742799999996</v>
      </c>
      <c r="E1901" s="0" t="inlineStr">
        <is>
          <t xml:space="preserve">TELEDYNE BROWN ENGINEERING, INC.</t>
        </is>
      </c>
      <c r="F1901" s="0" t="inlineStr">
        <is>
          <t xml:space="preserve">psc:1940</t>
        </is>
      </c>
    </row>
    <row r="1902">
      <c r="B1902" s="0" t="inlineStr">
        <is>
          <t xml:space="preserve">0001</t>
        </is>
      </c>
      <c r="C1902" s="0" t="inlineStr">
        <is>
          <t xml:space="preserve">small_craft</t>
        </is>
      </c>
      <c r="D1902" s="4">
        <v>2.9849521099999996</v>
      </c>
      <c r="E1902" s="0" t="inlineStr">
        <is>
          <t xml:space="preserve">UNITED STATES MARINE INC</t>
        </is>
      </c>
      <c r="F1902" s="0" t="inlineStr">
        <is>
          <t xml:space="preserve">naics:336612; psc:1940</t>
        </is>
      </c>
    </row>
    <row r="1903">
      <c r="B1903" s="0" t="inlineStr">
        <is>
          <t xml:space="preserve">N3220518P4102</t>
        </is>
      </c>
      <c r="C1903" s="0" t="inlineStr">
        <is>
          <t xml:space="preserve">broad_maritime</t>
        </is>
      </c>
      <c r="D1903" s="4">
        <v>2.97938986</v>
      </c>
      <c r="E1903" s="0" t="inlineStr">
        <is>
          <t xml:space="preserve">ROLLS-ROYCE SOLUTIONS AMERICA INC</t>
        </is>
      </c>
      <c r="F1903" s="0" t="inlineStr">
        <is>
          <t xml:space="preserve">psc:2090</t>
        </is>
      </c>
    </row>
    <row r="1904">
      <c r="B1904" s="0" t="inlineStr">
        <is>
          <t xml:space="preserve">N5523624F9952</t>
        </is>
      </c>
      <c r="C1904" s="0" t="inlineStr">
        <is>
          <t xml:space="preserve">broad_maritime</t>
        </is>
      </c>
      <c r="D1904" s="4">
        <v>2.9759189999999998</v>
      </c>
      <c r="E1904" s="0" t="inlineStr">
        <is>
          <t xml:space="preserve">HII FLEET SUPPORT GROUP LLC</t>
        </is>
      </c>
      <c r="F1904" s="0" t="inlineStr">
        <is>
          <t xml:space="preserve">psc:1905</t>
        </is>
      </c>
    </row>
    <row r="1905">
      <c r="B1905" s="0" t="inlineStr">
        <is>
          <t xml:space="preserve">N0010426FF501</t>
        </is>
      </c>
      <c r="C1905" s="0" t="inlineStr">
        <is>
          <t xml:space="preserve">small_craft</t>
        </is>
      </c>
      <c r="D1905" s="4">
        <v>2.9754255</v>
      </c>
      <c r="E1905" s="0" t="inlineStr">
        <is>
          <t xml:space="preserve">BIRD-JOHNSON PROPELLER COMPANY, LLC</t>
        </is>
      </c>
      <c r="F1905" s="0" t="inlineStr">
        <is>
          <t xml:space="preserve">naics:336612</t>
        </is>
      </c>
    </row>
    <row r="1906">
      <c r="B1906" s="0" t="inlineStr">
        <is>
          <t xml:space="preserve">N5523621F9993</t>
        </is>
      </c>
      <c r="C1906" s="0" t="inlineStr">
        <is>
          <t xml:space="preserve">broad_maritime</t>
        </is>
      </c>
      <c r="D1906" s="4">
        <v>2.95627981</v>
      </c>
      <c r="E1906" s="0" t="inlineStr">
        <is>
          <t xml:space="preserve">HII FLEET SUPPORT GROUP LLC</t>
        </is>
      </c>
      <c r="F1906" s="0" t="inlineStr">
        <is>
          <t xml:space="preserve">psc:1905</t>
        </is>
      </c>
    </row>
    <row r="1907">
      <c r="B1907" s="0" t="inlineStr">
        <is>
          <t xml:space="preserve">N0040618P0446</t>
        </is>
      </c>
      <c r="C1907" s="0" t="inlineStr">
        <is>
          <t xml:space="preserve">broad_maritime</t>
        </is>
      </c>
      <c r="D1907" s="4">
        <v>2.95213703</v>
      </c>
      <c r="E1907" s="0" t="inlineStr">
        <is>
          <t xml:space="preserve">ROCKY MOUNTAIN HYDROSTATICS, LLC</t>
        </is>
      </c>
      <c r="F1907" s="0" t="inlineStr">
        <is>
          <t xml:space="preserve">psc:2090</t>
        </is>
      </c>
    </row>
    <row r="1908">
      <c r="B1908" s="0" t="inlineStr">
        <is>
          <t xml:space="preserve">N6278620F0007</t>
        </is>
      </c>
      <c r="C1908" s="0" t="inlineStr">
        <is>
          <t xml:space="preserve">broad_maritime</t>
        </is>
      </c>
      <c r="D1908" s="4">
        <v>2.9480216699999997</v>
      </c>
      <c r="E1908" s="0" t="inlineStr">
        <is>
          <t xml:space="preserve">BAE SYSTEMS MARITIME SOLUTIONS SAN DIEGO INC.</t>
        </is>
      </c>
      <c r="F1908" s="0" t="inlineStr">
        <is>
          <t xml:space="preserve">psc:1905</t>
        </is>
      </c>
    </row>
    <row r="1909">
      <c r="B1909" s="0" t="inlineStr">
        <is>
          <t xml:space="preserve">N0002422F22B2</t>
        </is>
      </c>
      <c r="C1909" s="0" t="inlineStr">
        <is>
          <t xml:space="preserve">small_craft</t>
        </is>
      </c>
      <c r="D1909" s="4">
        <v>2.94182703</v>
      </c>
      <c r="E1909" s="0" t="inlineStr">
        <is>
          <t xml:space="preserve">UNITED STATES MARINE INC</t>
        </is>
      </c>
      <c r="F1909" s="0" t="inlineStr">
        <is>
          <t xml:space="preserve">naics:336612; psc:1940</t>
        </is>
      </c>
    </row>
    <row r="1910">
      <c r="B1910" s="0" t="inlineStr">
        <is>
          <t xml:space="preserve">N0002422F22A3</t>
        </is>
      </c>
      <c r="C1910" s="0" t="inlineStr">
        <is>
          <t xml:space="preserve">small_craft</t>
        </is>
      </c>
      <c r="D1910" s="4">
        <v>2.9390379799999997</v>
      </c>
      <c r="E1910" s="0" t="inlineStr">
        <is>
          <t xml:space="preserve">UNITED STATES MARINE INC</t>
        </is>
      </c>
      <c r="F1910" s="0" t="inlineStr">
        <is>
          <t xml:space="preserve">naics:336612; psc:1940</t>
        </is>
      </c>
    </row>
    <row r="1911">
      <c r="B1911" s="0" t="inlineStr">
        <is>
          <t xml:space="preserve">N0002423F23A8</t>
        </is>
      </c>
      <c r="C1911" s="0" t="inlineStr">
        <is>
          <t xml:space="preserve">small_craft</t>
        </is>
      </c>
      <c r="D1911" s="4">
        <v>2.9336481</v>
      </c>
      <c r="E1911" s="0" t="inlineStr">
        <is>
          <t xml:space="preserve">SNOW &amp; COMPANY, INC.</t>
        </is>
      </c>
      <c r="F1911" s="0" t="inlineStr">
        <is>
          <t xml:space="preserve">naics:336612; psc:1940</t>
        </is>
      </c>
    </row>
    <row r="1912">
      <c r="B1912" s="0" t="inlineStr">
        <is>
          <t xml:space="preserve">N3220517P4152</t>
        </is>
      </c>
      <c r="C1912" s="0" t="inlineStr">
        <is>
          <t xml:space="preserve">other_small</t>
        </is>
      </c>
      <c r="D1912" s="4">
        <v>2.93262844</v>
      </c>
      <c r="E1912" s="0" t="inlineStr">
        <is>
          <t xml:space="preserve">DEFENSE MARITIME SOLUTIONS, INC.</t>
        </is>
      </c>
      <c r="F1912" s="0" t="inlineStr">
        <is>
          <t xml:space="preserve">psc:1990</t>
        </is>
      </c>
    </row>
    <row r="1913">
      <c r="B1913" s="0" t="inlineStr">
        <is>
          <t xml:space="preserve">N0040624F0220</t>
        </is>
      </c>
      <c r="C1913" s="0" t="inlineStr">
        <is>
          <t xml:space="preserve">broad_maritime</t>
        </is>
      </c>
      <c r="D1913" s="4">
        <v>2.9303817899999998</v>
      </c>
      <c r="E1913" s="0" t="inlineStr">
        <is>
          <t xml:space="preserve">EVERLLENCE MIDDLE EAST AND AFRICA L.L.C</t>
        </is>
      </c>
      <c r="F1913" s="0" t="inlineStr">
        <is>
          <t xml:space="preserve">psc:2090</t>
        </is>
      </c>
    </row>
    <row r="1914">
      <c r="B1914" s="0" t="inlineStr">
        <is>
          <t xml:space="preserve">N6449825F4002</t>
        </is>
      </c>
      <c r="C1914" s="0" t="inlineStr">
        <is>
          <t xml:space="preserve">broad_maritime</t>
        </is>
      </c>
      <c r="D1914" s="4">
        <v>2.9179999999999997</v>
      </c>
      <c r="E1914" s="0" t="inlineStr">
        <is>
          <t xml:space="preserve">TREADWELL CORPORATION (DELAWARE)</t>
        </is>
      </c>
      <c r="F1914" s="0" t="inlineStr">
        <is>
          <t xml:space="preserve">psc:2090</t>
        </is>
      </c>
    </row>
    <row r="1915">
      <c r="B1915" s="0" t="inlineStr">
        <is>
          <t xml:space="preserve">N6449824F5114</t>
        </is>
      </c>
      <c r="C1915" s="0" t="inlineStr">
        <is>
          <t xml:space="preserve">broad_maritime</t>
        </is>
      </c>
      <c r="D1915" s="4">
        <v>2.9179999999999997</v>
      </c>
      <c r="E1915" s="0" t="inlineStr">
        <is>
          <t xml:space="preserve">TREADWELL CORPORATION (DELAWARE)</t>
        </is>
      </c>
      <c r="F1915" s="0" t="inlineStr">
        <is>
          <t xml:space="preserve">psc:2090</t>
        </is>
      </c>
    </row>
    <row r="1916">
      <c r="B1916" s="0" t="inlineStr">
        <is>
          <t xml:space="preserve">N6449819F4050</t>
        </is>
      </c>
      <c r="C1916" s="0" t="inlineStr">
        <is>
          <t xml:space="preserve">broad_maritime</t>
        </is>
      </c>
      <c r="D1916" s="4">
        <v>2.915939</v>
      </c>
      <c r="E1916" s="0" t="inlineStr">
        <is>
          <t xml:space="preserve">LEIDOS, INC.</t>
        </is>
      </c>
      <c r="F1916" s="0" t="inlineStr">
        <is>
          <t xml:space="preserve">psc:2090</t>
        </is>
      </c>
    </row>
    <row r="1917">
      <c r="B1917" s="0" t="inlineStr">
        <is>
          <t xml:space="preserve">N3220516P4002</t>
        </is>
      </c>
      <c r="C1917" s="0" t="inlineStr">
        <is>
          <t xml:space="preserve">broad_maritime</t>
        </is>
      </c>
      <c r="D1917" s="4">
        <v>2.9091185</v>
      </c>
      <c r="E1917" s="0" t="inlineStr">
        <is>
          <t xml:space="preserve">NOLNACS MARINE LLC</t>
        </is>
      </c>
      <c r="F1917" s="0" t="inlineStr">
        <is>
          <t xml:space="preserve">psc:2090</t>
        </is>
      </c>
    </row>
    <row r="1918">
      <c r="B1918" s="0" t="inlineStr">
        <is>
          <t xml:space="preserve">N0002416C2210</t>
        </is>
      </c>
      <c r="C1918" s="0" t="inlineStr">
        <is>
          <t xml:space="preserve">small_craft</t>
        </is>
      </c>
      <c r="D1918" s="4">
        <v>2.8857055099999998</v>
      </c>
      <c r="E1918" s="0" t="inlineStr">
        <is>
          <t xml:space="preserve">GRAVOIS ALUMINUM BOATS LLC</t>
        </is>
      </c>
      <c r="F1918" s="0" t="inlineStr">
        <is>
          <t xml:space="preserve">naics:336612; psc:1940</t>
        </is>
      </c>
    </row>
    <row r="1919">
      <c r="B1919" s="0" t="inlineStr">
        <is>
          <t xml:space="preserve">N5005424F6001</t>
        </is>
      </c>
      <c r="C1919" s="0" t="inlineStr">
        <is>
          <t xml:space="preserve">broad_maritime</t>
        </is>
      </c>
      <c r="D1919" s="4">
        <v>2.87122191</v>
      </c>
      <c r="E1919" s="0" t="inlineStr">
        <is>
          <t xml:space="preserve">HII FLEET SUPPORT GROUP LLC</t>
        </is>
      </c>
      <c r="F1919" s="0" t="inlineStr">
        <is>
          <t xml:space="preserve">psc:1905</t>
        </is>
      </c>
    </row>
    <row r="1920">
      <c r="B1920" s="0" t="inlineStr">
        <is>
          <t xml:space="preserve">M6785425F1016</t>
        </is>
      </c>
      <c r="C1920" s="0" t="inlineStr">
        <is>
          <t xml:space="preserve">small_craft</t>
        </is>
      </c>
      <c r="D1920" s="4">
        <v>2.8592999999999997</v>
      </c>
      <c r="E1920" s="0" t="inlineStr">
        <is>
          <t xml:space="preserve">WING INFLATABLES INC</t>
        </is>
      </c>
      <c r="F1920" s="0" t="inlineStr">
        <is>
          <t xml:space="preserve">naics:336612; psc:1940</t>
        </is>
      </c>
    </row>
    <row r="1921">
      <c r="B1921" s="0" t="inlineStr">
        <is>
          <t xml:space="preserve">N0002418F22A2</t>
        </is>
      </c>
      <c r="C1921" s="0" t="inlineStr">
        <is>
          <t xml:space="preserve">small_craft</t>
        </is>
      </c>
      <c r="D1921" s="4">
        <v>2.84492047</v>
      </c>
      <c r="E1921" s="0" t="inlineStr">
        <is>
          <t xml:space="preserve">GRAVOIS ALUMINUM BOATS LLC</t>
        </is>
      </c>
      <c r="F1921" s="0" t="inlineStr">
        <is>
          <t xml:space="preserve">naics:336612; psc:1940</t>
        </is>
      </c>
    </row>
    <row r="1922">
      <c r="B1922" s="0" t="inlineStr">
        <is>
          <t xml:space="preserve">N0002421F22Q1</t>
        </is>
      </c>
      <c r="C1922" s="0" t="inlineStr">
        <is>
          <t xml:space="preserve">small_craft</t>
        </is>
      </c>
      <c r="D1922" s="4">
        <v>2.84299256</v>
      </c>
      <c r="E1922" s="0" t="inlineStr">
        <is>
          <t xml:space="preserve">MODUTECH MARINE, INC.</t>
        </is>
      </c>
      <c r="F1922" s="0" t="inlineStr">
        <is>
          <t xml:space="preserve">naics:336612; psc:1940</t>
        </is>
      </c>
    </row>
    <row r="1923">
      <c r="B1923" s="0" t="inlineStr">
        <is>
          <t xml:space="preserve">N0002423F23B1</t>
        </is>
      </c>
      <c r="C1923" s="0" t="inlineStr">
        <is>
          <t xml:space="preserve">small_craft</t>
        </is>
      </c>
      <c r="D1923" s="4">
        <v>2.835404</v>
      </c>
      <c r="E1923" s="0" t="inlineStr">
        <is>
          <t xml:space="preserve">UNITED STATES MARINE INC</t>
        </is>
      </c>
      <c r="F1923" s="0" t="inlineStr">
        <is>
          <t xml:space="preserve">naics:336612; psc:1940</t>
        </is>
      </c>
    </row>
    <row r="1924">
      <c r="B1924" s="0" t="inlineStr">
        <is>
          <t xml:space="preserve">N0002416F2203</t>
        </is>
      </c>
      <c r="C1924" s="0" t="inlineStr">
        <is>
          <t xml:space="preserve">small_craft</t>
        </is>
      </c>
      <c r="D1924" s="4">
        <v>2.824572</v>
      </c>
      <c r="E1924" s="0" t="inlineStr">
        <is>
          <t xml:space="preserve">GRAVOIS ALUMINUM BOATS LLC</t>
        </is>
      </c>
      <c r="F1924" s="0" t="inlineStr">
        <is>
          <t xml:space="preserve">psc:1940</t>
        </is>
      </c>
    </row>
    <row r="1925">
      <c r="B1925" s="0" t="inlineStr">
        <is>
          <t xml:space="preserve">N6133119F0142</t>
        </is>
      </c>
      <c r="C1925" s="0" t="inlineStr">
        <is>
          <t xml:space="preserve">broad_maritime</t>
        </is>
      </c>
      <c r="D1925" s="4">
        <v>2.81096981</v>
      </c>
      <c r="E1925" s="0" t="inlineStr">
        <is>
          <t xml:space="preserve">ATLANTIC DIVING SUPPLY, INC.</t>
        </is>
      </c>
      <c r="F1925" s="0" t="inlineStr">
        <is>
          <t xml:space="preserve">psc:2090</t>
        </is>
      </c>
    </row>
    <row r="1926">
      <c r="B1926" s="0" t="inlineStr">
        <is>
          <t xml:space="preserve">N0001422C1034</t>
        </is>
      </c>
      <c r="C1926" s="0" t="inlineStr">
        <is>
          <t xml:space="preserve">usv_core</t>
        </is>
      </c>
      <c r="D1926" s="4">
        <v>2.7912179999999998</v>
      </c>
      <c r="E1926" s="0" t="inlineStr">
        <is>
          <t xml:space="preserve">GENERAL ELECTRIC COMPANY</t>
        </is>
      </c>
      <c r="F1926" s="0" t="inlineStr">
        <is>
          <t xml:space="preserve">keyword</t>
        </is>
      </c>
    </row>
    <row r="1927">
      <c r="B1927" s="0" t="inlineStr">
        <is>
          <t xml:space="preserve">N0002425F22B6</t>
        </is>
      </c>
      <c r="C1927" s="0" t="inlineStr">
        <is>
          <t xml:space="preserve">small_craft</t>
        </is>
      </c>
      <c r="D1927" s="4">
        <v>2.7809938499999998</v>
      </c>
      <c r="E1927" s="0" t="inlineStr">
        <is>
          <t xml:space="preserve">RIBCRAFT USA, LLC</t>
        </is>
      </c>
      <c r="F1927" s="0" t="inlineStr">
        <is>
          <t xml:space="preserve">naics:336612; psc:1940</t>
        </is>
      </c>
    </row>
    <row r="1928">
      <c r="B1928" s="0" t="inlineStr">
        <is>
          <t xml:space="preserve">N6133117F0145</t>
        </is>
      </c>
      <c r="C1928" s="0" t="inlineStr">
        <is>
          <t xml:space="preserve">broad_maritime</t>
        </is>
      </c>
      <c r="D1928" s="4">
        <v>2.7779482499999997</v>
      </c>
      <c r="E1928" s="0" t="inlineStr">
        <is>
          <t xml:space="preserve">ATLANTIC DIVING SUPPLY, INC.</t>
        </is>
      </c>
      <c r="F1928" s="0" t="inlineStr">
        <is>
          <t xml:space="preserve">psc:2090</t>
        </is>
      </c>
    </row>
    <row r="1929">
      <c r="B1929" s="0" t="inlineStr">
        <is>
          <t xml:space="preserve">N6449825F4154</t>
        </is>
      </c>
      <c r="C1929" s="0" t="inlineStr">
        <is>
          <t xml:space="preserve">broad_maritime</t>
        </is>
      </c>
      <c r="D1929" s="4">
        <v>2.769851</v>
      </c>
      <c r="E1929" s="0" t="inlineStr">
        <is>
          <t xml:space="preserve">LEIDOS, INC.</t>
        </is>
      </c>
      <c r="F1929" s="0" t="inlineStr">
        <is>
          <t xml:space="preserve">psc:2090</t>
        </is>
      </c>
    </row>
    <row r="1930">
      <c r="B1930" s="0" t="inlineStr">
        <is>
          <t xml:space="preserve">N0002413C2208</t>
        </is>
      </c>
      <c r="C1930" s="0" t="inlineStr">
        <is>
          <t xml:space="preserve">small_craft</t>
        </is>
      </c>
      <c r="D1930" s="4">
        <v>2.7441449700000002</v>
      </c>
      <c r="E1930" s="0" t="inlineStr">
        <is>
          <t xml:space="preserve">WILLARD MARINE, INC.</t>
        </is>
      </c>
      <c r="F1930" s="0" t="inlineStr">
        <is>
          <t xml:space="preserve">naics:336612; psc:1940</t>
        </is>
      </c>
    </row>
    <row r="1931">
      <c r="B1931" s="0" t="inlineStr">
        <is>
          <t xml:space="preserve">7D09</t>
        </is>
      </c>
      <c r="C1931" s="0" t="inlineStr">
        <is>
          <t xml:space="preserve">other_small</t>
        </is>
      </c>
      <c r="D1931" s="4">
        <v>2.732291</v>
      </c>
      <c r="E1931" s="0" t="inlineStr">
        <is>
          <t xml:space="preserve">ELECTRIC BOAT CORPORATION</t>
        </is>
      </c>
      <c r="F1931" s="0" t="inlineStr">
        <is>
          <t xml:space="preserve">psc:1990</t>
        </is>
      </c>
    </row>
    <row r="1932">
      <c r="B1932" s="0" t="inlineStr">
        <is>
          <t xml:space="preserve">0001</t>
        </is>
      </c>
      <c r="C1932" s="0" t="inlineStr">
        <is>
          <t xml:space="preserve">broad_maritime</t>
        </is>
      </c>
      <c r="D1932" s="4">
        <v>2.73104888</v>
      </c>
      <c r="E1932" s="0" t="inlineStr">
        <is>
          <t xml:space="preserve">LEIDOS, INC.</t>
        </is>
      </c>
      <c r="F1932" s="0" t="inlineStr">
        <is>
          <t xml:space="preserve">psc:2090</t>
        </is>
      </c>
    </row>
    <row r="1933">
      <c r="B1933" s="0" t="inlineStr">
        <is>
          <t xml:space="preserve">N5005423F3002</t>
        </is>
      </c>
      <c r="C1933" s="0" t="inlineStr">
        <is>
          <t xml:space="preserve">broad_maritime</t>
        </is>
      </c>
      <c r="D1933" s="4">
        <v>2.72733161</v>
      </c>
      <c r="E1933" s="0" t="inlineStr">
        <is>
          <t xml:space="preserve">HII FLEET SUPPORT GROUP LLC</t>
        </is>
      </c>
      <c r="F1933" s="0" t="inlineStr">
        <is>
          <t xml:space="preserve">psc:1905</t>
        </is>
      </c>
    </row>
    <row r="1934">
      <c r="B1934" s="0" t="inlineStr">
        <is>
          <t xml:space="preserve">N0002418F22D1</t>
        </is>
      </c>
      <c r="C1934" s="0" t="inlineStr">
        <is>
          <t xml:space="preserve">small_craft</t>
        </is>
      </c>
      <c r="D1934" s="4">
        <v>2.7223590699999995</v>
      </c>
      <c r="E1934" s="0" t="inlineStr">
        <is>
          <t xml:space="preserve">UNITED STATES MARINE INC</t>
        </is>
      </c>
      <c r="F1934" s="0" t="inlineStr">
        <is>
          <t xml:space="preserve">naics:336612; psc:1940</t>
        </is>
      </c>
    </row>
    <row r="1935">
      <c r="B1935" s="0" t="inlineStr">
        <is>
          <t xml:space="preserve">N3220515P3779</t>
        </is>
      </c>
      <c r="C1935" s="0" t="inlineStr">
        <is>
          <t xml:space="preserve">broad_maritime</t>
        </is>
      </c>
      <c r="D1935" s="4">
        <v>2.7218175499999995</v>
      </c>
      <c r="E1935" s="0" t="inlineStr">
        <is>
          <t xml:space="preserve">COLTEC INDUSTRIES INC.</t>
        </is>
      </c>
      <c r="F1935" s="0" t="inlineStr">
        <is>
          <t xml:space="preserve">psc:2090</t>
        </is>
      </c>
    </row>
    <row r="1936">
      <c r="B1936" s="0" t="inlineStr">
        <is>
          <t xml:space="preserve">N5523624F9970</t>
        </is>
      </c>
      <c r="C1936" s="0" t="inlineStr">
        <is>
          <t xml:space="preserve">broad_maritime</t>
        </is>
      </c>
      <c r="D1936" s="4">
        <v>2.7212449999999997</v>
      </c>
      <c r="E1936" s="0" t="inlineStr">
        <is>
          <t xml:space="preserve">HII FLEET SUPPORT GROUP LLC</t>
        </is>
      </c>
      <c r="F1936" s="0" t="inlineStr">
        <is>
          <t xml:space="preserve">psc:1905</t>
        </is>
      </c>
    </row>
    <row r="1937">
      <c r="B1937" s="0" t="inlineStr">
        <is>
          <t xml:space="preserve">N3220515C4004</t>
        </is>
      </c>
      <c r="C1937" s="0" t="inlineStr">
        <is>
          <t xml:space="preserve">other_small</t>
        </is>
      </c>
      <c r="D1937" s="4">
        <v>2.70959432</v>
      </c>
      <c r="E1937" s="0" t="inlineStr">
        <is>
          <t xml:space="preserve">DETYENS SHIPYARDS INC</t>
        </is>
      </c>
      <c r="F1937" s="0" t="inlineStr">
        <is>
          <t xml:space="preserve">psc:1990</t>
        </is>
      </c>
    </row>
    <row r="1938">
      <c r="B1938" s="0" t="inlineStr">
        <is>
          <t xml:space="preserve">N6449818F4160</t>
        </is>
      </c>
      <c r="C1938" s="0" t="inlineStr">
        <is>
          <t xml:space="preserve">broad_maritime</t>
        </is>
      </c>
      <c r="D1938" s="4">
        <v>2.6850799999999997</v>
      </c>
      <c r="E1938" s="0" t="inlineStr">
        <is>
          <t xml:space="preserve">LAUREL TECHNOLOGIES PARTNERSHIP</t>
        </is>
      </c>
      <c r="F1938" s="0" t="inlineStr">
        <is>
          <t xml:space="preserve">psc:2090</t>
        </is>
      </c>
    </row>
    <row r="1939">
      <c r="B1939" s="0" t="inlineStr">
        <is>
          <t xml:space="preserve">N0002417F22J1</t>
        </is>
      </c>
      <c r="C1939" s="0" t="inlineStr">
        <is>
          <t xml:space="preserve">small_craft</t>
        </is>
      </c>
      <c r="D1939" s="4">
        <v>2.67082615</v>
      </c>
      <c r="E1939" s="0" t="inlineStr">
        <is>
          <t xml:space="preserve">UNITED STATES MARINE INC</t>
        </is>
      </c>
      <c r="F1939" s="0" t="inlineStr">
        <is>
          <t xml:space="preserve">naics:336612; psc:1940</t>
        </is>
      </c>
    </row>
    <row r="1940">
      <c r="B1940" s="0" t="inlineStr">
        <is>
          <t xml:space="preserve">N6931625F2000</t>
        </is>
      </c>
      <c r="C1940" s="0" t="inlineStr">
        <is>
          <t xml:space="preserve">broad_maritime</t>
        </is>
      </c>
      <c r="D1940" s="4">
        <v>2.668221</v>
      </c>
      <c r="E1940" s="0" t="inlineStr">
        <is>
          <t xml:space="preserve">TEXTRON SYSTEMS CORP</t>
        </is>
      </c>
      <c r="F1940" s="0" t="inlineStr">
        <is>
          <t xml:space="preserve">psc:1905</t>
        </is>
      </c>
    </row>
    <row r="1941">
      <c r="B1941" s="0" t="inlineStr">
        <is>
          <t xml:space="preserve">N6600117P0212</t>
        </is>
      </c>
      <c r="C1941" s="0" t="inlineStr">
        <is>
          <t xml:space="preserve">broad_maritime</t>
        </is>
      </c>
      <c r="D1941" s="4">
        <v>2.65774458</v>
      </c>
      <c r="E1941" s="0" t="inlineStr">
        <is>
          <t xml:space="preserve">IHS GLOBAL INC</t>
        </is>
      </c>
      <c r="F1941" s="0" t="inlineStr">
        <is>
          <t xml:space="preserve">psc:2090</t>
        </is>
      </c>
    </row>
    <row r="1942">
      <c r="B1942" s="0" t="inlineStr">
        <is>
          <t xml:space="preserve">7F04</t>
        </is>
      </c>
      <c r="C1942" s="0" t="inlineStr">
        <is>
          <t xml:space="preserve">broad_maritime</t>
        </is>
      </c>
      <c r="D1942" s="4">
        <v>2.602239</v>
      </c>
      <c r="E1942" s="0" t="inlineStr">
        <is>
          <t xml:space="preserve">AUSTAL USA, LLC</t>
        </is>
      </c>
      <c r="F1942" s="0" t="inlineStr">
        <is>
          <t xml:space="preserve">psc:1905</t>
        </is>
      </c>
    </row>
    <row r="1943">
      <c r="B1943" s="0" t="inlineStr">
        <is>
          <t xml:space="preserve">N0002418F22V1</t>
        </is>
      </c>
      <c r="C1943" s="0" t="inlineStr">
        <is>
          <t xml:space="preserve">small_craft</t>
        </is>
      </c>
      <c r="D1943" s="4">
        <v>2.5866603599999998</v>
      </c>
      <c r="E1943" s="0" t="inlineStr">
        <is>
          <t xml:space="preserve">SNOW &amp; COMPANY, INC.</t>
        </is>
      </c>
      <c r="F1943" s="0" t="inlineStr">
        <is>
          <t xml:space="preserve">naics:336612; psc:1940</t>
        </is>
      </c>
    </row>
    <row r="1944">
      <c r="B1944" s="0" t="inlineStr">
        <is>
          <t xml:space="preserve">N0002426F4126</t>
        </is>
      </c>
      <c r="C1944" s="0" t="inlineStr">
        <is>
          <t xml:space="preserve">broad_maritime</t>
        </is>
      </c>
      <c r="D1944" s="4">
        <v>2.5595764500000002</v>
      </c>
      <c r="E1944" s="0" t="inlineStr">
        <is>
          <t xml:space="preserve">HEXAGON US FEDERAL, INC</t>
        </is>
      </c>
      <c r="F1944" s="0" t="inlineStr">
        <is>
          <t xml:space="preserve">psc:2090</t>
        </is>
      </c>
    </row>
    <row r="1945">
      <c r="B1945" s="0" t="inlineStr">
        <is>
          <t xml:space="preserve">N0002424C2277</t>
        </is>
      </c>
      <c r="C1945" s="0" t="inlineStr">
        <is>
          <t xml:space="preserve">small_craft</t>
        </is>
      </c>
      <c r="D1945" s="4">
        <v>2.553333</v>
      </c>
      <c r="E1945" s="0" t="inlineStr">
        <is>
          <t xml:space="preserve">RECONCRAFT, LLC</t>
        </is>
      </c>
      <c r="F1945" s="0" t="inlineStr">
        <is>
          <t xml:space="preserve">naics:336612; psc:1940</t>
        </is>
      </c>
    </row>
    <row r="1946">
      <c r="B1946" s="0" t="inlineStr">
        <is>
          <t xml:space="preserve">N5005422F3003</t>
        </is>
      </c>
      <c r="C1946" s="0" t="inlineStr">
        <is>
          <t xml:space="preserve">broad_maritime</t>
        </is>
      </c>
      <c r="D1946" s="4">
        <v>2.5412150299999996</v>
      </c>
      <c r="E1946" s="0" t="inlineStr">
        <is>
          <t xml:space="preserve">HII FLEET SUPPORT GROUP LLC</t>
        </is>
      </c>
      <c r="F1946" s="0" t="inlineStr">
        <is>
          <t xml:space="preserve">psc:1905</t>
        </is>
      </c>
    </row>
    <row r="1947">
      <c r="B1947" s="0" t="inlineStr">
        <is>
          <t xml:space="preserve">N0002419F22E2</t>
        </is>
      </c>
      <c r="C1947" s="0" t="inlineStr">
        <is>
          <t xml:space="preserve">small_craft</t>
        </is>
      </c>
      <c r="D1947" s="4">
        <v>2.53900273</v>
      </c>
      <c r="E1947" s="0" t="inlineStr">
        <is>
          <t xml:space="preserve">SILVER SHIPS, INC</t>
        </is>
      </c>
      <c r="F1947" s="0" t="inlineStr">
        <is>
          <t xml:space="preserve">naics:336612; psc:1940</t>
        </is>
      </c>
    </row>
    <row r="1948">
      <c r="B1948" s="0" t="inlineStr">
        <is>
          <t xml:space="preserve">0001</t>
        </is>
      </c>
      <c r="C1948" s="0" t="inlineStr">
        <is>
          <t xml:space="preserve">other_small</t>
        </is>
      </c>
      <c r="D1948" s="4">
        <v>2.5065779999999998</v>
      </c>
      <c r="E1948" s="0" t="inlineStr">
        <is>
          <t xml:space="preserve">NATIONAL STEEL AND SHIPBUILDING COMPANY</t>
        </is>
      </c>
      <c r="F1948" s="0" t="inlineStr">
        <is>
          <t xml:space="preserve">psc:1990</t>
        </is>
      </c>
    </row>
    <row r="1949">
      <c r="B1949" s="0" t="inlineStr">
        <is>
          <t xml:space="preserve">N6279326F7803</t>
        </is>
      </c>
      <c r="C1949" s="0" t="inlineStr">
        <is>
          <t xml:space="preserve">broad_maritime</t>
        </is>
      </c>
      <c r="D1949" s="4">
        <v>2.5</v>
      </c>
      <c r="E1949" s="0" t="inlineStr">
        <is>
          <t xml:space="preserve">HUNTINGTON INGALLS INC</t>
        </is>
      </c>
      <c r="F1949" s="0" t="inlineStr">
        <is>
          <t xml:space="preserve">psc:1905</t>
        </is>
      </c>
    </row>
    <row r="1950">
      <c r="B1950" s="0" t="inlineStr">
        <is>
          <t xml:space="preserve">N5005424FP010</t>
        </is>
      </c>
      <c r="C1950" s="0" t="inlineStr">
        <is>
          <t xml:space="preserve">broad_maritime</t>
        </is>
      </c>
      <c r="D1950" s="4">
        <v>2.495745</v>
      </c>
      <c r="E1950" s="0" t="inlineStr">
        <is>
          <t xml:space="preserve">METRO MACHINE CORP.</t>
        </is>
      </c>
      <c r="F1950" s="0" t="inlineStr">
        <is>
          <t xml:space="preserve">psc:1905</t>
        </is>
      </c>
    </row>
    <row r="1951">
      <c r="B1951" s="0" t="inlineStr">
        <is>
          <t xml:space="preserve">N6133120F0097</t>
        </is>
      </c>
      <c r="C1951" s="0" t="inlineStr">
        <is>
          <t xml:space="preserve">broad_maritime</t>
        </is>
      </c>
      <c r="D1951" s="4">
        <v>2.481206</v>
      </c>
      <c r="E1951" s="0" t="inlineStr">
        <is>
          <t xml:space="preserve">HII UNMANNED SYSTEMS, INC</t>
        </is>
      </c>
      <c r="F1951" s="0" t="inlineStr">
        <is>
          <t xml:space="preserve">psc:2090</t>
        </is>
      </c>
    </row>
    <row r="1952">
      <c r="B1952" s="0" t="inlineStr">
        <is>
          <t xml:space="preserve">N0025320C0005</t>
        </is>
      </c>
      <c r="C1952" s="0" t="inlineStr">
        <is>
          <t xml:space="preserve">broad_maritime</t>
        </is>
      </c>
      <c r="D1952" s="4">
        <v>2.4797952</v>
      </c>
      <c r="E1952" s="0" t="inlineStr">
        <is>
          <t xml:space="preserve">OCEANEERING INTERNATIONAL INC</t>
        </is>
      </c>
      <c r="F1952" s="0" t="inlineStr">
        <is>
          <t xml:space="preserve">psc:2090</t>
        </is>
      </c>
    </row>
    <row r="1953">
      <c r="B1953" s="0" t="inlineStr">
        <is>
          <t xml:space="preserve">4T24</t>
        </is>
      </c>
      <c r="C1953" s="0" t="inlineStr">
        <is>
          <t xml:space="preserve">broad_maritime</t>
        </is>
      </c>
      <c r="D1953" s="4">
        <v>2.4633387599999996</v>
      </c>
      <c r="E1953" s="0" t="inlineStr">
        <is>
          <t xml:space="preserve">HUNTINGTON INGALLS INC</t>
        </is>
      </c>
      <c r="F1953" s="0" t="inlineStr">
        <is>
          <t xml:space="preserve">psc:2090</t>
        </is>
      </c>
    </row>
    <row r="1954">
      <c r="B1954" s="0" t="inlineStr">
        <is>
          <t xml:space="preserve">N4523A20F0313</t>
        </is>
      </c>
      <c r="C1954" s="0" t="inlineStr">
        <is>
          <t xml:space="preserve">broad_maritime</t>
        </is>
      </c>
      <c r="D1954" s="4">
        <v>2.46162891</v>
      </c>
      <c r="E1954" s="0" t="inlineStr">
        <is>
          <t xml:space="preserve">METRO MACHINE CORP</t>
        </is>
      </c>
      <c r="F1954" s="0" t="inlineStr">
        <is>
          <t xml:space="preserve">psc:1905</t>
        </is>
      </c>
    </row>
    <row r="1955">
      <c r="B1955" s="0" t="inlineStr">
        <is>
          <t xml:space="preserve">N0025322P5000</t>
        </is>
      </c>
      <c r="C1955" s="0" t="inlineStr">
        <is>
          <t xml:space="preserve">broad_maritime</t>
        </is>
      </c>
      <c r="D1955" s="4">
        <v>2.45221112</v>
      </c>
      <c r="E1955" s="0" t="inlineStr">
        <is>
          <t xml:space="preserve">PHOENIX GROUP OF VIRGINIA INC</t>
        </is>
      </c>
      <c r="F1955" s="0" t="inlineStr">
        <is>
          <t xml:space="preserve">psc:2090</t>
        </is>
      </c>
    </row>
    <row r="1956">
      <c r="B1956" s="0" t="inlineStr">
        <is>
          <t xml:space="preserve">N0003924F1046</t>
        </is>
      </c>
      <c r="C1956" s="0" t="inlineStr">
        <is>
          <t xml:space="preserve">small_craft</t>
        </is>
      </c>
      <c r="D1956" s="4">
        <v>2.45091016</v>
      </c>
      <c r="E1956" s="0" t="inlineStr">
        <is>
          <t xml:space="preserve">TELEDYNE BROWN ENGINEERING, INC.</t>
        </is>
      </c>
      <c r="F1956" s="0" t="inlineStr">
        <is>
          <t xml:space="preserve">psc:1940</t>
        </is>
      </c>
    </row>
    <row r="1957">
      <c r="B1957" s="0" t="inlineStr">
        <is>
          <t xml:space="preserve">N5005426P0029</t>
        </is>
      </c>
      <c r="C1957" s="0" t="inlineStr">
        <is>
          <t xml:space="preserve">broad_maritime</t>
        </is>
      </c>
      <c r="D1957" s="4">
        <v>2.449046</v>
      </c>
      <c r="E1957" s="0" t="inlineStr">
        <is>
          <t xml:space="preserve">KAMPI COMPONENTS CO INC</t>
        </is>
      </c>
      <c r="F1957" s="0" t="inlineStr">
        <is>
          <t xml:space="preserve">psc:2090</t>
        </is>
      </c>
    </row>
    <row r="1958">
      <c r="B1958" s="0" t="inlineStr">
        <is>
          <t xml:space="preserve">N0002420C2209</t>
        </is>
      </c>
      <c r="C1958" s="0" t="inlineStr">
        <is>
          <t xml:space="preserve">small_craft</t>
        </is>
      </c>
      <c r="D1958" s="4">
        <v>2.4466801</v>
      </c>
      <c r="E1958" s="0" t="inlineStr">
        <is>
          <t xml:space="preserve">MODUTECH MARINE, INC.</t>
        </is>
      </c>
      <c r="F1958" s="0" t="inlineStr">
        <is>
          <t xml:space="preserve">naics:336612; psc:1940</t>
        </is>
      </c>
    </row>
    <row r="1959">
      <c r="B1959" s="0" t="inlineStr">
        <is>
          <t xml:space="preserve">N5523625F9979</t>
        </is>
      </c>
      <c r="C1959" s="0" t="inlineStr">
        <is>
          <t xml:space="preserve">broad_maritime</t>
        </is>
      </c>
      <c r="D1959" s="4">
        <v>2.444415</v>
      </c>
      <c r="E1959" s="0" t="inlineStr">
        <is>
          <t xml:space="preserve">HII FLEET SUPPORT GROUP LLC</t>
        </is>
      </c>
      <c r="F1959" s="0" t="inlineStr">
        <is>
          <t xml:space="preserve">psc:1905</t>
        </is>
      </c>
    </row>
    <row r="1960">
      <c r="B1960" s="0" t="inlineStr">
        <is>
          <t xml:space="preserve">N0002424F4132</t>
        </is>
      </c>
      <c r="C1960" s="0" t="inlineStr">
        <is>
          <t xml:space="preserve">broad_maritime</t>
        </is>
      </c>
      <c r="D1960" s="4">
        <v>2.44183439</v>
      </c>
      <c r="E1960" s="0" t="inlineStr">
        <is>
          <t xml:space="preserve">BOWHEAD MARINE SUPPORT SERVICES, LLC</t>
        </is>
      </c>
      <c r="F1960" s="0" t="inlineStr">
        <is>
          <t xml:space="preserve">psc:2090</t>
        </is>
      </c>
    </row>
    <row r="1961">
      <c r="B1961" s="0" t="inlineStr">
        <is>
          <t xml:space="preserve">N5005425FP007</t>
        </is>
      </c>
      <c r="C1961" s="0" t="inlineStr">
        <is>
          <t xml:space="preserve">broad_maritime</t>
        </is>
      </c>
      <c r="D1961" s="4">
        <v>2.43688</v>
      </c>
      <c r="E1961" s="0" t="inlineStr">
        <is>
          <t xml:space="preserve">METRO MACHINE CORP.</t>
        </is>
      </c>
      <c r="F1961" s="0" t="inlineStr">
        <is>
          <t xml:space="preserve">psc:1905</t>
        </is>
      </c>
    </row>
    <row r="1962">
      <c r="B1962" s="0" t="inlineStr">
        <is>
          <t xml:space="preserve">N3220515C4005</t>
        </is>
      </c>
      <c r="C1962" s="0" t="inlineStr">
        <is>
          <t xml:space="preserve">other_small</t>
        </is>
      </c>
      <c r="D1962" s="4">
        <v>2.409879</v>
      </c>
      <c r="E1962" s="0" t="inlineStr">
        <is>
          <t xml:space="preserve">MARE ISLAND DRY DOCK LLC</t>
        </is>
      </c>
      <c r="F1962" s="0" t="inlineStr">
        <is>
          <t xml:space="preserve">psc:1990</t>
        </is>
      </c>
    </row>
    <row r="1963">
      <c r="B1963" s="0" t="inlineStr">
        <is>
          <t xml:space="preserve">N6133120F0129</t>
        </is>
      </c>
      <c r="C1963" s="0" t="inlineStr">
        <is>
          <t xml:space="preserve">broad_maritime</t>
        </is>
      </c>
      <c r="D1963" s="4">
        <v>2.40173115</v>
      </c>
      <c r="E1963" s="0" t="inlineStr">
        <is>
          <t xml:space="preserve">ATLANTIC DIVING SUPPLY, INC.</t>
        </is>
      </c>
      <c r="F1963" s="0" t="inlineStr">
        <is>
          <t xml:space="preserve">psc:2090</t>
        </is>
      </c>
    </row>
    <row r="1964">
      <c r="B1964" s="0" t="inlineStr">
        <is>
          <t xml:space="preserve">N6133120F0076</t>
        </is>
      </c>
      <c r="C1964" s="0" t="inlineStr">
        <is>
          <t xml:space="preserve">broad_maritime</t>
        </is>
      </c>
      <c r="D1964" s="4">
        <v>2.38752825</v>
      </c>
      <c r="E1964" s="0" t="inlineStr">
        <is>
          <t xml:space="preserve">L3HARRIS MARITIME SERVICES INC</t>
        </is>
      </c>
      <c r="F1964" s="0" t="inlineStr">
        <is>
          <t xml:space="preserve">psc:2090</t>
        </is>
      </c>
    </row>
    <row r="1965">
      <c r="B1965" s="0" t="inlineStr">
        <is>
          <t xml:space="preserve">0009</t>
        </is>
      </c>
      <c r="C1965" s="0" t="inlineStr">
        <is>
          <t xml:space="preserve">broad_maritime</t>
        </is>
      </c>
      <c r="D1965" s="4">
        <v>2.381453</v>
      </c>
      <c r="E1965" s="0" t="inlineStr">
        <is>
          <t xml:space="preserve">BATH IRON WORKS CORPORATION</t>
        </is>
      </c>
      <c r="F1965" s="0" t="inlineStr">
        <is>
          <t xml:space="preserve">psc:1905</t>
        </is>
      </c>
    </row>
    <row r="1966">
      <c r="B1966" s="0" t="inlineStr">
        <is>
          <t xml:space="preserve">N5523621F9995</t>
        </is>
      </c>
      <c r="C1966" s="0" t="inlineStr">
        <is>
          <t xml:space="preserve">broad_maritime</t>
        </is>
      </c>
      <c r="D1966" s="4">
        <v>2.377285</v>
      </c>
      <c r="E1966" s="0" t="inlineStr">
        <is>
          <t xml:space="preserve">HII FLEET SUPPORT GROUP LLC</t>
        </is>
      </c>
      <c r="F1966" s="0" t="inlineStr">
        <is>
          <t xml:space="preserve">psc:1905</t>
        </is>
      </c>
    </row>
    <row r="1967">
      <c r="B1967" s="0" t="inlineStr">
        <is>
          <t xml:space="preserve">N6133119F0206</t>
        </is>
      </c>
      <c r="C1967" s="0" t="inlineStr">
        <is>
          <t xml:space="preserve">broad_maritime</t>
        </is>
      </c>
      <c r="D1967" s="4">
        <v>2.3713171</v>
      </c>
      <c r="E1967" s="0" t="inlineStr">
        <is>
          <t xml:space="preserve">ATLANTIC DIVING SUPPLY, INC.</t>
        </is>
      </c>
      <c r="F1967" s="0" t="inlineStr">
        <is>
          <t xml:space="preserve">psc:2090</t>
        </is>
      </c>
    </row>
    <row r="1968">
      <c r="B1968" s="0" t="inlineStr">
        <is>
          <t xml:space="preserve">N3220521P2209</t>
        </is>
      </c>
      <c r="C1968" s="0" t="inlineStr">
        <is>
          <t xml:space="preserve">broad_maritime</t>
        </is>
      </c>
      <c r="D1968" s="4">
        <v>2.3649445099999995</v>
      </c>
      <c r="E1968" s="0" t="inlineStr">
        <is>
          <t xml:space="preserve">GENERAL DYNAMICS MISSION SYSTEMS, INC.</t>
        </is>
      </c>
      <c r="F1968" s="0" t="inlineStr">
        <is>
          <t xml:space="preserve">psc:2090</t>
        </is>
      </c>
    </row>
    <row r="1969">
      <c r="B1969" s="0" t="inlineStr">
        <is>
          <t xml:space="preserve">0004</t>
        </is>
      </c>
      <c r="C1969" s="0" t="inlineStr">
        <is>
          <t xml:space="preserve">broad_maritime</t>
        </is>
      </c>
      <c r="D1969" s="4">
        <v>2.3605039999999997</v>
      </c>
      <c r="E1969" s="0" t="inlineStr">
        <is>
          <t xml:space="preserve">HUNTINGTON INGALLS INCORPORATED</t>
        </is>
      </c>
      <c r="F1969" s="0" t="inlineStr">
        <is>
          <t xml:space="preserve">psc:1905</t>
        </is>
      </c>
    </row>
    <row r="1970">
      <c r="B1970" s="0" t="inlineStr">
        <is>
          <t xml:space="preserve">N0002417F22K2</t>
        </is>
      </c>
      <c r="C1970" s="0" t="inlineStr">
        <is>
          <t xml:space="preserve">small_craft</t>
        </is>
      </c>
      <c r="D1970" s="4">
        <v>2.35745434</v>
      </c>
      <c r="E1970" s="0" t="inlineStr">
        <is>
          <t xml:space="preserve">WILLARD MARINE, INC.</t>
        </is>
      </c>
      <c r="F1970" s="0" t="inlineStr">
        <is>
          <t xml:space="preserve">naics:336612; psc:1940</t>
        </is>
      </c>
    </row>
    <row r="1971">
      <c r="B1971" s="0" t="inlineStr">
        <is>
          <t xml:space="preserve">N0002418F4M01</t>
        </is>
      </c>
      <c r="C1971" s="0" t="inlineStr">
        <is>
          <t xml:space="preserve">broad_maritime</t>
        </is>
      </c>
      <c r="D1971" s="4">
        <v>2.336265</v>
      </c>
      <c r="E1971" s="0" t="inlineStr">
        <is>
          <t xml:space="preserve">HUNTINGTON INGALLS INC</t>
        </is>
      </c>
      <c r="F1971" s="0" t="inlineStr">
        <is>
          <t xml:space="preserve">psc:1905</t>
        </is>
      </c>
    </row>
    <row r="1972">
      <c r="B1972" s="0" t="inlineStr">
        <is>
          <t xml:space="preserve">N0018917PZ946</t>
        </is>
      </c>
      <c r="C1972" s="0" t="inlineStr">
        <is>
          <t xml:space="preserve">broad_maritime</t>
        </is>
      </c>
      <c r="D1972" s="4">
        <v>2.3202</v>
      </c>
      <c r="E1972" s="0" t="inlineStr">
        <is>
          <t xml:space="preserve">STARRAG USA INC</t>
        </is>
      </c>
      <c r="F1972" s="0" t="inlineStr">
        <is>
          <t xml:space="preserve">psc:1905</t>
        </is>
      </c>
    </row>
    <row r="1973">
      <c r="B1973" s="0" t="inlineStr">
        <is>
          <t xml:space="preserve">N0002422F22A1</t>
        </is>
      </c>
      <c r="C1973" s="0" t="inlineStr">
        <is>
          <t xml:space="preserve">small_craft</t>
        </is>
      </c>
      <c r="D1973" s="4">
        <v>2.3166767200000002</v>
      </c>
      <c r="E1973" s="0" t="inlineStr">
        <is>
          <t xml:space="preserve">LAKE ASSAULT BOATS, LLC</t>
        </is>
      </c>
      <c r="F1973" s="0" t="inlineStr">
        <is>
          <t xml:space="preserve">naics:336612; psc:1940</t>
        </is>
      </c>
    </row>
    <row r="1974">
      <c r="B1974" s="0" t="inlineStr">
        <is>
          <t xml:space="preserve">0001</t>
        </is>
      </c>
      <c r="C1974" s="0" t="inlineStr">
        <is>
          <t xml:space="preserve">small_craft</t>
        </is>
      </c>
      <c r="D1974" s="4">
        <v>2.3093077699999998</v>
      </c>
      <c r="E1974" s="0" t="inlineStr">
        <is>
          <t xml:space="preserve">MARINE GROUP BOAT WORKS, LLC</t>
        </is>
      </c>
      <c r="F1974" s="0" t="inlineStr">
        <is>
          <t xml:space="preserve">naics:336612; psc:1940</t>
        </is>
      </c>
    </row>
    <row r="1975">
      <c r="B1975" s="0" t="inlineStr">
        <is>
          <t xml:space="preserve">0042</t>
        </is>
      </c>
      <c r="C1975" s="0" t="inlineStr">
        <is>
          <t xml:space="preserve">broad_maritime</t>
        </is>
      </c>
      <c r="D1975" s="4">
        <v>2.3018737099999997</v>
      </c>
      <c r="E1975" s="0" t="inlineStr">
        <is>
          <t xml:space="preserve">CABRAS MARINE CORPORATION</t>
        </is>
      </c>
      <c r="F1975" s="0" t="inlineStr">
        <is>
          <t xml:space="preserve">psc:1905</t>
        </is>
      </c>
    </row>
    <row r="1976">
      <c r="B1976" s="0" t="inlineStr">
        <is>
          <t xml:space="preserve">N4523A21F0300</t>
        </is>
      </c>
      <c r="C1976" s="0" t="inlineStr">
        <is>
          <t xml:space="preserve">broad_maritime</t>
        </is>
      </c>
      <c r="D1976" s="4">
        <v>2.3003</v>
      </c>
      <c r="E1976" s="0" t="inlineStr">
        <is>
          <t xml:space="preserve">AMP UNITED LLC</t>
        </is>
      </c>
      <c r="F1976" s="0" t="inlineStr">
        <is>
          <t xml:space="preserve">psc:1905</t>
        </is>
      </c>
    </row>
    <row r="1977">
      <c r="B1977" s="0" t="inlineStr">
        <is>
          <t xml:space="preserve">N5005421F3001</t>
        </is>
      </c>
      <c r="C1977" s="0" t="inlineStr">
        <is>
          <t xml:space="preserve">broad_maritime</t>
        </is>
      </c>
      <c r="D1977" s="4">
        <v>2.28737022</v>
      </c>
      <c r="E1977" s="0" t="inlineStr">
        <is>
          <t xml:space="preserve">HII FLEET SUPPORT GROUP LLC</t>
        </is>
      </c>
      <c r="F1977" s="0" t="inlineStr">
        <is>
          <t xml:space="preserve">psc:1905</t>
        </is>
      </c>
    </row>
    <row r="1978">
      <c r="B1978" s="0" t="inlineStr">
        <is>
          <t xml:space="preserve">N0010426CXA01</t>
        </is>
      </c>
      <c r="C1978" s="0" t="inlineStr">
        <is>
          <t xml:space="preserve">small_craft</t>
        </is>
      </c>
      <c r="D1978" s="4">
        <v>2.280039</v>
      </c>
      <c r="E1978" s="0" t="inlineStr">
        <is>
          <t xml:space="preserve">GENERAL DYNAMICS INFORMATION TECHNOLOGY, INC.</t>
        </is>
      </c>
      <c r="F1978" s="0" t="inlineStr">
        <is>
          <t xml:space="preserve">naics:336612</t>
        </is>
      </c>
    </row>
    <row r="1979">
      <c r="B1979" s="0" t="inlineStr">
        <is>
          <t xml:space="preserve">N3220520F2055</t>
        </is>
      </c>
      <c r="C1979" s="0" t="inlineStr">
        <is>
          <t xml:space="preserve">other_small</t>
        </is>
      </c>
      <c r="D1979" s="4">
        <v>2.27877264</v>
      </c>
      <c r="E1979" s="0" t="inlineStr">
        <is>
          <t xml:space="preserve">LAKE SHORE SYSTEMS, INC.</t>
        </is>
      </c>
      <c r="F1979" s="0" t="inlineStr">
        <is>
          <t xml:space="preserve">psc:1990</t>
        </is>
      </c>
    </row>
    <row r="1980">
      <c r="B1980" s="0" t="inlineStr">
        <is>
          <t xml:space="preserve">L817</t>
        </is>
      </c>
      <c r="C1980" s="0" t="inlineStr">
        <is>
          <t xml:space="preserve">broad_maritime</t>
        </is>
      </c>
      <c r="D1980" s="4">
        <v>2.268125</v>
      </c>
      <c r="E1980" s="0" t="inlineStr">
        <is>
          <t xml:space="preserve">ELECTRIC BOAT CORPORATION</t>
        </is>
      </c>
      <c r="F1980" s="0" t="inlineStr">
        <is>
          <t xml:space="preserve">psc:1905</t>
        </is>
      </c>
    </row>
    <row r="1981">
      <c r="B1981" s="0" t="inlineStr">
        <is>
          <t xml:space="preserve">N4523A20F0311</t>
        </is>
      </c>
      <c r="C1981" s="0" t="inlineStr">
        <is>
          <t xml:space="preserve">broad_maritime</t>
        </is>
      </c>
      <c r="D1981" s="4">
        <v>2.25060583</v>
      </c>
      <c r="E1981" s="0" t="inlineStr">
        <is>
          <t xml:space="preserve">METRO MACHINE CORP</t>
        </is>
      </c>
      <c r="F1981" s="0" t="inlineStr">
        <is>
          <t xml:space="preserve">psc:1905</t>
        </is>
      </c>
    </row>
    <row r="1982">
      <c r="B1982" s="0" t="inlineStr">
        <is>
          <t xml:space="preserve">N0003025F4094</t>
        </is>
      </c>
      <c r="C1982" s="0" t="inlineStr">
        <is>
          <t xml:space="preserve">small_craft</t>
        </is>
      </c>
      <c r="D1982" s="4">
        <v>2.245124</v>
      </c>
      <c r="E1982" s="0" t="inlineStr">
        <is>
          <t xml:space="preserve">JET DOCK SYSTEMS INC</t>
        </is>
      </c>
      <c r="F1982" s="0" t="inlineStr">
        <is>
          <t xml:space="preserve">naics:336612</t>
        </is>
      </c>
    </row>
    <row r="1983">
      <c r="B1983" s="0" t="inlineStr">
        <is>
          <t xml:space="preserve">0009</t>
        </is>
      </c>
      <c r="C1983" s="0" t="inlineStr">
        <is>
          <t xml:space="preserve">broad_maritime</t>
        </is>
      </c>
      <c r="D1983" s="4">
        <v>2.2411363599999996</v>
      </c>
      <c r="E1983" s="0" t="inlineStr">
        <is>
          <t xml:space="preserve">LA PLAYA INC OF VIRGINIA</t>
        </is>
      </c>
      <c r="F1983" s="0" t="inlineStr">
        <is>
          <t xml:space="preserve">psc:2090</t>
        </is>
      </c>
    </row>
    <row r="1984">
      <c r="B1984" s="0" t="inlineStr">
        <is>
          <t xml:space="preserve">N0002425F22A9</t>
        </is>
      </c>
      <c r="C1984" s="0" t="inlineStr">
        <is>
          <t xml:space="preserve">small_craft</t>
        </is>
      </c>
      <c r="D1984" s="4">
        <v>2.237438</v>
      </c>
      <c r="E1984" s="0" t="inlineStr">
        <is>
          <t xml:space="preserve">SILVER SHIPS, INC</t>
        </is>
      </c>
      <c r="F1984" s="0" t="inlineStr">
        <is>
          <t xml:space="preserve">naics:336612; psc:1940</t>
        </is>
      </c>
    </row>
    <row r="1985">
      <c r="B1985" s="0" t="inlineStr">
        <is>
          <t xml:space="preserve">N0002418F22Q1</t>
        </is>
      </c>
      <c r="C1985" s="0" t="inlineStr">
        <is>
          <t xml:space="preserve">small_craft</t>
        </is>
      </c>
      <c r="D1985" s="4">
        <v>2.21439414</v>
      </c>
      <c r="E1985" s="0" t="inlineStr">
        <is>
          <t xml:space="preserve">MODUTECH MARINE, INC.</t>
        </is>
      </c>
      <c r="F1985" s="0" t="inlineStr">
        <is>
          <t xml:space="preserve">naics:336612; psc:1940</t>
        </is>
      </c>
    </row>
    <row r="1986">
      <c r="B1986" s="0" t="inlineStr">
        <is>
          <t xml:space="preserve">N0002417F22C1</t>
        </is>
      </c>
      <c r="C1986" s="0" t="inlineStr">
        <is>
          <t xml:space="preserve">small_craft</t>
        </is>
      </c>
      <c r="D1986" s="4">
        <v>2.2138999999999998</v>
      </c>
      <c r="E1986" s="0" t="inlineStr">
        <is>
          <t xml:space="preserve">GRAVOIS ALUMINUM BOATS LLC</t>
        </is>
      </c>
      <c r="F1986" s="0" t="inlineStr">
        <is>
          <t xml:space="preserve">naics:336612; psc:1940</t>
        </is>
      </c>
    </row>
    <row r="1987">
      <c r="B1987" s="0" t="inlineStr">
        <is>
          <t xml:space="preserve">0004</t>
        </is>
      </c>
      <c r="C1987" s="0" t="inlineStr">
        <is>
          <t xml:space="preserve">small_craft</t>
        </is>
      </c>
      <c r="D1987" s="4">
        <v>2.20261737</v>
      </c>
      <c r="E1987" s="0" t="inlineStr">
        <is>
          <t xml:space="preserve">MARINE GROUP BOAT WORKS, LLC</t>
        </is>
      </c>
      <c r="F1987" s="0" t="inlineStr">
        <is>
          <t xml:space="preserve">naics:336612; psc:1940</t>
        </is>
      </c>
    </row>
    <row r="1988">
      <c r="B1988" s="0" t="inlineStr">
        <is>
          <t xml:space="preserve">M6785412F1028</t>
        </is>
      </c>
      <c r="C1988" s="0" t="inlineStr">
        <is>
          <t xml:space="preserve">small_craft</t>
        </is>
      </c>
      <c r="D1988" s="4">
        <v>2.200358</v>
      </c>
      <c r="E1988" s="0" t="inlineStr">
        <is>
          <t xml:space="preserve">ZODIAC OF NORTH AMERICA, INC.</t>
        </is>
      </c>
      <c r="F1988" s="0" t="inlineStr">
        <is>
          <t xml:space="preserve">psc:1940</t>
        </is>
      </c>
    </row>
    <row r="1989">
      <c r="B1989" s="0" t="inlineStr">
        <is>
          <t xml:space="preserve">N3220515C4008</t>
        </is>
      </c>
      <c r="C1989" s="0" t="inlineStr">
        <is>
          <t xml:space="preserve">other_small</t>
        </is>
      </c>
      <c r="D1989" s="4">
        <v>2.192678</v>
      </c>
      <c r="E1989" s="0" t="inlineStr">
        <is>
          <t xml:space="preserve">MARE ISLAND DRY DOCK LLC</t>
        </is>
      </c>
      <c r="F1989" s="0" t="inlineStr">
        <is>
          <t xml:space="preserve">psc:1990</t>
        </is>
      </c>
    </row>
    <row r="1990">
      <c r="B1990" s="0" t="inlineStr">
        <is>
          <t xml:space="preserve">N6133123F0207</t>
        </is>
      </c>
      <c r="C1990" s="0" t="inlineStr">
        <is>
          <t xml:space="preserve">broad_maritime</t>
        </is>
      </c>
      <c r="D1990" s="4">
        <v>2.1919999999999997</v>
      </c>
      <c r="E1990" s="0" t="inlineStr">
        <is>
          <t xml:space="preserve">AEF-PERFORMANCE LLC</t>
        </is>
      </c>
      <c r="F1990" s="0" t="inlineStr">
        <is>
          <t xml:space="preserve">psc:2090</t>
        </is>
      </c>
    </row>
    <row r="1991">
      <c r="B1991" s="0" t="inlineStr">
        <is>
          <t xml:space="preserve">M6785424F1049</t>
        </is>
      </c>
      <c r="C1991" s="0" t="inlineStr">
        <is>
          <t xml:space="preserve">small_craft</t>
        </is>
      </c>
      <c r="D1991" s="4">
        <v>2.1886</v>
      </c>
      <c r="E1991" s="0" t="inlineStr">
        <is>
          <t xml:space="preserve">WING INFLATABLES INC</t>
        </is>
      </c>
      <c r="F1991" s="0" t="inlineStr">
        <is>
          <t xml:space="preserve">naics:336612; psc:1940</t>
        </is>
      </c>
    </row>
    <row r="1992">
      <c r="B1992" s="0" t="inlineStr">
        <is>
          <t xml:space="preserve">N0010425FCQ02</t>
        </is>
      </c>
      <c r="C1992" s="0" t="inlineStr">
        <is>
          <t xml:space="preserve">small_craft</t>
        </is>
      </c>
      <c r="D1992" s="4">
        <v>2.177575</v>
      </c>
      <c r="E1992" s="0" t="inlineStr">
        <is>
          <t xml:space="preserve">BIRD-JOHNSON PROPELLER COMPANY, LLC</t>
        </is>
      </c>
      <c r="F1992" s="0" t="inlineStr">
        <is>
          <t xml:space="preserve">naics:336612</t>
        </is>
      </c>
    </row>
    <row r="1993">
      <c r="B1993" s="0" t="inlineStr">
        <is>
          <t xml:space="preserve">N6133119F0075</t>
        </is>
      </c>
      <c r="C1993" s="0" t="inlineStr">
        <is>
          <t xml:space="preserve">broad_maritime</t>
        </is>
      </c>
      <c r="D1993" s="4">
        <v>2.174935</v>
      </c>
      <c r="E1993" s="0" t="inlineStr">
        <is>
          <t xml:space="preserve">B/E AEROSPACE, INC.</t>
        </is>
      </c>
      <c r="F1993" s="0" t="inlineStr">
        <is>
          <t xml:space="preserve">psc:2090</t>
        </is>
      </c>
    </row>
    <row r="1994">
      <c r="B1994" s="0" t="inlineStr">
        <is>
          <t xml:space="preserve">N5005422F3005</t>
        </is>
      </c>
      <c r="C1994" s="0" t="inlineStr">
        <is>
          <t xml:space="preserve">broad_maritime</t>
        </is>
      </c>
      <c r="D1994" s="4">
        <v>2.15390474</v>
      </c>
      <c r="E1994" s="0" t="inlineStr">
        <is>
          <t xml:space="preserve">HII FLEET SUPPORT GROUP LLC</t>
        </is>
      </c>
      <c r="F1994" s="0" t="inlineStr">
        <is>
          <t xml:space="preserve">psc:1905</t>
        </is>
      </c>
    </row>
    <row r="1995">
      <c r="B1995" s="0" t="inlineStr">
        <is>
          <t xml:space="preserve">N0002418F22H1</t>
        </is>
      </c>
      <c r="C1995" s="0" t="inlineStr">
        <is>
          <t xml:space="preserve">small_craft</t>
        </is>
      </c>
      <c r="D1995" s="4">
        <v>2.1446055</v>
      </c>
      <c r="E1995" s="0" t="inlineStr">
        <is>
          <t xml:space="preserve">MARINE GROUP BOAT WORKS, LLC</t>
        </is>
      </c>
      <c r="F1995" s="0" t="inlineStr">
        <is>
          <t xml:space="preserve">naics:336612; psc:1940</t>
        </is>
      </c>
    </row>
    <row r="1996">
      <c r="B1996" s="0" t="inlineStr">
        <is>
          <t xml:space="preserve">N0002418F22R2</t>
        </is>
      </c>
      <c r="C1996" s="0" t="inlineStr">
        <is>
          <t xml:space="preserve">other_small</t>
        </is>
      </c>
      <c r="D1996" s="4">
        <v>2.141292</v>
      </c>
      <c r="E1996" s="0" t="inlineStr">
        <is>
          <t xml:space="preserve">NATIONAL STEEL AND SHIPBUILDING COMPANY</t>
        </is>
      </c>
      <c r="F1996" s="0" t="inlineStr">
        <is>
          <t xml:space="preserve">psc:1990</t>
        </is>
      </c>
    </row>
    <row r="1997">
      <c r="B1997" s="0" t="inlineStr">
        <is>
          <t xml:space="preserve">N0002425F22A5</t>
        </is>
      </c>
      <c r="C1997" s="0" t="inlineStr">
        <is>
          <t xml:space="preserve">small_craft</t>
        </is>
      </c>
      <c r="D1997" s="4">
        <v>2.1386168999999997</v>
      </c>
      <c r="E1997" s="0" t="inlineStr">
        <is>
          <t xml:space="preserve">METALCRAFT MARINE US, INC.</t>
        </is>
      </c>
      <c r="F1997" s="0" t="inlineStr">
        <is>
          <t xml:space="preserve">naics:336612; psc:1940</t>
        </is>
      </c>
    </row>
    <row r="1998">
      <c r="B1998" s="0" t="inlineStr">
        <is>
          <t xml:space="preserve">N6449821F5022</t>
        </is>
      </c>
      <c r="C1998" s="0" t="inlineStr">
        <is>
          <t xml:space="preserve">broad_maritime</t>
        </is>
      </c>
      <c r="D1998" s="4">
        <v>2.136554</v>
      </c>
      <c r="E1998" s="0" t="inlineStr">
        <is>
          <t xml:space="preserve">OCEANEERING INTERNATIONAL INC</t>
        </is>
      </c>
      <c r="F1998" s="0" t="inlineStr">
        <is>
          <t xml:space="preserve">psc:1905</t>
        </is>
      </c>
    </row>
    <row r="1999">
      <c r="B1999" s="0" t="inlineStr">
        <is>
          <t xml:space="preserve">N6133117F0084</t>
        </is>
      </c>
      <c r="C1999" s="0" t="inlineStr">
        <is>
          <t xml:space="preserve">broad_maritime</t>
        </is>
      </c>
      <c r="D1999" s="4">
        <v>2.130295</v>
      </c>
      <c r="E1999" s="0" t="inlineStr">
        <is>
          <t xml:space="preserve">AEF-PERFORMANCE LLC</t>
        </is>
      </c>
      <c r="F1999" s="0" t="inlineStr">
        <is>
          <t xml:space="preserve">psc:2090</t>
        </is>
      </c>
    </row>
    <row r="2000">
      <c r="B2000" s="0" t="inlineStr">
        <is>
          <t xml:space="preserve">N3220521P2262</t>
        </is>
      </c>
      <c r="C2000" s="0" t="inlineStr">
        <is>
          <t xml:space="preserve">broad_maritime</t>
        </is>
      </c>
      <c r="D2000" s="4">
        <v>2.1256207799999998</v>
      </c>
      <c r="E2000" s="0" t="inlineStr">
        <is>
          <t xml:space="preserve">FAIRBANKS MORSE, LLC</t>
        </is>
      </c>
      <c r="F2000" s="0" t="inlineStr">
        <is>
          <t xml:space="preserve">psc:2090</t>
        </is>
      </c>
    </row>
    <row r="2001">
      <c r="B2001" s="0" t="inlineStr">
        <is>
          <t xml:space="preserve">N0002419F22U1</t>
        </is>
      </c>
      <c r="C2001" s="0" t="inlineStr">
        <is>
          <t xml:space="preserve">small_craft</t>
        </is>
      </c>
      <c r="D2001" s="4">
        <v>2.1246565499999996</v>
      </c>
      <c r="E2001" s="0" t="inlineStr">
        <is>
          <t xml:space="preserve">VIGOR KVICHAK LLC</t>
        </is>
      </c>
      <c r="F2001" s="0" t="inlineStr">
        <is>
          <t xml:space="preserve">naics:336612; psc:1940</t>
        </is>
      </c>
    </row>
    <row r="2002">
      <c r="B2002" s="0" t="inlineStr">
        <is>
          <t xml:space="preserve">N6449819F4088</t>
        </is>
      </c>
      <c r="C2002" s="0" t="inlineStr">
        <is>
          <t xml:space="preserve">broad_maritime</t>
        </is>
      </c>
      <c r="D2002" s="4">
        <v>2.119444</v>
      </c>
      <c r="E2002" s="0" t="inlineStr">
        <is>
          <t xml:space="preserve">LAUREL TECHNOLOGIES PARTNERSHIP</t>
        </is>
      </c>
      <c r="F2002" s="0" t="inlineStr">
        <is>
          <t xml:space="preserve">psc:2090</t>
        </is>
      </c>
    </row>
    <row r="2003">
      <c r="B2003" s="0" t="inlineStr">
        <is>
          <t xml:space="preserve">N0002423C2233</t>
        </is>
      </c>
      <c r="C2003" s="0" t="inlineStr">
        <is>
          <t xml:space="preserve">small_craft</t>
        </is>
      </c>
      <c r="D2003" s="4">
        <v>2.11831887</v>
      </c>
      <c r="E2003" s="0" t="inlineStr">
        <is>
          <t xml:space="preserve">WORKSKIFF, INC.</t>
        </is>
      </c>
      <c r="F2003" s="0" t="inlineStr">
        <is>
          <t xml:space="preserve">naics:336612; psc:1940</t>
        </is>
      </c>
    </row>
    <row r="2004">
      <c r="B2004" s="0" t="inlineStr">
        <is>
          <t xml:space="preserve">N0002417C2213</t>
        </is>
      </c>
      <c r="C2004" s="0" t="inlineStr">
        <is>
          <t xml:space="preserve">small_craft</t>
        </is>
      </c>
      <c r="D2004" s="4">
        <v>2.1131862599999995</v>
      </c>
      <c r="E2004" s="0" t="inlineStr">
        <is>
          <t xml:space="preserve">SAFE BOATS INTERNATIONAL LLC</t>
        </is>
      </c>
      <c r="F2004" s="0" t="inlineStr">
        <is>
          <t xml:space="preserve">naics:336612; psc:1940</t>
        </is>
      </c>
    </row>
    <row r="2005">
      <c r="B2005" s="0" t="inlineStr">
        <is>
          <t xml:space="preserve">N0002417F22D1</t>
        </is>
      </c>
      <c r="C2005" s="0" t="inlineStr">
        <is>
          <t xml:space="preserve">small_craft</t>
        </is>
      </c>
      <c r="D2005" s="4">
        <v>2.10980231</v>
      </c>
      <c r="E2005" s="0" t="inlineStr">
        <is>
          <t xml:space="preserve">UNITED STATES MARINE INC</t>
        </is>
      </c>
      <c r="F2005" s="0" t="inlineStr">
        <is>
          <t xml:space="preserve">naics:336612; psc:1940</t>
        </is>
      </c>
    </row>
    <row r="2006">
      <c r="B2006" s="0" t="inlineStr">
        <is>
          <t xml:space="preserve">N0002426C2432</t>
        </is>
      </c>
      <c r="C2006" s="0" t="inlineStr">
        <is>
          <t xml:space="preserve">other_small</t>
        </is>
      </c>
      <c r="D2006" s="4">
        <v>2.0999369999999997</v>
      </c>
      <c r="E2006" s="0" t="inlineStr">
        <is>
          <t xml:space="preserve">VARD MARINE US INC</t>
        </is>
      </c>
      <c r="F2006" s="0" t="inlineStr">
        <is>
          <t xml:space="preserve">psc:1925</t>
        </is>
      </c>
    </row>
    <row r="2007">
      <c r="B2007" s="0" t="inlineStr">
        <is>
          <t xml:space="preserve">N5523622F9956</t>
        </is>
      </c>
      <c r="C2007" s="0" t="inlineStr">
        <is>
          <t xml:space="preserve">broad_maritime</t>
        </is>
      </c>
      <c r="D2007" s="4">
        <v>2.09084317</v>
      </c>
      <c r="E2007" s="0" t="inlineStr">
        <is>
          <t xml:space="preserve">HII FLEET SUPPORT GROUP LLC</t>
        </is>
      </c>
      <c r="F2007" s="0" t="inlineStr">
        <is>
          <t xml:space="preserve">psc:1905</t>
        </is>
      </c>
    </row>
    <row r="2008">
      <c r="B2008" s="0" t="inlineStr">
        <is>
          <t xml:space="preserve">0005</t>
        </is>
      </c>
      <c r="C2008" s="0" t="inlineStr">
        <is>
          <t xml:space="preserve">small_craft</t>
        </is>
      </c>
      <c r="D2008" s="4">
        <v>2.0889254999999998</v>
      </c>
      <c r="E2008" s="0" t="inlineStr">
        <is>
          <t xml:space="preserve">UNITED STATES MARINE INC</t>
        </is>
      </c>
      <c r="F2008" s="0" t="inlineStr">
        <is>
          <t xml:space="preserve">naics:336612; psc:1940</t>
        </is>
      </c>
    </row>
    <row r="2009">
      <c r="B2009" s="0" t="inlineStr">
        <is>
          <t xml:space="preserve">N5523621F9992</t>
        </is>
      </c>
      <c r="C2009" s="0" t="inlineStr">
        <is>
          <t xml:space="preserve">broad_maritime</t>
        </is>
      </c>
      <c r="D2009" s="4">
        <v>2.087998</v>
      </c>
      <c r="E2009" s="0" t="inlineStr">
        <is>
          <t xml:space="preserve">HII FLEET SUPPORT GROUP LLC</t>
        </is>
      </c>
      <c r="F2009" s="0" t="inlineStr">
        <is>
          <t xml:space="preserve">psc:1905</t>
        </is>
      </c>
    </row>
    <row r="2010">
      <c r="B2010" s="0" t="inlineStr">
        <is>
          <t xml:space="preserve">N6449825F4513</t>
        </is>
      </c>
      <c r="C2010" s="0" t="inlineStr">
        <is>
          <t xml:space="preserve">broad_maritime</t>
        </is>
      </c>
      <c r="D2010" s="4">
        <v>2.0851509999999998</v>
      </c>
      <c r="E2010" s="0" t="inlineStr">
        <is>
          <t xml:space="preserve">OCEANEERING INTERNATIONAL INC</t>
        </is>
      </c>
      <c r="F2010" s="0" t="inlineStr">
        <is>
          <t xml:space="preserve">psc:1905</t>
        </is>
      </c>
    </row>
    <row r="2011">
      <c r="B2011" s="0" t="inlineStr">
        <is>
          <t xml:space="preserve">0003</t>
        </is>
      </c>
      <c r="C2011" s="0" t="inlineStr">
        <is>
          <t xml:space="preserve">small_craft</t>
        </is>
      </c>
      <c r="D2011" s="4">
        <v>2.08460175</v>
      </c>
      <c r="E2011" s="0" t="inlineStr">
        <is>
          <t xml:space="preserve">UNITED STATES MARINE INC</t>
        </is>
      </c>
      <c r="F2011" s="0" t="inlineStr">
        <is>
          <t xml:space="preserve">naics:336612; psc:1940</t>
        </is>
      </c>
    </row>
    <row r="2012">
      <c r="B2012" s="0" t="inlineStr">
        <is>
          <t xml:space="preserve">N0024406C0027</t>
        </is>
      </c>
      <c r="C2012" s="0" t="inlineStr">
        <is>
          <t xml:space="preserve">small_craft</t>
        </is>
      </c>
      <c r="D2012" s="4">
        <v>2.07632001</v>
      </c>
      <c r="E2012" s="0" t="inlineStr">
        <is>
          <t xml:space="preserve">INTEGRATED MARINE SERVICES, INC.</t>
        </is>
      </c>
      <c r="F2012" s="0" t="inlineStr">
        <is>
          <t xml:space="preserve">naics:336612</t>
        </is>
      </c>
    </row>
    <row r="2013">
      <c r="B2013" s="0" t="inlineStr">
        <is>
          <t xml:space="preserve">N6279320F2021</t>
        </is>
      </c>
      <c r="C2013" s="0" t="inlineStr">
        <is>
          <t xml:space="preserve">broad_maritime</t>
        </is>
      </c>
      <c r="D2013" s="4">
        <v>2.05723329</v>
      </c>
      <c r="E2013" s="0" t="inlineStr">
        <is>
          <t xml:space="preserve">HUNTINGTON INGALLS INC</t>
        </is>
      </c>
      <c r="F2013" s="0" t="inlineStr">
        <is>
          <t xml:space="preserve">psc:1905</t>
        </is>
      </c>
    </row>
    <row r="2014">
      <c r="B2014" s="0" t="inlineStr">
        <is>
          <t xml:space="preserve">N0010423CNA44</t>
        </is>
      </c>
      <c r="C2014" s="0" t="inlineStr">
        <is>
          <t xml:space="preserve">broad_maritime</t>
        </is>
      </c>
      <c r="D2014" s="4">
        <v>2.0560161</v>
      </c>
      <c r="E2014" s="0" t="inlineStr">
        <is>
          <t xml:space="preserve">MARINE POLYMERS, INC</t>
        </is>
      </c>
      <c r="F2014" s="0" t="inlineStr">
        <is>
          <t xml:space="preserve">psc:2090</t>
        </is>
      </c>
    </row>
    <row r="2015">
      <c r="B2015" s="0" t="inlineStr">
        <is>
          <t xml:space="preserve">0005</t>
        </is>
      </c>
      <c r="C2015" s="0" t="inlineStr">
        <is>
          <t xml:space="preserve">small_craft</t>
        </is>
      </c>
      <c r="D2015" s="4">
        <v>2.042331</v>
      </c>
      <c r="E2015" s="0" t="inlineStr">
        <is>
          <t xml:space="preserve">METALCRAFT MARINE US, INC.</t>
        </is>
      </c>
      <c r="F2015" s="0" t="inlineStr">
        <is>
          <t xml:space="preserve">naics:336612; psc:1940</t>
        </is>
      </c>
    </row>
    <row r="2016">
      <c r="B2016" s="0" t="inlineStr">
        <is>
          <t xml:space="preserve">N0002426C2431</t>
        </is>
      </c>
      <c r="C2016" s="0" t="inlineStr">
        <is>
          <t xml:space="preserve">other_small</t>
        </is>
      </c>
      <c r="D2016" s="4">
        <v>2.025838</v>
      </c>
      <c r="E2016" s="0" t="inlineStr">
        <is>
          <t xml:space="preserve">NATIONAL STEEL AND SHIPBUILDING COMPANY</t>
        </is>
      </c>
      <c r="F2016" s="0" t="inlineStr">
        <is>
          <t xml:space="preserve">psc:1925</t>
        </is>
      </c>
    </row>
    <row r="2017">
      <c r="B2017" s="0" t="inlineStr">
        <is>
          <t xml:space="preserve">0004</t>
        </is>
      </c>
      <c r="C2017" s="0" t="inlineStr">
        <is>
          <t xml:space="preserve">small_craft</t>
        </is>
      </c>
      <c r="D2017" s="4">
        <v>2.0148501999999997</v>
      </c>
      <c r="E2017" s="0" t="inlineStr">
        <is>
          <t xml:space="preserve">METALCRAFT MARINE US, INC.</t>
        </is>
      </c>
      <c r="F2017" s="0" t="inlineStr">
        <is>
          <t xml:space="preserve">naics:336612; psc:1940</t>
        </is>
      </c>
    </row>
    <row r="2018">
      <c r="B2018" s="0" t="inlineStr">
        <is>
          <t xml:space="preserve">N6523625FE227</t>
        </is>
      </c>
      <c r="C2018" s="0" t="inlineStr">
        <is>
          <t xml:space="preserve">usv_core</t>
        </is>
      </c>
      <c r="D2018" s="4">
        <v>2.003513</v>
      </c>
      <c r="E2018" s="0" t="inlineStr">
        <is>
          <t xml:space="preserve">SEASATELLITES, INC.</t>
        </is>
      </c>
      <c r="F2018" s="0" t="inlineStr">
        <is>
          <t xml:space="preserve">keyword; naics:336612; psc:1940</t>
        </is>
      </c>
    </row>
    <row r="2019">
      <c r="B2019" s="0" t="inlineStr">
        <is>
          <t xml:space="preserve">N0001424C1332</t>
        </is>
      </c>
      <c r="C2019" s="0" t="inlineStr">
        <is>
          <t xml:space="preserve">usv_core</t>
        </is>
      </c>
      <c r="D2019" s="4">
        <v>1.9997356599999998</v>
      </c>
      <c r="E2019" s="0" t="inlineStr">
        <is>
          <t xml:space="preserve">SCIX3 LLC</t>
        </is>
      </c>
      <c r="F2019" s="0" t="inlineStr">
        <is>
          <t xml:space="preserve">keyword</t>
        </is>
      </c>
    </row>
    <row r="2020">
      <c r="B2020" s="0" t="inlineStr">
        <is>
          <t xml:space="preserve">N0010426CYA13</t>
        </is>
      </c>
      <c r="C2020" s="0" t="inlineStr">
        <is>
          <t xml:space="preserve">broad_maritime</t>
        </is>
      </c>
      <c r="D2020" s="4">
        <v>1.9962498999999998</v>
      </c>
      <c r="E2020" s="0" t="inlineStr">
        <is>
          <t xml:space="preserve">MARINE POLYMERS, INC</t>
        </is>
      </c>
      <c r="F2020" s="0" t="inlineStr">
        <is>
          <t xml:space="preserve">psc:2090</t>
        </is>
      </c>
    </row>
    <row r="2021">
      <c r="B2021" s="0" t="inlineStr">
        <is>
          <t xml:space="preserve">N0002422C2207</t>
        </is>
      </c>
      <c r="C2021" s="0" t="inlineStr">
        <is>
          <t xml:space="preserve">other_small</t>
        </is>
      </c>
      <c r="D2021" s="4">
        <v>1.995777</v>
      </c>
      <c r="E2021" s="0" t="inlineStr">
        <is>
          <t xml:space="preserve">TAI ENGINEERS, LLC</t>
        </is>
      </c>
      <c r="F2021" s="0" t="inlineStr">
        <is>
          <t xml:space="preserve">psc:1925</t>
        </is>
      </c>
    </row>
    <row r="2022">
      <c r="B2022" s="0" t="inlineStr">
        <is>
          <t xml:space="preserve">L815</t>
        </is>
      </c>
      <c r="C2022" s="0" t="inlineStr">
        <is>
          <t xml:space="preserve">broad_maritime</t>
        </is>
      </c>
      <c r="D2022" s="4">
        <v>1.990978</v>
      </c>
      <c r="E2022" s="0" t="inlineStr">
        <is>
          <t xml:space="preserve">ELECTRIC BOAT CORPORATION</t>
        </is>
      </c>
      <c r="F2022" s="0" t="inlineStr">
        <is>
          <t xml:space="preserve">psc:1905</t>
        </is>
      </c>
    </row>
    <row r="2023">
      <c r="B2023" s="0" t="inlineStr">
        <is>
          <t xml:space="preserve">N6279323F7803</t>
        </is>
      </c>
      <c r="C2023" s="0" t="inlineStr">
        <is>
          <t xml:space="preserve">broad_maritime</t>
        </is>
      </c>
      <c r="D2023" s="4">
        <v>1.9892059999999998</v>
      </c>
      <c r="E2023" s="0" t="inlineStr">
        <is>
          <t xml:space="preserve">HUNTINGTON INGALLS INC</t>
        </is>
      </c>
      <c r="F2023" s="0" t="inlineStr">
        <is>
          <t xml:space="preserve">psc:1905</t>
        </is>
      </c>
    </row>
    <row r="2024">
      <c r="B2024" s="0" t="inlineStr">
        <is>
          <t xml:space="preserve">N0002415F2241</t>
        </is>
      </c>
      <c r="C2024" s="0" t="inlineStr">
        <is>
          <t xml:space="preserve">small_craft</t>
        </is>
      </c>
      <c r="D2024" s="4">
        <v>1.98447527</v>
      </c>
      <c r="E2024" s="0" t="inlineStr">
        <is>
          <t xml:space="preserve">WORKSKIFF, INC.</t>
        </is>
      </c>
      <c r="F2024" s="0" t="inlineStr">
        <is>
          <t xml:space="preserve">naics:336612; psc:1940</t>
        </is>
      </c>
    </row>
    <row r="2025">
      <c r="B2025" s="0" t="inlineStr">
        <is>
          <t xml:space="preserve">N0002419F22J2</t>
        </is>
      </c>
      <c r="C2025" s="0" t="inlineStr">
        <is>
          <t xml:space="preserve">small_craft</t>
        </is>
      </c>
      <c r="D2025" s="4">
        <v>1.9833778799999997</v>
      </c>
      <c r="E2025" s="0" t="inlineStr">
        <is>
          <t xml:space="preserve">UNITED STATES MARINE INC</t>
        </is>
      </c>
      <c r="F2025" s="0" t="inlineStr">
        <is>
          <t xml:space="preserve">naics:336612; psc:1940</t>
        </is>
      </c>
    </row>
    <row r="2026">
      <c r="B2026" s="0" t="inlineStr">
        <is>
          <t xml:space="preserve">N0010421CXA05</t>
        </is>
      </c>
      <c r="C2026" s="0" t="inlineStr">
        <is>
          <t xml:space="preserve">broad_maritime</t>
        </is>
      </c>
      <c r="D2026" s="4">
        <v>1.981898</v>
      </c>
      <c r="E2026" s="0" t="inlineStr">
        <is>
          <t xml:space="preserve">RAYTHEON COMPANY</t>
        </is>
      </c>
      <c r="F2026" s="0" t="inlineStr">
        <is>
          <t xml:space="preserve">psc:2090</t>
        </is>
      </c>
    </row>
    <row r="2027">
      <c r="B2027" s="0" t="inlineStr">
        <is>
          <t xml:space="preserve">0002</t>
        </is>
      </c>
      <c r="C2027" s="0" t="inlineStr">
        <is>
          <t xml:space="preserve">small_craft</t>
        </is>
      </c>
      <c r="D2027" s="4">
        <v>1.9799879999999999</v>
      </c>
      <c r="E2027" s="0" t="inlineStr">
        <is>
          <t xml:space="preserve">UNITED STATES MARINE INC</t>
        </is>
      </c>
      <c r="F2027" s="0" t="inlineStr">
        <is>
          <t xml:space="preserve">naics:336612; psc:1940</t>
        </is>
      </c>
    </row>
    <row r="2028">
      <c r="B2028" s="0" t="inlineStr">
        <is>
          <t xml:space="preserve">N3220517P4036</t>
        </is>
      </c>
      <c r="C2028" s="0" t="inlineStr">
        <is>
          <t xml:space="preserve">broad_maritime</t>
        </is>
      </c>
      <c r="D2028" s="4">
        <v>1.97988684</v>
      </c>
      <c r="E2028" s="0" t="inlineStr">
        <is>
          <t xml:space="preserve">L3 TECHNOLOGIES, INC.</t>
        </is>
      </c>
      <c r="F2028" s="0" t="inlineStr">
        <is>
          <t xml:space="preserve">psc:2090</t>
        </is>
      </c>
    </row>
    <row r="2029">
      <c r="B2029" s="0" t="inlineStr">
        <is>
          <t xml:space="preserve">1000</t>
        </is>
      </c>
      <c r="C2029" s="0" t="inlineStr">
        <is>
          <t xml:space="preserve">small_craft</t>
        </is>
      </c>
      <c r="D2029" s="4">
        <v>1.9713999999999998</v>
      </c>
      <c r="E2029" s="0" t="inlineStr">
        <is>
          <t xml:space="preserve">WING INFLATABLES INC</t>
        </is>
      </c>
      <c r="F2029" s="0" t="inlineStr">
        <is>
          <t xml:space="preserve">naics:336612; psc:1940</t>
        </is>
      </c>
    </row>
    <row r="2030">
      <c r="B2030" s="0" t="inlineStr">
        <is>
          <t xml:space="preserve">N0002424F4129</t>
        </is>
      </c>
      <c r="C2030" s="0" t="inlineStr">
        <is>
          <t xml:space="preserve">broad_maritime</t>
        </is>
      </c>
      <c r="D2030" s="4">
        <v>1.9694913899999997</v>
      </c>
      <c r="E2030" s="0" t="inlineStr">
        <is>
          <t xml:space="preserve">BOWHEAD MARINE SUPPORT SERVICES, LLC</t>
        </is>
      </c>
      <c r="F2030" s="0" t="inlineStr">
        <is>
          <t xml:space="preserve">psc:2090</t>
        </is>
      </c>
    </row>
    <row r="2031">
      <c r="B2031" s="0" t="inlineStr">
        <is>
          <t xml:space="preserve">N6133121F0060</t>
        </is>
      </c>
      <c r="C2031" s="0" t="inlineStr">
        <is>
          <t xml:space="preserve">broad_maritime</t>
        </is>
      </c>
      <c r="D2031" s="4">
        <v>1.948114</v>
      </c>
      <c r="E2031" s="0" t="inlineStr">
        <is>
          <t xml:space="preserve">HII UNMANNED SYSTEMS, INC</t>
        </is>
      </c>
      <c r="F2031" s="0" t="inlineStr">
        <is>
          <t xml:space="preserve">psc:2090</t>
        </is>
      </c>
    </row>
    <row r="2032">
      <c r="B2032" s="0" t="inlineStr">
        <is>
          <t xml:space="preserve">N6133119F0042</t>
        </is>
      </c>
      <c r="C2032" s="0" t="inlineStr">
        <is>
          <t xml:space="preserve">broad_maritime</t>
        </is>
      </c>
      <c r="D2032" s="4">
        <v>1.94511908</v>
      </c>
      <c r="E2032" s="0" t="inlineStr">
        <is>
          <t xml:space="preserve">ATLANTIC DIVING SUPPLY, INC.</t>
        </is>
      </c>
      <c r="F2032" s="0" t="inlineStr">
        <is>
          <t xml:space="preserve">psc:2090</t>
        </is>
      </c>
    </row>
    <row r="2033">
      <c r="B2033" s="0" t="inlineStr">
        <is>
          <t xml:space="preserve">N0002421F22G1</t>
        </is>
      </c>
      <c r="C2033" s="0" t="inlineStr">
        <is>
          <t xml:space="preserve">small_craft</t>
        </is>
      </c>
      <c r="D2033" s="4">
        <v>1.9415471399999997</v>
      </c>
      <c r="E2033" s="0" t="inlineStr">
        <is>
          <t xml:space="preserve">METALCRAFT MARINE US, INC.</t>
        </is>
      </c>
      <c r="F2033" s="0" t="inlineStr">
        <is>
          <t xml:space="preserve">naics:336612; psc:1940</t>
        </is>
      </c>
    </row>
    <row r="2034">
      <c r="B2034" s="0" t="inlineStr">
        <is>
          <t xml:space="preserve">N6449824F5062</t>
        </is>
      </c>
      <c r="C2034" s="0" t="inlineStr">
        <is>
          <t xml:space="preserve">broad_maritime</t>
        </is>
      </c>
      <c r="D2034" s="4">
        <v>1.93792412</v>
      </c>
      <c r="E2034" s="0" t="inlineStr">
        <is>
          <t xml:space="preserve">OCEANEERING INTERNATIONAL INC</t>
        </is>
      </c>
      <c r="F2034" s="0" t="inlineStr">
        <is>
          <t xml:space="preserve">psc:1905</t>
        </is>
      </c>
    </row>
    <row r="2035">
      <c r="B2035" s="0" t="inlineStr">
        <is>
          <t xml:space="preserve">N6449824F4079</t>
        </is>
      </c>
      <c r="C2035" s="0" t="inlineStr">
        <is>
          <t xml:space="preserve">broad_maritime</t>
        </is>
      </c>
      <c r="D2035" s="4">
        <v>1.93792412</v>
      </c>
      <c r="E2035" s="0" t="inlineStr">
        <is>
          <t xml:space="preserve">OCEANEERING INTERNATIONAL INC</t>
        </is>
      </c>
      <c r="F2035" s="0" t="inlineStr">
        <is>
          <t xml:space="preserve">psc:1905</t>
        </is>
      </c>
    </row>
    <row r="2036">
      <c r="B2036" s="0" t="inlineStr">
        <is>
          <t xml:space="preserve">N5523623F9972</t>
        </is>
      </c>
      <c r="C2036" s="0" t="inlineStr">
        <is>
          <t xml:space="preserve">broad_maritime</t>
        </is>
      </c>
      <c r="D2036" s="4">
        <v>1.9379045099999999</v>
      </c>
      <c r="E2036" s="0" t="inlineStr">
        <is>
          <t xml:space="preserve">HII FLEET SUPPORT GROUP LLC</t>
        </is>
      </c>
      <c r="F2036" s="0" t="inlineStr">
        <is>
          <t xml:space="preserve">psc:1905</t>
        </is>
      </c>
    </row>
    <row r="2037">
      <c r="B2037" s="0" t="inlineStr">
        <is>
          <t xml:space="preserve">N6449819F4094</t>
        </is>
      </c>
      <c r="C2037" s="0" t="inlineStr">
        <is>
          <t xml:space="preserve">broad_maritime</t>
        </is>
      </c>
      <c r="D2037" s="4">
        <v>1.936105</v>
      </c>
      <c r="E2037" s="0" t="inlineStr">
        <is>
          <t xml:space="preserve">HAMILTON SUNDSTRAND CORPORATION</t>
        </is>
      </c>
      <c r="F2037" s="0" t="inlineStr">
        <is>
          <t xml:space="preserve">psc:2090</t>
        </is>
      </c>
    </row>
    <row r="2038">
      <c r="B2038" s="0" t="inlineStr">
        <is>
          <t xml:space="preserve">N0002423F4128</t>
        </is>
      </c>
      <c r="C2038" s="0" t="inlineStr">
        <is>
          <t xml:space="preserve">broad_maritime</t>
        </is>
      </c>
      <c r="D2038" s="4">
        <v>1.92735433</v>
      </c>
      <c r="E2038" s="0" t="inlineStr">
        <is>
          <t xml:space="preserve">BOWHEAD MARINE SUPPORT SERVICES, LLC</t>
        </is>
      </c>
      <c r="F2038" s="0" t="inlineStr">
        <is>
          <t xml:space="preserve">psc:2090</t>
        </is>
      </c>
    </row>
    <row r="2039">
      <c r="B2039" s="0" t="inlineStr">
        <is>
          <t xml:space="preserve">0005</t>
        </is>
      </c>
      <c r="C2039" s="0" t="inlineStr">
        <is>
          <t xml:space="preserve">small_craft</t>
        </is>
      </c>
      <c r="D2039" s="4">
        <v>1.9222522</v>
      </c>
      <c r="E2039" s="0" t="inlineStr">
        <is>
          <t xml:space="preserve">WORKSKIFF, INC.</t>
        </is>
      </c>
      <c r="F2039" s="0" t="inlineStr">
        <is>
          <t xml:space="preserve">naics:336612; psc:1940</t>
        </is>
      </c>
    </row>
    <row r="2040">
      <c r="B2040" s="0" t="inlineStr">
        <is>
          <t xml:space="preserve">0001</t>
        </is>
      </c>
      <c r="C2040" s="0" t="inlineStr">
        <is>
          <t xml:space="preserve">small_craft</t>
        </is>
      </c>
      <c r="D2040" s="4">
        <v>1.920912</v>
      </c>
      <c r="E2040" s="0" t="inlineStr">
        <is>
          <t xml:space="preserve">THE MOLDING COMPANY, INC.</t>
        </is>
      </c>
      <c r="F2040" s="0" t="inlineStr">
        <is>
          <t xml:space="preserve">naics:336612</t>
        </is>
      </c>
    </row>
    <row r="2041">
      <c r="B2041" s="0" t="inlineStr">
        <is>
          <t xml:space="preserve">N6660425F3019</t>
        </is>
      </c>
      <c r="C2041" s="0" t="inlineStr">
        <is>
          <t xml:space="preserve">usv_core</t>
        </is>
      </c>
      <c r="D2041" s="4">
        <v>1.9199849999999998</v>
      </c>
      <c r="E2041" s="0" t="inlineStr">
        <is>
          <t xml:space="preserve">SERCO INC</t>
        </is>
      </c>
      <c r="F2041" s="0" t="inlineStr">
        <is>
          <t xml:space="preserve">keyword</t>
        </is>
      </c>
    </row>
    <row r="2042">
      <c r="B2042" s="0" t="inlineStr">
        <is>
          <t xml:space="preserve">N6449817F4131</t>
        </is>
      </c>
      <c r="C2042" s="0" t="inlineStr">
        <is>
          <t xml:space="preserve">broad_maritime</t>
        </is>
      </c>
      <c r="D2042" s="4">
        <v>1.91539832</v>
      </c>
      <c r="E2042" s="0" t="inlineStr">
        <is>
          <t xml:space="preserve">LEIDOS, INC.</t>
        </is>
      </c>
      <c r="F2042" s="0" t="inlineStr">
        <is>
          <t xml:space="preserve">psc:2090</t>
        </is>
      </c>
    </row>
    <row r="2043">
      <c r="B2043" s="0" t="inlineStr">
        <is>
          <t xml:space="preserve">M6890916F7648</t>
        </is>
      </c>
      <c r="C2043" s="0" t="inlineStr">
        <is>
          <t xml:space="preserve">small_craft</t>
        </is>
      </c>
      <c r="D2043" s="4">
        <v>1.910401</v>
      </c>
      <c r="E2043" s="0" t="inlineStr">
        <is>
          <t xml:space="preserve">WILLARD MARINE, INC.</t>
        </is>
      </c>
      <c r="F2043" s="0" t="inlineStr">
        <is>
          <t xml:space="preserve">naics:336612; psc:1940</t>
        </is>
      </c>
    </row>
    <row r="2044">
      <c r="B2044" s="0" t="inlineStr">
        <is>
          <t xml:space="preserve">N3220518P1069</t>
        </is>
      </c>
      <c r="C2044" s="0" t="inlineStr">
        <is>
          <t xml:space="preserve">broad_maritime</t>
        </is>
      </c>
      <c r="D2044" s="4">
        <v>1.9099587599999999</v>
      </c>
      <c r="E2044" s="0" t="inlineStr">
        <is>
          <t xml:space="preserve">SUPERIOR ACCESS SOLUTIONS INC</t>
        </is>
      </c>
      <c r="F2044" s="0" t="inlineStr">
        <is>
          <t xml:space="preserve">psc:2090</t>
        </is>
      </c>
    </row>
    <row r="2045">
      <c r="B2045" s="0" t="inlineStr">
        <is>
          <t xml:space="preserve">L836</t>
        </is>
      </c>
      <c r="C2045" s="0" t="inlineStr">
        <is>
          <t xml:space="preserve">broad_maritime</t>
        </is>
      </c>
      <c r="D2045" s="4">
        <v>1.908146</v>
      </c>
      <c r="E2045" s="0" t="inlineStr">
        <is>
          <t xml:space="preserve">ELECTRIC BOAT CORPORATION</t>
        </is>
      </c>
      <c r="F2045" s="0" t="inlineStr">
        <is>
          <t xml:space="preserve">psc:1905</t>
        </is>
      </c>
    </row>
    <row r="2046">
      <c r="B2046" s="0" t="inlineStr">
        <is>
          <t xml:space="preserve">N6449817F4064</t>
        </is>
      </c>
      <c r="C2046" s="0" t="inlineStr">
        <is>
          <t xml:space="preserve">broad_maritime</t>
        </is>
      </c>
      <c r="D2046" s="4">
        <v>1.905193</v>
      </c>
      <c r="E2046" s="0" t="inlineStr">
        <is>
          <t xml:space="preserve">HAMILTON SUNDSTRAND CORPORATION</t>
        </is>
      </c>
      <c r="F2046" s="0" t="inlineStr">
        <is>
          <t xml:space="preserve">psc:2090</t>
        </is>
      </c>
    </row>
    <row r="2047">
      <c r="B2047" s="0" t="inlineStr">
        <is>
          <t xml:space="preserve">N0010420CCA08</t>
        </is>
      </c>
      <c r="C2047" s="0" t="inlineStr">
        <is>
          <t xml:space="preserve">small_craft</t>
        </is>
      </c>
      <c r="D2047" s="4">
        <v>1.90485862</v>
      </c>
      <c r="E2047" s="0" t="inlineStr">
        <is>
          <t xml:space="preserve">GE AVIATION SYSTEMS LLC</t>
        </is>
      </c>
      <c r="F2047" s="0" t="inlineStr">
        <is>
          <t xml:space="preserve">naics:336612</t>
        </is>
      </c>
    </row>
    <row r="2048">
      <c r="B2048" s="0" t="inlineStr">
        <is>
          <t xml:space="preserve">N6133119F0051</t>
        </is>
      </c>
      <c r="C2048" s="0" t="inlineStr">
        <is>
          <t xml:space="preserve">broad_maritime</t>
        </is>
      </c>
      <c r="D2048" s="4">
        <v>1.8932849999999999</v>
      </c>
      <c r="E2048" s="0" t="inlineStr">
        <is>
          <t xml:space="preserve">ATLANTIC DIVING SUPPLY, INC.</t>
        </is>
      </c>
      <c r="F2048" s="0" t="inlineStr">
        <is>
          <t xml:space="preserve">psc:2090</t>
        </is>
      </c>
    </row>
    <row r="2049">
      <c r="B2049" s="0" t="inlineStr">
        <is>
          <t xml:space="preserve">N0002426F22A7</t>
        </is>
      </c>
      <c r="C2049" s="0" t="inlineStr">
        <is>
          <t xml:space="preserve">small_craft</t>
        </is>
      </c>
      <c r="D2049" s="4">
        <v>1.8812150699999999</v>
      </c>
      <c r="E2049" s="0" t="inlineStr">
        <is>
          <t xml:space="preserve">METALCRAFT MARINE US, INC.</t>
        </is>
      </c>
      <c r="F2049" s="0" t="inlineStr">
        <is>
          <t xml:space="preserve">naics:336612; psc:1940</t>
        </is>
      </c>
    </row>
    <row r="2050">
      <c r="B2050" s="0" t="inlineStr">
        <is>
          <t xml:space="preserve">N6449823F4121</t>
        </is>
      </c>
      <c r="C2050" s="0" t="inlineStr">
        <is>
          <t xml:space="preserve">broad_maritime</t>
        </is>
      </c>
      <c r="D2050" s="4">
        <v>1.87638504</v>
      </c>
      <c r="E2050" s="0" t="inlineStr">
        <is>
          <t xml:space="preserve">OCEANEERING INTERNATIONAL INC</t>
        </is>
      </c>
      <c r="F2050" s="0" t="inlineStr">
        <is>
          <t xml:space="preserve">psc:1905</t>
        </is>
      </c>
    </row>
    <row r="2051">
      <c r="B2051" s="0" t="inlineStr">
        <is>
          <t xml:space="preserve">N0010425CFA13</t>
        </is>
      </c>
      <c r="C2051" s="0" t="inlineStr">
        <is>
          <t xml:space="preserve">small_craft</t>
        </is>
      </c>
      <c r="D2051" s="4">
        <v>1.8734619</v>
      </c>
      <c r="E2051" s="0" t="inlineStr">
        <is>
          <t xml:space="preserve">L3 TECHNOLOGIES, INC.</t>
        </is>
      </c>
      <c r="F2051" s="0" t="inlineStr">
        <is>
          <t xml:space="preserve">naics:336612</t>
        </is>
      </c>
    </row>
    <row r="2052">
      <c r="B2052" s="0" t="inlineStr">
        <is>
          <t xml:space="preserve">M6785410C1054</t>
        </is>
      </c>
      <c r="C2052" s="0" t="inlineStr">
        <is>
          <t xml:space="preserve">small_craft</t>
        </is>
      </c>
      <c r="D2052" s="4">
        <v>1.8690171599999998</v>
      </c>
      <c r="E2052" s="0" t="inlineStr">
        <is>
          <t xml:space="preserve">SAFE BOATS INTERNATIONAL LLC</t>
        </is>
      </c>
      <c r="F2052" s="0" t="inlineStr">
        <is>
          <t xml:space="preserve">naics:336612; psc:1940</t>
        </is>
      </c>
    </row>
    <row r="2053">
      <c r="B2053" s="0" t="inlineStr">
        <is>
          <t xml:space="preserve">N3220515P5211</t>
        </is>
      </c>
      <c r="C2053" s="0" t="inlineStr">
        <is>
          <t xml:space="preserve">broad_maritime</t>
        </is>
      </c>
      <c r="D2053" s="4">
        <v>1.868557</v>
      </c>
      <c r="E2053" s="0" t="inlineStr">
        <is>
          <t xml:space="preserve">AIR &amp; LIQUID SYSTEMS CORPORATION</t>
        </is>
      </c>
      <c r="F2053" s="0" t="inlineStr">
        <is>
          <t xml:space="preserve">psc:2090</t>
        </is>
      </c>
    </row>
    <row r="2054">
      <c r="B2054" s="0" t="inlineStr">
        <is>
          <t xml:space="preserve">N0010425CQA19</t>
        </is>
      </c>
      <c r="C2054" s="0" t="inlineStr">
        <is>
          <t xml:space="preserve">small_craft</t>
        </is>
      </c>
      <c r="D2054" s="4">
        <v>1.8661381</v>
      </c>
      <c r="E2054" s="0" t="inlineStr">
        <is>
          <t xml:space="preserve">UNITED STATES TECHNOLOGIES INC</t>
        </is>
      </c>
      <c r="F2054" s="0" t="inlineStr">
        <is>
          <t xml:space="preserve">naics:336612</t>
        </is>
      </c>
    </row>
    <row r="2055">
      <c r="B2055" s="0" t="inlineStr">
        <is>
          <t xml:space="preserve">L812</t>
        </is>
      </c>
      <c r="C2055" s="0" t="inlineStr">
        <is>
          <t xml:space="preserve">broad_maritime</t>
        </is>
      </c>
      <c r="D2055" s="4">
        <v>1.862503</v>
      </c>
      <c r="E2055" s="0" t="inlineStr">
        <is>
          <t xml:space="preserve">ELECTRIC BOAT CORPORATION</t>
        </is>
      </c>
      <c r="F2055" s="0" t="inlineStr">
        <is>
          <t xml:space="preserve">psc:1905</t>
        </is>
      </c>
    </row>
    <row r="2056">
      <c r="B2056" s="0" t="inlineStr">
        <is>
          <t xml:space="preserve">N3220518P4039</t>
        </is>
      </c>
      <c r="C2056" s="0" t="inlineStr">
        <is>
          <t xml:space="preserve">broad_maritime</t>
        </is>
      </c>
      <c r="D2056" s="4">
        <v>1.85048043</v>
      </c>
      <c r="E2056" s="0" t="inlineStr">
        <is>
          <t xml:space="preserve">DEFENSE MARITIME SOLUTIONS, INC.</t>
        </is>
      </c>
      <c r="F2056" s="0" t="inlineStr">
        <is>
          <t xml:space="preserve">psc:2090</t>
        </is>
      </c>
    </row>
    <row r="2057">
      <c r="B2057" s="0" t="inlineStr">
        <is>
          <t xml:space="preserve">N0002422F22A5</t>
        </is>
      </c>
      <c r="C2057" s="0" t="inlineStr">
        <is>
          <t xml:space="preserve">small_craft</t>
        </is>
      </c>
      <c r="D2057" s="4">
        <v>1.84271256</v>
      </c>
      <c r="E2057" s="0" t="inlineStr">
        <is>
          <t xml:space="preserve">METALCRAFT MARINE US, INC.</t>
        </is>
      </c>
      <c r="F2057" s="0" t="inlineStr">
        <is>
          <t xml:space="preserve">naics:336612; psc:1940</t>
        </is>
      </c>
    </row>
    <row r="2058">
      <c r="B2058" s="0" t="inlineStr">
        <is>
          <t xml:space="preserve">N0010425PK030</t>
        </is>
      </c>
      <c r="C2058" s="0" t="inlineStr">
        <is>
          <t xml:space="preserve">broad_maritime</t>
        </is>
      </c>
      <c r="D2058" s="4">
        <v>1.83640948</v>
      </c>
      <c r="E2058" s="0" t="inlineStr">
        <is>
          <t xml:space="preserve">WESLEY INTERNATIONAL LLC</t>
        </is>
      </c>
      <c r="F2058" s="0" t="inlineStr">
        <is>
          <t xml:space="preserve">psc:2090</t>
        </is>
      </c>
    </row>
    <row r="2059">
      <c r="B2059" s="0" t="inlineStr">
        <is>
          <t xml:space="preserve">N6133123F0163</t>
        </is>
      </c>
      <c r="C2059" s="0" t="inlineStr">
        <is>
          <t xml:space="preserve">broad_maritime</t>
        </is>
      </c>
      <c r="D2059" s="4">
        <v>1.8318346899999998</v>
      </c>
      <c r="E2059" s="0" t="inlineStr">
        <is>
          <t xml:space="preserve">BOOZ ALLEN HAMILTON INC</t>
        </is>
      </c>
      <c r="F2059" s="0" t="inlineStr">
        <is>
          <t xml:space="preserve">psc:2090</t>
        </is>
      </c>
    </row>
    <row r="2060">
      <c r="B2060" s="0" t="inlineStr">
        <is>
          <t xml:space="preserve">N0003925FE068</t>
        </is>
      </c>
      <c r="C2060" s="0" t="inlineStr">
        <is>
          <t xml:space="preserve">broad_maritime</t>
        </is>
      </c>
      <c r="D2060" s="4">
        <v>1.8278999999999999</v>
      </c>
      <c r="E2060" s="0" t="inlineStr">
        <is>
          <t xml:space="preserve">GENERAL DYNAMICS ONE SOURCE LLC</t>
        </is>
      </c>
      <c r="F2060" s="0" t="inlineStr">
        <is>
          <t xml:space="preserve">psc:2090</t>
        </is>
      </c>
    </row>
    <row r="2061">
      <c r="B2061" s="0" t="inlineStr">
        <is>
          <t xml:space="preserve">0002</t>
        </is>
      </c>
      <c r="C2061" s="0" t="inlineStr">
        <is>
          <t xml:space="preserve">small_craft</t>
        </is>
      </c>
      <c r="D2061" s="4">
        <v>1.8204242099999999</v>
      </c>
      <c r="E2061" s="0" t="inlineStr">
        <is>
          <t xml:space="preserve">WORKSKIFF, INC.</t>
        </is>
      </c>
      <c r="F2061" s="0" t="inlineStr">
        <is>
          <t xml:space="preserve">naics:336612; psc:1940</t>
        </is>
      </c>
    </row>
    <row r="2062">
      <c r="B2062" s="0" t="inlineStr">
        <is>
          <t xml:space="preserve">N0002419F4N01</t>
        </is>
      </c>
      <c r="C2062" s="0" t="inlineStr">
        <is>
          <t xml:space="preserve">broad_maritime</t>
        </is>
      </c>
      <c r="D2062" s="4">
        <v>1.8167209999999998</v>
      </c>
      <c r="E2062" s="0" t="inlineStr">
        <is>
          <t xml:space="preserve">METRO MACHINE CORP</t>
        </is>
      </c>
      <c r="F2062" s="0" t="inlineStr">
        <is>
          <t xml:space="preserve">psc:1905</t>
        </is>
      </c>
    </row>
    <row r="2063">
      <c r="B2063" s="0" t="inlineStr">
        <is>
          <t xml:space="preserve">0010</t>
        </is>
      </c>
      <c r="C2063" s="0" t="inlineStr">
        <is>
          <t xml:space="preserve">broad_maritime</t>
        </is>
      </c>
      <c r="D2063" s="4">
        <v>1.81604082</v>
      </c>
      <c r="E2063" s="0" t="inlineStr">
        <is>
          <t xml:space="preserve">LEIDOS, INC.</t>
        </is>
      </c>
      <c r="F2063" s="0" t="inlineStr">
        <is>
          <t xml:space="preserve">psc:2090</t>
        </is>
      </c>
    </row>
    <row r="2064">
      <c r="B2064" s="0" t="inlineStr">
        <is>
          <t xml:space="preserve">0001</t>
        </is>
      </c>
      <c r="C2064" s="0" t="inlineStr">
        <is>
          <t xml:space="preserve">small_craft</t>
        </is>
      </c>
      <c r="D2064" s="4">
        <v>1.80901926</v>
      </c>
      <c r="E2064" s="0" t="inlineStr">
        <is>
          <t xml:space="preserve">SILVER SHIPS, INC</t>
        </is>
      </c>
      <c r="F2064" s="0" t="inlineStr">
        <is>
          <t xml:space="preserve">naics:336612; psc:1940</t>
        </is>
      </c>
    </row>
    <row r="2065">
      <c r="B2065" s="0" t="inlineStr">
        <is>
          <t xml:space="preserve">L837</t>
        </is>
      </c>
      <c r="C2065" s="0" t="inlineStr">
        <is>
          <t xml:space="preserve">broad_maritime</t>
        </is>
      </c>
      <c r="D2065" s="4">
        <v>1.805283</v>
      </c>
      <c r="E2065" s="0" t="inlineStr">
        <is>
          <t xml:space="preserve">ELECTRIC BOAT CORPORATION</t>
        </is>
      </c>
      <c r="F2065" s="0" t="inlineStr">
        <is>
          <t xml:space="preserve">psc:1905</t>
        </is>
      </c>
    </row>
    <row r="2066">
      <c r="B2066" s="0" t="inlineStr">
        <is>
          <t xml:space="preserve">0003</t>
        </is>
      </c>
      <c r="C2066" s="0" t="inlineStr">
        <is>
          <t xml:space="preserve">small_craft</t>
        </is>
      </c>
      <c r="D2066" s="4">
        <v>1.79552305</v>
      </c>
      <c r="E2066" s="0" t="inlineStr">
        <is>
          <t xml:space="preserve">SILVER SHIPS, INC</t>
        </is>
      </c>
      <c r="F2066" s="0" t="inlineStr">
        <is>
          <t xml:space="preserve">naics:336612; psc:1940</t>
        </is>
      </c>
    </row>
    <row r="2067">
      <c r="B2067" s="0" t="inlineStr">
        <is>
          <t xml:space="preserve">N0010422CK072</t>
        </is>
      </c>
      <c r="C2067" s="0" t="inlineStr">
        <is>
          <t xml:space="preserve">broad_maritime</t>
        </is>
      </c>
      <c r="D2067" s="4">
        <v>1.7923974999999999</v>
      </c>
      <c r="E2067" s="0" t="inlineStr">
        <is>
          <t xml:space="preserve">TEREX CORPORATION</t>
        </is>
      </c>
      <c r="F2067" s="0" t="inlineStr">
        <is>
          <t xml:space="preserve">psc:2090</t>
        </is>
      </c>
    </row>
    <row r="2068">
      <c r="B2068" s="0" t="inlineStr">
        <is>
          <t xml:space="preserve">N6133120F0193</t>
        </is>
      </c>
      <c r="C2068" s="0" t="inlineStr">
        <is>
          <t xml:space="preserve">broad_maritime</t>
        </is>
      </c>
      <c r="D2068" s="4">
        <v>1.78153961</v>
      </c>
      <c r="E2068" s="0" t="inlineStr">
        <is>
          <t xml:space="preserve">ATLANTIC DIVING SUPPLY, INC.</t>
        </is>
      </c>
      <c r="F2068" s="0" t="inlineStr">
        <is>
          <t xml:space="preserve">psc:2090</t>
        </is>
      </c>
    </row>
    <row r="2069">
      <c r="B2069" s="0" t="inlineStr">
        <is>
          <t xml:space="preserve">N3220519P6779</t>
        </is>
      </c>
      <c r="C2069" s="0" t="inlineStr">
        <is>
          <t xml:space="preserve">broad_maritime</t>
        </is>
      </c>
      <c r="D2069" s="4">
        <v>1.7808583999999998</v>
      </c>
      <c r="E2069" s="0" t="inlineStr">
        <is>
          <t xml:space="preserve">ROLLS-ROYCE SOLUTIONS AMERICA INC</t>
        </is>
      </c>
      <c r="F2069" s="0" t="inlineStr">
        <is>
          <t xml:space="preserve">psc:2090</t>
        </is>
      </c>
    </row>
    <row r="2070">
      <c r="B2070" s="0" t="inlineStr">
        <is>
          <t xml:space="preserve">N0002418F22A3</t>
        </is>
      </c>
      <c r="C2070" s="0" t="inlineStr">
        <is>
          <t xml:space="preserve">small_craft</t>
        </is>
      </c>
      <c r="D2070" s="4">
        <v>1.7723944699999998</v>
      </c>
      <c r="E2070" s="0" t="inlineStr">
        <is>
          <t xml:space="preserve">GRAVOIS ALUMINUM BOATS LLC</t>
        </is>
      </c>
      <c r="F2070" s="0" t="inlineStr">
        <is>
          <t xml:space="preserve">naics:336612</t>
        </is>
      </c>
    </row>
    <row r="2071">
      <c r="B2071" s="0" t="inlineStr">
        <is>
          <t xml:space="preserve">N5005426FP002</t>
        </is>
      </c>
      <c r="C2071" s="0" t="inlineStr">
        <is>
          <t xml:space="preserve">broad_maritime</t>
        </is>
      </c>
      <c r="D2071" s="4">
        <v>1.7650359999999998</v>
      </c>
      <c r="E2071" s="0" t="inlineStr">
        <is>
          <t xml:space="preserve">METRO MACHINE CORP.</t>
        </is>
      </c>
      <c r="F2071" s="0" t="inlineStr">
        <is>
          <t xml:space="preserve">psc:1905</t>
        </is>
      </c>
    </row>
    <row r="2072">
      <c r="B2072" s="0" t="inlineStr">
        <is>
          <t xml:space="preserve">L839</t>
        </is>
      </c>
      <c r="C2072" s="0" t="inlineStr">
        <is>
          <t xml:space="preserve">broad_maritime</t>
        </is>
      </c>
      <c r="D2072" s="4">
        <v>1.763879</v>
      </c>
      <c r="E2072" s="0" t="inlineStr">
        <is>
          <t xml:space="preserve">ELECTRIC BOAT CORPORATION</t>
        </is>
      </c>
      <c r="F2072" s="0" t="inlineStr">
        <is>
          <t xml:space="preserve">psc:1905</t>
        </is>
      </c>
    </row>
    <row r="2073">
      <c r="B2073" s="0" t="inlineStr">
        <is>
          <t xml:space="preserve">M6700423P1029</t>
        </is>
      </c>
      <c r="C2073" s="0" t="inlineStr">
        <is>
          <t xml:space="preserve">broad_maritime</t>
        </is>
      </c>
      <c r="D2073" s="4">
        <v>1.759615</v>
      </c>
      <c r="E2073" s="0" t="inlineStr">
        <is>
          <t xml:space="preserve">SEATRONX, LLC</t>
        </is>
      </c>
      <c r="F2073" s="0" t="inlineStr">
        <is>
          <t xml:space="preserve">psc:2090</t>
        </is>
      </c>
    </row>
    <row r="2074">
      <c r="B2074" s="0" t="inlineStr">
        <is>
          <t xml:space="preserve">N0002421F22Y1</t>
        </is>
      </c>
      <c r="C2074" s="0" t="inlineStr">
        <is>
          <t xml:space="preserve">small_craft</t>
        </is>
      </c>
      <c r="D2074" s="4">
        <v>1.7588621599999998</v>
      </c>
      <c r="E2074" s="0" t="inlineStr">
        <is>
          <t xml:space="preserve">LAKE ASSAULT BOATS, LLC</t>
        </is>
      </c>
      <c r="F2074" s="0" t="inlineStr">
        <is>
          <t xml:space="preserve">naics:336612; psc:1940</t>
        </is>
      </c>
    </row>
    <row r="2075">
      <c r="B2075" s="0" t="inlineStr">
        <is>
          <t xml:space="preserve">N0002421C2275</t>
        </is>
      </c>
      <c r="C2075" s="0" t="inlineStr">
        <is>
          <t xml:space="preserve">small_craft</t>
        </is>
      </c>
      <c r="D2075" s="4">
        <v>1.7523449999999998</v>
      </c>
      <c r="E2075" s="0" t="inlineStr">
        <is>
          <t xml:space="preserve">DOCK HIGH, LLC</t>
        </is>
      </c>
      <c r="F2075" s="0" t="inlineStr">
        <is>
          <t xml:space="preserve">naics:336612; psc:1940</t>
        </is>
      </c>
    </row>
    <row r="2076">
      <c r="B2076" s="0" t="inlineStr">
        <is>
          <t xml:space="preserve">N6133118F0132</t>
        </is>
      </c>
      <c r="C2076" s="0" t="inlineStr">
        <is>
          <t xml:space="preserve">broad_maritime</t>
        </is>
      </c>
      <c r="D2076" s="4">
        <v>1.7512232699999999</v>
      </c>
      <c r="E2076" s="0" t="inlineStr">
        <is>
          <t xml:space="preserve">ATLANTIC DIVING SUPPLY, INC.</t>
        </is>
      </c>
      <c r="F2076" s="0" t="inlineStr">
        <is>
          <t xml:space="preserve">psc:2090</t>
        </is>
      </c>
    </row>
    <row r="2077">
      <c r="B2077" s="0" t="inlineStr">
        <is>
          <t xml:space="preserve">0006</t>
        </is>
      </c>
      <c r="C2077" s="0" t="inlineStr">
        <is>
          <t xml:space="preserve">small_craft</t>
        </is>
      </c>
      <c r="D2077" s="4">
        <v>1.73222085</v>
      </c>
      <c r="E2077" s="0" t="inlineStr">
        <is>
          <t xml:space="preserve">METALCRAFT MARINE US, INC.</t>
        </is>
      </c>
      <c r="F2077" s="0" t="inlineStr">
        <is>
          <t xml:space="preserve">naics:336612; psc:1940</t>
        </is>
      </c>
    </row>
    <row r="2078">
      <c r="B2078" s="0" t="inlineStr">
        <is>
          <t xml:space="preserve">N0003923F2056</t>
        </is>
      </c>
      <c r="C2078" s="0" t="inlineStr">
        <is>
          <t xml:space="preserve">small_craft</t>
        </is>
      </c>
      <c r="D2078" s="4">
        <v>1.7299846399999999</v>
      </c>
      <c r="E2078" s="0" t="inlineStr">
        <is>
          <t xml:space="preserve">TELEDYNE BROWN ENGINEERING, INC.</t>
        </is>
      </c>
      <c r="F2078" s="0" t="inlineStr">
        <is>
          <t xml:space="preserve">psc:1940</t>
        </is>
      </c>
    </row>
    <row r="2079">
      <c r="B2079" s="0" t="inlineStr">
        <is>
          <t xml:space="preserve">0004</t>
        </is>
      </c>
      <c r="C2079" s="0" t="inlineStr">
        <is>
          <t xml:space="preserve">broad_maritime</t>
        </is>
      </c>
      <c r="D2079" s="4">
        <v>1.7285</v>
      </c>
      <c r="E2079" s="0" t="inlineStr">
        <is>
          <t xml:space="preserve">L.B.I., INC.</t>
        </is>
      </c>
      <c r="F2079" s="0" t="inlineStr">
        <is>
          <t xml:space="preserve">psc:2090</t>
        </is>
      </c>
    </row>
    <row r="2080">
      <c r="B2080" s="0" t="inlineStr">
        <is>
          <t xml:space="preserve">N0010425CJA07</t>
        </is>
      </c>
      <c r="C2080" s="0" t="inlineStr">
        <is>
          <t xml:space="preserve">small_craft</t>
        </is>
      </c>
      <c r="D2080" s="4">
        <v>1.7276</v>
      </c>
      <c r="E2080" s="0" t="inlineStr">
        <is>
          <t xml:space="preserve">GE AVIATION SYSTEMS LLC</t>
        </is>
      </c>
      <c r="F2080" s="0" t="inlineStr">
        <is>
          <t xml:space="preserve">naics:336612</t>
        </is>
      </c>
    </row>
    <row r="2081">
      <c r="B2081" s="0" t="inlineStr">
        <is>
          <t xml:space="preserve">N3220515P3003</t>
        </is>
      </c>
      <c r="C2081" s="0" t="inlineStr">
        <is>
          <t xml:space="preserve">broad_maritime</t>
        </is>
      </c>
      <c r="D2081" s="4">
        <v>1.72598616</v>
      </c>
      <c r="E2081" s="0" t="inlineStr">
        <is>
          <t xml:space="preserve">COLTEC INDUSTRIES INC.</t>
        </is>
      </c>
      <c r="F2081" s="0" t="inlineStr">
        <is>
          <t xml:space="preserve">psc:2090</t>
        </is>
      </c>
    </row>
    <row r="2082">
      <c r="B2082" s="0" t="inlineStr">
        <is>
          <t xml:space="preserve">N0010422CZA25</t>
        </is>
      </c>
      <c r="C2082" s="0" t="inlineStr">
        <is>
          <t xml:space="preserve">small_craft</t>
        </is>
      </c>
      <c r="D2082" s="4">
        <v>1.7226941</v>
      </c>
      <c r="E2082" s="0" t="inlineStr">
        <is>
          <t xml:space="preserve">GARDNER DENVER NASH LLC</t>
        </is>
      </c>
      <c r="F2082" s="0" t="inlineStr">
        <is>
          <t xml:space="preserve">naics:336612</t>
        </is>
      </c>
    </row>
    <row r="2083">
      <c r="B2083" s="0" t="inlineStr">
        <is>
          <t xml:space="preserve">N6449824F4038</t>
        </is>
      </c>
      <c r="C2083" s="0" t="inlineStr">
        <is>
          <t xml:space="preserve">broad_maritime</t>
        </is>
      </c>
      <c r="D2083" s="4">
        <v>1.72057011</v>
      </c>
      <c r="E2083" s="0" t="inlineStr">
        <is>
          <t xml:space="preserve">LAUREL TECHNOLOGIES PARTNERSHIP</t>
        </is>
      </c>
      <c r="F2083" s="0" t="inlineStr">
        <is>
          <t xml:space="preserve">psc:2090</t>
        </is>
      </c>
    </row>
    <row r="2084">
      <c r="B2084" s="0" t="inlineStr">
        <is>
          <t xml:space="preserve">N0002419F4P01</t>
        </is>
      </c>
      <c r="C2084" s="0" t="inlineStr">
        <is>
          <t xml:space="preserve">broad_maritime</t>
        </is>
      </c>
      <c r="D2084" s="4">
        <v>1.719107</v>
      </c>
      <c r="E2084" s="0" t="inlineStr">
        <is>
          <t xml:space="preserve">HUNTINGTON INGALLS INC</t>
        </is>
      </c>
      <c r="F2084" s="0" t="inlineStr">
        <is>
          <t xml:space="preserve">psc:1905</t>
        </is>
      </c>
    </row>
    <row r="2085">
      <c r="B2085" s="0" t="inlineStr">
        <is>
          <t xml:space="preserve">4T30</t>
        </is>
      </c>
      <c r="C2085" s="0" t="inlineStr">
        <is>
          <t xml:space="preserve">broad_maritime</t>
        </is>
      </c>
      <c r="D2085" s="4">
        <v>1.69337824</v>
      </c>
      <c r="E2085" s="0" t="inlineStr">
        <is>
          <t xml:space="preserve">HUNTINGTON INGALLS INC</t>
        </is>
      </c>
      <c r="F2085" s="0" t="inlineStr">
        <is>
          <t xml:space="preserve">psc:2090</t>
        </is>
      </c>
    </row>
    <row r="2086">
      <c r="B2086" s="0" t="inlineStr">
        <is>
          <t xml:space="preserve">N6449818F4144</t>
        </is>
      </c>
      <c r="C2086" s="0" t="inlineStr">
        <is>
          <t xml:space="preserve">broad_maritime</t>
        </is>
      </c>
      <c r="D2086" s="4">
        <v>1.6931112499999998</v>
      </c>
      <c r="E2086" s="0" t="inlineStr">
        <is>
          <t xml:space="preserve">NAG, LLC</t>
        </is>
      </c>
      <c r="F2086" s="0" t="inlineStr">
        <is>
          <t xml:space="preserve">psc:2090</t>
        </is>
      </c>
    </row>
    <row r="2087">
      <c r="B2087" s="0" t="inlineStr">
        <is>
          <t xml:space="preserve">N0002418C2204</t>
        </is>
      </c>
      <c r="C2087" s="0" t="inlineStr">
        <is>
          <t xml:space="preserve">small_craft</t>
        </is>
      </c>
      <c r="D2087" s="4">
        <v>1.6895069999999999</v>
      </c>
      <c r="E2087" s="0" t="inlineStr">
        <is>
          <t xml:space="preserve">WORKSKIFF, INC.</t>
        </is>
      </c>
      <c r="F2087" s="0" t="inlineStr">
        <is>
          <t xml:space="preserve">naics:336612; psc:1940</t>
        </is>
      </c>
    </row>
    <row r="2088">
      <c r="B2088" s="0" t="inlineStr">
        <is>
          <t xml:space="preserve">0005</t>
        </is>
      </c>
      <c r="C2088" s="0" t="inlineStr">
        <is>
          <t xml:space="preserve">broad_maritime</t>
        </is>
      </c>
      <c r="D2088" s="4">
        <v>1.6888986</v>
      </c>
      <c r="E2088" s="0" t="inlineStr">
        <is>
          <t xml:space="preserve">ATLANTIC DIVING SUPPLY, INC.</t>
        </is>
      </c>
      <c r="F2088" s="0" t="inlineStr">
        <is>
          <t xml:space="preserve">psc:2090</t>
        </is>
      </c>
    </row>
    <row r="2089">
      <c r="B2089" s="0" t="inlineStr">
        <is>
          <t xml:space="preserve">N6133125F0013</t>
        </is>
      </c>
      <c r="C2089" s="0" t="inlineStr">
        <is>
          <t xml:space="preserve">broad_maritime</t>
        </is>
      </c>
      <c r="D2089" s="4">
        <v>1.684083</v>
      </c>
      <c r="E2089" s="0" t="inlineStr">
        <is>
          <t xml:space="preserve">AEF-PERFORMANCE LLC</t>
        </is>
      </c>
      <c r="F2089" s="0" t="inlineStr">
        <is>
          <t xml:space="preserve">psc:2090</t>
        </is>
      </c>
    </row>
    <row r="2090">
      <c r="B2090" s="0" t="inlineStr">
        <is>
          <t xml:space="preserve">N6133125F0184</t>
        </is>
      </c>
      <c r="C2090" s="0" t="inlineStr">
        <is>
          <t xml:space="preserve">broad_maritime</t>
        </is>
      </c>
      <c r="D2090" s="4">
        <v>1.6840825</v>
      </c>
      <c r="E2090" s="0" t="inlineStr">
        <is>
          <t xml:space="preserve">ATLANTIC DIVING SUPPLY, INC.</t>
        </is>
      </c>
      <c r="F2090" s="0" t="inlineStr">
        <is>
          <t xml:space="preserve">psc:2090</t>
        </is>
      </c>
    </row>
    <row r="2091">
      <c r="B2091" s="0" t="inlineStr">
        <is>
          <t xml:space="preserve">N6945026F0134</t>
        </is>
      </c>
      <c r="C2091" s="0" t="inlineStr">
        <is>
          <t xml:space="preserve">other_small</t>
        </is>
      </c>
      <c r="D2091" s="4">
        <v>1.6802439999999998</v>
      </c>
      <c r="E2091" s="0" t="inlineStr">
        <is>
          <t xml:space="preserve">JBW UMX JV LLC</t>
        </is>
      </c>
      <c r="F2091" s="0" t="inlineStr">
        <is>
          <t xml:space="preserve">psc:1925</t>
        </is>
      </c>
    </row>
    <row r="2092">
      <c r="B2092" s="0" t="inlineStr">
        <is>
          <t xml:space="preserve">M6890925F7915</t>
        </is>
      </c>
      <c r="C2092" s="0" t="inlineStr">
        <is>
          <t xml:space="preserve">small_craft</t>
        </is>
      </c>
      <c r="D2092" s="4">
        <v>1.67017873</v>
      </c>
      <c r="E2092" s="0" t="inlineStr">
        <is>
          <t xml:space="preserve">GRAVOIS ALUMINUM BOATS LLC</t>
        </is>
      </c>
      <c r="F2092" s="0" t="inlineStr">
        <is>
          <t xml:space="preserve">psc:1940</t>
        </is>
      </c>
    </row>
    <row r="2093">
      <c r="B2093" s="0" t="inlineStr">
        <is>
          <t xml:space="preserve">N6449819F4184</t>
        </is>
      </c>
      <c r="C2093" s="0" t="inlineStr">
        <is>
          <t xml:space="preserve">broad_maritime</t>
        </is>
      </c>
      <c r="D2093" s="4">
        <v>1.6688779999999999</v>
      </c>
      <c r="E2093" s="0" t="inlineStr">
        <is>
          <t xml:space="preserve">LEIDOS, INC.</t>
        </is>
      </c>
      <c r="F2093" s="0" t="inlineStr">
        <is>
          <t xml:space="preserve">psc:2090</t>
        </is>
      </c>
    </row>
    <row r="2094">
      <c r="B2094" s="0" t="inlineStr">
        <is>
          <t xml:space="preserve">N6133122C0008</t>
        </is>
      </c>
      <c r="C2094" s="0" t="inlineStr">
        <is>
          <t xml:space="preserve">broad_maritime</t>
        </is>
      </c>
      <c r="D2094" s="4">
        <v>1.657101</v>
      </c>
      <c r="E2094" s="0" t="inlineStr">
        <is>
          <t xml:space="preserve">SCIENCE APPLICATIONS INTERNATIONAL CORPORATION</t>
        </is>
      </c>
      <c r="F2094" s="0" t="inlineStr">
        <is>
          <t xml:space="preserve">psc:2090</t>
        </is>
      </c>
    </row>
    <row r="2095">
      <c r="B2095" s="0" t="inlineStr">
        <is>
          <t xml:space="preserve">N0016722C0007</t>
        </is>
      </c>
      <c r="C2095" s="0" t="inlineStr">
        <is>
          <t xml:space="preserve">small_craft</t>
        </is>
      </c>
      <c r="D2095" s="4">
        <v>1.65482504</v>
      </c>
      <c r="E2095" s="0" t="inlineStr">
        <is>
          <t xml:space="preserve">HIGHMARK MARINE FABRICATION, LLC</t>
        </is>
      </c>
      <c r="F2095" s="0" t="inlineStr">
        <is>
          <t xml:space="preserve">naics:336612</t>
        </is>
      </c>
    </row>
    <row r="2096">
      <c r="B2096" s="0" t="inlineStr">
        <is>
          <t xml:space="preserve">N0002418F22G1</t>
        </is>
      </c>
      <c r="C2096" s="0" t="inlineStr">
        <is>
          <t xml:space="preserve">small_craft</t>
        </is>
      </c>
      <c r="D2096" s="4">
        <v>1.65307685</v>
      </c>
      <c r="E2096" s="0" t="inlineStr">
        <is>
          <t xml:space="preserve">METALCRAFT MARINE US, INC.</t>
        </is>
      </c>
      <c r="F2096" s="0" t="inlineStr">
        <is>
          <t xml:space="preserve">naics:336612; psc:1940</t>
        </is>
      </c>
    </row>
    <row r="2097">
      <c r="B2097" s="0" t="inlineStr">
        <is>
          <t xml:space="preserve">N6449822F4083</t>
        </is>
      </c>
      <c r="C2097" s="0" t="inlineStr">
        <is>
          <t xml:space="preserve">broad_maritime</t>
        </is>
      </c>
      <c r="D2097" s="4">
        <v>1.6414039999999999</v>
      </c>
      <c r="E2097" s="0" t="inlineStr">
        <is>
          <t xml:space="preserve">LAUREL TECHNOLOGIES PARTNERSHIP</t>
        </is>
      </c>
      <c r="F2097" s="0" t="inlineStr">
        <is>
          <t xml:space="preserve">psc:2090</t>
        </is>
      </c>
    </row>
    <row r="2098">
      <c r="B2098" s="0" t="inlineStr">
        <is>
          <t xml:space="preserve">N0002419F22J3</t>
        </is>
      </c>
      <c r="C2098" s="0" t="inlineStr">
        <is>
          <t xml:space="preserve">small_craft</t>
        </is>
      </c>
      <c r="D2098" s="4">
        <v>1.63551406</v>
      </c>
      <c r="E2098" s="0" t="inlineStr">
        <is>
          <t xml:space="preserve">UNITED STATES MARINE INC</t>
        </is>
      </c>
      <c r="F2098" s="0" t="inlineStr">
        <is>
          <t xml:space="preserve">naics:336612; psc:1940</t>
        </is>
      </c>
    </row>
    <row r="2099">
      <c r="B2099" s="0" t="inlineStr">
        <is>
          <t xml:space="preserve">N6133114C0032</t>
        </is>
      </c>
      <c r="C2099" s="0" t="inlineStr">
        <is>
          <t xml:space="preserve">other_small</t>
        </is>
      </c>
      <c r="D2099" s="4">
        <v>1.6345902399999999</v>
      </c>
      <c r="E2099" s="0" t="inlineStr">
        <is>
          <t xml:space="preserve">NEW TRANSPORT LINES, INC.</t>
        </is>
      </c>
      <c r="F2099" s="0" t="inlineStr">
        <is>
          <t xml:space="preserve">psc:1925</t>
        </is>
      </c>
    </row>
    <row r="2100">
      <c r="B2100" s="0" t="inlineStr">
        <is>
          <t xml:space="preserve">N4523A21F0304</t>
        </is>
      </c>
      <c r="C2100" s="0" t="inlineStr">
        <is>
          <t xml:space="preserve">broad_maritime</t>
        </is>
      </c>
      <c r="D2100" s="4">
        <v>1.634518</v>
      </c>
      <c r="E2100" s="0" t="inlineStr">
        <is>
          <t xml:space="preserve">METRO MACHINE CORP</t>
        </is>
      </c>
      <c r="F2100" s="0" t="inlineStr">
        <is>
          <t xml:space="preserve">psc:1905</t>
        </is>
      </c>
    </row>
    <row r="2101">
      <c r="B2101" s="0" t="inlineStr">
        <is>
          <t xml:space="preserve">N5523625F9973</t>
        </is>
      </c>
      <c r="C2101" s="0" t="inlineStr">
        <is>
          <t xml:space="preserve">broad_maritime</t>
        </is>
      </c>
      <c r="D2101" s="4">
        <v>1.6340489999999999</v>
      </c>
      <c r="E2101" s="0" t="inlineStr">
        <is>
          <t xml:space="preserve">HII FLEET SUPPORT GROUP LLC</t>
        </is>
      </c>
      <c r="F2101" s="0" t="inlineStr">
        <is>
          <t xml:space="preserve">psc:1905</t>
        </is>
      </c>
    </row>
    <row r="2102">
      <c r="B2102" s="0" t="inlineStr">
        <is>
          <t xml:space="preserve">N0002421F22V2</t>
        </is>
      </c>
      <c r="C2102" s="0" t="inlineStr">
        <is>
          <t xml:space="preserve">small_craft</t>
        </is>
      </c>
      <c r="D2102" s="4">
        <v>1.628496</v>
      </c>
      <c r="E2102" s="0" t="inlineStr">
        <is>
          <t xml:space="preserve">SNOW &amp; COMPANY, INC.</t>
        </is>
      </c>
      <c r="F2102" s="0" t="inlineStr">
        <is>
          <t xml:space="preserve">naics:336612; psc:1940</t>
        </is>
      </c>
    </row>
    <row r="2103">
      <c r="B2103" s="0" t="inlineStr">
        <is>
          <t xml:space="preserve">N0002418F2218</t>
        </is>
      </c>
      <c r="C2103" s="0" t="inlineStr">
        <is>
          <t xml:space="preserve">small_craft</t>
        </is>
      </c>
      <c r="D2103" s="4">
        <v>1.6273179999999998</v>
      </c>
      <c r="E2103" s="0" t="inlineStr">
        <is>
          <t xml:space="preserve">GRAVOIS ALUMINUM BOATS LLC</t>
        </is>
      </c>
      <c r="F2103" s="0" t="inlineStr">
        <is>
          <t xml:space="preserve">psc:1940</t>
        </is>
      </c>
    </row>
    <row r="2104">
      <c r="B2104" s="0" t="inlineStr">
        <is>
          <t xml:space="preserve">L822</t>
        </is>
      </c>
      <c r="C2104" s="0" t="inlineStr">
        <is>
          <t xml:space="preserve">broad_maritime</t>
        </is>
      </c>
      <c r="D2104" s="4">
        <v>1.624614</v>
      </c>
      <c r="E2104" s="0" t="inlineStr">
        <is>
          <t xml:space="preserve">ELECTRIC BOAT CORPORATION</t>
        </is>
      </c>
      <c r="F2104" s="0" t="inlineStr">
        <is>
          <t xml:space="preserve">psc:1905</t>
        </is>
      </c>
    </row>
    <row r="2105">
      <c r="B2105" s="0" t="inlineStr">
        <is>
          <t xml:space="preserve">0003</t>
        </is>
      </c>
      <c r="C2105" s="0" t="inlineStr">
        <is>
          <t xml:space="preserve">small_craft</t>
        </is>
      </c>
      <c r="D2105" s="4">
        <v>1.619198</v>
      </c>
      <c r="E2105" s="0" t="inlineStr">
        <is>
          <t xml:space="preserve">SILVER SHIPS, INC</t>
        </is>
      </c>
      <c r="F2105" s="0" t="inlineStr">
        <is>
          <t xml:space="preserve">naics:336612; psc:1940</t>
        </is>
      </c>
    </row>
    <row r="2106">
      <c r="B2106" s="0" t="inlineStr">
        <is>
          <t xml:space="preserve">N6893624F0678</t>
        </is>
      </c>
      <c r="C2106" s="0" t="inlineStr">
        <is>
          <t xml:space="preserve">small_craft</t>
        </is>
      </c>
      <c r="D2106" s="4">
        <v>1.6186579399999999</v>
      </c>
      <c r="E2106" s="0" t="inlineStr">
        <is>
          <t xml:space="preserve">THE MOLDING COMPANY, INC.</t>
        </is>
      </c>
      <c r="F2106" s="0" t="inlineStr">
        <is>
          <t xml:space="preserve">psc:1940</t>
        </is>
      </c>
    </row>
    <row r="2107">
      <c r="B2107" s="0" t="inlineStr">
        <is>
          <t xml:space="preserve">N6133118F0218</t>
        </is>
      </c>
      <c r="C2107" s="0" t="inlineStr">
        <is>
          <t xml:space="preserve">broad_maritime</t>
        </is>
      </c>
      <c r="D2107" s="4">
        <v>1.61346412</v>
      </c>
      <c r="E2107" s="0" t="inlineStr">
        <is>
          <t xml:space="preserve">ATLANTIC DIVING SUPPLY, INC.</t>
        </is>
      </c>
      <c r="F2107" s="0" t="inlineStr">
        <is>
          <t xml:space="preserve">psc:2090</t>
        </is>
      </c>
    </row>
    <row r="2108">
      <c r="B2108" s="0" t="inlineStr">
        <is>
          <t xml:space="preserve">N5523625F9974</t>
        </is>
      </c>
      <c r="C2108" s="0" t="inlineStr">
        <is>
          <t xml:space="preserve">broad_maritime</t>
        </is>
      </c>
      <c r="D2108" s="4">
        <v>1.601826</v>
      </c>
      <c r="E2108" s="0" t="inlineStr">
        <is>
          <t xml:space="preserve">HII FLEET SUPPORT GROUP LLC</t>
        </is>
      </c>
      <c r="F2108" s="0" t="inlineStr">
        <is>
          <t xml:space="preserve">psc:1905</t>
        </is>
      </c>
    </row>
    <row r="2109">
      <c r="B2109" s="0" t="inlineStr">
        <is>
          <t xml:space="preserve">FX04</t>
        </is>
      </c>
      <c r="C2109" s="0" t="inlineStr">
        <is>
          <t xml:space="preserve">broad_maritime</t>
        </is>
      </c>
      <c r="D2109" s="4">
        <v>1.60089685</v>
      </c>
      <c r="E2109" s="0" t="inlineStr">
        <is>
          <t xml:space="preserve">HUNTINGTON INGALLS INC</t>
        </is>
      </c>
      <c r="F2109" s="0" t="inlineStr">
        <is>
          <t xml:space="preserve">psc:1905</t>
        </is>
      </c>
    </row>
    <row r="2110">
      <c r="B2110" s="0" t="inlineStr">
        <is>
          <t xml:space="preserve">N0002423C4114</t>
        </is>
      </c>
      <c r="C2110" s="0" t="inlineStr">
        <is>
          <t xml:space="preserve">broad_maritime</t>
        </is>
      </c>
      <c r="D2110" s="4">
        <v>1.5999999999999999</v>
      </c>
      <c r="E2110" s="0" t="inlineStr">
        <is>
          <t xml:space="preserve">EATON CORPORATION</t>
        </is>
      </c>
      <c r="F2110" s="0" t="inlineStr">
        <is>
          <t xml:space="preserve">psc:1905</t>
        </is>
      </c>
    </row>
    <row r="2111">
      <c r="B2111" s="0" t="inlineStr">
        <is>
          <t xml:space="preserve">N0002415F2213</t>
        </is>
      </c>
      <c r="C2111" s="0" t="inlineStr">
        <is>
          <t xml:space="preserve">small_craft</t>
        </is>
      </c>
      <c r="D2111" s="4">
        <v>1.59063548</v>
      </c>
      <c r="E2111" s="0" t="inlineStr">
        <is>
          <t xml:space="preserve">METAL CRAFT MARINE INCORPORATED</t>
        </is>
      </c>
      <c r="F2111" s="0" t="inlineStr">
        <is>
          <t xml:space="preserve">naics:336612; psc:1940</t>
        </is>
      </c>
    </row>
    <row r="2112">
      <c r="B2112" s="0" t="inlineStr">
        <is>
          <t xml:space="preserve">N0010425FY703</t>
        </is>
      </c>
      <c r="C2112" s="0" t="inlineStr">
        <is>
          <t xml:space="preserve">small_craft</t>
        </is>
      </c>
      <c r="D2112" s="4">
        <v>1.58867505</v>
      </c>
      <c r="E2112" s="0" t="inlineStr">
        <is>
          <t xml:space="preserve">L3 TECHNOLOGIES, INC.</t>
        </is>
      </c>
      <c r="F2112" s="0" t="inlineStr">
        <is>
          <t xml:space="preserve">naics:336612</t>
        </is>
      </c>
    </row>
    <row r="2113">
      <c r="B2113" s="0" t="inlineStr">
        <is>
          <t xml:space="preserve">N3220515C4003</t>
        </is>
      </c>
      <c r="C2113" s="0" t="inlineStr">
        <is>
          <t xml:space="preserve">other_small</t>
        </is>
      </c>
      <c r="D2113" s="4">
        <v>1.58378854</v>
      </c>
      <c r="E2113" s="0" t="inlineStr">
        <is>
          <t xml:space="preserve">COLONNA'S SHIP YARD, INCORPORATED</t>
        </is>
      </c>
      <c r="F2113" s="0" t="inlineStr">
        <is>
          <t xml:space="preserve">psc:1990</t>
        </is>
      </c>
    </row>
    <row r="2114">
      <c r="B2114" s="0" t="inlineStr">
        <is>
          <t xml:space="preserve">N0002424F22B2</t>
        </is>
      </c>
      <c r="C2114" s="0" t="inlineStr">
        <is>
          <t xml:space="preserve">small_craft</t>
        </is>
      </c>
      <c r="D2114" s="4">
        <v>1.58280252</v>
      </c>
      <c r="E2114" s="0" t="inlineStr">
        <is>
          <t xml:space="preserve">UNITED STATES MARINE INC</t>
        </is>
      </c>
      <c r="F2114" s="0" t="inlineStr">
        <is>
          <t xml:space="preserve">naics:336612; psc:1940</t>
        </is>
      </c>
    </row>
    <row r="2115">
      <c r="B2115" s="0" t="inlineStr">
        <is>
          <t xml:space="preserve">N0002414F2239</t>
        </is>
      </c>
      <c r="C2115" s="0" t="inlineStr">
        <is>
          <t xml:space="preserve">small_craft</t>
        </is>
      </c>
      <c r="D2115" s="4">
        <v>1.5772551599999998</v>
      </c>
      <c r="E2115" s="0" t="inlineStr">
        <is>
          <t xml:space="preserve">ZODIAC OF NORTH AMERICA, INC.</t>
        </is>
      </c>
      <c r="F2115" s="0" t="inlineStr">
        <is>
          <t xml:space="preserve">psc:1940</t>
        </is>
      </c>
    </row>
    <row r="2116">
      <c r="B2116" s="0" t="inlineStr">
        <is>
          <t xml:space="preserve">N0001421C1001</t>
        </is>
      </c>
      <c r="C2116" s="0" t="inlineStr">
        <is>
          <t xml:space="preserve">usv_core</t>
        </is>
      </c>
      <c r="D2116" s="4">
        <v>1.5746339999999999</v>
      </c>
      <c r="E2116" s="0" t="inlineStr">
        <is>
          <t xml:space="preserve">SIEMENS CORPORATION</t>
        </is>
      </c>
      <c r="F2116" s="0" t="inlineStr">
        <is>
          <t xml:space="preserve">keyword</t>
        </is>
      </c>
    </row>
    <row r="2117">
      <c r="B2117" s="0" t="inlineStr">
        <is>
          <t xml:space="preserve">N0002424C4125</t>
        </is>
      </c>
      <c r="C2117" s="0" t="inlineStr">
        <is>
          <t xml:space="preserve">broad_maritime</t>
        </is>
      </c>
      <c r="D2117" s="4">
        <v>1.5619649299999998</v>
      </c>
      <c r="E2117" s="0" t="inlineStr">
        <is>
          <t xml:space="preserve">HERREN ASSOCIATES INC</t>
        </is>
      </c>
      <c r="F2117" s="0" t="inlineStr">
        <is>
          <t xml:space="preserve">psc:1905</t>
        </is>
      </c>
    </row>
    <row r="2118">
      <c r="B2118" s="0" t="inlineStr">
        <is>
          <t xml:space="preserve">N6133121F0054</t>
        </is>
      </c>
      <c r="C2118" s="0" t="inlineStr">
        <is>
          <t xml:space="preserve">broad_maritime</t>
        </is>
      </c>
      <c r="D2118" s="4">
        <v>1.55153985</v>
      </c>
      <c r="E2118" s="0" t="inlineStr">
        <is>
          <t xml:space="preserve">ATLANTIC DIVING SUPPLY, INC.</t>
        </is>
      </c>
      <c r="F2118" s="0" t="inlineStr">
        <is>
          <t xml:space="preserve">psc:2090</t>
        </is>
      </c>
    </row>
    <row r="2119">
      <c r="B2119" s="0" t="inlineStr">
        <is>
          <t xml:space="preserve">0012</t>
        </is>
      </c>
      <c r="C2119" s="0" t="inlineStr">
        <is>
          <t xml:space="preserve">broad_maritime</t>
        </is>
      </c>
      <c r="D2119" s="4">
        <v>1.549362</v>
      </c>
      <c r="E2119" s="0" t="inlineStr">
        <is>
          <t xml:space="preserve">LAUREL TECHNOLOGIES PARTNERSHIP</t>
        </is>
      </c>
      <c r="F2119" s="0" t="inlineStr">
        <is>
          <t xml:space="preserve">psc:2090</t>
        </is>
      </c>
    </row>
    <row r="2120">
      <c r="B2120" s="0" t="inlineStr">
        <is>
          <t xml:space="preserve">N6133117F0120</t>
        </is>
      </c>
      <c r="C2120" s="0" t="inlineStr">
        <is>
          <t xml:space="preserve">broad_maritime</t>
        </is>
      </c>
      <c r="D2120" s="4">
        <v>1.5491275</v>
      </c>
      <c r="E2120" s="0" t="inlineStr">
        <is>
          <t xml:space="preserve">ATLANTIC DIVING SUPPLY, INC.</t>
        </is>
      </c>
      <c r="F2120" s="0" t="inlineStr">
        <is>
          <t xml:space="preserve">psc:2090</t>
        </is>
      </c>
    </row>
    <row r="2121">
      <c r="B2121" s="0" t="inlineStr">
        <is>
          <t xml:space="preserve">N0040625CS030</t>
        </is>
      </c>
      <c r="C2121" s="0" t="inlineStr">
        <is>
          <t xml:space="preserve">broad_maritime</t>
        </is>
      </c>
      <c r="D2121" s="4">
        <v>1.54864768</v>
      </c>
      <c r="E2121" s="0" t="inlineStr">
        <is>
          <t xml:space="preserve">CURTISS-WRIGHT ELECTRO-MECHANICAL CORP</t>
        </is>
      </c>
      <c r="F2121" s="0" t="inlineStr">
        <is>
          <t xml:space="preserve">psc:2090</t>
        </is>
      </c>
    </row>
    <row r="2122">
      <c r="B2122" s="0" t="inlineStr">
        <is>
          <t xml:space="preserve">N6449817F4128</t>
        </is>
      </c>
      <c r="C2122" s="0" t="inlineStr">
        <is>
          <t xml:space="preserve">broad_maritime</t>
        </is>
      </c>
      <c r="D2122" s="4">
        <v>1.5476649999999998</v>
      </c>
      <c r="E2122" s="0" t="inlineStr">
        <is>
          <t xml:space="preserve">LAUREL TECHNOLOGIES PARTNERSHIP</t>
        </is>
      </c>
      <c r="F2122" s="0" t="inlineStr">
        <is>
          <t xml:space="preserve">psc:2090</t>
        </is>
      </c>
    </row>
    <row r="2123">
      <c r="B2123" s="0" t="inlineStr">
        <is>
          <t xml:space="preserve">N3220520P4503</t>
        </is>
      </c>
      <c r="C2123" s="0" t="inlineStr">
        <is>
          <t xml:space="preserve">broad_maritime</t>
        </is>
      </c>
      <c r="D2123" s="4">
        <v>1.5430618799999998</v>
      </c>
      <c r="E2123" s="0" t="inlineStr">
        <is>
          <t xml:space="preserve">SCHOELLHORN - ALBRECHT MACHINE CO INC</t>
        </is>
      </c>
      <c r="F2123" s="0" t="inlineStr">
        <is>
          <t xml:space="preserve">psc:2090</t>
        </is>
      </c>
    </row>
    <row r="2124">
      <c r="B2124" s="0" t="inlineStr">
        <is>
          <t xml:space="preserve">0002</t>
        </is>
      </c>
      <c r="C2124" s="0" t="inlineStr">
        <is>
          <t xml:space="preserve">small_craft</t>
        </is>
      </c>
      <c r="D2124" s="4">
        <v>1.5413599999999998</v>
      </c>
      <c r="E2124" s="0" t="inlineStr">
        <is>
          <t xml:space="preserve">METALCRAFT MARINE US, INC.</t>
        </is>
      </c>
      <c r="F2124" s="0" t="inlineStr">
        <is>
          <t xml:space="preserve">naics:336612; psc:1940</t>
        </is>
      </c>
    </row>
    <row r="2125">
      <c r="B2125" s="0" t="inlineStr">
        <is>
          <t xml:space="preserve">N0003311P7000</t>
        </is>
      </c>
      <c r="C2125" s="0" t="inlineStr">
        <is>
          <t xml:space="preserve">broad_maritime</t>
        </is>
      </c>
      <c r="D2125" s="4">
        <v>1.5349898999999998</v>
      </c>
      <c r="E2125" s="0" t="inlineStr">
        <is>
          <t xml:space="preserve">STANDARD CALIBRATIONS INC</t>
        </is>
      </c>
      <c r="F2125" s="0" t="inlineStr">
        <is>
          <t xml:space="preserve">psc:2090</t>
        </is>
      </c>
    </row>
    <row r="2126">
      <c r="B2126" s="0" t="inlineStr">
        <is>
          <t xml:space="preserve">N6279325C0002</t>
        </is>
      </c>
      <c r="C2126" s="0" t="inlineStr">
        <is>
          <t xml:space="preserve">broad_maritime</t>
        </is>
      </c>
      <c r="D2126" s="4">
        <v>1.530908</v>
      </c>
      <c r="E2126" s="0" t="inlineStr">
        <is>
          <t xml:space="preserve">PCCI, INC.</t>
        </is>
      </c>
      <c r="F2126" s="0" t="inlineStr">
        <is>
          <t xml:space="preserve">psc:2090</t>
        </is>
      </c>
    </row>
    <row r="2127">
      <c r="B2127" s="0" t="inlineStr">
        <is>
          <t xml:space="preserve">N6449820F4426</t>
        </is>
      </c>
      <c r="C2127" s="0" t="inlineStr">
        <is>
          <t xml:space="preserve">broad_maritime</t>
        </is>
      </c>
      <c r="D2127" s="4">
        <v>1.525588</v>
      </c>
      <c r="E2127" s="0" t="inlineStr">
        <is>
          <t xml:space="preserve">OCEANEERING INTERNATIONAL INC</t>
        </is>
      </c>
      <c r="F2127" s="0" t="inlineStr">
        <is>
          <t xml:space="preserve">psc:1905</t>
        </is>
      </c>
    </row>
    <row r="2128">
      <c r="B2128" s="0" t="inlineStr">
        <is>
          <t xml:space="preserve">N0016419F0049</t>
        </is>
      </c>
      <c r="C2128" s="0" t="inlineStr">
        <is>
          <t xml:space="preserve">small_craft</t>
        </is>
      </c>
      <c r="D2128" s="4">
        <v>1.5244276799999998</v>
      </c>
      <c r="E2128" s="0" t="inlineStr">
        <is>
          <t xml:space="preserve">ATLANTIC DIVING SUPPLY, INC.</t>
        </is>
      </c>
      <c r="F2128" s="0" t="inlineStr">
        <is>
          <t xml:space="preserve">psc:1940</t>
        </is>
      </c>
    </row>
    <row r="2129">
      <c r="B2129" s="0" t="inlineStr">
        <is>
          <t xml:space="preserve">N0010422CNA02</t>
        </is>
      </c>
      <c r="C2129" s="0" t="inlineStr">
        <is>
          <t xml:space="preserve">small_craft</t>
        </is>
      </c>
      <c r="D2129" s="4">
        <v>1.5236999999999998</v>
      </c>
      <c r="E2129" s="0" t="inlineStr">
        <is>
          <t xml:space="preserve">MOOG INC.</t>
        </is>
      </c>
      <c r="F2129" s="0" t="inlineStr">
        <is>
          <t xml:space="preserve">naics:336612</t>
        </is>
      </c>
    </row>
    <row r="2130">
      <c r="B2130" s="0" t="inlineStr">
        <is>
          <t xml:space="preserve">N3220521P2113</t>
        </is>
      </c>
      <c r="C2130" s="0" t="inlineStr">
        <is>
          <t xml:space="preserve">broad_maritime</t>
        </is>
      </c>
      <c r="D2130" s="4">
        <v>1.5161154</v>
      </c>
      <c r="E2130" s="0" t="inlineStr">
        <is>
          <t xml:space="preserve">DEFENSE MARITIME SOLUTIONS, INC.</t>
        </is>
      </c>
      <c r="F2130" s="0" t="inlineStr">
        <is>
          <t xml:space="preserve">psc:2090</t>
        </is>
      </c>
    </row>
    <row r="2131">
      <c r="B2131" s="0" t="inlineStr">
        <is>
          <t xml:space="preserve">0013</t>
        </is>
      </c>
      <c r="C2131" s="0" t="inlineStr">
        <is>
          <t xml:space="preserve">broad_maritime</t>
        </is>
      </c>
      <c r="D2131" s="4">
        <v>1.51580158</v>
      </c>
      <c r="E2131" s="0" t="inlineStr">
        <is>
          <t xml:space="preserve">LEIDOS, INC.</t>
        </is>
      </c>
      <c r="F2131" s="0" t="inlineStr">
        <is>
          <t xml:space="preserve">psc:2090</t>
        </is>
      </c>
    </row>
    <row r="2132">
      <c r="B2132" s="0" t="inlineStr">
        <is>
          <t xml:space="preserve">N0002412F2246</t>
        </is>
      </c>
      <c r="C2132" s="0" t="inlineStr">
        <is>
          <t xml:space="preserve">small_craft</t>
        </is>
      </c>
      <c r="D2132" s="4">
        <v>1.50975646</v>
      </c>
      <c r="E2132" s="0" t="inlineStr">
        <is>
          <t xml:space="preserve">ZODIAC OF NORTH AMERICA, INC.</t>
        </is>
      </c>
      <c r="F2132" s="0" t="inlineStr">
        <is>
          <t xml:space="preserve">psc:1940</t>
        </is>
      </c>
    </row>
    <row r="2133">
      <c r="B2133" s="0" t="inlineStr">
        <is>
          <t xml:space="preserve">0002</t>
        </is>
      </c>
      <c r="C2133" s="0" t="inlineStr">
        <is>
          <t xml:space="preserve">broad_maritime</t>
        </is>
      </c>
      <c r="D2133" s="4">
        <v>1.5085973999999998</v>
      </c>
      <c r="E2133" s="0" t="inlineStr">
        <is>
          <t xml:space="preserve">HII UNMANNED SYSTEMS, INC.</t>
        </is>
      </c>
      <c r="F2133" s="0" t="inlineStr">
        <is>
          <t xml:space="preserve">psc:2090</t>
        </is>
      </c>
    </row>
    <row r="2134">
      <c r="B2134" s="0" t="inlineStr">
        <is>
          <t xml:space="preserve">0001</t>
        </is>
      </c>
      <c r="C2134" s="0" t="inlineStr">
        <is>
          <t xml:space="preserve">small_craft</t>
        </is>
      </c>
      <c r="D2134" s="4">
        <v>1.50841424</v>
      </c>
      <c r="E2134" s="0" t="inlineStr">
        <is>
          <t xml:space="preserve">GRAVOIS ALUMINUM BOATS LLC</t>
        </is>
      </c>
      <c r="F2134" s="0" t="inlineStr">
        <is>
          <t xml:space="preserve">naics:336612</t>
        </is>
      </c>
    </row>
    <row r="2135">
      <c r="B2135" s="0" t="inlineStr">
        <is>
          <t xml:space="preserve">N0018922P0676</t>
        </is>
      </c>
      <c r="C2135" s="0" t="inlineStr">
        <is>
          <t xml:space="preserve">broad_maritime</t>
        </is>
      </c>
      <c r="D2135" s="4">
        <v>1.498715</v>
      </c>
      <c r="E2135" s="0" t="inlineStr">
        <is>
          <t xml:space="preserve">GE ENERGY POWER CONVERSION USA INC.</t>
        </is>
      </c>
      <c r="F2135" s="0" t="inlineStr">
        <is>
          <t xml:space="preserve">psc:2090</t>
        </is>
      </c>
    </row>
    <row r="2136">
      <c r="B2136" s="0" t="inlineStr">
        <is>
          <t xml:space="preserve">N6279321F0002</t>
        </is>
      </c>
      <c r="C2136" s="0" t="inlineStr">
        <is>
          <t xml:space="preserve">broad_maritime</t>
        </is>
      </c>
      <c r="D2136" s="4">
        <v>1.4974947299999999</v>
      </c>
      <c r="E2136" s="0" t="inlineStr">
        <is>
          <t xml:space="preserve">HII FLEET SUPPORT GROUP LLC</t>
        </is>
      </c>
      <c r="F2136" s="0" t="inlineStr">
        <is>
          <t xml:space="preserve">psc:1905</t>
        </is>
      </c>
    </row>
    <row r="2137">
      <c r="B2137" s="0" t="inlineStr">
        <is>
          <t xml:space="preserve">N0002418F4235</t>
        </is>
      </c>
      <c r="C2137" s="0" t="inlineStr">
        <is>
          <t xml:space="preserve">broad_maritime</t>
        </is>
      </c>
      <c r="D2137" s="4">
        <v>1.49675801</v>
      </c>
      <c r="E2137" s="0" t="inlineStr">
        <is>
          <t xml:space="preserve">VSE CORPORATION</t>
        </is>
      </c>
      <c r="F2137" s="0" t="inlineStr">
        <is>
          <t xml:space="preserve">psc:2090</t>
        </is>
      </c>
    </row>
    <row r="2138">
      <c r="B2138" s="0" t="inlineStr">
        <is>
          <t xml:space="preserve">N0010421CXA09</t>
        </is>
      </c>
      <c r="C2138" s="0" t="inlineStr">
        <is>
          <t xml:space="preserve">small_craft</t>
        </is>
      </c>
      <c r="D2138" s="4">
        <v>1.496505</v>
      </c>
      <c r="E2138" s="0" t="inlineStr">
        <is>
          <t xml:space="preserve">ROLLS-ROYCE MARINE NORTH AMERICA INC.</t>
        </is>
      </c>
      <c r="F2138" s="0" t="inlineStr">
        <is>
          <t xml:space="preserve">naics:336612</t>
        </is>
      </c>
    </row>
    <row r="2139">
      <c r="B2139" s="0" t="inlineStr">
        <is>
          <t xml:space="preserve">0005</t>
        </is>
      </c>
      <c r="C2139" s="0" t="inlineStr">
        <is>
          <t xml:space="preserve">small_craft</t>
        </is>
      </c>
      <c r="D2139" s="4">
        <v>1.475816</v>
      </c>
      <c r="E2139" s="0" t="inlineStr">
        <is>
          <t xml:space="preserve">GRAVOIS ALUMINUM BOATS LLC</t>
        </is>
      </c>
      <c r="F2139" s="0" t="inlineStr">
        <is>
          <t xml:space="preserve">naics:336612; psc:1940</t>
        </is>
      </c>
    </row>
    <row r="2140">
      <c r="B2140" s="0" t="inlineStr">
        <is>
          <t xml:space="preserve">N3220519P4053</t>
        </is>
      </c>
      <c r="C2140" s="0" t="inlineStr">
        <is>
          <t xml:space="preserve">broad_maritime</t>
        </is>
      </c>
      <c r="D2140" s="4">
        <v>1.4712467599999999</v>
      </c>
      <c r="E2140" s="0" t="inlineStr">
        <is>
          <t xml:space="preserve">ABB INC.</t>
        </is>
      </c>
      <c r="F2140" s="0" t="inlineStr">
        <is>
          <t xml:space="preserve">psc:2090</t>
        </is>
      </c>
    </row>
    <row r="2141">
      <c r="B2141" s="0" t="inlineStr">
        <is>
          <t xml:space="preserve">N0002417F22Q1</t>
        </is>
      </c>
      <c r="C2141" s="0" t="inlineStr">
        <is>
          <t xml:space="preserve">small_craft</t>
        </is>
      </c>
      <c r="D2141" s="4">
        <v>1.470122</v>
      </c>
      <c r="E2141" s="0" t="inlineStr">
        <is>
          <t xml:space="preserve">MODUTECH MARINE, INC.</t>
        </is>
      </c>
      <c r="F2141" s="0" t="inlineStr">
        <is>
          <t xml:space="preserve">naics:336612; psc:1940</t>
        </is>
      </c>
    </row>
    <row r="2142">
      <c r="B2142" s="0" t="inlineStr">
        <is>
          <t xml:space="preserve">L804</t>
        </is>
      </c>
      <c r="C2142" s="0" t="inlineStr">
        <is>
          <t xml:space="preserve">broad_maritime</t>
        </is>
      </c>
      <c r="D2142" s="4">
        <v>1.465274</v>
      </c>
      <c r="E2142" s="0" t="inlineStr">
        <is>
          <t xml:space="preserve">ELECTRIC BOAT CORPORATION</t>
        </is>
      </c>
      <c r="F2142" s="0" t="inlineStr">
        <is>
          <t xml:space="preserve">psc:1905</t>
        </is>
      </c>
    </row>
    <row r="2143">
      <c r="B2143" s="0" t="inlineStr">
        <is>
          <t xml:space="preserve">0001</t>
        </is>
      </c>
      <c r="C2143" s="0" t="inlineStr">
        <is>
          <t xml:space="preserve">broad_maritime</t>
        </is>
      </c>
      <c r="D2143" s="4">
        <v>1.4606249999999998</v>
      </c>
      <c r="E2143" s="0" t="inlineStr">
        <is>
          <t xml:space="preserve">ELECTRIC BOAT CORPORATION</t>
        </is>
      </c>
      <c r="F2143" s="0" t="inlineStr">
        <is>
          <t xml:space="preserve">psc:1905</t>
        </is>
      </c>
    </row>
    <row r="2144">
      <c r="B2144" s="0" t="inlineStr">
        <is>
          <t xml:space="preserve">N3220518P4012</t>
        </is>
      </c>
      <c r="C2144" s="0" t="inlineStr">
        <is>
          <t xml:space="preserve">broad_maritime</t>
        </is>
      </c>
      <c r="D2144" s="4">
        <v>1.4541119999999998</v>
      </c>
      <c r="E2144" s="0" t="inlineStr">
        <is>
          <t xml:space="preserve">ABB INC.</t>
        </is>
      </c>
      <c r="F2144" s="0" t="inlineStr">
        <is>
          <t xml:space="preserve">psc:2090</t>
        </is>
      </c>
    </row>
    <row r="2145">
      <c r="B2145" s="0" t="inlineStr">
        <is>
          <t xml:space="preserve">N0002425F4124</t>
        </is>
      </c>
      <c r="C2145" s="0" t="inlineStr">
        <is>
          <t xml:space="preserve">broad_maritime</t>
        </is>
      </c>
      <c r="D2145" s="4">
        <v>1.4520451399999998</v>
      </c>
      <c r="E2145" s="0" t="inlineStr">
        <is>
          <t xml:space="preserve">BOWHEAD MARINE SUPPORT SERVICES, LLC</t>
        </is>
      </c>
      <c r="F2145" s="0" t="inlineStr">
        <is>
          <t xml:space="preserve">psc:2090</t>
        </is>
      </c>
    </row>
    <row r="2146">
      <c r="B2146" s="0" t="inlineStr">
        <is>
          <t xml:space="preserve">N0002425C4114</t>
        </is>
      </c>
      <c r="C2146" s="0" t="inlineStr">
        <is>
          <t xml:space="preserve">broad_maritime</t>
        </is>
      </c>
      <c r="D2146" s="4">
        <v>1.45</v>
      </c>
      <c r="E2146" s="0" t="inlineStr">
        <is>
          <t xml:space="preserve">CONTINUOUS SOLUTIONS INC</t>
        </is>
      </c>
      <c r="F2146" s="0" t="inlineStr">
        <is>
          <t xml:space="preserve">psc:1905</t>
        </is>
      </c>
    </row>
    <row r="2147">
      <c r="B2147" s="0" t="inlineStr">
        <is>
          <t xml:space="preserve">N6600122F0155</t>
        </is>
      </c>
      <c r="C2147" s="0" t="inlineStr">
        <is>
          <t xml:space="preserve">usv_core</t>
        </is>
      </c>
      <c r="D2147" s="4">
        <v>1.44998558</v>
      </c>
      <c r="E2147" s="0" t="inlineStr">
        <is>
          <t xml:space="preserve">COLSA CORP</t>
        </is>
      </c>
      <c r="F2147" s="0" t="inlineStr">
        <is>
          <t xml:space="preserve">keyword</t>
        </is>
      </c>
    </row>
    <row r="2148">
      <c r="B2148" s="0" t="inlineStr">
        <is>
          <t xml:space="preserve">N0002420F22G1</t>
        </is>
      </c>
      <c r="C2148" s="0" t="inlineStr">
        <is>
          <t xml:space="preserve">small_craft</t>
        </is>
      </c>
      <c r="D2148" s="4">
        <v>1.4455856699999998</v>
      </c>
      <c r="E2148" s="0" t="inlineStr">
        <is>
          <t xml:space="preserve">METALCRAFT MARINE US, INC.</t>
        </is>
      </c>
      <c r="F2148" s="0" t="inlineStr">
        <is>
          <t xml:space="preserve">naics:336612; psc:1940</t>
        </is>
      </c>
    </row>
    <row r="2149">
      <c r="B2149" s="0" t="inlineStr">
        <is>
          <t xml:space="preserve">N0002420F22V1</t>
        </is>
      </c>
      <c r="C2149" s="0" t="inlineStr">
        <is>
          <t xml:space="preserve">small_craft</t>
        </is>
      </c>
      <c r="D2149" s="4">
        <v>1.445319</v>
      </c>
      <c r="E2149" s="0" t="inlineStr">
        <is>
          <t xml:space="preserve">SNOW &amp; COMPANY, INC.</t>
        </is>
      </c>
      <c r="F2149" s="0" t="inlineStr">
        <is>
          <t xml:space="preserve">naics:336612; psc:1940</t>
        </is>
      </c>
    </row>
    <row r="2150">
      <c r="B2150" s="0" t="inlineStr">
        <is>
          <t xml:space="preserve">N0002424F22B3</t>
        </is>
      </c>
      <c r="C2150" s="0" t="inlineStr">
        <is>
          <t xml:space="preserve">small_craft</t>
        </is>
      </c>
      <c r="D2150" s="4">
        <v>1.42774</v>
      </c>
      <c r="E2150" s="0" t="inlineStr">
        <is>
          <t xml:space="preserve">SILVER SHIPS, INC</t>
        </is>
      </c>
      <c r="F2150" s="0" t="inlineStr">
        <is>
          <t xml:space="preserve">naics:336612; psc:1940</t>
        </is>
      </c>
    </row>
    <row r="2151">
      <c r="B2151" s="0" t="inlineStr">
        <is>
          <t xml:space="preserve">0004</t>
        </is>
      </c>
      <c r="C2151" s="0" t="inlineStr">
        <is>
          <t xml:space="preserve">other_small</t>
        </is>
      </c>
      <c r="D2151" s="4">
        <v>1.425</v>
      </c>
      <c r="E2151" s="0" t="inlineStr">
        <is>
          <t xml:space="preserve">OCEANEERING INTERNATIONAL INC</t>
        </is>
      </c>
      <c r="F2151" s="0" t="inlineStr">
        <is>
          <t xml:space="preserve">psc:1990</t>
        </is>
      </c>
    </row>
    <row r="2152">
      <c r="B2152" s="0" t="inlineStr">
        <is>
          <t xml:space="preserve">0003</t>
        </is>
      </c>
      <c r="C2152" s="0" t="inlineStr">
        <is>
          <t xml:space="preserve">broad_maritime</t>
        </is>
      </c>
      <c r="D2152" s="4">
        <v>1.4184192299999998</v>
      </c>
      <c r="E2152" s="0" t="inlineStr">
        <is>
          <t xml:space="preserve">HUNTINGTON INGALLS INC</t>
        </is>
      </c>
      <c r="F2152" s="0" t="inlineStr">
        <is>
          <t xml:space="preserve">psc:1905</t>
        </is>
      </c>
    </row>
    <row r="2153">
      <c r="B2153" s="0" t="inlineStr">
        <is>
          <t xml:space="preserve">N0002419F22F1</t>
        </is>
      </c>
      <c r="C2153" s="0" t="inlineStr">
        <is>
          <t xml:space="preserve">small_craft</t>
        </is>
      </c>
      <c r="D2153" s="4">
        <v>1.41245165</v>
      </c>
      <c r="E2153" s="0" t="inlineStr">
        <is>
          <t xml:space="preserve">WORKSKIFF, INC.</t>
        </is>
      </c>
      <c r="F2153" s="0" t="inlineStr">
        <is>
          <t xml:space="preserve">naics:336612; psc:1940</t>
        </is>
      </c>
    </row>
    <row r="2154">
      <c r="B2154" s="0" t="inlineStr">
        <is>
          <t xml:space="preserve">N6133120F0090</t>
        </is>
      </c>
      <c r="C2154" s="0" t="inlineStr">
        <is>
          <t xml:space="preserve">broad_maritime</t>
        </is>
      </c>
      <c r="D2154" s="4">
        <v>1.4109085099999998</v>
      </c>
      <c r="E2154" s="0" t="inlineStr">
        <is>
          <t xml:space="preserve">L3HARRIS MARITIME SERVICES INC</t>
        </is>
      </c>
      <c r="F2154" s="0" t="inlineStr">
        <is>
          <t xml:space="preserve">psc:2090</t>
        </is>
      </c>
    </row>
    <row r="2155">
      <c r="B2155" s="0" t="inlineStr">
        <is>
          <t xml:space="preserve">N3220520P0072</t>
        </is>
      </c>
      <c r="C2155" s="0" t="inlineStr">
        <is>
          <t xml:space="preserve">broad_maritime</t>
        </is>
      </c>
      <c r="D2155" s="4">
        <v>1.4092372899999999</v>
      </c>
      <c r="E2155" s="0" t="inlineStr">
        <is>
          <t xml:space="preserve">FINCANTIERI MARINE SYSTEMS NORTH AMERICA, INC.</t>
        </is>
      </c>
      <c r="F2155" s="0" t="inlineStr">
        <is>
          <t xml:space="preserve">psc:2090</t>
        </is>
      </c>
    </row>
    <row r="2156">
      <c r="B2156" s="0" t="inlineStr">
        <is>
          <t xml:space="preserve">N3220518P4029</t>
        </is>
      </c>
      <c r="C2156" s="0" t="inlineStr">
        <is>
          <t xml:space="preserve">broad_maritime</t>
        </is>
      </c>
      <c r="D2156" s="4">
        <v>1.4085943799999998</v>
      </c>
      <c r="E2156" s="0" t="inlineStr">
        <is>
          <t xml:space="preserve">GEISLINGER CORPORATION</t>
        </is>
      </c>
      <c r="F2156" s="0" t="inlineStr">
        <is>
          <t xml:space="preserve">psc:2090</t>
        </is>
      </c>
    </row>
    <row r="2157">
      <c r="B2157" s="0" t="inlineStr">
        <is>
          <t xml:space="preserve">N0018922P0024</t>
        </is>
      </c>
      <c r="C2157" s="0" t="inlineStr">
        <is>
          <t xml:space="preserve">broad_maritime</t>
        </is>
      </c>
      <c r="D2157" s="4">
        <v>1.40487097</v>
      </c>
      <c r="E2157" s="0" t="inlineStr">
        <is>
          <t xml:space="preserve">APPLETON MARINE INC</t>
        </is>
      </c>
      <c r="F2157" s="0" t="inlineStr">
        <is>
          <t xml:space="preserve">psc:2090</t>
        </is>
      </c>
    </row>
    <row r="2158">
      <c r="B2158" s="0" t="inlineStr">
        <is>
          <t xml:space="preserve">N6426725P5027</t>
        </is>
      </c>
      <c r="C2158" s="0" t="inlineStr">
        <is>
          <t xml:space="preserve">small_craft</t>
        </is>
      </c>
      <c r="D2158" s="4">
        <v>1.3968620299999999</v>
      </c>
      <c r="E2158" s="0" t="inlineStr">
        <is>
          <t xml:space="preserve">THE WHISKEY PROJECT GROUP USA LLC</t>
        </is>
      </c>
      <c r="F2158" s="0" t="inlineStr">
        <is>
          <t xml:space="preserve">naics:336612; psc:1940</t>
        </is>
      </c>
    </row>
    <row r="2159">
      <c r="B2159" s="0" t="inlineStr">
        <is>
          <t xml:space="preserve">NNN14R037T</t>
        </is>
      </c>
      <c r="C2159" s="0" t="inlineStr">
        <is>
          <t xml:space="preserve">usv_core</t>
        </is>
      </c>
      <c r="D2159" s="4">
        <v>1.3967878799999998</v>
      </c>
      <c r="E2159" s="0" t="inlineStr">
        <is>
          <t xml:space="preserve">CALIFORNIA INSTITUTE OF TECHNOLOGY</t>
        </is>
      </c>
      <c r="F2159" s="0" t="inlineStr">
        <is>
          <t xml:space="preserve">keyword</t>
        </is>
      </c>
    </row>
    <row r="2160">
      <c r="B2160" s="0" t="inlineStr">
        <is>
          <t xml:space="preserve">N3220515P3208</t>
        </is>
      </c>
      <c r="C2160" s="0" t="inlineStr">
        <is>
          <t xml:space="preserve">broad_maritime</t>
        </is>
      </c>
      <c r="D2160" s="4">
        <v>1.3946459999999998</v>
      </c>
      <c r="E2160" s="0" t="inlineStr">
        <is>
          <t xml:space="preserve">MARY HELEN PARKEY</t>
        </is>
      </c>
      <c r="F2160" s="0" t="inlineStr">
        <is>
          <t xml:space="preserve">psc:2090</t>
        </is>
      </c>
    </row>
    <row r="2161">
      <c r="B2161" s="0" t="inlineStr">
        <is>
          <t xml:space="preserve">N6133121F0084</t>
        </is>
      </c>
      <c r="C2161" s="0" t="inlineStr">
        <is>
          <t xml:space="preserve">broad_maritime</t>
        </is>
      </c>
      <c r="D2161" s="4">
        <v>1.394229</v>
      </c>
      <c r="E2161" s="0" t="inlineStr">
        <is>
          <t xml:space="preserve">SMR ACQUISITION LLC</t>
        </is>
      </c>
      <c r="F2161" s="0" t="inlineStr">
        <is>
          <t xml:space="preserve">psc:2090</t>
        </is>
      </c>
    </row>
    <row r="2162">
      <c r="B2162" s="0" t="inlineStr">
        <is>
          <t xml:space="preserve">N0010424CZA57</t>
        </is>
      </c>
      <c r="C2162" s="0" t="inlineStr">
        <is>
          <t xml:space="preserve">small_craft</t>
        </is>
      </c>
      <c r="D2162" s="4">
        <v>1.3906738</v>
      </c>
      <c r="E2162" s="0" t="inlineStr">
        <is>
          <t xml:space="preserve">ART CRAFT FABRICATORS INC</t>
        </is>
      </c>
      <c r="F2162" s="0" t="inlineStr">
        <is>
          <t xml:space="preserve">naics:336612</t>
        </is>
      </c>
    </row>
    <row r="2163">
      <c r="B2163" s="0" t="inlineStr">
        <is>
          <t xml:space="preserve">N0002417F22F1</t>
        </is>
      </c>
      <c r="C2163" s="0" t="inlineStr">
        <is>
          <t xml:space="preserve">small_craft</t>
        </is>
      </c>
      <c r="D2163" s="4">
        <v>1.38954001</v>
      </c>
      <c r="E2163" s="0" t="inlineStr">
        <is>
          <t xml:space="preserve">WORKSKIFF, INC.</t>
        </is>
      </c>
      <c r="F2163" s="0" t="inlineStr">
        <is>
          <t xml:space="preserve">naics:336612; psc:1940</t>
        </is>
      </c>
    </row>
    <row r="2164">
      <c r="B2164" s="0" t="inlineStr">
        <is>
          <t xml:space="preserve">N0002415C2221</t>
        </is>
      </c>
      <c r="C2164" s="0" t="inlineStr">
        <is>
          <t xml:space="preserve">small_craft</t>
        </is>
      </c>
      <c r="D2164" s="4">
        <v>1.38815186</v>
      </c>
      <c r="E2164" s="0" t="inlineStr">
        <is>
          <t xml:space="preserve">RFD BEAUFORT INC.</t>
        </is>
      </c>
      <c r="F2164" s="0" t="inlineStr">
        <is>
          <t xml:space="preserve">naics:336612; psc:1940</t>
        </is>
      </c>
    </row>
    <row r="2165">
      <c r="B2165" s="0" t="inlineStr">
        <is>
          <t xml:space="preserve">N6449822F4212</t>
        </is>
      </c>
      <c r="C2165" s="0" t="inlineStr">
        <is>
          <t xml:space="preserve">broad_maritime</t>
        </is>
      </c>
      <c r="D2165" s="4">
        <v>1.3866239999999999</v>
      </c>
      <c r="E2165" s="0" t="inlineStr">
        <is>
          <t xml:space="preserve">NAG, LLC</t>
        </is>
      </c>
      <c r="F2165" s="0" t="inlineStr">
        <is>
          <t xml:space="preserve">psc:2090</t>
        </is>
      </c>
    </row>
    <row r="2166">
      <c r="B2166" s="0" t="inlineStr">
        <is>
          <t xml:space="preserve">N0003922F2153</t>
        </is>
      </c>
      <c r="C2166" s="0" t="inlineStr">
        <is>
          <t xml:space="preserve">small_craft</t>
        </is>
      </c>
      <c r="D2166" s="4">
        <v>1.38604848</v>
      </c>
      <c r="E2166" s="0" t="inlineStr">
        <is>
          <t xml:space="preserve">TELEDYNE BROWN ENGINEERING, INC.</t>
        </is>
      </c>
      <c r="F2166" s="0" t="inlineStr">
        <is>
          <t xml:space="preserve">psc:1940</t>
        </is>
      </c>
    </row>
    <row r="2167">
      <c r="B2167" s="0" t="inlineStr">
        <is>
          <t xml:space="preserve">N0002421F22J1</t>
        </is>
      </c>
      <c r="C2167" s="0" t="inlineStr">
        <is>
          <t xml:space="preserve">small_craft</t>
        </is>
      </c>
      <c r="D2167" s="4">
        <v>1.38517</v>
      </c>
      <c r="E2167" s="0" t="inlineStr">
        <is>
          <t xml:space="preserve">UNITED STATES MARINE INC</t>
        </is>
      </c>
      <c r="F2167" s="0" t="inlineStr">
        <is>
          <t xml:space="preserve">naics:336612; psc:1940</t>
        </is>
      </c>
    </row>
    <row r="2168">
      <c r="B2168" s="0" t="inlineStr">
        <is>
          <t xml:space="preserve">N6449820F4277</t>
        </is>
      </c>
      <c r="C2168" s="0" t="inlineStr">
        <is>
          <t xml:space="preserve">broad_maritime</t>
        </is>
      </c>
      <c r="D2168" s="4">
        <v>1.38440978</v>
      </c>
      <c r="E2168" s="0" t="inlineStr">
        <is>
          <t xml:space="preserve">NAG, LLC</t>
        </is>
      </c>
      <c r="F2168" s="0" t="inlineStr">
        <is>
          <t xml:space="preserve">psc:2090</t>
        </is>
      </c>
    </row>
    <row r="2169">
      <c r="B2169" s="0" t="inlineStr">
        <is>
          <t xml:space="preserve">N0002420F22J1</t>
        </is>
      </c>
      <c r="C2169" s="0" t="inlineStr">
        <is>
          <t xml:space="preserve">small_craft</t>
        </is>
      </c>
      <c r="D2169" s="4">
        <v>1.37917387</v>
      </c>
      <c r="E2169" s="0" t="inlineStr">
        <is>
          <t xml:space="preserve">UNITED STATES MARINE INC</t>
        </is>
      </c>
      <c r="F2169" s="0" t="inlineStr">
        <is>
          <t xml:space="preserve">naics:336612; psc:1940</t>
        </is>
      </c>
    </row>
    <row r="2170">
      <c r="B2170" s="0" t="inlineStr">
        <is>
          <t xml:space="preserve">N0002417F22G1</t>
        </is>
      </c>
      <c r="C2170" s="0" t="inlineStr">
        <is>
          <t xml:space="preserve">small_craft</t>
        </is>
      </c>
      <c r="D2170" s="4">
        <v>1.37892091</v>
      </c>
      <c r="E2170" s="0" t="inlineStr">
        <is>
          <t xml:space="preserve">METALCRAFT MARINE US, INC.</t>
        </is>
      </c>
      <c r="F2170" s="0" t="inlineStr">
        <is>
          <t xml:space="preserve">naics:336612; psc:1940</t>
        </is>
      </c>
    </row>
    <row r="2171">
      <c r="B2171" s="0" t="inlineStr">
        <is>
          <t xml:space="preserve">N0002418C2214</t>
        </is>
      </c>
      <c r="C2171" s="0" t="inlineStr">
        <is>
          <t xml:space="preserve">small_craft</t>
        </is>
      </c>
      <c r="D2171" s="4">
        <v>1.374626</v>
      </c>
      <c r="E2171" s="0" t="inlineStr">
        <is>
          <t xml:space="preserve">BRUNSWICK COMMERCIAL &amp; GOVERNMENT PRODUCTS, INC.</t>
        </is>
      </c>
      <c r="F2171" s="0" t="inlineStr">
        <is>
          <t xml:space="preserve">naics:336612; psc:1940</t>
        </is>
      </c>
    </row>
    <row r="2172">
      <c r="B2172" s="0" t="inlineStr">
        <is>
          <t xml:space="preserve">GA01</t>
        </is>
      </c>
      <c r="C2172" s="0" t="inlineStr">
        <is>
          <t xml:space="preserve">broad_maritime</t>
        </is>
      </c>
      <c r="D2172" s="4">
        <v>1.3719789999999998</v>
      </c>
      <c r="E2172" s="0" t="inlineStr">
        <is>
          <t xml:space="preserve">ELECTRIC BOAT CORPORATION</t>
        </is>
      </c>
      <c r="F2172" s="0" t="inlineStr">
        <is>
          <t xml:space="preserve">psc:1905</t>
        </is>
      </c>
    </row>
    <row r="2173">
      <c r="B2173" s="0" t="inlineStr">
        <is>
          <t xml:space="preserve">0004</t>
        </is>
      </c>
      <c r="C2173" s="0" t="inlineStr">
        <is>
          <t xml:space="preserve">small_craft</t>
        </is>
      </c>
      <c r="D2173" s="4">
        <v>1.36695425</v>
      </c>
      <c r="E2173" s="0" t="inlineStr">
        <is>
          <t xml:space="preserve">WORKSKIFF, INC.</t>
        </is>
      </c>
      <c r="F2173" s="0" t="inlineStr">
        <is>
          <t xml:space="preserve">naics:336612; psc:1940</t>
        </is>
      </c>
    </row>
    <row r="2174">
      <c r="B2174" s="0" t="inlineStr">
        <is>
          <t xml:space="preserve">N0010421CXA10</t>
        </is>
      </c>
      <c r="C2174" s="0" t="inlineStr">
        <is>
          <t xml:space="preserve">small_craft</t>
        </is>
      </c>
      <c r="D2174" s="4">
        <v>1.3665419399999998</v>
      </c>
      <c r="E2174" s="0" t="inlineStr">
        <is>
          <t xml:space="preserve">ROLLS-ROYCE MARINE NORTH AMERICA INC.</t>
        </is>
      </c>
      <c r="F2174" s="0" t="inlineStr">
        <is>
          <t xml:space="preserve">naics:336612</t>
        </is>
      </c>
    </row>
    <row r="2175">
      <c r="B2175" s="0" t="inlineStr">
        <is>
          <t xml:space="preserve">N3220516P4007</t>
        </is>
      </c>
      <c r="C2175" s="0" t="inlineStr">
        <is>
          <t xml:space="preserve">broad_maritime</t>
        </is>
      </c>
      <c r="D2175" s="4">
        <v>1.3552089999999999</v>
      </c>
      <c r="E2175" s="0" t="inlineStr">
        <is>
          <t xml:space="preserve">CIRCOR NAVAL SOLUTIONS LLC</t>
        </is>
      </c>
      <c r="F2175" s="0" t="inlineStr">
        <is>
          <t xml:space="preserve">psc:2090</t>
        </is>
      </c>
    </row>
    <row r="2176">
      <c r="B2176" s="0" t="inlineStr">
        <is>
          <t xml:space="preserve">N3220520F2229</t>
        </is>
      </c>
      <c r="C2176" s="0" t="inlineStr">
        <is>
          <t xml:space="preserve">broad_maritime</t>
        </is>
      </c>
      <c r="D2176" s="4">
        <v>1.350395</v>
      </c>
      <c r="E2176" s="0" t="inlineStr">
        <is>
          <t xml:space="preserve">NORTHROP GRUMMAN SYSTEMS CORPORATION</t>
        </is>
      </c>
      <c r="F2176" s="0" t="inlineStr">
        <is>
          <t xml:space="preserve">psc:2090</t>
        </is>
      </c>
    </row>
    <row r="2177">
      <c r="B2177" s="0" t="inlineStr">
        <is>
          <t xml:space="preserve">N3220515P4285</t>
        </is>
      </c>
      <c r="C2177" s="0" t="inlineStr">
        <is>
          <t xml:space="preserve">other_small</t>
        </is>
      </c>
      <c r="D2177" s="4">
        <v>1.3500894499999998</v>
      </c>
      <c r="E2177" s="0" t="inlineStr">
        <is>
          <t xml:space="preserve">APPLETON MARINE INC</t>
        </is>
      </c>
      <c r="F2177" s="0" t="inlineStr">
        <is>
          <t xml:space="preserve">psc:1990</t>
        </is>
      </c>
    </row>
    <row r="2178">
      <c r="B2178" s="0" t="inlineStr">
        <is>
          <t xml:space="preserve">N6279325F0011</t>
        </is>
      </c>
      <c r="C2178" s="0" t="inlineStr">
        <is>
          <t xml:space="preserve">broad_maritime</t>
        </is>
      </c>
      <c r="D2178" s="4">
        <v>1.34348681</v>
      </c>
      <c r="E2178" s="0" t="inlineStr">
        <is>
          <t xml:space="preserve">HII FLEET SUPPORT GROUP LLC</t>
        </is>
      </c>
      <c r="F2178" s="0" t="inlineStr">
        <is>
          <t xml:space="preserve">psc:1905</t>
        </is>
      </c>
    </row>
    <row r="2179">
      <c r="B2179" s="0" t="inlineStr">
        <is>
          <t xml:space="preserve">N3220520F2252</t>
        </is>
      </c>
      <c r="C2179" s="0" t="inlineStr">
        <is>
          <t xml:space="preserve">broad_maritime</t>
        </is>
      </c>
      <c r="D2179" s="4">
        <v>1.34091419</v>
      </c>
      <c r="E2179" s="0" t="inlineStr">
        <is>
          <t xml:space="preserve">ROLLS-ROYCE SOLUTIONS AMERICA INC</t>
        </is>
      </c>
      <c r="F2179" s="0" t="inlineStr">
        <is>
          <t xml:space="preserve">psc:2090</t>
        </is>
      </c>
    </row>
    <row r="2180">
      <c r="B2180" s="0" t="inlineStr">
        <is>
          <t xml:space="preserve">N6279321F1003</t>
        </is>
      </c>
      <c r="C2180" s="0" t="inlineStr">
        <is>
          <t xml:space="preserve">broad_maritime</t>
        </is>
      </c>
      <c r="D2180" s="4">
        <v>1.33462404</v>
      </c>
      <c r="E2180" s="0" t="inlineStr">
        <is>
          <t xml:space="preserve">HII FLEET SUPPORT GROUP LLC</t>
        </is>
      </c>
      <c r="F2180" s="0" t="inlineStr">
        <is>
          <t xml:space="preserve">psc:1905</t>
        </is>
      </c>
    </row>
    <row r="2181">
      <c r="B2181" s="0" t="inlineStr">
        <is>
          <t xml:space="preserve">N6449822F4323</t>
        </is>
      </c>
      <c r="C2181" s="0" t="inlineStr">
        <is>
          <t xml:space="preserve">broad_maritime</t>
        </is>
      </c>
      <c r="D2181" s="4">
        <v>1.3322129999999999</v>
      </c>
      <c r="E2181" s="0" t="inlineStr">
        <is>
          <t xml:space="preserve">LAUREL TECHNOLOGIES PARTNERSHIP</t>
        </is>
      </c>
      <c r="F2181" s="0" t="inlineStr">
        <is>
          <t xml:space="preserve">psc:2090</t>
        </is>
      </c>
    </row>
    <row r="2182">
      <c r="B2182" s="0" t="inlineStr">
        <is>
          <t xml:space="preserve">N3220525P2047</t>
        </is>
      </c>
      <c r="C2182" s="0" t="inlineStr">
        <is>
          <t xml:space="preserve">broad_maritime</t>
        </is>
      </c>
      <c r="D2182" s="4">
        <v>1.3300796000000001</v>
      </c>
      <c r="E2182" s="0" t="inlineStr">
        <is>
          <t xml:space="preserve">TRANTER INC</t>
        </is>
      </c>
      <c r="F2182" s="0" t="inlineStr">
        <is>
          <t xml:space="preserve">psc:2090</t>
        </is>
      </c>
    </row>
    <row r="2183">
      <c r="B2183" s="0" t="inlineStr">
        <is>
          <t xml:space="preserve">N6833515C0409</t>
        </is>
      </c>
      <c r="C2183" s="0" t="inlineStr">
        <is>
          <t xml:space="preserve">small_craft</t>
        </is>
      </c>
      <c r="D2183" s="4">
        <v>1.3250794199999998</v>
      </c>
      <c r="E2183" s="0" t="inlineStr">
        <is>
          <t xml:space="preserve">SAFE BOATS INTERNATIONAL LLC</t>
        </is>
      </c>
      <c r="F2183" s="0" t="inlineStr">
        <is>
          <t xml:space="preserve">naics:336612; psc:1940</t>
        </is>
      </c>
    </row>
    <row r="2184">
      <c r="B2184" s="0" t="inlineStr">
        <is>
          <t xml:space="preserve">N6133119F0041</t>
        </is>
      </c>
      <c r="C2184" s="0" t="inlineStr">
        <is>
          <t xml:space="preserve">broad_maritime</t>
        </is>
      </c>
      <c r="D2184" s="4">
        <v>1.3199999999999998</v>
      </c>
      <c r="E2184" s="0" t="inlineStr">
        <is>
          <t xml:space="preserve">ATLANTIC DIVING SUPPLY, INC.</t>
        </is>
      </c>
      <c r="F2184" s="0" t="inlineStr">
        <is>
          <t xml:space="preserve">psc:2090</t>
        </is>
      </c>
    </row>
    <row r="2185">
      <c r="B2185" s="0" t="inlineStr">
        <is>
          <t xml:space="preserve">N3220521P2096</t>
        </is>
      </c>
      <c r="C2185" s="0" t="inlineStr">
        <is>
          <t xml:space="preserve">broad_maritime</t>
        </is>
      </c>
      <c r="D2185" s="4">
        <v>1.312138</v>
      </c>
      <c r="E2185" s="0" t="inlineStr">
        <is>
          <t xml:space="preserve">AMERICAN VULKAN CORPORATION</t>
        </is>
      </c>
      <c r="F2185" s="0" t="inlineStr">
        <is>
          <t xml:space="preserve">psc:2090</t>
        </is>
      </c>
    </row>
    <row r="2186">
      <c r="B2186" s="0" t="inlineStr">
        <is>
          <t xml:space="preserve">N6449821F4215</t>
        </is>
      </c>
      <c r="C2186" s="0" t="inlineStr">
        <is>
          <t xml:space="preserve">broad_maritime</t>
        </is>
      </c>
      <c r="D2186" s="4">
        <v>1.311188</v>
      </c>
      <c r="E2186" s="0" t="inlineStr">
        <is>
          <t xml:space="preserve">LEIDOS, INC.</t>
        </is>
      </c>
      <c r="F2186" s="0" t="inlineStr">
        <is>
          <t xml:space="preserve">psc:2090</t>
        </is>
      </c>
    </row>
    <row r="2187">
      <c r="B2187" s="0" t="inlineStr">
        <is>
          <t xml:space="preserve">N3220515P1305</t>
        </is>
      </c>
      <c r="C2187" s="0" t="inlineStr">
        <is>
          <t xml:space="preserve">broad_maritime</t>
        </is>
      </c>
      <c r="D2187" s="4">
        <v>1.3104</v>
      </c>
      <c r="E2187" s="0" t="inlineStr">
        <is>
          <t xml:space="preserve">GEA MECHANICAL EQUIPMENT US, INC.</t>
        </is>
      </c>
      <c r="F2187" s="0" t="inlineStr">
        <is>
          <t xml:space="preserve">psc:2090</t>
        </is>
      </c>
    </row>
    <row r="2188">
      <c r="B2188" s="0" t="inlineStr">
        <is>
          <t xml:space="preserve">N0002414C6212</t>
        </is>
      </c>
      <c r="C2188" s="0" t="inlineStr">
        <is>
          <t xml:space="preserve">broad_maritime</t>
        </is>
      </c>
      <c r="D2188" s="4">
        <v>1.30873326</v>
      </c>
      <c r="E2188" s="0" t="inlineStr">
        <is>
          <t xml:space="preserve">GEORGIA TECH RESEARCH CORP</t>
        </is>
      </c>
      <c r="F2188" s="0" t="inlineStr">
        <is>
          <t xml:space="preserve">psc:1905</t>
        </is>
      </c>
    </row>
    <row r="2189">
      <c r="B2189" s="0" t="inlineStr">
        <is>
          <t xml:space="preserve">N6449821F5074</t>
        </is>
      </c>
      <c r="C2189" s="0" t="inlineStr">
        <is>
          <t xml:space="preserve">broad_maritime</t>
        </is>
      </c>
      <c r="D2189" s="4">
        <v>1.3075493</v>
      </c>
      <c r="E2189" s="0" t="inlineStr">
        <is>
          <t xml:space="preserve">NAG, LLC</t>
        </is>
      </c>
      <c r="F2189" s="0" t="inlineStr">
        <is>
          <t xml:space="preserve">psc:2090</t>
        </is>
      </c>
    </row>
    <row r="2190">
      <c r="B2190" s="0" t="inlineStr">
        <is>
          <t xml:space="preserve">L813</t>
        </is>
      </c>
      <c r="C2190" s="0" t="inlineStr">
        <is>
          <t xml:space="preserve">broad_maritime</t>
        </is>
      </c>
      <c r="D2190" s="4">
        <v>1.306138</v>
      </c>
      <c r="E2190" s="0" t="inlineStr">
        <is>
          <t xml:space="preserve">ELECTRIC BOAT CORPORATION</t>
        </is>
      </c>
      <c r="F2190" s="0" t="inlineStr">
        <is>
          <t xml:space="preserve">psc:1905</t>
        </is>
      </c>
    </row>
    <row r="2191">
      <c r="B2191" s="0" t="inlineStr">
        <is>
          <t xml:space="preserve">0003</t>
        </is>
      </c>
      <c r="C2191" s="0" t="inlineStr">
        <is>
          <t xml:space="preserve">small_craft</t>
        </is>
      </c>
      <c r="D2191" s="4">
        <v>1.3058252799999999</v>
      </c>
      <c r="E2191" s="0" t="inlineStr">
        <is>
          <t xml:space="preserve">METALCRAFT MARINE US, INC.</t>
        </is>
      </c>
      <c r="F2191" s="0" t="inlineStr">
        <is>
          <t xml:space="preserve">naics:336612; psc:1940</t>
        </is>
      </c>
    </row>
    <row r="2192">
      <c r="B2192" s="0" t="inlineStr">
        <is>
          <t xml:space="preserve">N6133126F0017</t>
        </is>
      </c>
      <c r="C2192" s="0" t="inlineStr">
        <is>
          <t xml:space="preserve">broad_maritime</t>
        </is>
      </c>
      <c r="D2192" s="4">
        <v>1.305356</v>
      </c>
      <c r="E2192" s="0" t="inlineStr">
        <is>
          <t xml:space="preserve">AEF-PERFORMANCE LLC</t>
        </is>
      </c>
      <c r="F2192" s="0" t="inlineStr">
        <is>
          <t xml:space="preserve">psc:2090</t>
        </is>
      </c>
    </row>
    <row r="2193">
      <c r="B2193" s="0" t="inlineStr">
        <is>
          <t xml:space="preserve">FX07</t>
        </is>
      </c>
      <c r="C2193" s="0" t="inlineStr">
        <is>
          <t xml:space="preserve">broad_maritime</t>
        </is>
      </c>
      <c r="D2193" s="4">
        <v>1.30435391</v>
      </c>
      <c r="E2193" s="0" t="inlineStr">
        <is>
          <t xml:space="preserve">HUNTINGTON INGALLS INC</t>
        </is>
      </c>
      <c r="F2193" s="0" t="inlineStr">
        <is>
          <t xml:space="preserve">psc:1905</t>
        </is>
      </c>
    </row>
    <row r="2194">
      <c r="B2194" s="0" t="inlineStr">
        <is>
          <t xml:space="preserve">N6279320F2014</t>
        </is>
      </c>
      <c r="C2194" s="0" t="inlineStr">
        <is>
          <t xml:space="preserve">broad_maritime</t>
        </is>
      </c>
      <c r="D2194" s="4">
        <v>1.3</v>
      </c>
      <c r="E2194" s="0" t="inlineStr">
        <is>
          <t xml:space="preserve">HUNTINGTON INGALLS INC</t>
        </is>
      </c>
      <c r="F2194" s="0" t="inlineStr">
        <is>
          <t xml:space="preserve">psc:1905</t>
        </is>
      </c>
    </row>
    <row r="2195">
      <c r="B2195" s="0" t="inlineStr">
        <is>
          <t xml:space="preserve">N3220517F1033</t>
        </is>
      </c>
      <c r="C2195" s="0" t="inlineStr">
        <is>
          <t xml:space="preserve">other_small</t>
        </is>
      </c>
      <c r="D2195" s="4">
        <v>1.29878704</v>
      </c>
      <c r="E2195" s="0" t="inlineStr">
        <is>
          <t xml:space="preserve">LAKE SHORE SYSTEMS, INC.</t>
        </is>
      </c>
      <c r="F2195" s="0" t="inlineStr">
        <is>
          <t xml:space="preserve">psc:1990</t>
        </is>
      </c>
    </row>
    <row r="2196">
      <c r="B2196" s="0" t="inlineStr">
        <is>
          <t xml:space="preserve">N0010420CK924</t>
        </is>
      </c>
      <c r="C2196" s="0" t="inlineStr">
        <is>
          <t xml:space="preserve">other_small</t>
        </is>
      </c>
      <c r="D2196" s="4">
        <v>1.2928606399999998</v>
      </c>
      <c r="E2196" s="0" t="inlineStr">
        <is>
          <t xml:space="preserve">D3 DIVING LLC</t>
        </is>
      </c>
      <c r="F2196" s="0" t="inlineStr">
        <is>
          <t xml:space="preserve">psc:1990</t>
        </is>
      </c>
    </row>
    <row r="2197">
      <c r="B2197" s="0" t="inlineStr">
        <is>
          <t xml:space="preserve">N6449820F4237</t>
        </is>
      </c>
      <c r="C2197" s="0" t="inlineStr">
        <is>
          <t xml:space="preserve">broad_maritime</t>
        </is>
      </c>
      <c r="D2197" s="4">
        <v>1.28534</v>
      </c>
      <c r="E2197" s="0" t="inlineStr">
        <is>
          <t xml:space="preserve">LEIDOS, INC.</t>
        </is>
      </c>
      <c r="F2197" s="0" t="inlineStr">
        <is>
          <t xml:space="preserve">psc:2090</t>
        </is>
      </c>
    </row>
    <row r="2198">
      <c r="B2198" s="0" t="inlineStr">
        <is>
          <t xml:space="preserve">N0002424F4121</t>
        </is>
      </c>
      <c r="C2198" s="0" t="inlineStr">
        <is>
          <t xml:space="preserve">broad_maritime</t>
        </is>
      </c>
      <c r="D2198" s="4">
        <v>1.284524</v>
      </c>
      <c r="E2198" s="0" t="inlineStr">
        <is>
          <t xml:space="preserve">HEXAGON US FEDERAL, INC</t>
        </is>
      </c>
      <c r="F2198" s="0" t="inlineStr">
        <is>
          <t xml:space="preserve">psc:2090</t>
        </is>
      </c>
    </row>
    <row r="2199">
      <c r="B2199" s="0" t="inlineStr">
        <is>
          <t xml:space="preserve">0006</t>
        </is>
      </c>
      <c r="C2199" s="0" t="inlineStr">
        <is>
          <t xml:space="preserve">small_craft</t>
        </is>
      </c>
      <c r="D2199" s="4">
        <v>1.28223107</v>
      </c>
      <c r="E2199" s="0" t="inlineStr">
        <is>
          <t xml:space="preserve">SILVER SHIPS, INC</t>
        </is>
      </c>
      <c r="F2199" s="0" t="inlineStr">
        <is>
          <t xml:space="preserve">naics:336612; psc:1940</t>
        </is>
      </c>
    </row>
    <row r="2200">
      <c r="B2200" s="0" t="inlineStr">
        <is>
          <t xml:space="preserve">N0010422PX019</t>
        </is>
      </c>
      <c r="C2200" s="0" t="inlineStr">
        <is>
          <t xml:space="preserve">small_craft</t>
        </is>
      </c>
      <c r="D2200" s="4">
        <v>1.281146</v>
      </c>
      <c r="E2200" s="0" t="inlineStr">
        <is>
          <t xml:space="preserve">BIRD-JOHNSON PROPELLER COMPANY, LLC</t>
        </is>
      </c>
      <c r="F2200" s="0" t="inlineStr">
        <is>
          <t xml:space="preserve">naics:336612</t>
        </is>
      </c>
    </row>
    <row r="2201">
      <c r="B2201" s="0" t="inlineStr">
        <is>
          <t xml:space="preserve">N0010424CLA27</t>
        </is>
      </c>
      <c r="C2201" s="0" t="inlineStr">
        <is>
          <t xml:space="preserve">small_craft</t>
        </is>
      </c>
      <c r="D2201" s="4">
        <v>1.28046</v>
      </c>
      <c r="E2201" s="0" t="inlineStr">
        <is>
          <t xml:space="preserve">CHESAPEAKE MARINE REFRIGERATION CORP</t>
        </is>
      </c>
      <c r="F2201" s="0" t="inlineStr">
        <is>
          <t xml:space="preserve">naics:336612</t>
        </is>
      </c>
    </row>
    <row r="2202">
      <c r="B2202" s="0" t="inlineStr">
        <is>
          <t xml:space="preserve">N6279321F1001</t>
        </is>
      </c>
      <c r="C2202" s="0" t="inlineStr">
        <is>
          <t xml:space="preserve">broad_maritime</t>
        </is>
      </c>
      <c r="D2202" s="4">
        <v>1.27927183</v>
      </c>
      <c r="E2202" s="0" t="inlineStr">
        <is>
          <t xml:space="preserve">HII FLEET SUPPORT GROUP LLC</t>
        </is>
      </c>
      <c r="F2202" s="0" t="inlineStr">
        <is>
          <t xml:space="preserve">psc:1905</t>
        </is>
      </c>
    </row>
    <row r="2203">
      <c r="B2203" s="0" t="inlineStr">
        <is>
          <t xml:space="preserve">0001</t>
        </is>
      </c>
      <c r="C2203" s="0" t="inlineStr">
        <is>
          <t xml:space="preserve">small_craft</t>
        </is>
      </c>
      <c r="D2203" s="4">
        <v>1.277696</v>
      </c>
      <c r="E2203" s="0" t="inlineStr">
        <is>
          <t xml:space="preserve">METALCRAFT MARINE US, INC.</t>
        </is>
      </c>
      <c r="F2203" s="0" t="inlineStr">
        <is>
          <t xml:space="preserve">naics:336612; psc:1940</t>
        </is>
      </c>
    </row>
    <row r="2204">
      <c r="B2204" s="0" t="inlineStr">
        <is>
          <t xml:space="preserve">N0002421F4136</t>
        </is>
      </c>
      <c r="C2204" s="0" t="inlineStr">
        <is>
          <t xml:space="preserve">broad_maritime</t>
        </is>
      </c>
      <c r="D2204" s="4">
        <v>1.2668</v>
      </c>
      <c r="E2204" s="0" t="inlineStr">
        <is>
          <t xml:space="preserve">HUNTINGTON INGALLS INC</t>
        </is>
      </c>
      <c r="F2204" s="0" t="inlineStr">
        <is>
          <t xml:space="preserve">psc:1905</t>
        </is>
      </c>
    </row>
    <row r="2205">
      <c r="B2205" s="0" t="inlineStr">
        <is>
          <t xml:space="preserve">0005</t>
        </is>
      </c>
      <c r="C2205" s="0" t="inlineStr">
        <is>
          <t xml:space="preserve">broad_maritime</t>
        </is>
      </c>
      <c r="D2205" s="4">
        <v>1.2645949399999998</v>
      </c>
      <c r="E2205" s="0" t="inlineStr">
        <is>
          <t xml:space="preserve">LEIDOS, INC.</t>
        </is>
      </c>
      <c r="F2205" s="0" t="inlineStr">
        <is>
          <t xml:space="preserve">psc:2090</t>
        </is>
      </c>
    </row>
    <row r="2206">
      <c r="B2206" s="0" t="inlineStr">
        <is>
          <t xml:space="preserve">N3220523P2236</t>
        </is>
      </c>
      <c r="C2206" s="0" t="inlineStr">
        <is>
          <t xml:space="preserve">broad_maritime</t>
        </is>
      </c>
      <c r="D2206" s="4">
        <v>1.264133</v>
      </c>
      <c r="E2206" s="0" t="inlineStr">
        <is>
          <t xml:space="preserve">PC VISION INC</t>
        </is>
      </c>
      <c r="F2206" s="0" t="inlineStr">
        <is>
          <t xml:space="preserve">psc:2090</t>
        </is>
      </c>
    </row>
    <row r="2207">
      <c r="B2207" s="0" t="inlineStr">
        <is>
          <t xml:space="preserve">N0010422CJA21</t>
        </is>
      </c>
      <c r="C2207" s="0" t="inlineStr">
        <is>
          <t xml:space="preserve">small_craft</t>
        </is>
      </c>
      <c r="D2207" s="4">
        <v>1.2633606</v>
      </c>
      <c r="E2207" s="0" t="inlineStr">
        <is>
          <t xml:space="preserve">GE AVIATION SYSTEMS LLC</t>
        </is>
      </c>
      <c r="F2207" s="0" t="inlineStr">
        <is>
          <t xml:space="preserve">naics:336612</t>
        </is>
      </c>
    </row>
    <row r="2208">
      <c r="B2208" s="0" t="inlineStr">
        <is>
          <t xml:space="preserve">7F09</t>
        </is>
      </c>
      <c r="C2208" s="0" t="inlineStr">
        <is>
          <t xml:space="preserve">broad_maritime</t>
        </is>
      </c>
      <c r="D2208" s="4">
        <v>1.256616</v>
      </c>
      <c r="E2208" s="0" t="inlineStr">
        <is>
          <t xml:space="preserve">HUNTINGTON INGALLS INCORPORATED</t>
        </is>
      </c>
      <c r="F2208" s="0" t="inlineStr">
        <is>
          <t xml:space="preserve">psc:1905</t>
        </is>
      </c>
    </row>
    <row r="2209">
      <c r="B2209" s="0" t="inlineStr">
        <is>
          <t xml:space="preserve">N6279324F0011</t>
        </is>
      </c>
      <c r="C2209" s="0" t="inlineStr">
        <is>
          <t xml:space="preserve">broad_maritime</t>
        </is>
      </c>
      <c r="D2209" s="4">
        <v>1.25502663</v>
      </c>
      <c r="E2209" s="0" t="inlineStr">
        <is>
          <t xml:space="preserve">HII FLEET SUPPORT GROUP LLC</t>
        </is>
      </c>
      <c r="F2209" s="0" t="inlineStr">
        <is>
          <t xml:space="preserve">psc:1905</t>
        </is>
      </c>
    </row>
    <row r="2210">
      <c r="B2210" s="0" t="inlineStr">
        <is>
          <t xml:space="preserve">N3220518P4428</t>
        </is>
      </c>
      <c r="C2210" s="0" t="inlineStr">
        <is>
          <t xml:space="preserve">broad_maritime</t>
        </is>
      </c>
      <c r="D2210" s="4">
        <v>1.254892</v>
      </c>
      <c r="E2210" s="0" t="inlineStr">
        <is>
          <t xml:space="preserve">APPLETON MARINE INC</t>
        </is>
      </c>
      <c r="F2210" s="0" t="inlineStr">
        <is>
          <t xml:space="preserve">psc:2090</t>
        </is>
      </c>
    </row>
    <row r="2211">
      <c r="B2211" s="0" t="inlineStr">
        <is>
          <t xml:space="preserve">N3904018F0071</t>
        </is>
      </c>
      <c r="C2211" s="0" t="inlineStr">
        <is>
          <t xml:space="preserve">broad_maritime</t>
        </is>
      </c>
      <c r="D2211" s="4">
        <v>1.254344</v>
      </c>
      <c r="E2211" s="0" t="inlineStr">
        <is>
          <t xml:space="preserve">ELECTRIC BOAT CORPORATION</t>
        </is>
      </c>
      <c r="F2211" s="0" t="inlineStr">
        <is>
          <t xml:space="preserve">psc:2090</t>
        </is>
      </c>
    </row>
    <row r="2212">
      <c r="B2212" s="0" t="inlineStr">
        <is>
          <t xml:space="preserve">N3220518P4427</t>
        </is>
      </c>
      <c r="C2212" s="0" t="inlineStr">
        <is>
          <t xml:space="preserve">broad_maritime</t>
        </is>
      </c>
      <c r="D2212" s="4">
        <v>1.2533159999999999</v>
      </c>
      <c r="E2212" s="0" t="inlineStr">
        <is>
          <t xml:space="preserve">APPLETON MARINE INC</t>
        </is>
      </c>
      <c r="F2212" s="0" t="inlineStr">
        <is>
          <t xml:space="preserve">psc:2090</t>
        </is>
      </c>
    </row>
    <row r="2213">
      <c r="B2213" s="0" t="inlineStr">
        <is>
          <t xml:space="preserve">N0010418CF022</t>
        </is>
      </c>
      <c r="C2213" s="0" t="inlineStr">
        <is>
          <t xml:space="preserve">small_craft</t>
        </is>
      </c>
      <c r="D2213" s="4">
        <v>1.247832</v>
      </c>
      <c r="E2213" s="0" t="inlineStr">
        <is>
          <t xml:space="preserve">ERIE FORGE &amp; STEEL INC</t>
        </is>
      </c>
      <c r="F2213" s="0" t="inlineStr">
        <is>
          <t xml:space="preserve">naics:336612</t>
        </is>
      </c>
    </row>
    <row r="2214">
      <c r="B2214" s="0" t="inlineStr">
        <is>
          <t xml:space="preserve">N3220519P6833</t>
        </is>
      </c>
      <c r="C2214" s="0" t="inlineStr">
        <is>
          <t xml:space="preserve">broad_maritime</t>
        </is>
      </c>
      <c r="D2214" s="4">
        <v>1.24020178</v>
      </c>
      <c r="E2214" s="0" t="inlineStr">
        <is>
          <t xml:space="preserve">FINCANTIERI MARINE SYSTEMS NORTH AMERICA, INC.</t>
        </is>
      </c>
      <c r="F2214" s="0" t="inlineStr">
        <is>
          <t xml:space="preserve">psc:2090</t>
        </is>
      </c>
    </row>
    <row r="2215">
      <c r="B2215" s="0" t="inlineStr">
        <is>
          <t xml:space="preserve">N3220521F0739</t>
        </is>
      </c>
      <c r="C2215" s="0" t="inlineStr">
        <is>
          <t xml:space="preserve">broad_maritime</t>
        </is>
      </c>
      <c r="D2215" s="4">
        <v>1.23940576</v>
      </c>
      <c r="E2215" s="0" t="inlineStr">
        <is>
          <t xml:space="preserve">FINCANTIERI MARINE SYSTEMS NORTH AMERICA, INC.</t>
        </is>
      </c>
      <c r="F2215" s="0" t="inlineStr">
        <is>
          <t xml:space="preserve">psc:2090</t>
        </is>
      </c>
    </row>
    <row r="2216">
      <c r="B2216" s="0" t="inlineStr">
        <is>
          <t xml:space="preserve">N6133125F0172</t>
        </is>
      </c>
      <c r="C2216" s="0" t="inlineStr">
        <is>
          <t xml:space="preserve">broad_maritime</t>
        </is>
      </c>
      <c r="D2216" s="4">
        <v>1.23853685</v>
      </c>
      <c r="E2216" s="0" t="inlineStr">
        <is>
          <t xml:space="preserve">ATLANTIC DIVING SUPPLY, INC.</t>
        </is>
      </c>
      <c r="F2216" s="0" t="inlineStr">
        <is>
          <t xml:space="preserve">psc:2090</t>
        </is>
      </c>
    </row>
    <row r="2217">
      <c r="B2217" s="0" t="inlineStr">
        <is>
          <t xml:space="preserve">N3220521P2625</t>
        </is>
      </c>
      <c r="C2217" s="0" t="inlineStr">
        <is>
          <t xml:space="preserve">broad_maritime</t>
        </is>
      </c>
      <c r="D2217" s="4">
        <v>1.23086724</v>
      </c>
      <c r="E2217" s="0" t="inlineStr">
        <is>
          <t xml:space="preserve">FAIRBANKS MORSE, LLC</t>
        </is>
      </c>
      <c r="F2217" s="0" t="inlineStr">
        <is>
          <t xml:space="preserve">psc:2090</t>
        </is>
      </c>
    </row>
    <row r="2218">
      <c r="B2218" s="0" t="inlineStr">
        <is>
          <t xml:space="preserve">N5005425FP005</t>
        </is>
      </c>
      <c r="C2218" s="0" t="inlineStr">
        <is>
          <t xml:space="preserve">broad_maritime</t>
        </is>
      </c>
      <c r="D2218" s="4">
        <v>1.228365</v>
      </c>
      <c r="E2218" s="0" t="inlineStr">
        <is>
          <t xml:space="preserve">METRO MACHINE CORP.</t>
        </is>
      </c>
      <c r="F2218" s="0" t="inlineStr">
        <is>
          <t xml:space="preserve">psc:1905</t>
        </is>
      </c>
    </row>
    <row r="2219">
      <c r="B2219" s="0" t="inlineStr">
        <is>
          <t xml:space="preserve">N6660421F0237</t>
        </is>
      </c>
      <c r="C2219" s="0" t="inlineStr">
        <is>
          <t xml:space="preserve">broad_maritime</t>
        </is>
      </c>
      <c r="D2219" s="4">
        <v>1.225466</v>
      </c>
      <c r="E2219" s="0" t="inlineStr">
        <is>
          <t xml:space="preserve">LOCKHEED MARTIN SIPPICAN, INC.</t>
        </is>
      </c>
      <c r="F2219" s="0" t="inlineStr">
        <is>
          <t xml:space="preserve">psc:2090</t>
        </is>
      </c>
    </row>
    <row r="2220">
      <c r="B2220" s="0" t="inlineStr">
        <is>
          <t xml:space="preserve">N3220523F1042</t>
        </is>
      </c>
      <c r="C2220" s="0" t="inlineStr">
        <is>
          <t xml:space="preserve">broad_maritime</t>
        </is>
      </c>
      <c r="D2220" s="4">
        <v>1.2231999999999998</v>
      </c>
      <c r="E2220" s="0" t="inlineStr">
        <is>
          <t xml:space="preserve">FINCANTIERI MARINE SYSTEMS NORTH AMERICA, INC.</t>
        </is>
      </c>
      <c r="F2220" s="0" t="inlineStr">
        <is>
          <t xml:space="preserve">psc:2090</t>
        </is>
      </c>
    </row>
    <row r="2221">
      <c r="B2221" s="0" t="inlineStr">
        <is>
          <t xml:space="preserve">N6279323F0011</t>
        </is>
      </c>
      <c r="C2221" s="0" t="inlineStr">
        <is>
          <t xml:space="preserve">broad_maritime</t>
        </is>
      </c>
      <c r="D2221" s="4">
        <v>1.21926057</v>
      </c>
      <c r="E2221" s="0" t="inlineStr">
        <is>
          <t xml:space="preserve">HII FLEET SUPPORT GROUP LLC</t>
        </is>
      </c>
      <c r="F2221" s="0" t="inlineStr">
        <is>
          <t xml:space="preserve">psc:1905</t>
        </is>
      </c>
    </row>
    <row r="2222">
      <c r="B2222" s="0" t="inlineStr">
        <is>
          <t xml:space="preserve">N0010424FZL00</t>
        </is>
      </c>
      <c r="C2222" s="0" t="inlineStr">
        <is>
          <t xml:space="preserve">small_craft</t>
        </is>
      </c>
      <c r="D2222" s="4">
        <v>1.2122078600000001</v>
      </c>
      <c r="E2222" s="0" t="inlineStr">
        <is>
          <t xml:space="preserve">DEFENSE MARITIME SOLUTIONS, INC.</t>
        </is>
      </c>
      <c r="F2222" s="0" t="inlineStr">
        <is>
          <t xml:space="preserve">naics:336612</t>
        </is>
      </c>
    </row>
    <row r="2223">
      <c r="B2223" s="0" t="inlineStr">
        <is>
          <t xml:space="preserve">N0002418F22A1</t>
        </is>
      </c>
      <c r="C2223" s="0" t="inlineStr">
        <is>
          <t xml:space="preserve">small_craft</t>
        </is>
      </c>
      <c r="D2223" s="4">
        <v>1.2110976599999999</v>
      </c>
      <c r="E2223" s="0" t="inlineStr">
        <is>
          <t xml:space="preserve">GRAVOIS ALUMINUM BOATS LLC</t>
        </is>
      </c>
      <c r="F2223" s="0" t="inlineStr">
        <is>
          <t xml:space="preserve">naics:336612; psc:1940</t>
        </is>
      </c>
    </row>
    <row r="2224">
      <c r="B2224" s="0" t="inlineStr">
        <is>
          <t xml:space="preserve">N6931620F8000</t>
        </is>
      </c>
      <c r="C2224" s="0" t="inlineStr">
        <is>
          <t xml:space="preserve">small_craft</t>
        </is>
      </c>
      <c r="D2224" s="4">
        <v>1.2103935</v>
      </c>
      <c r="E2224" s="0" t="inlineStr">
        <is>
          <t xml:space="preserve">GRAVOIS ALUMINUM BOATS LLC</t>
        </is>
      </c>
      <c r="F2224" s="0" t="inlineStr">
        <is>
          <t xml:space="preserve">naics:336612; psc:1940</t>
        </is>
      </c>
    </row>
    <row r="2225">
      <c r="B2225" s="0" t="inlineStr">
        <is>
          <t xml:space="preserve">N0002418F22F1</t>
        </is>
      </c>
      <c r="C2225" s="0" t="inlineStr">
        <is>
          <t xml:space="preserve">small_craft</t>
        </is>
      </c>
      <c r="D2225" s="4">
        <v>1.21023021</v>
      </c>
      <c r="E2225" s="0" t="inlineStr">
        <is>
          <t xml:space="preserve">WORKSKIFF, INC.</t>
        </is>
      </c>
      <c r="F2225" s="0" t="inlineStr">
        <is>
          <t xml:space="preserve">naics:336612; psc:1940</t>
        </is>
      </c>
    </row>
    <row r="2226">
      <c r="B2226" s="0" t="inlineStr">
        <is>
          <t xml:space="preserve">N6660424FG944</t>
        </is>
      </c>
      <c r="C2226" s="0" t="inlineStr">
        <is>
          <t xml:space="preserve">broad_maritime</t>
        </is>
      </c>
      <c r="D2226" s="4">
        <v>1.20580352</v>
      </c>
      <c r="E2226" s="0" t="inlineStr">
        <is>
          <t xml:space="preserve">L3 TECHNOLOGIES, INC.</t>
        </is>
      </c>
      <c r="F2226" s="0" t="inlineStr">
        <is>
          <t xml:space="preserve">psc:2090</t>
        </is>
      </c>
    </row>
    <row r="2227">
      <c r="B2227" s="0" t="inlineStr">
        <is>
          <t xml:space="preserve">N5523625F9977</t>
        </is>
      </c>
      <c r="C2227" s="0" t="inlineStr">
        <is>
          <t xml:space="preserve">broad_maritime</t>
        </is>
      </c>
      <c r="D2227" s="4">
        <v>1.202044</v>
      </c>
      <c r="E2227" s="0" t="inlineStr">
        <is>
          <t xml:space="preserve">HII FLEET SUPPORT GROUP LLC</t>
        </is>
      </c>
      <c r="F2227" s="0" t="inlineStr">
        <is>
          <t xml:space="preserve">psc:1905</t>
        </is>
      </c>
    </row>
    <row r="2228">
      <c r="B2228" s="0" t="inlineStr">
        <is>
          <t xml:space="preserve">N3220515P3233</t>
        </is>
      </c>
      <c r="C2228" s="0" t="inlineStr">
        <is>
          <t xml:space="preserve">broad_maritime</t>
        </is>
      </c>
      <c r="D2228" s="4">
        <v>1.1985599999999998</v>
      </c>
      <c r="E2228" s="0" t="inlineStr">
        <is>
          <t xml:space="preserve">MOTOR-SERVICES HUGO STAMP, INC</t>
        </is>
      </c>
      <c r="F2228" s="0" t="inlineStr">
        <is>
          <t xml:space="preserve">psc:2090</t>
        </is>
      </c>
    </row>
    <row r="2229">
      <c r="B2229" s="0" t="inlineStr">
        <is>
          <t xml:space="preserve">N6133115P9251</t>
        </is>
      </c>
      <c r="C2229" s="0" t="inlineStr">
        <is>
          <t xml:space="preserve">broad_maritime</t>
        </is>
      </c>
      <c r="D2229" s="4">
        <v>1.19699</v>
      </c>
      <c r="E2229" s="0" t="inlineStr">
        <is>
          <t xml:space="preserve">GERMANE SYSTEMS, LC</t>
        </is>
      </c>
      <c r="F2229" s="0" t="inlineStr">
        <is>
          <t xml:space="preserve">psc:2090</t>
        </is>
      </c>
    </row>
    <row r="2230">
      <c r="B2230" s="0" t="inlineStr">
        <is>
          <t xml:space="preserve">N6660425FT302</t>
        </is>
      </c>
      <c r="C2230" s="0" t="inlineStr">
        <is>
          <t xml:space="preserve">broad_maritime</t>
        </is>
      </c>
      <c r="D2230" s="4">
        <v>1.1813099999999999</v>
      </c>
      <c r="E2230" s="0" t="inlineStr">
        <is>
          <t xml:space="preserve">NIANTIC TOOL, INC.</t>
        </is>
      </c>
      <c r="F2230" s="0" t="inlineStr">
        <is>
          <t xml:space="preserve">psc:2090</t>
        </is>
      </c>
    </row>
    <row r="2231">
      <c r="B2231" s="0" t="inlineStr">
        <is>
          <t xml:space="preserve">N0016720F0051</t>
        </is>
      </c>
      <c r="C2231" s="0" t="inlineStr">
        <is>
          <t xml:space="preserve">broad_maritime</t>
        </is>
      </c>
      <c r="D2231" s="4">
        <v>1.17996812</v>
      </c>
      <c r="E2231" s="0" t="inlineStr">
        <is>
          <t xml:space="preserve">L.B.I., INC.</t>
        </is>
      </c>
      <c r="F2231" s="0" t="inlineStr">
        <is>
          <t xml:space="preserve">psc:2090</t>
        </is>
      </c>
    </row>
    <row r="2232">
      <c r="B2232" s="0" t="inlineStr">
        <is>
          <t xml:space="preserve">0002</t>
        </is>
      </c>
      <c r="C2232" s="0" t="inlineStr">
        <is>
          <t xml:space="preserve">small_craft</t>
        </is>
      </c>
      <c r="D2232" s="4">
        <v>1.1773179999999999</v>
      </c>
      <c r="E2232" s="0" t="inlineStr">
        <is>
          <t xml:space="preserve">VIGOR KVICHAK LLC</t>
        </is>
      </c>
      <c r="F2232" s="0" t="inlineStr">
        <is>
          <t xml:space="preserve">naics:336612; psc:1940</t>
        </is>
      </c>
    </row>
    <row r="2233">
      <c r="B2233" s="0" t="inlineStr">
        <is>
          <t xml:space="preserve">N0016424PX007</t>
        </is>
      </c>
      <c r="C2233" s="0" t="inlineStr">
        <is>
          <t xml:space="preserve">small_craft</t>
        </is>
      </c>
      <c r="D2233" s="4">
        <v>1.1766919999999998</v>
      </c>
      <c r="E2233" s="0" t="inlineStr">
        <is>
          <t xml:space="preserve">MARITIME TACTICAL SYSTEMS INC.</t>
        </is>
      </c>
      <c r="F2233" s="0" t="inlineStr">
        <is>
          <t xml:space="preserve">naics:336612</t>
        </is>
      </c>
    </row>
    <row r="2234">
      <c r="B2234" s="0" t="inlineStr">
        <is>
          <t xml:space="preserve">N0002422F22B7</t>
        </is>
      </c>
      <c r="C2234" s="0" t="inlineStr">
        <is>
          <t xml:space="preserve">small_craft</t>
        </is>
      </c>
      <c r="D2234" s="4">
        <v>1.1743736</v>
      </c>
      <c r="E2234" s="0" t="inlineStr">
        <is>
          <t xml:space="preserve">LAKE ASSAULT BOATS, LLC</t>
        </is>
      </c>
      <c r="F2234" s="0" t="inlineStr">
        <is>
          <t xml:space="preserve">naics:336612; psc:1940</t>
        </is>
      </c>
    </row>
    <row r="2235">
      <c r="B2235" s="0" t="inlineStr">
        <is>
          <t xml:space="preserve">N0002417F22A1</t>
        </is>
      </c>
      <c r="C2235" s="0" t="inlineStr">
        <is>
          <t xml:space="preserve">small_craft</t>
        </is>
      </c>
      <c r="D2235" s="4">
        <v>1.17043374</v>
      </c>
      <c r="E2235" s="0" t="inlineStr">
        <is>
          <t xml:space="preserve">GRAVOIS ALUMINUM BOATS LLC</t>
        </is>
      </c>
      <c r="F2235" s="0" t="inlineStr">
        <is>
          <t xml:space="preserve">naics:336612; psc:1940</t>
        </is>
      </c>
    </row>
    <row r="2236">
      <c r="B2236" s="0" t="inlineStr">
        <is>
          <t xml:space="preserve">N6600116P0516</t>
        </is>
      </c>
      <c r="C2236" s="0" t="inlineStr">
        <is>
          <t xml:space="preserve">broad_maritime</t>
        </is>
      </c>
      <c r="D2236" s="4">
        <v>1.169452</v>
      </c>
      <c r="E2236" s="0" t="inlineStr">
        <is>
          <t xml:space="preserve">TELEDYNE INSTRUMENTS, INC.</t>
        </is>
      </c>
      <c r="F2236" s="0" t="inlineStr">
        <is>
          <t xml:space="preserve">psc:2090</t>
        </is>
      </c>
    </row>
    <row r="2237">
      <c r="B2237" s="0" t="inlineStr">
        <is>
          <t xml:space="preserve">N0017315P0603</t>
        </is>
      </c>
      <c r="C2237" s="0" t="inlineStr">
        <is>
          <t xml:space="preserve">broad_maritime</t>
        </is>
      </c>
      <c r="D2237" s="4">
        <v>1.16924101</v>
      </c>
      <c r="E2237" s="0" t="inlineStr">
        <is>
          <t xml:space="preserve">ROLLS-ROYCE MARINE NORTH AMERICA INC.</t>
        </is>
      </c>
      <c r="F2237" s="0" t="inlineStr">
        <is>
          <t xml:space="preserve">psc:2090</t>
        </is>
      </c>
    </row>
    <row r="2238">
      <c r="B2238" s="0" t="inlineStr">
        <is>
          <t xml:space="preserve">N6133123F0012</t>
        </is>
      </c>
      <c r="C2238" s="0" t="inlineStr">
        <is>
          <t xml:space="preserve">broad_maritime</t>
        </is>
      </c>
      <c r="D2238" s="4">
        <v>1.16447913</v>
      </c>
      <c r="E2238" s="0" t="inlineStr">
        <is>
          <t xml:space="preserve">HII UNMANNED SYSTEMS, INC</t>
        </is>
      </c>
      <c r="F2238" s="0" t="inlineStr">
        <is>
          <t xml:space="preserve">psc:2090</t>
        </is>
      </c>
    </row>
    <row r="2239">
      <c r="B2239" s="0" t="inlineStr">
        <is>
          <t xml:space="preserve">N3220517P4796</t>
        </is>
      </c>
      <c r="C2239" s="0" t="inlineStr">
        <is>
          <t xml:space="preserve">broad_maritime</t>
        </is>
      </c>
      <c r="D2239" s="4">
        <v>1.164</v>
      </c>
      <c r="E2239" s="0" t="inlineStr">
        <is>
          <t xml:space="preserve">TTS INC.</t>
        </is>
      </c>
      <c r="F2239" s="0" t="inlineStr">
        <is>
          <t xml:space="preserve">psc:2090</t>
        </is>
      </c>
    </row>
    <row r="2240">
      <c r="B2240" s="0" t="inlineStr">
        <is>
          <t xml:space="preserve">N0002420C2244</t>
        </is>
      </c>
      <c r="C2240" s="0" t="inlineStr">
        <is>
          <t xml:space="preserve">other_small</t>
        </is>
      </c>
      <c r="D2240" s="4">
        <v>1.15036087</v>
      </c>
      <c r="E2240" s="0" t="inlineStr">
        <is>
          <t xml:space="preserve">BMT DESIGNERS &amp; PLANNERS, INC.</t>
        </is>
      </c>
      <c r="F2240" s="0" t="inlineStr">
        <is>
          <t xml:space="preserve">psc:1925</t>
        </is>
      </c>
    </row>
    <row r="2241">
      <c r="B2241" s="0" t="inlineStr">
        <is>
          <t xml:space="preserve">N0002417F22A3</t>
        </is>
      </c>
      <c r="C2241" s="0" t="inlineStr">
        <is>
          <t xml:space="preserve">small_craft</t>
        </is>
      </c>
      <c r="D2241" s="4">
        <v>1.1493357499999999</v>
      </c>
      <c r="E2241" s="0" t="inlineStr">
        <is>
          <t xml:space="preserve">GRAVOIS ALUMINUM BOATS LLC</t>
        </is>
      </c>
      <c r="F2241" s="0" t="inlineStr">
        <is>
          <t xml:space="preserve">naics:336612; psc:1940</t>
        </is>
      </c>
    </row>
    <row r="2242">
      <c r="B2242" s="0" t="inlineStr">
        <is>
          <t xml:space="preserve">N3220515P1398</t>
        </is>
      </c>
      <c r="C2242" s="0" t="inlineStr">
        <is>
          <t xml:space="preserve">broad_maritime</t>
        </is>
      </c>
      <c r="D2242" s="4">
        <v>1.142</v>
      </c>
      <c r="E2242" s="0" t="inlineStr">
        <is>
          <t xml:space="preserve">ALFA LAVAL INC</t>
        </is>
      </c>
      <c r="F2242" s="0" t="inlineStr">
        <is>
          <t xml:space="preserve">psc:2090</t>
        </is>
      </c>
    </row>
    <row r="2243">
      <c r="B2243" s="0" t="inlineStr">
        <is>
          <t xml:space="preserve">N0002414C4120</t>
        </is>
      </c>
      <c r="C2243" s="0" t="inlineStr">
        <is>
          <t xml:space="preserve">broad_maritime</t>
        </is>
      </c>
      <c r="D2243" s="4">
        <v>1.140752</v>
      </c>
      <c r="E2243" s="0" t="inlineStr">
        <is>
          <t xml:space="preserve">BENMAR FABRICATION LLC</t>
        </is>
      </c>
      <c r="F2243" s="0" t="inlineStr">
        <is>
          <t xml:space="preserve">psc:2090</t>
        </is>
      </c>
    </row>
    <row r="2244">
      <c r="B2244" s="0" t="inlineStr">
        <is>
          <t xml:space="preserve">N6133125F0164</t>
        </is>
      </c>
      <c r="C2244" s="0" t="inlineStr">
        <is>
          <t xml:space="preserve">broad_maritime</t>
        </is>
      </c>
      <c r="D2244" s="4">
        <v>1.14026115</v>
      </c>
      <c r="E2244" s="0" t="inlineStr">
        <is>
          <t xml:space="preserve">EPS CORPORATION</t>
        </is>
      </c>
      <c r="F2244" s="0" t="inlineStr">
        <is>
          <t xml:space="preserve">psc:2090</t>
        </is>
      </c>
    </row>
    <row r="2245">
      <c r="B2245" s="0" t="inlineStr">
        <is>
          <t xml:space="preserve">N6449816C5003</t>
        </is>
      </c>
      <c r="C2245" s="0" t="inlineStr">
        <is>
          <t xml:space="preserve">broad_maritime</t>
        </is>
      </c>
      <c r="D2245" s="4">
        <v>1.1343756799999998</v>
      </c>
      <c r="E2245" s="0" t="inlineStr">
        <is>
          <t xml:space="preserve">RIX INDUSTRIES</t>
        </is>
      </c>
      <c r="F2245" s="0" t="inlineStr">
        <is>
          <t xml:space="preserve">psc:2090</t>
        </is>
      </c>
    </row>
    <row r="2246">
      <c r="B2246" s="0" t="inlineStr">
        <is>
          <t xml:space="preserve">N0002420C2247</t>
        </is>
      </c>
      <c r="C2246" s="0" t="inlineStr">
        <is>
          <t xml:space="preserve">other_small</t>
        </is>
      </c>
      <c r="D2246" s="4">
        <v>1.13075107</v>
      </c>
      <c r="E2246" s="0" t="inlineStr">
        <is>
          <t xml:space="preserve">THOMA-SEA MARINE CONSTRUCTORS, L.L.C.</t>
        </is>
      </c>
      <c r="F2246" s="0" t="inlineStr">
        <is>
          <t xml:space="preserve">psc:1925</t>
        </is>
      </c>
    </row>
    <row r="2247">
      <c r="B2247" s="0" t="inlineStr">
        <is>
          <t xml:space="preserve">N0010425CYB15</t>
        </is>
      </c>
      <c r="C2247" s="0" t="inlineStr">
        <is>
          <t xml:space="preserve">broad_maritime</t>
        </is>
      </c>
      <c r="D2247" s="4">
        <v>1.1298899999999998</v>
      </c>
      <c r="E2247" s="0" t="inlineStr">
        <is>
          <t xml:space="preserve">WESTLAND TECHNOLOGIES, INC.</t>
        </is>
      </c>
      <c r="F2247" s="0" t="inlineStr">
        <is>
          <t xml:space="preserve">psc:2090</t>
        </is>
      </c>
    </row>
    <row r="2248">
      <c r="B2248" s="0" t="inlineStr">
        <is>
          <t xml:space="preserve">N6600124F1105</t>
        </is>
      </c>
      <c r="C2248" s="0" t="inlineStr">
        <is>
          <t xml:space="preserve">usv_core</t>
        </is>
      </c>
      <c r="D2248" s="4">
        <v>1.12976496</v>
      </c>
      <c r="E2248" s="0" t="inlineStr">
        <is>
          <t xml:space="preserve">SCIENCE APPLICATIONS INTERNATIONAL CORPORATION</t>
        </is>
      </c>
      <c r="F2248" s="0" t="inlineStr">
        <is>
          <t xml:space="preserve">keyword</t>
        </is>
      </c>
    </row>
    <row r="2249">
      <c r="B2249" s="0" t="inlineStr">
        <is>
          <t xml:space="preserve">N3220522P0033</t>
        </is>
      </c>
      <c r="C2249" s="0" t="inlineStr">
        <is>
          <t xml:space="preserve">broad_maritime</t>
        </is>
      </c>
      <c r="D2249" s="4">
        <v>1.127395</v>
      </c>
      <c r="E2249" s="0" t="inlineStr">
        <is>
          <t xml:space="preserve">APPLETON MARINE INC</t>
        </is>
      </c>
      <c r="F2249" s="0" t="inlineStr">
        <is>
          <t xml:space="preserve">psc:2090</t>
        </is>
      </c>
    </row>
    <row r="2250">
      <c r="B2250" s="0" t="inlineStr">
        <is>
          <t xml:space="preserve">N6449822F4363</t>
        </is>
      </c>
      <c r="C2250" s="0" t="inlineStr">
        <is>
          <t xml:space="preserve">broad_maritime</t>
        </is>
      </c>
      <c r="D2250" s="4">
        <v>1.12572734</v>
      </c>
      <c r="E2250" s="0" t="inlineStr">
        <is>
          <t xml:space="preserve">LAUREL TECHNOLOGIES PARTNERSHIP</t>
        </is>
      </c>
      <c r="F2250" s="0" t="inlineStr">
        <is>
          <t xml:space="preserve">psc:2090</t>
        </is>
      </c>
    </row>
    <row r="2251">
      <c r="B2251" s="0" t="inlineStr">
        <is>
          <t xml:space="preserve">N6133119F0214</t>
        </is>
      </c>
      <c r="C2251" s="0" t="inlineStr">
        <is>
          <t xml:space="preserve">broad_maritime</t>
        </is>
      </c>
      <c r="D2251" s="4">
        <v>1.1251738799999997</v>
      </c>
      <c r="E2251" s="0" t="inlineStr">
        <is>
          <t xml:space="preserve">ATLANTIC DIVING SUPPLY, INC.</t>
        </is>
      </c>
      <c r="F2251" s="0" t="inlineStr">
        <is>
          <t xml:space="preserve">psc:2090</t>
        </is>
      </c>
    </row>
    <row r="2252">
      <c r="B2252" s="0" t="inlineStr">
        <is>
          <t xml:space="preserve">N6660421FC832</t>
        </is>
      </c>
      <c r="C2252" s="0" t="inlineStr">
        <is>
          <t xml:space="preserve">small_craft</t>
        </is>
      </c>
      <c r="D2252" s="4">
        <v>1.1171891299999999</v>
      </c>
      <c r="E2252" s="0" t="inlineStr">
        <is>
          <t xml:space="preserve">SERCO INC</t>
        </is>
      </c>
      <c r="F2252" s="0" t="inlineStr">
        <is>
          <t xml:space="preserve">psc:1940</t>
        </is>
      </c>
    </row>
    <row r="2253">
      <c r="B2253" s="0" t="inlineStr">
        <is>
          <t xml:space="preserve">N6133118F0131</t>
        </is>
      </c>
      <c r="C2253" s="0" t="inlineStr">
        <is>
          <t xml:space="preserve">broad_maritime</t>
        </is>
      </c>
      <c r="D2253" s="4">
        <v>1.10996655</v>
      </c>
      <c r="E2253" s="0" t="inlineStr">
        <is>
          <t xml:space="preserve">ATLANTIC DIVING SUPPLY, INC.</t>
        </is>
      </c>
      <c r="F2253" s="0" t="inlineStr">
        <is>
          <t xml:space="preserve">psc:2090</t>
        </is>
      </c>
    </row>
    <row r="2254">
      <c r="B2254" s="0" t="inlineStr">
        <is>
          <t xml:space="preserve">0002</t>
        </is>
      </c>
      <c r="C2254" s="0" t="inlineStr">
        <is>
          <t xml:space="preserve">small_craft</t>
        </is>
      </c>
      <c r="D2254" s="4">
        <v>1.109152</v>
      </c>
      <c r="E2254" s="0" t="inlineStr">
        <is>
          <t xml:space="preserve">SILVER SHIPS, INC</t>
        </is>
      </c>
      <c r="F2254" s="0" t="inlineStr">
        <is>
          <t xml:space="preserve">naics:336612; psc:1940</t>
        </is>
      </c>
    </row>
    <row r="2255">
      <c r="B2255" s="0" t="inlineStr">
        <is>
          <t xml:space="preserve">N4523A20C0300</t>
        </is>
      </c>
      <c r="C2255" s="0" t="inlineStr">
        <is>
          <t xml:space="preserve">broad_maritime</t>
        </is>
      </c>
      <c r="D2255" s="4">
        <v>1.1089597</v>
      </c>
      <c r="E2255" s="0" t="inlineStr">
        <is>
          <t xml:space="preserve">CURTISS-WRIGHT ELECTRO-MECHANICAL CORPORATION</t>
        </is>
      </c>
      <c r="F2255" s="0" t="inlineStr">
        <is>
          <t xml:space="preserve">psc:1905</t>
        </is>
      </c>
    </row>
    <row r="2256">
      <c r="B2256" s="0" t="inlineStr">
        <is>
          <t xml:space="preserve">N5523622F9999</t>
        </is>
      </c>
      <c r="C2256" s="0" t="inlineStr">
        <is>
          <t xml:space="preserve">broad_maritime</t>
        </is>
      </c>
      <c r="D2256" s="4">
        <v>1.103029</v>
      </c>
      <c r="E2256" s="0" t="inlineStr">
        <is>
          <t xml:space="preserve">HII FLEET SUPPORT GROUP LLC</t>
        </is>
      </c>
      <c r="F2256" s="0" t="inlineStr">
        <is>
          <t xml:space="preserve">psc:1905</t>
        </is>
      </c>
    </row>
    <row r="2257">
      <c r="B2257" s="0" t="inlineStr">
        <is>
          <t xml:space="preserve">N3220516P4324</t>
        </is>
      </c>
      <c r="C2257" s="0" t="inlineStr">
        <is>
          <t xml:space="preserve">broad_maritime</t>
        </is>
      </c>
      <c r="D2257" s="4">
        <v>1.10284383</v>
      </c>
      <c r="E2257" s="0" t="inlineStr">
        <is>
          <t xml:space="preserve">NORTHROP GRUMMAN SYSTEMS CORPORATION</t>
        </is>
      </c>
      <c r="F2257" s="0" t="inlineStr">
        <is>
          <t xml:space="preserve">psc:2090</t>
        </is>
      </c>
    </row>
    <row r="2258">
      <c r="B2258" s="0" t="inlineStr">
        <is>
          <t xml:space="preserve">N0016721C0003</t>
        </is>
      </c>
      <c r="C2258" s="0" t="inlineStr">
        <is>
          <t xml:space="preserve">broad_maritime</t>
        </is>
      </c>
      <c r="D2258" s="4">
        <v>1.10028398</v>
      </c>
      <c r="E2258" s="0" t="inlineStr">
        <is>
          <t xml:space="preserve">MOUAWAD CONSULTING AS</t>
        </is>
      </c>
      <c r="F2258" s="0" t="inlineStr">
        <is>
          <t xml:space="preserve">psc:2090</t>
        </is>
      </c>
    </row>
    <row r="2259">
      <c r="B2259" s="0" t="inlineStr">
        <is>
          <t xml:space="preserve">N6279321F2012</t>
        </is>
      </c>
      <c r="C2259" s="0" t="inlineStr">
        <is>
          <t xml:space="preserve">broad_maritime</t>
        </is>
      </c>
      <c r="D2259" s="4">
        <v>1.0999999999999999</v>
      </c>
      <c r="E2259" s="0" t="inlineStr">
        <is>
          <t xml:space="preserve">HUNTINGTON INGALLS INC</t>
        </is>
      </c>
      <c r="F2259" s="0" t="inlineStr">
        <is>
          <t xml:space="preserve">psc:1905</t>
        </is>
      </c>
    </row>
    <row r="2260">
      <c r="B2260" s="0" t="inlineStr">
        <is>
          <t xml:space="preserve">0007</t>
        </is>
      </c>
      <c r="C2260" s="0" t="inlineStr">
        <is>
          <t xml:space="preserve">broad_maritime</t>
        </is>
      </c>
      <c r="D2260" s="4">
        <v>1.099985</v>
      </c>
      <c r="E2260" s="0" t="inlineStr">
        <is>
          <t xml:space="preserve">LOCKHEED MARTIN CORPORATION</t>
        </is>
      </c>
      <c r="F2260" s="0" t="inlineStr">
        <is>
          <t xml:space="preserve">psc:1905</t>
        </is>
      </c>
    </row>
    <row r="2261">
      <c r="B2261" s="0" t="inlineStr">
        <is>
          <t xml:space="preserve">N0010420CFA13</t>
        </is>
      </c>
      <c r="C2261" s="0" t="inlineStr">
        <is>
          <t xml:space="preserve">small_craft</t>
        </is>
      </c>
      <c r="D2261" s="4">
        <v>1.09995</v>
      </c>
      <c r="E2261" s="0" t="inlineStr">
        <is>
          <t xml:space="preserve">U.S.A. SPARES INC.</t>
        </is>
      </c>
      <c r="F2261" s="0" t="inlineStr">
        <is>
          <t xml:space="preserve">naics:336612</t>
        </is>
      </c>
    </row>
    <row r="2262">
      <c r="B2262" s="0" t="inlineStr">
        <is>
          <t xml:space="preserve">N3220515P1248</t>
        </is>
      </c>
      <c r="C2262" s="0" t="inlineStr">
        <is>
          <t xml:space="preserve">broad_maritime</t>
        </is>
      </c>
      <c r="D2262" s="4">
        <v>1.09850272</v>
      </c>
      <c r="E2262" s="0" t="inlineStr">
        <is>
          <t xml:space="preserve">DEFENSE MARITIME SOLUTIONS, INC.</t>
        </is>
      </c>
      <c r="F2262" s="0" t="inlineStr">
        <is>
          <t xml:space="preserve">psc:2090</t>
        </is>
      </c>
    </row>
    <row r="2263">
      <c r="B2263" s="0" t="inlineStr">
        <is>
          <t xml:space="preserve">N0002417F22F2</t>
        </is>
      </c>
      <c r="C2263" s="0" t="inlineStr">
        <is>
          <t xml:space="preserve">small_craft</t>
        </is>
      </c>
      <c r="D2263" s="4">
        <v>1.09389448</v>
      </c>
      <c r="E2263" s="0" t="inlineStr">
        <is>
          <t xml:space="preserve">WORKSKIFF, INC.</t>
        </is>
      </c>
      <c r="F2263" s="0" t="inlineStr">
        <is>
          <t xml:space="preserve">naics:336612; psc:1940</t>
        </is>
      </c>
    </row>
    <row r="2264">
      <c r="B2264" s="0" t="inlineStr">
        <is>
          <t xml:space="preserve">N0002422F22B5</t>
        </is>
      </c>
      <c r="C2264" s="0" t="inlineStr">
        <is>
          <t xml:space="preserve">small_craft</t>
        </is>
      </c>
      <c r="D2264" s="4">
        <v>1.0889543899999998</v>
      </c>
      <c r="E2264" s="0" t="inlineStr">
        <is>
          <t xml:space="preserve">METALCRAFT MARINE US, INC.</t>
        </is>
      </c>
      <c r="F2264" s="0" t="inlineStr">
        <is>
          <t xml:space="preserve">naics:336612; psc:1940</t>
        </is>
      </c>
    </row>
    <row r="2265">
      <c r="B2265" s="0" t="inlineStr">
        <is>
          <t xml:space="preserve">N0002420P2230</t>
        </is>
      </c>
      <c r="C2265" s="0" t="inlineStr">
        <is>
          <t xml:space="preserve">small_craft</t>
        </is>
      </c>
      <c r="D2265" s="4">
        <v>1.0885091999999998</v>
      </c>
      <c r="E2265" s="0" t="inlineStr">
        <is>
          <t xml:space="preserve">NW BEND BOATS, LLC</t>
        </is>
      </c>
      <c r="F2265" s="0" t="inlineStr">
        <is>
          <t xml:space="preserve">naics:336612; psc:1940</t>
        </is>
      </c>
    </row>
    <row r="2266">
      <c r="B2266" s="0" t="inlineStr">
        <is>
          <t xml:space="preserve">N0010420PFC36</t>
        </is>
      </c>
      <c r="C2266" s="0" t="inlineStr">
        <is>
          <t xml:space="preserve">small_craft</t>
        </is>
      </c>
      <c r="D2266" s="4">
        <v>1.076979</v>
      </c>
      <c r="E2266" s="0" t="inlineStr">
        <is>
          <t xml:space="preserve">CEPEDA ASSOCIATES, INC.</t>
        </is>
      </c>
      <c r="F2266" s="0" t="inlineStr">
        <is>
          <t xml:space="preserve">naics:336612</t>
        </is>
      </c>
    </row>
    <row r="2267">
      <c r="B2267" s="0" t="inlineStr">
        <is>
          <t xml:space="preserve">0004</t>
        </is>
      </c>
      <c r="C2267" s="0" t="inlineStr">
        <is>
          <t xml:space="preserve">small_craft</t>
        </is>
      </c>
      <c r="D2267" s="4">
        <v>1.07514179</v>
      </c>
      <c r="E2267" s="0" t="inlineStr">
        <is>
          <t xml:space="preserve">UNITED STATES MARINE INC</t>
        </is>
      </c>
      <c r="F2267" s="0" t="inlineStr">
        <is>
          <t xml:space="preserve">naics:336612; psc:1940</t>
        </is>
      </c>
    </row>
    <row r="2268">
      <c r="B2268" s="0" t="inlineStr">
        <is>
          <t xml:space="preserve">N6449824F4035</t>
        </is>
      </c>
      <c r="C2268" s="0" t="inlineStr">
        <is>
          <t xml:space="preserve">broad_maritime</t>
        </is>
      </c>
      <c r="D2268" s="4">
        <v>1.07110296</v>
      </c>
      <c r="E2268" s="0" t="inlineStr">
        <is>
          <t xml:space="preserve">LEIDOS, INC.</t>
        </is>
      </c>
      <c r="F2268" s="0" t="inlineStr">
        <is>
          <t xml:space="preserve">psc:2090</t>
        </is>
      </c>
    </row>
    <row r="2269">
      <c r="B2269" s="0" t="inlineStr">
        <is>
          <t xml:space="preserve">N4044210P5012</t>
        </is>
      </c>
      <c r="C2269" s="0" t="inlineStr">
        <is>
          <t xml:space="preserve">broad_maritime</t>
        </is>
      </c>
      <c r="D2269" s="4">
        <v>1.06682301</v>
      </c>
      <c r="E2269" s="0" t="inlineStr">
        <is>
          <t xml:space="preserve">ATLANTIC FABRICATION &amp; BOILER SERVICES, INC.</t>
        </is>
      </c>
      <c r="F2269" s="0" t="inlineStr">
        <is>
          <t xml:space="preserve">psc:2090</t>
        </is>
      </c>
    </row>
    <row r="2270">
      <c r="B2270" s="0" t="inlineStr">
        <is>
          <t xml:space="preserve">N0002420C2254</t>
        </is>
      </c>
      <c r="C2270" s="0" t="inlineStr">
        <is>
          <t xml:space="preserve">other_small</t>
        </is>
      </c>
      <c r="D2270" s="4">
        <v>1.0647564999999999</v>
      </c>
      <c r="E2270" s="0" t="inlineStr">
        <is>
          <t xml:space="preserve">BOLLINGER SHIPYARDS LOCKPORT, L.L.C.</t>
        </is>
      </c>
      <c r="F2270" s="0" t="inlineStr">
        <is>
          <t xml:space="preserve">psc:1925</t>
        </is>
      </c>
    </row>
    <row r="2271">
      <c r="B2271" s="0" t="inlineStr">
        <is>
          <t xml:space="preserve">N3220520P4149</t>
        </is>
      </c>
      <c r="C2271" s="0" t="inlineStr">
        <is>
          <t xml:space="preserve">broad_maritime</t>
        </is>
      </c>
      <c r="D2271" s="4">
        <v>1.059177</v>
      </c>
      <c r="E2271" s="0" t="inlineStr">
        <is>
          <t xml:space="preserve">APPLETON MARINE INC</t>
        </is>
      </c>
      <c r="F2271" s="0" t="inlineStr">
        <is>
          <t xml:space="preserve">psc:2090</t>
        </is>
      </c>
    </row>
    <row r="2272">
      <c r="B2272" s="0" t="inlineStr">
        <is>
          <t xml:space="preserve">N0010423CK004</t>
        </is>
      </c>
      <c r="C2272" s="0" t="inlineStr">
        <is>
          <t xml:space="preserve">broad_maritime</t>
        </is>
      </c>
      <c r="D2272" s="4">
        <v>1.05858923</v>
      </c>
      <c r="E2272" s="0" t="inlineStr">
        <is>
          <t xml:space="preserve">TEREX CORPORATION</t>
        </is>
      </c>
      <c r="F2272" s="0" t="inlineStr">
        <is>
          <t xml:space="preserve">psc:2090</t>
        </is>
      </c>
    </row>
    <row r="2273">
      <c r="B2273" s="0" t="inlineStr">
        <is>
          <t xml:space="preserve">0009</t>
        </is>
      </c>
      <c r="C2273" s="0" t="inlineStr">
        <is>
          <t xml:space="preserve">broad_maritime</t>
        </is>
      </c>
      <c r="D2273" s="4">
        <v>1.0571599999999999</v>
      </c>
      <c r="E2273" s="0" t="inlineStr">
        <is>
          <t xml:space="preserve">FENDER CARE LIMITED</t>
        </is>
      </c>
      <c r="F2273" s="0" t="inlineStr">
        <is>
          <t xml:space="preserve">psc:2090</t>
        </is>
      </c>
    </row>
    <row r="2274">
      <c r="B2274" s="0" t="inlineStr">
        <is>
          <t xml:space="preserve">N6133122F0011</t>
        </is>
      </c>
      <c r="C2274" s="0" t="inlineStr">
        <is>
          <t xml:space="preserve">broad_maritime</t>
        </is>
      </c>
      <c r="D2274" s="4">
        <v>1.0532421</v>
      </c>
      <c r="E2274" s="0" t="inlineStr">
        <is>
          <t xml:space="preserve">BOOZ ALLEN HAMILTON INC</t>
        </is>
      </c>
      <c r="F2274" s="0" t="inlineStr">
        <is>
          <t xml:space="preserve">psc:2090</t>
        </is>
      </c>
    </row>
    <row r="2275">
      <c r="B2275" s="0" t="inlineStr">
        <is>
          <t xml:space="preserve">0007</t>
        </is>
      </c>
      <c r="C2275" s="0" t="inlineStr">
        <is>
          <t xml:space="preserve">broad_maritime</t>
        </is>
      </c>
      <c r="D2275" s="4">
        <v>1.04624</v>
      </c>
      <c r="E2275" s="0" t="inlineStr">
        <is>
          <t xml:space="preserve">FENDER CARE LIMITED</t>
        </is>
      </c>
      <c r="F2275" s="0" t="inlineStr">
        <is>
          <t xml:space="preserve">psc:2090</t>
        </is>
      </c>
    </row>
    <row r="2276">
      <c r="B2276" s="0" t="inlineStr">
        <is>
          <t xml:space="preserve">N3220519P6135</t>
        </is>
      </c>
      <c r="C2276" s="0" t="inlineStr">
        <is>
          <t xml:space="preserve">broad_maritime</t>
        </is>
      </c>
      <c r="D2276" s="4">
        <v>1.0445229999999999</v>
      </c>
      <c r="E2276" s="0" t="inlineStr">
        <is>
          <t xml:space="preserve">APPLETON MARINE INC</t>
        </is>
      </c>
      <c r="F2276" s="0" t="inlineStr">
        <is>
          <t xml:space="preserve">psc:2090</t>
        </is>
      </c>
    </row>
    <row r="2277">
      <c r="B2277" s="0" t="inlineStr">
        <is>
          <t xml:space="preserve">N3220521F1679</t>
        </is>
      </c>
      <c r="C2277" s="0" t="inlineStr">
        <is>
          <t xml:space="preserve">broad_maritime</t>
        </is>
      </c>
      <c r="D2277" s="4">
        <v>1.04291224</v>
      </c>
      <c r="E2277" s="0" t="inlineStr">
        <is>
          <t xml:space="preserve">ROLLS-ROYCE SOLUTIONS AMERICA INC</t>
        </is>
      </c>
      <c r="F2277" s="0" t="inlineStr">
        <is>
          <t xml:space="preserve">psc:2090</t>
        </is>
      </c>
    </row>
    <row r="2278">
      <c r="B2278" s="0" t="inlineStr">
        <is>
          <t xml:space="preserve">N6449819F4251</t>
        </is>
      </c>
      <c r="C2278" s="0" t="inlineStr">
        <is>
          <t xml:space="preserve">broad_maritime</t>
        </is>
      </c>
      <c r="D2278" s="4">
        <v>1.035153</v>
      </c>
      <c r="E2278" s="0" t="inlineStr">
        <is>
          <t xml:space="preserve">LEIDOS, INC.</t>
        </is>
      </c>
      <c r="F2278" s="0" t="inlineStr">
        <is>
          <t xml:space="preserve">psc:2090</t>
        </is>
      </c>
    </row>
    <row r="2279">
      <c r="B2279" s="0" t="inlineStr">
        <is>
          <t xml:space="preserve">N0010425FY702</t>
        </is>
      </c>
      <c r="C2279" s="0" t="inlineStr">
        <is>
          <t xml:space="preserve">small_craft</t>
        </is>
      </c>
      <c r="D2279" s="4">
        <v>1.03182494</v>
      </c>
      <c r="E2279" s="0" t="inlineStr">
        <is>
          <t xml:space="preserve">L3 TECHNOLOGIES, INC.</t>
        </is>
      </c>
      <c r="F2279" s="0" t="inlineStr">
        <is>
          <t xml:space="preserve">naics:336612</t>
        </is>
      </c>
    </row>
    <row r="2280">
      <c r="B2280" s="0" t="inlineStr">
        <is>
          <t xml:space="preserve">M6785412C1030</t>
        </is>
      </c>
      <c r="C2280" s="0" t="inlineStr">
        <is>
          <t xml:space="preserve">small_craft</t>
        </is>
      </c>
      <c r="D2280" s="4">
        <v>1.03034709</v>
      </c>
      <c r="E2280" s="0" t="inlineStr">
        <is>
          <t xml:space="preserve">SAFE BOATS INTERNATIONAL LLC</t>
        </is>
      </c>
      <c r="F2280" s="0" t="inlineStr">
        <is>
          <t xml:space="preserve">naics:336612; psc:1940</t>
        </is>
      </c>
    </row>
    <row r="2281">
      <c r="B2281" s="0" t="inlineStr">
        <is>
          <t xml:space="preserve">N5523624F9980</t>
        </is>
      </c>
      <c r="C2281" s="0" t="inlineStr">
        <is>
          <t xml:space="preserve">broad_maritime</t>
        </is>
      </c>
      <c r="D2281" s="4">
        <v>1.0300210699999999</v>
      </c>
      <c r="E2281" s="0" t="inlineStr">
        <is>
          <t xml:space="preserve">HII FLEET SUPPORT GROUP LLC</t>
        </is>
      </c>
      <c r="F2281" s="0" t="inlineStr">
        <is>
          <t xml:space="preserve">psc:1905</t>
        </is>
      </c>
    </row>
    <row r="2282">
      <c r="B2282" s="0" t="inlineStr">
        <is>
          <t xml:space="preserve">N5005423P0155</t>
        </is>
      </c>
      <c r="C2282" s="0" t="inlineStr">
        <is>
          <t xml:space="preserve">broad_maritime</t>
        </is>
      </c>
      <c r="D2282" s="4">
        <v>1.02350908</v>
      </c>
      <c r="E2282" s="0" t="inlineStr">
        <is>
          <t xml:space="preserve">RIX INDUSTRIES</t>
        </is>
      </c>
      <c r="F2282" s="0" t="inlineStr">
        <is>
          <t xml:space="preserve">psc:2090</t>
        </is>
      </c>
    </row>
    <row r="2283">
      <c r="B2283" s="0" t="inlineStr">
        <is>
          <t xml:space="preserve">N0040616P2934</t>
        </is>
      </c>
      <c r="C2283" s="0" t="inlineStr">
        <is>
          <t xml:space="preserve">broad_maritime</t>
        </is>
      </c>
      <c r="D2283" s="4">
        <v>1.019312</v>
      </c>
      <c r="E2283" s="0" t="inlineStr">
        <is>
          <t xml:space="preserve">FEDERAL RESOURCES SUPPLY COMPANY, LLC</t>
        </is>
      </c>
      <c r="F2283" s="0" t="inlineStr">
        <is>
          <t xml:space="preserve">psc:2090</t>
        </is>
      </c>
    </row>
    <row r="2284">
      <c r="B2284" s="0" t="inlineStr">
        <is>
          <t xml:space="preserve">0004</t>
        </is>
      </c>
      <c r="C2284" s="0" t="inlineStr">
        <is>
          <t xml:space="preserve">broad_maritime</t>
        </is>
      </c>
      <c r="D2284" s="4">
        <v>1.0140814</v>
      </c>
      <c r="E2284" s="0" t="inlineStr">
        <is>
          <t xml:space="preserve">LEIDOS, INC.</t>
        </is>
      </c>
      <c r="F2284" s="0" t="inlineStr">
        <is>
          <t xml:space="preserve">psc:2090</t>
        </is>
      </c>
    </row>
    <row r="2285">
      <c r="B2285" s="0" t="inlineStr">
        <is>
          <t xml:space="preserve">N0002421F22U1</t>
        </is>
      </c>
      <c r="C2285" s="0" t="inlineStr">
        <is>
          <t xml:space="preserve">small_craft</t>
        </is>
      </c>
      <c r="D2285" s="4">
        <v>1.01327002</v>
      </c>
      <c r="E2285" s="0" t="inlineStr">
        <is>
          <t xml:space="preserve">VIGOR KVICHAK LLC</t>
        </is>
      </c>
      <c r="F2285" s="0" t="inlineStr">
        <is>
          <t xml:space="preserve">naics:336612; psc:1940</t>
        </is>
      </c>
    </row>
    <row r="2286">
      <c r="B2286" s="0" t="inlineStr">
        <is>
          <t xml:space="preserve">0003</t>
        </is>
      </c>
      <c r="C2286" s="0" t="inlineStr">
        <is>
          <t xml:space="preserve">broad_maritime</t>
        </is>
      </c>
      <c r="D2286" s="4">
        <v>1.010022</v>
      </c>
      <c r="E2286" s="0" t="inlineStr">
        <is>
          <t xml:space="preserve">LAUREL TECHNOLOGIES PARTNERSHIP</t>
        </is>
      </c>
      <c r="F2286" s="0" t="inlineStr">
        <is>
          <t xml:space="preserve">psc:2090</t>
        </is>
      </c>
    </row>
    <row r="2287">
      <c r="B2287" s="0" t="inlineStr">
        <is>
          <t xml:space="preserve">7F08</t>
        </is>
      </c>
      <c r="C2287" s="0" t="inlineStr">
        <is>
          <t xml:space="preserve">broad_maritime</t>
        </is>
      </c>
      <c r="D2287" s="4">
        <v>1.0095779999999999</v>
      </c>
      <c r="E2287" s="0" t="inlineStr">
        <is>
          <t xml:space="preserve">HUNTINGTON INGALLS INCORPORATED</t>
        </is>
      </c>
      <c r="F2287" s="0" t="inlineStr">
        <is>
          <t xml:space="preserve">psc:1905</t>
        </is>
      </c>
    </row>
    <row r="2288">
      <c r="B2288" s="0" t="inlineStr">
        <is>
          <t xml:space="preserve">N0002417F22A2</t>
        </is>
      </c>
      <c r="C2288" s="0" t="inlineStr">
        <is>
          <t xml:space="preserve">small_craft</t>
        </is>
      </c>
      <c r="D2288" s="4">
        <v>1.00711152</v>
      </c>
      <c r="E2288" s="0" t="inlineStr">
        <is>
          <t xml:space="preserve">GRAVOIS ALUMINUM BOATS LLC</t>
        </is>
      </c>
      <c r="F2288" s="0" t="inlineStr">
        <is>
          <t xml:space="preserve">naics:336612</t>
        </is>
      </c>
    </row>
    <row r="2289">
      <c r="B2289" s="0" t="inlineStr">
        <is>
          <t xml:space="preserve">0088</t>
        </is>
      </c>
      <c r="C2289" s="0" t="inlineStr">
        <is>
          <t xml:space="preserve">broad_maritime</t>
        </is>
      </c>
      <c r="D2289" s="4">
        <v>1.00607029</v>
      </c>
      <c r="E2289" s="0" t="inlineStr">
        <is>
          <t xml:space="preserve">ROCKWELL AUTOMATION INC</t>
        </is>
      </c>
      <c r="F2289" s="0" t="inlineStr">
        <is>
          <t xml:space="preserve">psc:2090</t>
        </is>
      </c>
    </row>
    <row r="2290">
      <c r="B2290" s="0" t="inlineStr">
        <is>
          <t xml:space="preserve">N3220523F2308</t>
        </is>
      </c>
      <c r="C2290" s="0" t="inlineStr">
        <is>
          <t xml:space="preserve">broad_maritime</t>
        </is>
      </c>
      <c r="D2290" s="4">
        <v>1.00357173</v>
      </c>
      <c r="E2290" s="0" t="inlineStr">
        <is>
          <t xml:space="preserve">FINCANTIERI MARINE SYSTEMS NORTH AMERICA, INC.</t>
        </is>
      </c>
      <c r="F2290" s="0" t="inlineStr">
        <is>
          <t xml:space="preserve">psc:2090</t>
        </is>
      </c>
    </row>
    <row r="2291">
      <c r="B2291" s="0" t="inlineStr">
        <is>
          <t xml:space="preserve">N3220518P4105</t>
        </is>
      </c>
      <c r="C2291" s="0" t="inlineStr">
        <is>
          <t xml:space="preserve">broad_maritime</t>
        </is>
      </c>
      <c r="D2291" s="4">
        <v>1.0031430799999999</v>
      </c>
      <c r="E2291" s="0" t="inlineStr">
        <is>
          <t xml:space="preserve">DEFENSE MARITIME SOLUTIONS, INC.</t>
        </is>
      </c>
      <c r="F2291" s="0" t="inlineStr">
        <is>
          <t xml:space="preserve">psc:2090</t>
        </is>
      </c>
    </row>
    <row r="2292">
      <c r="B2292" s="0" t="inlineStr">
        <is>
          <t xml:space="preserve">N6133122F0127</t>
        </is>
      </c>
      <c r="C2292" s="0" t="inlineStr">
        <is>
          <t xml:space="preserve">broad_maritime</t>
        </is>
      </c>
      <c r="D2292" s="4">
        <v>1.0015</v>
      </c>
      <c r="E2292" s="0" t="inlineStr">
        <is>
          <t xml:space="preserve">AEF-PERFORMANCE LLC</t>
        </is>
      </c>
      <c r="F2292" s="0" t="inlineStr">
        <is>
          <t xml:space="preserve">psc:2090</t>
        </is>
      </c>
    </row>
    <row r="2293">
      <c r="B2293" s="0" t="inlineStr">
        <is>
          <t xml:space="preserve">N0001425C1319</t>
        </is>
      </c>
      <c r="C2293" s="0" t="inlineStr">
        <is>
          <t xml:space="preserve">usv_core</t>
        </is>
      </c>
      <c r="D2293" s="4">
        <v>0.9998199999999999</v>
      </c>
      <c r="E2293" s="0" t="inlineStr">
        <is>
          <t xml:space="preserve">SCIENTIFIC SYSTEMS COMPANY, INC.</t>
        </is>
      </c>
      <c r="F2293" s="0" t="inlineStr">
        <is>
          <t xml:space="preserve">keyword</t>
        </is>
      </c>
    </row>
    <row r="2294">
      <c r="B2294" s="0" t="inlineStr">
        <is>
          <t xml:space="preserve">N0003923F1033</t>
        </is>
      </c>
      <c r="C2294" s="0" t="inlineStr">
        <is>
          <t xml:space="preserve">small_craft</t>
        </is>
      </c>
      <c r="D2294" s="4">
        <v>0.9991458499999999</v>
      </c>
      <c r="E2294" s="0" t="inlineStr">
        <is>
          <t xml:space="preserve">TELEDYNE BROWN ENGINEERING, INC.</t>
        </is>
      </c>
      <c r="F2294" s="0" t="inlineStr">
        <is>
          <t xml:space="preserve">psc:1940</t>
        </is>
      </c>
    </row>
    <row r="2295">
      <c r="B2295" s="0" t="inlineStr">
        <is>
          <t xml:space="preserve">L818</t>
        </is>
      </c>
      <c r="C2295" s="0" t="inlineStr">
        <is>
          <t xml:space="preserve">broad_maritime</t>
        </is>
      </c>
      <c r="D2295" s="4">
        <v>0.991166</v>
      </c>
      <c r="E2295" s="0" t="inlineStr">
        <is>
          <t xml:space="preserve">ELECTRIC BOAT CORPORATION</t>
        </is>
      </c>
      <c r="F2295" s="0" t="inlineStr">
        <is>
          <t xml:space="preserve">psc:1905</t>
        </is>
      </c>
    </row>
    <row r="2296">
      <c r="B2296" s="0" t="inlineStr">
        <is>
          <t xml:space="preserve">N0002420F22U1</t>
        </is>
      </c>
      <c r="C2296" s="0" t="inlineStr">
        <is>
          <t xml:space="preserve">small_craft</t>
        </is>
      </c>
      <c r="D2296" s="4">
        <v>0.9883933</v>
      </c>
      <c r="E2296" s="0" t="inlineStr">
        <is>
          <t xml:space="preserve">VIGOR KVICHAK LLC</t>
        </is>
      </c>
      <c r="F2296" s="0" t="inlineStr">
        <is>
          <t xml:space="preserve">naics:336612; psc:1940</t>
        </is>
      </c>
    </row>
    <row r="2297">
      <c r="B2297" s="0" t="inlineStr">
        <is>
          <t xml:space="preserve">N0002421F22J2</t>
        </is>
      </c>
      <c r="C2297" s="0" t="inlineStr">
        <is>
          <t xml:space="preserve">small_craft</t>
        </is>
      </c>
      <c r="D2297" s="4">
        <v>0.9875319599999999</v>
      </c>
      <c r="E2297" s="0" t="inlineStr">
        <is>
          <t xml:space="preserve">UNITED STATES MARINE INC</t>
        </is>
      </c>
      <c r="F2297" s="0" t="inlineStr">
        <is>
          <t xml:space="preserve">naics:336612; psc:1940</t>
        </is>
      </c>
    </row>
    <row r="2298">
      <c r="B2298" s="0" t="inlineStr">
        <is>
          <t xml:space="preserve">0022</t>
        </is>
      </c>
      <c r="C2298" s="0" t="inlineStr">
        <is>
          <t xml:space="preserve">broad_maritime</t>
        </is>
      </c>
      <c r="D2298" s="4">
        <v>0.9848771999999999</v>
      </c>
      <c r="E2298" s="0" t="inlineStr">
        <is>
          <t xml:space="preserve">NORTHROP GRUMMAN SYSTEMS CORPORATION</t>
        </is>
      </c>
      <c r="F2298" s="0" t="inlineStr">
        <is>
          <t xml:space="preserve">psc:2090</t>
        </is>
      </c>
    </row>
    <row r="2299">
      <c r="B2299" s="0" t="inlineStr">
        <is>
          <t xml:space="preserve">N3220518P6029</t>
        </is>
      </c>
      <c r="C2299" s="0" t="inlineStr">
        <is>
          <t xml:space="preserve">broad_maritime</t>
        </is>
      </c>
      <c r="D2299" s="4">
        <v>0.9839019999999999</v>
      </c>
      <c r="E2299" s="0" t="inlineStr">
        <is>
          <t xml:space="preserve">MOTOR-SERVICES HUGO STAMP, INC</t>
        </is>
      </c>
      <c r="F2299" s="0" t="inlineStr">
        <is>
          <t xml:space="preserve">psc:2090</t>
        </is>
      </c>
    </row>
    <row r="2300">
      <c r="B2300" s="0" t="inlineStr">
        <is>
          <t xml:space="preserve">N6449821F4214</t>
        </is>
      </c>
      <c r="C2300" s="0" t="inlineStr">
        <is>
          <t xml:space="preserve">broad_maritime</t>
        </is>
      </c>
      <c r="D2300" s="4">
        <v>0.9833909999999999</v>
      </c>
      <c r="E2300" s="0" t="inlineStr">
        <is>
          <t xml:space="preserve">LEIDOS, INC.</t>
        </is>
      </c>
      <c r="F2300" s="0" t="inlineStr">
        <is>
          <t xml:space="preserve">psc:2090</t>
        </is>
      </c>
    </row>
    <row r="2301">
      <c r="B2301" s="0" t="inlineStr">
        <is>
          <t xml:space="preserve">M6785424C6523</t>
        </is>
      </c>
      <c r="C2301" s="0" t="inlineStr">
        <is>
          <t xml:space="preserve">usv_core</t>
        </is>
      </c>
      <c r="D2301" s="4">
        <v>0.981143</v>
      </c>
      <c r="E2301" s="0" t="inlineStr">
        <is>
          <t xml:space="preserve">TREX ENTERPRISES CORPORATION</t>
        </is>
      </c>
      <c r="F2301" s="0" t="inlineStr">
        <is>
          <t xml:space="preserve">keyword</t>
        </is>
      </c>
    </row>
    <row r="2302">
      <c r="B2302" s="0" t="inlineStr">
        <is>
          <t xml:space="preserve">N0002420C2243</t>
        </is>
      </c>
      <c r="C2302" s="0" t="inlineStr">
        <is>
          <t xml:space="preserve">other_small</t>
        </is>
      </c>
      <c r="D2302" s="4">
        <v>0.981</v>
      </c>
      <c r="E2302" s="0" t="inlineStr">
        <is>
          <t xml:space="preserve">BOLLINGER MISSISSIPPI SHIPBUILDING, LLC</t>
        </is>
      </c>
      <c r="F2302" s="0" t="inlineStr">
        <is>
          <t xml:space="preserve">psc:1925</t>
        </is>
      </c>
    </row>
    <row r="2303">
      <c r="B2303" s="0" t="inlineStr">
        <is>
          <t xml:space="preserve">N6600124F0702</t>
        </is>
      </c>
      <c r="C2303" s="0" t="inlineStr">
        <is>
          <t xml:space="preserve">usv_core</t>
        </is>
      </c>
      <c r="D2303" s="4">
        <v>0.97999761</v>
      </c>
      <c r="E2303" s="0" t="inlineStr">
        <is>
          <t xml:space="preserve">COLSA CORP</t>
        </is>
      </c>
      <c r="F2303" s="0" t="inlineStr">
        <is>
          <t xml:space="preserve">keyword</t>
        </is>
      </c>
    </row>
    <row r="2304">
      <c r="B2304" s="0" t="inlineStr">
        <is>
          <t xml:space="preserve">N6449820F4078</t>
        </is>
      </c>
      <c r="C2304" s="0" t="inlineStr">
        <is>
          <t xml:space="preserve">broad_maritime</t>
        </is>
      </c>
      <c r="D2304" s="4">
        <v>0.9745999999999999</v>
      </c>
      <c r="E2304" s="0" t="inlineStr">
        <is>
          <t xml:space="preserve">FLIGHTFAB, INC.</t>
        </is>
      </c>
      <c r="F2304" s="0" t="inlineStr">
        <is>
          <t xml:space="preserve">psc:2090</t>
        </is>
      </c>
    </row>
    <row r="2305">
      <c r="B2305" s="0" t="inlineStr">
        <is>
          <t xml:space="preserve">N0002422F2304</t>
        </is>
      </c>
      <c r="C2305" s="0" t="inlineStr">
        <is>
          <t xml:space="preserve">broad_maritime</t>
        </is>
      </c>
      <c r="D2305" s="4">
        <v>0.97377224</v>
      </c>
      <c r="E2305" s="0" t="inlineStr">
        <is>
          <t xml:space="preserve">L3 TECHNOLOGIES, INC.</t>
        </is>
      </c>
      <c r="F2305" s="0" t="inlineStr">
        <is>
          <t xml:space="preserve">psc:1905</t>
        </is>
      </c>
    </row>
    <row r="2306">
      <c r="B2306" s="0" t="inlineStr">
        <is>
          <t xml:space="preserve">N0010424FZL01</t>
        </is>
      </c>
      <c r="C2306" s="0" t="inlineStr">
        <is>
          <t xml:space="preserve">small_craft</t>
        </is>
      </c>
      <c r="D2306" s="4">
        <v>0.9719334399999999</v>
      </c>
      <c r="E2306" s="0" t="inlineStr">
        <is>
          <t xml:space="preserve">DEFENSE MARITIME SOLUTIONS, INC.</t>
        </is>
      </c>
      <c r="F2306" s="0" t="inlineStr">
        <is>
          <t xml:space="preserve">naics:336612</t>
        </is>
      </c>
    </row>
    <row r="2307">
      <c r="B2307" s="0" t="inlineStr">
        <is>
          <t xml:space="preserve">N0024424F0405</t>
        </is>
      </c>
      <c r="C2307" s="0" t="inlineStr">
        <is>
          <t xml:space="preserve">broad_maritime</t>
        </is>
      </c>
      <c r="D2307" s="4">
        <v>0.9703657499999999</v>
      </c>
      <c r="E2307" s="0" t="inlineStr">
        <is>
          <t xml:space="preserve">JPL HABITABILITY, INC.</t>
        </is>
      </c>
      <c r="F2307" s="0" t="inlineStr">
        <is>
          <t xml:space="preserve">psc:2090</t>
        </is>
      </c>
    </row>
    <row r="2308">
      <c r="B2308" s="0" t="inlineStr">
        <is>
          <t xml:space="preserve">N3220518P4047</t>
        </is>
      </c>
      <c r="C2308" s="0" t="inlineStr">
        <is>
          <t xml:space="preserve">broad_maritime</t>
        </is>
      </c>
      <c r="D2308" s="4">
        <v>0.9679935999999999</v>
      </c>
      <c r="E2308" s="0" t="inlineStr">
        <is>
          <t xml:space="preserve">EVOQUA WATER TECHNOLOGIES LLC</t>
        </is>
      </c>
      <c r="F2308" s="0" t="inlineStr">
        <is>
          <t xml:space="preserve">psc:2090</t>
        </is>
      </c>
    </row>
    <row r="2309">
      <c r="B2309" s="0" t="inlineStr">
        <is>
          <t xml:space="preserve">N3220520P4192</t>
        </is>
      </c>
      <c r="C2309" s="0" t="inlineStr">
        <is>
          <t xml:space="preserve">broad_maritime</t>
        </is>
      </c>
      <c r="D2309" s="4">
        <v>0.964749</v>
      </c>
      <c r="E2309" s="0" t="inlineStr">
        <is>
          <t xml:space="preserve">PHEX LLC</t>
        </is>
      </c>
      <c r="F2309" s="0" t="inlineStr">
        <is>
          <t xml:space="preserve">psc:2090</t>
        </is>
      </c>
    </row>
    <row r="2310">
      <c r="B2310" s="0" t="inlineStr">
        <is>
          <t xml:space="preserve">N6449820F4276</t>
        </is>
      </c>
      <c r="C2310" s="0" t="inlineStr">
        <is>
          <t xml:space="preserve">broad_maritime</t>
        </is>
      </c>
      <c r="D2310" s="4">
        <v>0.964005</v>
      </c>
      <c r="E2310" s="0" t="inlineStr">
        <is>
          <t xml:space="preserve">LEIDOS, INC.</t>
        </is>
      </c>
      <c r="F2310" s="0" t="inlineStr">
        <is>
          <t xml:space="preserve">psc:2090</t>
        </is>
      </c>
    </row>
    <row r="2311">
      <c r="B2311" s="0" t="inlineStr">
        <is>
          <t xml:space="preserve">0005</t>
        </is>
      </c>
      <c r="C2311" s="0" t="inlineStr">
        <is>
          <t xml:space="preserve">broad_maritime</t>
        </is>
      </c>
      <c r="D2311" s="4">
        <v>0.9634729999999999</v>
      </c>
      <c r="E2311" s="0" t="inlineStr">
        <is>
          <t xml:space="preserve">HUNTINGTON INGALLS INCORPORATED</t>
        </is>
      </c>
      <c r="F2311" s="0" t="inlineStr">
        <is>
          <t xml:space="preserve">psc:1905</t>
        </is>
      </c>
    </row>
    <row r="2312">
      <c r="B2312" s="0" t="inlineStr">
        <is>
          <t xml:space="preserve">N6133118F0010</t>
        </is>
      </c>
      <c r="C2312" s="0" t="inlineStr">
        <is>
          <t xml:space="preserve">broad_maritime</t>
        </is>
      </c>
      <c r="D2312" s="4">
        <v>0.9615309599999999</v>
      </c>
      <c r="E2312" s="0" t="inlineStr">
        <is>
          <t xml:space="preserve">AEF-PERFORMANCE LLC</t>
        </is>
      </c>
      <c r="F2312" s="0" t="inlineStr">
        <is>
          <t xml:space="preserve">psc:2090</t>
        </is>
      </c>
    </row>
    <row r="2313">
      <c r="B2313" s="0" t="inlineStr">
        <is>
          <t xml:space="preserve">0141</t>
        </is>
      </c>
      <c r="C2313" s="0" t="inlineStr">
        <is>
          <t xml:space="preserve">broad_maritime</t>
        </is>
      </c>
      <c r="D2313" s="4">
        <v>0.96099978</v>
      </c>
      <c r="E2313" s="0" t="inlineStr">
        <is>
          <t xml:space="preserve">GLOBAL PCCI (GPC)</t>
        </is>
      </c>
      <c r="F2313" s="0" t="inlineStr">
        <is>
          <t xml:space="preserve">psc:2090</t>
        </is>
      </c>
    </row>
    <row r="2314">
      <c r="B2314" s="0" t="inlineStr">
        <is>
          <t xml:space="preserve">N0003925F1002</t>
        </is>
      </c>
      <c r="C2314" s="0" t="inlineStr">
        <is>
          <t xml:space="preserve">small_craft</t>
        </is>
      </c>
      <c r="D2314" s="4">
        <v>0.95963152</v>
      </c>
      <c r="E2314" s="0" t="inlineStr">
        <is>
          <t xml:space="preserve">TELEDYNE BROWN ENGINEERING, INC.</t>
        </is>
      </c>
      <c r="F2314" s="0" t="inlineStr">
        <is>
          <t xml:space="preserve">psc:1940</t>
        </is>
      </c>
    </row>
    <row r="2315">
      <c r="B2315" s="0" t="inlineStr">
        <is>
          <t xml:space="preserve">N0002423F23A1</t>
        </is>
      </c>
      <c r="C2315" s="0" t="inlineStr">
        <is>
          <t xml:space="preserve">small_craft</t>
        </is>
      </c>
      <c r="D2315" s="4">
        <v>0.9573295999999999</v>
      </c>
      <c r="E2315" s="0" t="inlineStr">
        <is>
          <t xml:space="preserve">LAKE ASSAULT BOATS, LLC</t>
        </is>
      </c>
      <c r="F2315" s="0" t="inlineStr">
        <is>
          <t xml:space="preserve">naics:336612; psc:1940</t>
        </is>
      </c>
    </row>
    <row r="2316">
      <c r="B2316" s="0" t="inlineStr">
        <is>
          <t xml:space="preserve">N3220517P4209</t>
        </is>
      </c>
      <c r="C2316" s="0" t="inlineStr">
        <is>
          <t xml:space="preserve">broad_maritime</t>
        </is>
      </c>
      <c r="D2316" s="4">
        <v>0.95728167</v>
      </c>
      <c r="E2316" s="0" t="inlineStr">
        <is>
          <t xml:space="preserve">JOHNSON CONTROLS, INC.</t>
        </is>
      </c>
      <c r="F2316" s="0" t="inlineStr">
        <is>
          <t xml:space="preserve">psc:2090</t>
        </is>
      </c>
    </row>
    <row r="2317">
      <c r="B2317" s="0" t="inlineStr">
        <is>
          <t xml:space="preserve">N0016424PX002</t>
        </is>
      </c>
      <c r="C2317" s="0" t="inlineStr">
        <is>
          <t xml:space="preserve">small_craft</t>
        </is>
      </c>
      <c r="D2317" s="4">
        <v>0.9533050999999999</v>
      </c>
      <c r="E2317" s="0" t="inlineStr">
        <is>
          <t xml:space="preserve">SWIFTSHIPS, LLC</t>
        </is>
      </c>
      <c r="F2317" s="0" t="inlineStr">
        <is>
          <t xml:space="preserve">naics:336612</t>
        </is>
      </c>
    </row>
    <row r="2318">
      <c r="B2318" s="0" t="inlineStr">
        <is>
          <t xml:space="preserve">N6278922C0002</t>
        </is>
      </c>
      <c r="C2318" s="0" t="inlineStr">
        <is>
          <t xml:space="preserve">broad_maritime</t>
        </is>
      </c>
      <c r="D2318" s="4">
        <v>0.9527445699999999</v>
      </c>
      <c r="E2318" s="0" t="inlineStr">
        <is>
          <t xml:space="preserve">H. O. PENN MACHINERY COMPANY, INC.</t>
        </is>
      </c>
      <c r="F2318" s="0" t="inlineStr">
        <is>
          <t xml:space="preserve">psc:1905</t>
        </is>
      </c>
    </row>
    <row r="2319">
      <c r="B2319" s="0" t="inlineStr">
        <is>
          <t xml:space="preserve">N6133113C0019</t>
        </is>
      </c>
      <c r="C2319" s="0" t="inlineStr">
        <is>
          <t xml:space="preserve">broad_maritime</t>
        </is>
      </c>
      <c r="D2319" s="4">
        <v>0.9513959999999999</v>
      </c>
      <c r="E2319" s="0" t="inlineStr">
        <is>
          <t xml:space="preserve">NEXGEN COMPOSITES LLC</t>
        </is>
      </c>
      <c r="F2319" s="0" t="inlineStr">
        <is>
          <t xml:space="preserve">psc:2090</t>
        </is>
      </c>
    </row>
    <row r="2320">
      <c r="B2320" s="0" t="inlineStr">
        <is>
          <t xml:space="preserve">N0002420F5204</t>
        </is>
      </c>
      <c r="C2320" s="0" t="inlineStr">
        <is>
          <t xml:space="preserve">broad_maritime</t>
        </is>
      </c>
      <c r="D2320" s="4">
        <v>0.9501</v>
      </c>
      <c r="E2320" s="0" t="inlineStr">
        <is>
          <t xml:space="preserve">HUNTINGTON INGALLS INC</t>
        </is>
      </c>
      <c r="F2320" s="0" t="inlineStr">
        <is>
          <t xml:space="preserve">psc:1905</t>
        </is>
      </c>
    </row>
    <row r="2321">
      <c r="B2321" s="0" t="inlineStr">
        <is>
          <t xml:space="preserve">N0002420F4141</t>
        </is>
      </c>
      <c r="C2321" s="0" t="inlineStr">
        <is>
          <t xml:space="preserve">broad_maritime</t>
        </is>
      </c>
      <c r="D2321" s="4">
        <v>0.9501</v>
      </c>
      <c r="E2321" s="0" t="inlineStr">
        <is>
          <t xml:space="preserve">HUNTINGTON INGALLS INC</t>
        </is>
      </c>
      <c r="F2321" s="0" t="inlineStr">
        <is>
          <t xml:space="preserve">psc:1905</t>
        </is>
      </c>
    </row>
    <row r="2322">
      <c r="B2322" s="0" t="inlineStr">
        <is>
          <t xml:space="preserve">N0040624F0232</t>
        </is>
      </c>
      <c r="C2322" s="0" t="inlineStr">
        <is>
          <t xml:space="preserve">broad_maritime</t>
        </is>
      </c>
      <c r="D2322" s="4">
        <v>0.9474495999999999</v>
      </c>
      <c r="E2322" s="0" t="inlineStr">
        <is>
          <t xml:space="preserve">DEFENSE MARITIME SOLUTIONS, INC.</t>
        </is>
      </c>
      <c r="F2322" s="0" t="inlineStr">
        <is>
          <t xml:space="preserve">psc:2090</t>
        </is>
      </c>
    </row>
    <row r="2323">
      <c r="B2323" s="0" t="inlineStr">
        <is>
          <t xml:space="preserve">N0016716CEE30</t>
        </is>
      </c>
      <c r="C2323" s="0" t="inlineStr">
        <is>
          <t xml:space="preserve">broad_maritime</t>
        </is>
      </c>
      <c r="D2323" s="4">
        <v>0.94311322</v>
      </c>
      <c r="E2323" s="0" t="inlineStr">
        <is>
          <t xml:space="preserve">INTERNATIONAL WASTE INDUSTRIES CORP</t>
        </is>
      </c>
      <c r="F2323" s="0" t="inlineStr">
        <is>
          <t xml:space="preserve">psc:2090</t>
        </is>
      </c>
    </row>
    <row r="2324">
      <c r="B2324" s="0" t="inlineStr">
        <is>
          <t xml:space="preserve">N0002424F22B4</t>
        </is>
      </c>
      <c r="C2324" s="0" t="inlineStr">
        <is>
          <t xml:space="preserve">small_craft</t>
        </is>
      </c>
      <c r="D2324" s="4">
        <v>0.94121816</v>
      </c>
      <c r="E2324" s="0" t="inlineStr">
        <is>
          <t xml:space="preserve">RIBCRAFT USA, LLC</t>
        </is>
      </c>
      <c r="F2324" s="0" t="inlineStr">
        <is>
          <t xml:space="preserve">naics:336612; psc:1940</t>
        </is>
      </c>
    </row>
    <row r="2325">
      <c r="B2325" s="0" t="inlineStr">
        <is>
          <t xml:space="preserve">N3220518P6052</t>
        </is>
      </c>
      <c r="C2325" s="0" t="inlineStr">
        <is>
          <t xml:space="preserve">broad_maritime</t>
        </is>
      </c>
      <c r="D2325" s="4">
        <v>0.9393229999999999</v>
      </c>
      <c r="E2325" s="0" t="inlineStr">
        <is>
          <t xml:space="preserve">RENK CORP</t>
        </is>
      </c>
      <c r="F2325" s="0" t="inlineStr">
        <is>
          <t xml:space="preserve">psc:2090</t>
        </is>
      </c>
    </row>
    <row r="2326">
      <c r="B2326" s="0" t="inlineStr">
        <is>
          <t xml:space="preserve">HQ072719F1638</t>
        </is>
      </c>
      <c r="C2326" s="0" t="inlineStr">
        <is>
          <t xml:space="preserve">usv_core</t>
        </is>
      </c>
      <c r="D2326" s="4">
        <v>0.9387089799999999</v>
      </c>
      <c r="E2326" s="0" t="inlineStr">
        <is>
          <t xml:space="preserve">RAYTHEON COMPANY</t>
        </is>
      </c>
      <c r="F2326" s="0" t="inlineStr">
        <is>
          <t xml:space="preserve">keyword</t>
        </is>
      </c>
    </row>
    <row r="2327">
      <c r="B2327" s="0" t="inlineStr">
        <is>
          <t xml:space="preserve">N0002424F22B6</t>
        </is>
      </c>
      <c r="C2327" s="0" t="inlineStr">
        <is>
          <t xml:space="preserve">small_craft</t>
        </is>
      </c>
      <c r="D2327" s="4">
        <v>0.9345024599999999</v>
      </c>
      <c r="E2327" s="0" t="inlineStr">
        <is>
          <t xml:space="preserve">METALCRAFT MARINE US, INC.</t>
        </is>
      </c>
      <c r="F2327" s="0" t="inlineStr">
        <is>
          <t xml:space="preserve">naics:336612; psc:1940</t>
        </is>
      </c>
    </row>
    <row r="2328">
      <c r="B2328" s="0" t="inlineStr">
        <is>
          <t xml:space="preserve">N6600123F0949</t>
        </is>
      </c>
      <c r="C2328" s="0" t="inlineStr">
        <is>
          <t xml:space="preserve">usv_core</t>
        </is>
      </c>
      <c r="D2328" s="4">
        <v>0.9335469499999999</v>
      </c>
      <c r="E2328" s="0" t="inlineStr">
        <is>
          <t xml:space="preserve">COHERENT TECHNICAL SERVICES, INC.</t>
        </is>
      </c>
      <c r="F2328" s="0" t="inlineStr">
        <is>
          <t xml:space="preserve">keyword</t>
        </is>
      </c>
    </row>
    <row r="2329">
      <c r="B2329" s="0" t="inlineStr">
        <is>
          <t xml:space="preserve">N0002422F22B4</t>
        </is>
      </c>
      <c r="C2329" s="0" t="inlineStr">
        <is>
          <t xml:space="preserve">small_craft</t>
        </is>
      </c>
      <c r="D2329" s="4">
        <v>0.9333298</v>
      </c>
      <c r="E2329" s="0" t="inlineStr">
        <is>
          <t xml:space="preserve">RIBCRAFT USA, LLC</t>
        </is>
      </c>
      <c r="F2329" s="0" t="inlineStr">
        <is>
          <t xml:space="preserve">naics:336612; psc:1940</t>
        </is>
      </c>
    </row>
    <row r="2330">
      <c r="B2330" s="0" t="inlineStr">
        <is>
          <t xml:space="preserve">N0002422F22B3</t>
        </is>
      </c>
      <c r="C2330" s="0" t="inlineStr">
        <is>
          <t xml:space="preserve">small_craft</t>
        </is>
      </c>
      <c r="D2330" s="4">
        <v>0.9333298</v>
      </c>
      <c r="E2330" s="0" t="inlineStr">
        <is>
          <t xml:space="preserve">RIBCRAFT USA, LLC</t>
        </is>
      </c>
      <c r="F2330" s="0" t="inlineStr">
        <is>
          <t xml:space="preserve">naics:336612; psc:1940</t>
        </is>
      </c>
    </row>
    <row r="2331">
      <c r="B2331" s="0" t="inlineStr">
        <is>
          <t xml:space="preserve">N0010422FY702</t>
        </is>
      </c>
      <c r="C2331" s="0" t="inlineStr">
        <is>
          <t xml:space="preserve">small_craft</t>
        </is>
      </c>
      <c r="D2331" s="4">
        <v>0.93162525</v>
      </c>
      <c r="E2331" s="0" t="inlineStr">
        <is>
          <t xml:space="preserve">L3 TECHNOLOGIES, INC.</t>
        </is>
      </c>
      <c r="F2331" s="0" t="inlineStr">
        <is>
          <t xml:space="preserve">naics:336612</t>
        </is>
      </c>
    </row>
    <row r="2332">
      <c r="B2332" s="0" t="inlineStr">
        <is>
          <t xml:space="preserve">N3904015P0178</t>
        </is>
      </c>
      <c r="C2332" s="0" t="inlineStr">
        <is>
          <t xml:space="preserve">broad_maritime</t>
        </is>
      </c>
      <c r="D2332" s="4">
        <v>0.9245028</v>
      </c>
      <c r="E2332" s="0" t="inlineStr">
        <is>
          <t xml:space="preserve">ANGELO SASSI &amp; SON PLUMBING &amp; HEATING, INC.</t>
        </is>
      </c>
      <c r="F2332" s="0" t="inlineStr">
        <is>
          <t xml:space="preserve">psc:1905</t>
        </is>
      </c>
    </row>
    <row r="2333">
      <c r="B2333" s="0" t="inlineStr">
        <is>
          <t xml:space="preserve">N0010424FZL04</t>
        </is>
      </c>
      <c r="C2333" s="0" t="inlineStr">
        <is>
          <t xml:space="preserve">small_craft</t>
        </is>
      </c>
      <c r="D2333" s="4">
        <v>0.921512</v>
      </c>
      <c r="E2333" s="0" t="inlineStr">
        <is>
          <t xml:space="preserve">DEFENSE MARITIME SOLUTIONS, INC.</t>
        </is>
      </c>
      <c r="F2333" s="0" t="inlineStr">
        <is>
          <t xml:space="preserve">naics:336612</t>
        </is>
      </c>
    </row>
    <row r="2334">
      <c r="B2334" s="0" t="inlineStr">
        <is>
          <t xml:space="preserve">N3220517P4018</t>
        </is>
      </c>
      <c r="C2334" s="0" t="inlineStr">
        <is>
          <t xml:space="preserve">broad_maritime</t>
        </is>
      </c>
      <c r="D2334" s="4">
        <v>0.9107879999999999</v>
      </c>
      <c r="E2334" s="0" t="inlineStr">
        <is>
          <t xml:space="preserve">MOTOR-SERVICES HUGO STAMP, INC</t>
        </is>
      </c>
      <c r="F2334" s="0" t="inlineStr">
        <is>
          <t xml:space="preserve">psc:2090</t>
        </is>
      </c>
    </row>
    <row r="2335">
      <c r="B2335" s="0" t="inlineStr">
        <is>
          <t xml:space="preserve">N3220518P6553</t>
        </is>
      </c>
      <c r="C2335" s="0" t="inlineStr">
        <is>
          <t xml:space="preserve">broad_maritime</t>
        </is>
      </c>
      <c r="D2335" s="4">
        <v>0.908804</v>
      </c>
      <c r="E2335" s="0" t="inlineStr">
        <is>
          <t xml:space="preserve">AIR &amp; LIQUID SYSTEMS CORPORATION</t>
        </is>
      </c>
      <c r="F2335" s="0" t="inlineStr">
        <is>
          <t xml:space="preserve">psc:2090</t>
        </is>
      </c>
    </row>
    <row r="2336">
      <c r="B2336" s="0" t="inlineStr">
        <is>
          <t xml:space="preserve">N0024423C0006</t>
        </is>
      </c>
      <c r="C2336" s="0" t="inlineStr">
        <is>
          <t xml:space="preserve">broad_maritime</t>
        </is>
      </c>
      <c r="D2336" s="4">
        <v>0.90854455</v>
      </c>
      <c r="E2336" s="0" t="inlineStr">
        <is>
          <t xml:space="preserve">CHAND, L.L.C.</t>
        </is>
      </c>
      <c r="F2336" s="0" t="inlineStr">
        <is>
          <t xml:space="preserve">psc:2090</t>
        </is>
      </c>
    </row>
    <row r="2337">
      <c r="B2337" s="0" t="inlineStr">
        <is>
          <t xml:space="preserve">N6133118F0053</t>
        </is>
      </c>
      <c r="C2337" s="0" t="inlineStr">
        <is>
          <t xml:space="preserve">broad_maritime</t>
        </is>
      </c>
      <c r="D2337" s="4">
        <v>0.9082474399999999</v>
      </c>
      <c r="E2337" s="0" t="inlineStr">
        <is>
          <t xml:space="preserve">ATLANTIC DIVING SUPPLY, INC.</t>
        </is>
      </c>
      <c r="F2337" s="0" t="inlineStr">
        <is>
          <t xml:space="preserve">psc:2090</t>
        </is>
      </c>
    </row>
    <row r="2338">
      <c r="B2338" s="0" t="inlineStr">
        <is>
          <t xml:space="preserve">N3220517P4211</t>
        </is>
      </c>
      <c r="C2338" s="0" t="inlineStr">
        <is>
          <t xml:space="preserve">broad_maritime</t>
        </is>
      </c>
      <c r="D2338" s="4">
        <v>0.9079375999999999</v>
      </c>
      <c r="E2338" s="0" t="inlineStr">
        <is>
          <t xml:space="preserve">JOHNSON CONTROLS, INC.</t>
        </is>
      </c>
      <c r="F2338" s="0" t="inlineStr">
        <is>
          <t xml:space="preserve">psc:2090</t>
        </is>
      </c>
    </row>
    <row r="2339">
      <c r="B2339" s="0" t="inlineStr">
        <is>
          <t xml:space="preserve">0004</t>
        </is>
      </c>
      <c r="C2339" s="0" t="inlineStr">
        <is>
          <t xml:space="preserve">broad_maritime</t>
        </is>
      </c>
      <c r="D2339" s="4">
        <v>0.9055909999999999</v>
      </c>
      <c r="E2339" s="0" t="inlineStr">
        <is>
          <t xml:space="preserve">BATH IRON WORKS CORPORATION</t>
        </is>
      </c>
      <c r="F2339" s="0" t="inlineStr">
        <is>
          <t xml:space="preserve">psc:1905</t>
        </is>
      </c>
    </row>
    <row r="2340">
      <c r="B2340" s="0" t="inlineStr">
        <is>
          <t xml:space="preserve">N3220517P4037</t>
        </is>
      </c>
      <c r="C2340" s="0" t="inlineStr">
        <is>
          <t xml:space="preserve">broad_maritime</t>
        </is>
      </c>
      <c r="D2340" s="4">
        <v>0.90207324</v>
      </c>
      <c r="E2340" s="0" t="inlineStr">
        <is>
          <t xml:space="preserve">FAIRBANKS MORSE, LLC</t>
        </is>
      </c>
      <c r="F2340" s="0" t="inlineStr">
        <is>
          <t xml:space="preserve">psc:2090</t>
        </is>
      </c>
    </row>
    <row r="2341">
      <c r="B2341" s="0" t="inlineStr">
        <is>
          <t xml:space="preserve">N4523A20F0301</t>
        </is>
      </c>
      <c r="C2341" s="0" t="inlineStr">
        <is>
          <t xml:space="preserve">broad_maritime</t>
        </is>
      </c>
      <c r="D2341" s="4">
        <v>0.9018509</v>
      </c>
      <c r="E2341" s="0" t="inlineStr">
        <is>
          <t xml:space="preserve">METRO MACHINE CORP</t>
        </is>
      </c>
      <c r="F2341" s="0" t="inlineStr">
        <is>
          <t xml:space="preserve">psc:1905</t>
        </is>
      </c>
    </row>
    <row r="2342">
      <c r="B2342" s="0" t="inlineStr">
        <is>
          <t xml:space="preserve">N3220516P4001</t>
        </is>
      </c>
      <c r="C2342" s="0" t="inlineStr">
        <is>
          <t xml:space="preserve">broad_maritime</t>
        </is>
      </c>
      <c r="D2342" s="4">
        <v>0.8966109999999999</v>
      </c>
      <c r="E2342" s="0" t="inlineStr">
        <is>
          <t xml:space="preserve">ROLLS-ROYCE MARINE NORTH AMERICA INC.</t>
        </is>
      </c>
      <c r="F2342" s="0" t="inlineStr">
        <is>
          <t xml:space="preserve">psc:2090</t>
        </is>
      </c>
    </row>
    <row r="2343">
      <c r="B2343" s="0" t="inlineStr">
        <is>
          <t xml:space="preserve">N6279322F0001</t>
        </is>
      </c>
      <c r="C2343" s="0" t="inlineStr">
        <is>
          <t xml:space="preserve">broad_maritime</t>
        </is>
      </c>
      <c r="D2343" s="4">
        <v>0.8930319399999999</v>
      </c>
      <c r="E2343" s="0" t="inlineStr">
        <is>
          <t xml:space="preserve">HII FLEET SUPPORT GROUP LLC</t>
        </is>
      </c>
      <c r="F2343" s="0" t="inlineStr">
        <is>
          <t xml:space="preserve">psc:1905</t>
        </is>
      </c>
    </row>
    <row r="2344">
      <c r="B2344" s="0" t="inlineStr">
        <is>
          <t xml:space="preserve">N0002423F23A4</t>
        </is>
      </c>
      <c r="C2344" s="0" t="inlineStr">
        <is>
          <t xml:space="preserve">small_craft</t>
        </is>
      </c>
      <c r="D2344" s="4">
        <v>0.89113857</v>
      </c>
      <c r="E2344" s="0" t="inlineStr">
        <is>
          <t xml:space="preserve">RIBCRAFT USA, LLC</t>
        </is>
      </c>
      <c r="F2344" s="0" t="inlineStr">
        <is>
          <t xml:space="preserve">naics:336612; psc:1940</t>
        </is>
      </c>
    </row>
    <row r="2345">
      <c r="B2345" s="0" t="inlineStr">
        <is>
          <t xml:space="preserve">0005</t>
        </is>
      </c>
      <c r="C2345" s="0" t="inlineStr">
        <is>
          <t xml:space="preserve">small_craft</t>
        </is>
      </c>
      <c r="D2345" s="4">
        <v>0.89046363</v>
      </c>
      <c r="E2345" s="0" t="inlineStr">
        <is>
          <t xml:space="preserve">SILVER SHIPS, INC</t>
        </is>
      </c>
      <c r="F2345" s="0" t="inlineStr">
        <is>
          <t xml:space="preserve">naics:336612; psc:1940</t>
        </is>
      </c>
    </row>
    <row r="2346">
      <c r="B2346" s="0" t="inlineStr">
        <is>
          <t xml:space="preserve">N0002405F2240</t>
        </is>
      </c>
      <c r="C2346" s="0" t="inlineStr">
        <is>
          <t xml:space="preserve">small_craft</t>
        </is>
      </c>
      <c r="D2346" s="4">
        <v>0.8856839</v>
      </c>
      <c r="E2346" s="0" t="inlineStr">
        <is>
          <t xml:space="preserve">SEAARK MARINE, INC.</t>
        </is>
      </c>
      <c r="F2346" s="0" t="inlineStr">
        <is>
          <t xml:space="preserve">naics:336612; psc:1940</t>
        </is>
      </c>
    </row>
    <row r="2347">
      <c r="B2347" s="0" t="inlineStr">
        <is>
          <t xml:space="preserve">N6660420FC826</t>
        </is>
      </c>
      <c r="C2347" s="0" t="inlineStr">
        <is>
          <t xml:space="preserve">small_craft</t>
        </is>
      </c>
      <c r="D2347" s="4">
        <v>0.8851519999999999</v>
      </c>
      <c r="E2347" s="0" t="inlineStr">
        <is>
          <t xml:space="preserve">HII FLEET SUPPORT GROUP LLC</t>
        </is>
      </c>
      <c r="F2347" s="0" t="inlineStr">
        <is>
          <t xml:space="preserve">psc:1940</t>
        </is>
      </c>
    </row>
    <row r="2348">
      <c r="B2348" s="0" t="inlineStr">
        <is>
          <t xml:space="preserve">N5523622F9964</t>
        </is>
      </c>
      <c r="C2348" s="0" t="inlineStr">
        <is>
          <t xml:space="preserve">broad_maritime</t>
        </is>
      </c>
      <c r="D2348" s="4">
        <v>0.883809</v>
      </c>
      <c r="E2348" s="0" t="inlineStr">
        <is>
          <t xml:space="preserve">HII FLEET SUPPORT GROUP LLC</t>
        </is>
      </c>
      <c r="F2348" s="0" t="inlineStr">
        <is>
          <t xml:space="preserve">psc:1905</t>
        </is>
      </c>
    </row>
    <row r="2349">
      <c r="B2349" s="0" t="inlineStr">
        <is>
          <t xml:space="preserve">N0002415C4311</t>
        </is>
      </c>
      <c r="C2349" s="0" t="inlineStr">
        <is>
          <t xml:space="preserve">broad_maritime</t>
        </is>
      </c>
      <c r="D2349" s="4">
        <v>0.88316</v>
      </c>
      <c r="E2349" s="0" t="inlineStr">
        <is>
          <t xml:space="preserve">FOURINOX, INC.</t>
        </is>
      </c>
      <c r="F2349" s="0" t="inlineStr">
        <is>
          <t xml:space="preserve">psc:2090</t>
        </is>
      </c>
    </row>
    <row r="2350">
      <c r="B2350" s="0" t="inlineStr">
        <is>
          <t xml:space="preserve">0005</t>
        </is>
      </c>
      <c r="C2350" s="0" t="inlineStr">
        <is>
          <t xml:space="preserve">broad_maritime</t>
        </is>
      </c>
      <c r="D2350" s="4">
        <v>0.8828679</v>
      </c>
      <c r="E2350" s="0" t="inlineStr">
        <is>
          <t xml:space="preserve">DELPHINUS ENGINEERING, INC.</t>
        </is>
      </c>
      <c r="F2350" s="0" t="inlineStr">
        <is>
          <t xml:space="preserve">psc:1905</t>
        </is>
      </c>
    </row>
    <row r="2351">
      <c r="B2351" s="0" t="inlineStr">
        <is>
          <t xml:space="preserve">0006</t>
        </is>
      </c>
      <c r="C2351" s="0" t="inlineStr">
        <is>
          <t xml:space="preserve">broad_maritime</t>
        </is>
      </c>
      <c r="D2351" s="4">
        <v>0.881485</v>
      </c>
      <c r="E2351" s="0" t="inlineStr">
        <is>
          <t xml:space="preserve">KNUDSEN SYSTEMS INC.</t>
        </is>
      </c>
      <c r="F2351" s="0" t="inlineStr">
        <is>
          <t xml:space="preserve">psc:2090</t>
        </is>
      </c>
    </row>
    <row r="2352">
      <c r="B2352" s="0" t="inlineStr">
        <is>
          <t xml:space="preserve">N0002415C2211</t>
        </is>
      </c>
      <c r="C2352" s="0" t="inlineStr">
        <is>
          <t xml:space="preserve">small_craft</t>
        </is>
      </c>
      <c r="D2352" s="4">
        <v>0.8809811999999999</v>
      </c>
      <c r="E2352" s="0" t="inlineStr">
        <is>
          <t xml:space="preserve">ZODIAC OF NORTH AMERICA, INC.</t>
        </is>
      </c>
      <c r="F2352" s="0" t="inlineStr">
        <is>
          <t xml:space="preserve">naics:336612; psc:1940</t>
        </is>
      </c>
    </row>
    <row r="2353">
      <c r="B2353" s="0" t="inlineStr">
        <is>
          <t xml:space="preserve">N6660420FC829</t>
        </is>
      </c>
      <c r="C2353" s="0" t="inlineStr">
        <is>
          <t xml:space="preserve">small_craft</t>
        </is>
      </c>
      <c r="D2353" s="4">
        <v>0.8806574</v>
      </c>
      <c r="E2353" s="0" t="inlineStr">
        <is>
          <t xml:space="preserve">SERCO INC</t>
        </is>
      </c>
      <c r="F2353" s="0" t="inlineStr">
        <is>
          <t xml:space="preserve">psc:1940</t>
        </is>
      </c>
    </row>
    <row r="2354">
      <c r="B2354" s="0" t="inlineStr">
        <is>
          <t xml:space="preserve">N0010424CF013</t>
        </is>
      </c>
      <c r="C2354" s="0" t="inlineStr">
        <is>
          <t xml:space="preserve">small_craft</t>
        </is>
      </c>
      <c r="D2354" s="4">
        <v>0.8803346899999999</v>
      </c>
      <c r="E2354" s="0" t="inlineStr">
        <is>
          <t xml:space="preserve">DEFENSE MARITIME SOLUTIONS, INC.</t>
        </is>
      </c>
      <c r="F2354" s="0" t="inlineStr">
        <is>
          <t xml:space="preserve">naics:336612</t>
        </is>
      </c>
    </row>
    <row r="2355">
      <c r="B2355" s="0" t="inlineStr">
        <is>
          <t xml:space="preserve">N0010420FK400</t>
        </is>
      </c>
      <c r="C2355" s="0" t="inlineStr">
        <is>
          <t xml:space="preserve">small_craft</t>
        </is>
      </c>
      <c r="D2355" s="4">
        <v>0.8800471999999999</v>
      </c>
      <c r="E2355" s="0" t="inlineStr">
        <is>
          <t xml:space="preserve">WING INFLATABLES INC</t>
        </is>
      </c>
      <c r="F2355" s="0" t="inlineStr">
        <is>
          <t xml:space="preserve">naics:336612; psc:1940</t>
        </is>
      </c>
    </row>
    <row r="2356">
      <c r="B2356" s="0" t="inlineStr">
        <is>
          <t xml:space="preserve">N6449817F4009</t>
        </is>
      </c>
      <c r="C2356" s="0" t="inlineStr">
        <is>
          <t xml:space="preserve">broad_maritime</t>
        </is>
      </c>
      <c r="D2356" s="4">
        <v>0.8774432799999999</v>
      </c>
      <c r="E2356" s="0" t="inlineStr">
        <is>
          <t xml:space="preserve">L3 TECHNOLOGIES, INC.</t>
        </is>
      </c>
      <c r="F2356" s="0" t="inlineStr">
        <is>
          <t xml:space="preserve">psc:2090</t>
        </is>
      </c>
    </row>
    <row r="2357">
      <c r="B2357" s="0" t="inlineStr">
        <is>
          <t xml:space="preserve">N0010426PYB16</t>
        </is>
      </c>
      <c r="C2357" s="0" t="inlineStr">
        <is>
          <t xml:space="preserve">small_craft</t>
        </is>
      </c>
      <c r="D2357" s="4">
        <v>0.8774263</v>
      </c>
      <c r="E2357" s="0" t="inlineStr">
        <is>
          <t xml:space="preserve">DUTCH VALLEY SUPPLY CO.</t>
        </is>
      </c>
      <c r="F2357" s="0" t="inlineStr">
        <is>
          <t xml:space="preserve">naics:336612</t>
        </is>
      </c>
    </row>
    <row r="2358">
      <c r="B2358" s="0" t="inlineStr">
        <is>
          <t xml:space="preserve">N0002419F22G1</t>
        </is>
      </c>
      <c r="C2358" s="0" t="inlineStr">
        <is>
          <t xml:space="preserve">small_craft</t>
        </is>
      </c>
      <c r="D2358" s="4">
        <v>0.8760124599999999</v>
      </c>
      <c r="E2358" s="0" t="inlineStr">
        <is>
          <t xml:space="preserve">METALCRAFT MARINE US, INC.</t>
        </is>
      </c>
      <c r="F2358" s="0" t="inlineStr">
        <is>
          <t xml:space="preserve">naics:336612; psc:1940</t>
        </is>
      </c>
    </row>
    <row r="2359">
      <c r="B2359" s="0" t="inlineStr">
        <is>
          <t xml:space="preserve">N3220519F6705</t>
        </is>
      </c>
      <c r="C2359" s="0" t="inlineStr">
        <is>
          <t xml:space="preserve">other_small</t>
        </is>
      </c>
      <c r="D2359" s="4">
        <v>0.87293207</v>
      </c>
      <c r="E2359" s="0" t="inlineStr">
        <is>
          <t xml:space="preserve">LAKE SHORE SYSTEMS, INC.</t>
        </is>
      </c>
      <c r="F2359" s="0" t="inlineStr">
        <is>
          <t xml:space="preserve">psc:1990</t>
        </is>
      </c>
    </row>
    <row r="2360">
      <c r="B2360" s="0" t="inlineStr">
        <is>
          <t xml:space="preserve">N0010416CFA65</t>
        </is>
      </c>
      <c r="C2360" s="0" t="inlineStr">
        <is>
          <t xml:space="preserve">small_craft</t>
        </is>
      </c>
      <c r="D2360" s="4">
        <v>0.87063106</v>
      </c>
      <c r="E2360" s="0" t="inlineStr">
        <is>
          <t xml:space="preserve">ERIE FORGE &amp; STEEL INC</t>
        </is>
      </c>
      <c r="F2360" s="0" t="inlineStr">
        <is>
          <t xml:space="preserve">naics:336612</t>
        </is>
      </c>
    </row>
    <row r="2361">
      <c r="B2361" s="0" t="inlineStr">
        <is>
          <t xml:space="preserve">FX02</t>
        </is>
      </c>
      <c r="C2361" s="0" t="inlineStr">
        <is>
          <t xml:space="preserve">broad_maritime</t>
        </is>
      </c>
      <c r="D2361" s="4">
        <v>0.8700740699999999</v>
      </c>
      <c r="E2361" s="0" t="inlineStr">
        <is>
          <t xml:space="preserve">HUNTINGTON INGALLS INC</t>
        </is>
      </c>
      <c r="F2361" s="0" t="inlineStr">
        <is>
          <t xml:space="preserve">psc:1905</t>
        </is>
      </c>
    </row>
    <row r="2362">
      <c r="B2362" s="0" t="inlineStr">
        <is>
          <t xml:space="preserve">0085</t>
        </is>
      </c>
      <c r="C2362" s="0" t="inlineStr">
        <is>
          <t xml:space="preserve">broad_maritime</t>
        </is>
      </c>
      <c r="D2362" s="4">
        <v>0.8680099099999999</v>
      </c>
      <c r="E2362" s="0" t="inlineStr">
        <is>
          <t xml:space="preserve">ROCKWELL AUTOMATION INC</t>
        </is>
      </c>
      <c r="F2362" s="0" t="inlineStr">
        <is>
          <t xml:space="preserve">psc:2090</t>
        </is>
      </c>
    </row>
    <row r="2363">
      <c r="B2363" s="0" t="inlineStr">
        <is>
          <t xml:space="preserve">N0010421CXA12</t>
        </is>
      </c>
      <c r="C2363" s="0" t="inlineStr">
        <is>
          <t xml:space="preserve">small_craft</t>
        </is>
      </c>
      <c r="D2363" s="4">
        <v>0.8671949999999999</v>
      </c>
      <c r="E2363" s="0" t="inlineStr">
        <is>
          <t xml:space="preserve">ROLLS-ROYCE MARINE NORTH AMERICA INC.</t>
        </is>
      </c>
      <c r="F2363" s="0" t="inlineStr">
        <is>
          <t xml:space="preserve">naics:336612</t>
        </is>
      </c>
    </row>
    <row r="2364">
      <c r="B2364" s="0" t="inlineStr">
        <is>
          <t xml:space="preserve">N6449817F4073</t>
        </is>
      </c>
      <c r="C2364" s="0" t="inlineStr">
        <is>
          <t xml:space="preserve">broad_maritime</t>
        </is>
      </c>
      <c r="D2364" s="4">
        <v>0.8647995199999999</v>
      </c>
      <c r="E2364" s="0" t="inlineStr">
        <is>
          <t xml:space="preserve">L3 TECHNOLOGIES, INC.</t>
        </is>
      </c>
      <c r="F2364" s="0" t="inlineStr">
        <is>
          <t xml:space="preserve">psc:2090</t>
        </is>
      </c>
    </row>
    <row r="2365">
      <c r="B2365" s="0" t="inlineStr">
        <is>
          <t xml:space="preserve">N6449825F4147</t>
        </is>
      </c>
      <c r="C2365" s="0" t="inlineStr">
        <is>
          <t xml:space="preserve">broad_maritime</t>
        </is>
      </c>
      <c r="D2365" s="4">
        <v>0.8646349999999999</v>
      </c>
      <c r="E2365" s="0" t="inlineStr">
        <is>
          <t xml:space="preserve">LEIDOS, INC.</t>
        </is>
      </c>
      <c r="F2365" s="0" t="inlineStr">
        <is>
          <t xml:space="preserve">psc:2090</t>
        </is>
      </c>
    </row>
    <row r="2366">
      <c r="B2366" s="0" t="inlineStr">
        <is>
          <t xml:space="preserve">N3220520P4520</t>
        </is>
      </c>
      <c r="C2366" s="0" t="inlineStr">
        <is>
          <t xml:space="preserve">broad_maritime</t>
        </is>
      </c>
      <c r="D2366" s="4">
        <v>0.8612933</v>
      </c>
      <c r="E2366" s="0" t="inlineStr">
        <is>
          <t xml:space="preserve">WESTFLEX, INC.</t>
        </is>
      </c>
      <c r="F2366" s="0" t="inlineStr">
        <is>
          <t xml:space="preserve">psc:2090</t>
        </is>
      </c>
    </row>
    <row r="2367">
      <c r="B2367" s="0" t="inlineStr">
        <is>
          <t xml:space="preserve">L817</t>
        </is>
      </c>
      <c r="C2367" s="0" t="inlineStr">
        <is>
          <t xml:space="preserve">broad_maritime</t>
        </is>
      </c>
      <c r="D2367" s="4">
        <v>0.859931</v>
      </c>
      <c r="E2367" s="0" t="inlineStr">
        <is>
          <t xml:space="preserve">ELECTRIC BOAT CORPORATION</t>
        </is>
      </c>
      <c r="F2367" s="0" t="inlineStr">
        <is>
          <t xml:space="preserve">psc:1905</t>
        </is>
      </c>
    </row>
    <row r="2368">
      <c r="B2368" s="0" t="inlineStr">
        <is>
          <t xml:space="preserve">N0002418F22U2</t>
        </is>
      </c>
      <c r="C2368" s="0" t="inlineStr">
        <is>
          <t xml:space="preserve">small_craft</t>
        </is>
      </c>
      <c r="D2368" s="4">
        <v>0.8595676099999999</v>
      </c>
      <c r="E2368" s="0" t="inlineStr">
        <is>
          <t xml:space="preserve">VIGOR KVICHAK LLC</t>
        </is>
      </c>
      <c r="F2368" s="0" t="inlineStr">
        <is>
          <t xml:space="preserve">naics:336612; psc:1940</t>
        </is>
      </c>
    </row>
    <row r="2369">
      <c r="B2369" s="0" t="inlineStr">
        <is>
          <t xml:space="preserve">N0003924F1005</t>
        </is>
      </c>
      <c r="C2369" s="0" t="inlineStr">
        <is>
          <t xml:space="preserve">small_craft</t>
        </is>
      </c>
      <c r="D2369" s="4">
        <v>0.8572587399999999</v>
      </c>
      <c r="E2369" s="0" t="inlineStr">
        <is>
          <t xml:space="preserve">TELEDYNE BROWN ENGINEERING, INC.</t>
        </is>
      </c>
      <c r="F2369" s="0" t="inlineStr">
        <is>
          <t xml:space="preserve">psc:1940</t>
        </is>
      </c>
    </row>
    <row r="2370">
      <c r="B2370" s="0" t="inlineStr">
        <is>
          <t xml:space="preserve">N6133125F0136</t>
        </is>
      </c>
      <c r="C2370" s="0" t="inlineStr">
        <is>
          <t xml:space="preserve">broad_maritime</t>
        </is>
      </c>
      <c r="D2370" s="4">
        <v>0.8521799999999999</v>
      </c>
      <c r="E2370" s="0" t="inlineStr">
        <is>
          <t xml:space="preserve">KONGSBERG DISCOVERY US, LLC</t>
        </is>
      </c>
      <c r="F2370" s="0" t="inlineStr">
        <is>
          <t xml:space="preserve">psc:2090</t>
        </is>
      </c>
    </row>
    <row r="2371">
      <c r="B2371" s="0" t="inlineStr">
        <is>
          <t xml:space="preserve">N3220518P4185</t>
        </is>
      </c>
      <c r="C2371" s="0" t="inlineStr">
        <is>
          <t xml:space="preserve">broad_maritime</t>
        </is>
      </c>
      <c r="D2371" s="4">
        <v>0.8476533</v>
      </c>
      <c r="E2371" s="0" t="inlineStr">
        <is>
          <t xml:space="preserve">WESTFLEX, INC.</t>
        </is>
      </c>
      <c r="F2371" s="0" t="inlineStr">
        <is>
          <t xml:space="preserve">psc:2090</t>
        </is>
      </c>
    </row>
    <row r="2372">
      <c r="B2372" s="0" t="inlineStr">
        <is>
          <t xml:space="preserve">7F07</t>
        </is>
      </c>
      <c r="C2372" s="0" t="inlineStr">
        <is>
          <t xml:space="preserve">broad_maritime</t>
        </is>
      </c>
      <c r="D2372" s="4">
        <v>0.840267</v>
      </c>
      <c r="E2372" s="0" t="inlineStr">
        <is>
          <t xml:space="preserve">HUNTINGTON INGALLS INCORPORATED</t>
        </is>
      </c>
      <c r="F2372" s="0" t="inlineStr">
        <is>
          <t xml:space="preserve">psc:1905</t>
        </is>
      </c>
    </row>
    <row r="2373">
      <c r="B2373" s="0" t="inlineStr">
        <is>
          <t xml:space="preserve">N3220516P4345</t>
        </is>
      </c>
      <c r="C2373" s="0" t="inlineStr">
        <is>
          <t xml:space="preserve">broad_maritime</t>
        </is>
      </c>
      <c r="D2373" s="4">
        <v>0.8379276299999999</v>
      </c>
      <c r="E2373" s="0" t="inlineStr">
        <is>
          <t xml:space="preserve">COLTEC INDUSTRIES INC.</t>
        </is>
      </c>
      <c r="F2373" s="0" t="inlineStr">
        <is>
          <t xml:space="preserve">psc:2090</t>
        </is>
      </c>
    </row>
    <row r="2374">
      <c r="B2374" s="0" t="inlineStr">
        <is>
          <t xml:space="preserve">N5523619F9900</t>
        </is>
      </c>
      <c r="C2374" s="0" t="inlineStr">
        <is>
          <t xml:space="preserve">broad_maritime</t>
        </is>
      </c>
      <c r="D2374" s="4">
        <v>0.8366009999999999</v>
      </c>
      <c r="E2374" s="0" t="inlineStr">
        <is>
          <t xml:space="preserve">HUNTINGTON INGALLS INC</t>
        </is>
      </c>
      <c r="F2374" s="0" t="inlineStr">
        <is>
          <t xml:space="preserve">psc:1905</t>
        </is>
      </c>
    </row>
    <row r="2375">
      <c r="B2375" s="0" t="inlineStr">
        <is>
          <t xml:space="preserve">N5523618F5015</t>
        </is>
      </c>
      <c r="C2375" s="0" t="inlineStr">
        <is>
          <t xml:space="preserve">broad_maritime</t>
        </is>
      </c>
      <c r="D2375" s="4">
        <v>0.833293</v>
      </c>
      <c r="E2375" s="0" t="inlineStr">
        <is>
          <t xml:space="preserve">BAE SYSTEMS MARITIME SOLUTIONS SAN DIEGO INC.</t>
        </is>
      </c>
      <c r="F2375" s="0" t="inlineStr">
        <is>
          <t xml:space="preserve">psc:1905</t>
        </is>
      </c>
    </row>
    <row r="2376">
      <c r="B2376" s="0" t="inlineStr">
        <is>
          <t xml:space="preserve">0003</t>
        </is>
      </c>
      <c r="C2376" s="0" t="inlineStr">
        <is>
          <t xml:space="preserve">broad_maritime</t>
        </is>
      </c>
      <c r="D2376" s="4">
        <v>0.831</v>
      </c>
      <c r="E2376" s="0" t="inlineStr">
        <is>
          <t xml:space="preserve">L.B.I., INC.</t>
        </is>
      </c>
      <c r="F2376" s="0" t="inlineStr">
        <is>
          <t xml:space="preserve">psc:2090</t>
        </is>
      </c>
    </row>
    <row r="2377">
      <c r="B2377" s="0" t="inlineStr">
        <is>
          <t xml:space="preserve">N6279322F7801</t>
        </is>
      </c>
      <c r="C2377" s="0" t="inlineStr">
        <is>
          <t xml:space="preserve">broad_maritime</t>
        </is>
      </c>
      <c r="D2377" s="4">
        <v>0.829831</v>
      </c>
      <c r="E2377" s="0" t="inlineStr">
        <is>
          <t xml:space="preserve">HUNTINGTON INGALLS INC</t>
        </is>
      </c>
      <c r="F2377" s="0" t="inlineStr">
        <is>
          <t xml:space="preserve">psc:1905</t>
        </is>
      </c>
    </row>
    <row r="2378">
      <c r="B2378" s="0" t="inlineStr">
        <is>
          <t xml:space="preserve">N6600117F0080</t>
        </is>
      </c>
      <c r="C2378" s="0" t="inlineStr">
        <is>
          <t xml:space="preserve">small_craft</t>
        </is>
      </c>
      <c r="D2378" s="4">
        <v>0.8259139999999999</v>
      </c>
      <c r="E2378" s="0" t="inlineStr">
        <is>
          <t xml:space="preserve">HII UNMANNED SYSTEMS, INC</t>
        </is>
      </c>
      <c r="F2378" s="0" t="inlineStr">
        <is>
          <t xml:space="preserve">psc:1940</t>
        </is>
      </c>
    </row>
    <row r="2379">
      <c r="B2379" s="0" t="inlineStr">
        <is>
          <t xml:space="preserve">N0010419PCD71</t>
        </is>
      </c>
      <c r="C2379" s="0" t="inlineStr">
        <is>
          <t xml:space="preserve">small_craft</t>
        </is>
      </c>
      <c r="D2379" s="4">
        <v>0.82514223</v>
      </c>
      <c r="E2379" s="0" t="inlineStr">
        <is>
          <t xml:space="preserve">GE AVIATION SYSTEMS LLC</t>
        </is>
      </c>
      <c r="F2379" s="0" t="inlineStr">
        <is>
          <t xml:space="preserve">naics:336612</t>
        </is>
      </c>
    </row>
    <row r="2380">
      <c r="B2380" s="0" t="inlineStr">
        <is>
          <t xml:space="preserve">N0024421C0002</t>
        </is>
      </c>
      <c r="C2380" s="0" t="inlineStr">
        <is>
          <t xml:space="preserve">broad_maritime</t>
        </is>
      </c>
      <c r="D2380" s="4">
        <v>0.82089351</v>
      </c>
      <c r="E2380" s="0" t="inlineStr">
        <is>
          <t xml:space="preserve">INCREDIBLE SUPPLY LLC</t>
        </is>
      </c>
      <c r="F2380" s="0" t="inlineStr">
        <is>
          <t xml:space="preserve">psc:2090</t>
        </is>
      </c>
    </row>
    <row r="2381">
      <c r="B2381" s="0" t="inlineStr">
        <is>
          <t xml:space="preserve">N0040623F0038</t>
        </is>
      </c>
      <c r="C2381" s="0" t="inlineStr">
        <is>
          <t xml:space="preserve">broad_maritime</t>
        </is>
      </c>
      <c r="D2381" s="4">
        <v>0.81726784</v>
      </c>
      <c r="E2381" s="0" t="inlineStr">
        <is>
          <t xml:space="preserve">FINCANTIERI MARINE SYSTEMS NORTH AMERICA, INC.</t>
        </is>
      </c>
      <c r="F2381" s="0" t="inlineStr">
        <is>
          <t xml:space="preserve">psc:2090</t>
        </is>
      </c>
    </row>
    <row r="2382">
      <c r="B2382" s="0" t="inlineStr">
        <is>
          <t xml:space="preserve">N0002417F22U1</t>
        </is>
      </c>
      <c r="C2382" s="0" t="inlineStr">
        <is>
          <t xml:space="preserve">small_craft</t>
        </is>
      </c>
      <c r="D2382" s="4">
        <v>0.8156088399999999</v>
      </c>
      <c r="E2382" s="0" t="inlineStr">
        <is>
          <t xml:space="preserve">VIGOR KVICHAK LLC</t>
        </is>
      </c>
      <c r="F2382" s="0" t="inlineStr">
        <is>
          <t xml:space="preserve">naics:336612; psc:1940</t>
        </is>
      </c>
    </row>
    <row r="2383">
      <c r="B2383" s="0" t="inlineStr">
        <is>
          <t xml:space="preserve">N3220517P4028</t>
        </is>
      </c>
      <c r="C2383" s="0" t="inlineStr">
        <is>
          <t xml:space="preserve">small_craft</t>
        </is>
      </c>
      <c r="D2383" s="4">
        <v>0.815488</v>
      </c>
      <c r="E2383" s="0" t="inlineStr">
        <is>
          <t xml:space="preserve">WILLARD MARINE, INC.</t>
        </is>
      </c>
      <c r="F2383" s="0" t="inlineStr">
        <is>
          <t xml:space="preserve">naics:336612; psc:2090</t>
        </is>
      </c>
    </row>
    <row r="2384">
      <c r="B2384" s="0" t="inlineStr">
        <is>
          <t xml:space="preserve">N3220520P4100</t>
        </is>
      </c>
      <c r="C2384" s="0" t="inlineStr">
        <is>
          <t xml:space="preserve">broad_maritime</t>
        </is>
      </c>
      <c r="D2384" s="4">
        <v>0.815271</v>
      </c>
      <c r="E2384" s="0" t="inlineStr">
        <is>
          <t xml:space="preserve">AUSTAL USA, LLC</t>
        </is>
      </c>
      <c r="F2384" s="0" t="inlineStr">
        <is>
          <t xml:space="preserve">psc:2090</t>
        </is>
      </c>
    </row>
    <row r="2385">
      <c r="B2385" s="0" t="inlineStr">
        <is>
          <t xml:space="preserve">N0010425CF017</t>
        </is>
      </c>
      <c r="C2385" s="0" t="inlineStr">
        <is>
          <t xml:space="preserve">small_craft</t>
        </is>
      </c>
      <c r="D2385" s="4">
        <v>0.8145</v>
      </c>
      <c r="E2385" s="0" t="inlineStr">
        <is>
          <t xml:space="preserve">DEFENSE MARITIME SOLUTIONS, INC.</t>
        </is>
      </c>
      <c r="F2385" s="0" t="inlineStr">
        <is>
          <t xml:space="preserve">naics:336612</t>
        </is>
      </c>
    </row>
    <row r="2386">
      <c r="B2386" s="0" t="inlineStr">
        <is>
          <t xml:space="preserve">N4523A20F0317</t>
        </is>
      </c>
      <c r="C2386" s="0" t="inlineStr">
        <is>
          <t xml:space="preserve">broad_maritime</t>
        </is>
      </c>
      <c r="D2386" s="4">
        <v>0.81340845</v>
      </c>
      <c r="E2386" s="0" t="inlineStr">
        <is>
          <t xml:space="preserve">METRO MACHINE CORP</t>
        </is>
      </c>
      <c r="F2386" s="0" t="inlineStr">
        <is>
          <t xml:space="preserve">psc:1905</t>
        </is>
      </c>
    </row>
    <row r="2387">
      <c r="B2387" s="0" t="inlineStr">
        <is>
          <t xml:space="preserve">N3220521F1503</t>
        </is>
      </c>
      <c r="C2387" s="0" t="inlineStr">
        <is>
          <t xml:space="preserve">broad_maritime</t>
        </is>
      </c>
      <c r="D2387" s="4">
        <v>0.81164595</v>
      </c>
      <c r="E2387" s="0" t="inlineStr">
        <is>
          <t xml:space="preserve">FINCANTIERI MARINE SYSTEMS NORTH AMERICA, INC.</t>
        </is>
      </c>
      <c r="F2387" s="0" t="inlineStr">
        <is>
          <t xml:space="preserve">psc:2090</t>
        </is>
      </c>
    </row>
    <row r="2388">
      <c r="B2388" s="0" t="inlineStr">
        <is>
          <t xml:space="preserve">N3220520F2246</t>
        </is>
      </c>
      <c r="C2388" s="0" t="inlineStr">
        <is>
          <t xml:space="preserve">broad_maritime</t>
        </is>
      </c>
      <c r="D2388" s="4">
        <v>0.81033384</v>
      </c>
      <c r="E2388" s="0" t="inlineStr">
        <is>
          <t xml:space="preserve">ROLLS-ROYCE SOLUTIONS AMERICA INC</t>
        </is>
      </c>
      <c r="F2388" s="0" t="inlineStr">
        <is>
          <t xml:space="preserve">psc:2090</t>
        </is>
      </c>
    </row>
    <row r="2389">
      <c r="B2389" s="0" t="inlineStr">
        <is>
          <t xml:space="preserve">N6660421F0125</t>
        </is>
      </c>
      <c r="C2389" s="0" t="inlineStr">
        <is>
          <t xml:space="preserve">broad_maritime</t>
        </is>
      </c>
      <c r="D2389" s="4">
        <v>0.8092699999999999</v>
      </c>
      <c r="E2389" s="0" t="inlineStr">
        <is>
          <t xml:space="preserve">LOCKHEED MARTIN SIPPICAN, INC.</t>
        </is>
      </c>
      <c r="F2389" s="0" t="inlineStr">
        <is>
          <t xml:space="preserve">psc:2090</t>
        </is>
      </c>
    </row>
    <row r="2390">
      <c r="B2390" s="0" t="inlineStr">
        <is>
          <t xml:space="preserve">N3220521F1398</t>
        </is>
      </c>
      <c r="C2390" s="0" t="inlineStr">
        <is>
          <t xml:space="preserve">broad_maritime</t>
        </is>
      </c>
      <c r="D2390" s="4">
        <v>0.8091971899999999</v>
      </c>
      <c r="E2390" s="0" t="inlineStr">
        <is>
          <t xml:space="preserve">FINCANTIERI MARINE SYSTEMS NORTH AMERICA, INC.</t>
        </is>
      </c>
      <c r="F2390" s="0" t="inlineStr">
        <is>
          <t xml:space="preserve">psc:2090</t>
        </is>
      </c>
    </row>
    <row r="2391">
      <c r="B2391" s="0" t="inlineStr">
        <is>
          <t xml:space="preserve">0003</t>
        </is>
      </c>
      <c r="C2391" s="0" t="inlineStr">
        <is>
          <t xml:space="preserve">small_craft</t>
        </is>
      </c>
      <c r="D2391" s="4">
        <v>0.8079689999999999</v>
      </c>
      <c r="E2391" s="0" t="inlineStr">
        <is>
          <t xml:space="preserve">VIGOR KVICHAK LLC</t>
        </is>
      </c>
      <c r="F2391" s="0" t="inlineStr">
        <is>
          <t xml:space="preserve">naics:336612; psc:1940</t>
        </is>
      </c>
    </row>
    <row r="2392">
      <c r="B2392" s="0" t="inlineStr">
        <is>
          <t xml:space="preserve">N0010414PFK05</t>
        </is>
      </c>
      <c r="C2392" s="0" t="inlineStr">
        <is>
          <t xml:space="preserve">broad_maritime</t>
        </is>
      </c>
      <c r="D2392" s="4">
        <v>0.8046</v>
      </c>
      <c r="E2392" s="0" t="inlineStr">
        <is>
          <t xml:space="preserve">THRUSTMASTER OF TEXAS, INC</t>
        </is>
      </c>
      <c r="F2392" s="0" t="inlineStr">
        <is>
          <t xml:space="preserve">psc:2090</t>
        </is>
      </c>
    </row>
    <row r="2393">
      <c r="B2393" s="0" t="inlineStr">
        <is>
          <t xml:space="preserve">0013</t>
        </is>
      </c>
      <c r="C2393" s="0" t="inlineStr">
        <is>
          <t xml:space="preserve">broad_maritime</t>
        </is>
      </c>
      <c r="D2393" s="4">
        <v>0.802905</v>
      </c>
      <c r="E2393" s="0" t="inlineStr">
        <is>
          <t xml:space="preserve">LOCKHEED MARTIN CORPORATION</t>
        </is>
      </c>
      <c r="F2393" s="0" t="inlineStr">
        <is>
          <t xml:space="preserve">psc:1905</t>
        </is>
      </c>
    </row>
    <row r="2394">
      <c r="B2394" s="0" t="inlineStr">
        <is>
          <t xml:space="preserve">N6133123F0122</t>
        </is>
      </c>
      <c r="C2394" s="0" t="inlineStr">
        <is>
          <t xml:space="preserve">broad_maritime</t>
        </is>
      </c>
      <c r="D2394" s="4">
        <v>0.8018955</v>
      </c>
      <c r="E2394" s="0" t="inlineStr">
        <is>
          <t xml:space="preserve">ATLANTIC DIVING SUPPLY, INC.</t>
        </is>
      </c>
      <c r="F2394" s="0" t="inlineStr">
        <is>
          <t xml:space="preserve">psc:2090</t>
        </is>
      </c>
    </row>
    <row r="2395">
      <c r="B2395" s="0" t="inlineStr">
        <is>
          <t xml:space="preserve">N6279322F0002</t>
        </is>
      </c>
      <c r="C2395" s="0" t="inlineStr">
        <is>
          <t xml:space="preserve">broad_maritime</t>
        </is>
      </c>
      <c r="D2395" s="4">
        <v>0.80084172</v>
      </c>
      <c r="E2395" s="0" t="inlineStr">
        <is>
          <t xml:space="preserve">HII FLEET SUPPORT GROUP LLC</t>
        </is>
      </c>
      <c r="F2395" s="0" t="inlineStr">
        <is>
          <t xml:space="preserve">psc:1905</t>
        </is>
      </c>
    </row>
    <row r="2396">
      <c r="B2396" s="0" t="inlineStr">
        <is>
          <t xml:space="preserve">N0016424PX005</t>
        </is>
      </c>
      <c r="C2396" s="0" t="inlineStr">
        <is>
          <t xml:space="preserve">small_craft</t>
        </is>
      </c>
      <c r="D2396" s="4">
        <v>0.7999999999999999</v>
      </c>
      <c r="E2396" s="0" t="inlineStr">
        <is>
          <t xml:space="preserve">OCEAN AERO, INC.</t>
        </is>
      </c>
      <c r="F2396" s="0" t="inlineStr">
        <is>
          <t xml:space="preserve">naics:336612</t>
        </is>
      </c>
    </row>
    <row r="2397">
      <c r="B2397" s="0" t="inlineStr">
        <is>
          <t xml:space="preserve">0017</t>
        </is>
      </c>
      <c r="C2397" s="0" t="inlineStr">
        <is>
          <t xml:space="preserve">small_craft</t>
        </is>
      </c>
      <c r="D2397" s="4">
        <v>0.799999</v>
      </c>
      <c r="E2397" s="0" t="inlineStr">
        <is>
          <t xml:space="preserve">SAUNDERS ENGINE &amp; EQUIPMENT CO INC</t>
        </is>
      </c>
      <c r="F2397" s="0" t="inlineStr">
        <is>
          <t xml:space="preserve">naics:336612</t>
        </is>
      </c>
    </row>
    <row r="2398">
      <c r="B2398" s="0" t="inlineStr">
        <is>
          <t xml:space="preserve">L803</t>
        </is>
      </c>
      <c r="C2398" s="0" t="inlineStr">
        <is>
          <t xml:space="preserve">broad_maritime</t>
        </is>
      </c>
      <c r="D2398" s="4">
        <v>0.799959</v>
      </c>
      <c r="E2398" s="0" t="inlineStr">
        <is>
          <t xml:space="preserve">ELECTRIC BOAT CORPORATION</t>
        </is>
      </c>
      <c r="F2398" s="0" t="inlineStr">
        <is>
          <t xml:space="preserve">psc:1905</t>
        </is>
      </c>
    </row>
    <row r="2399">
      <c r="B2399" s="0" t="inlineStr">
        <is>
          <t xml:space="preserve">0075</t>
        </is>
      </c>
      <c r="C2399" s="0" t="inlineStr">
        <is>
          <t xml:space="preserve">broad_maritime</t>
        </is>
      </c>
      <c r="D2399" s="4">
        <v>0.7992889499999999</v>
      </c>
      <c r="E2399" s="0" t="inlineStr">
        <is>
          <t xml:space="preserve">ROCKWELL AUTOMATION INC</t>
        </is>
      </c>
      <c r="F2399" s="0" t="inlineStr">
        <is>
          <t xml:space="preserve">psc:2090</t>
        </is>
      </c>
    </row>
    <row r="2400">
      <c r="B2400" s="0" t="inlineStr">
        <is>
          <t xml:space="preserve">N0016720F0055</t>
        </is>
      </c>
      <c r="C2400" s="0" t="inlineStr">
        <is>
          <t xml:space="preserve">broad_maritime</t>
        </is>
      </c>
      <c r="D2400" s="4">
        <v>0.7990075699999999</v>
      </c>
      <c r="E2400" s="0" t="inlineStr">
        <is>
          <t xml:space="preserve">QED SYSTEMS, INC.</t>
        </is>
      </c>
      <c r="F2400" s="0" t="inlineStr">
        <is>
          <t xml:space="preserve">psc:1905</t>
        </is>
      </c>
    </row>
    <row r="2401">
      <c r="B2401" s="0" t="inlineStr">
        <is>
          <t xml:space="preserve">0010</t>
        </is>
      </c>
      <c r="C2401" s="0" t="inlineStr">
        <is>
          <t xml:space="preserve">broad_maritime</t>
        </is>
      </c>
      <c r="D2401" s="4">
        <v>0.79778666</v>
      </c>
      <c r="E2401" s="0" t="inlineStr">
        <is>
          <t xml:space="preserve">L3 TECHNOLOGIES, INC.</t>
        </is>
      </c>
      <c r="F2401" s="0" t="inlineStr">
        <is>
          <t xml:space="preserve">psc:2090</t>
        </is>
      </c>
    </row>
    <row r="2402">
      <c r="B2402" s="0" t="inlineStr">
        <is>
          <t xml:space="preserve">N0024424F0413</t>
        </is>
      </c>
      <c r="C2402" s="0" t="inlineStr">
        <is>
          <t xml:space="preserve">broad_maritime</t>
        </is>
      </c>
      <c r="D2402" s="4">
        <v>0.795935</v>
      </c>
      <c r="E2402" s="0" t="inlineStr">
        <is>
          <t xml:space="preserve">MARINE &amp; RESTAURANT FABRICATORS, INC.</t>
        </is>
      </c>
      <c r="F2402" s="0" t="inlineStr">
        <is>
          <t xml:space="preserve">psc:2090</t>
        </is>
      </c>
    </row>
    <row r="2403">
      <c r="B2403" s="0" t="inlineStr">
        <is>
          <t xml:space="preserve">0101</t>
        </is>
      </c>
      <c r="C2403" s="0" t="inlineStr">
        <is>
          <t xml:space="preserve">broad_maritime</t>
        </is>
      </c>
      <c r="D2403" s="4">
        <v>0.7954653899999999</v>
      </c>
      <c r="E2403" s="0" t="inlineStr">
        <is>
          <t xml:space="preserve">ROCKWELL AUTOMATION INC</t>
        </is>
      </c>
      <c r="F2403" s="0" t="inlineStr">
        <is>
          <t xml:space="preserve">psc:2090</t>
        </is>
      </c>
    </row>
    <row r="2404">
      <c r="B2404" s="0" t="inlineStr">
        <is>
          <t xml:space="preserve">N6449818F4037</t>
        </is>
      </c>
      <c r="C2404" s="0" t="inlineStr">
        <is>
          <t xml:space="preserve">broad_maritime</t>
        </is>
      </c>
      <c r="D2404" s="4">
        <v>0.7952199999999999</v>
      </c>
      <c r="E2404" s="0" t="inlineStr">
        <is>
          <t xml:space="preserve">TRELLEBORG MARINE SYSTEMS NORTH AMERICA, INC.</t>
        </is>
      </c>
      <c r="F2404" s="0" t="inlineStr">
        <is>
          <t xml:space="preserve">psc:2090</t>
        </is>
      </c>
    </row>
    <row r="2405">
      <c r="B2405" s="0" t="inlineStr">
        <is>
          <t xml:space="preserve">N0010425FY701</t>
        </is>
      </c>
      <c r="C2405" s="0" t="inlineStr">
        <is>
          <t xml:space="preserve">small_craft</t>
        </is>
      </c>
      <c r="D2405" s="4">
        <v>0.7946</v>
      </c>
      <c r="E2405" s="0" t="inlineStr">
        <is>
          <t xml:space="preserve">L3 TECHNOLOGIES, INC.</t>
        </is>
      </c>
      <c r="F2405" s="0" t="inlineStr">
        <is>
          <t xml:space="preserve">naics:336612</t>
        </is>
      </c>
    </row>
    <row r="2406">
      <c r="B2406" s="0" t="inlineStr">
        <is>
          <t xml:space="preserve">N6449823F4169</t>
        </is>
      </c>
      <c r="C2406" s="0" t="inlineStr">
        <is>
          <t xml:space="preserve">broad_maritime</t>
        </is>
      </c>
      <c r="D2406" s="4">
        <v>0.7918554699999999</v>
      </c>
      <c r="E2406" s="0" t="inlineStr">
        <is>
          <t xml:space="preserve">OCEANEERING INTERNATIONAL INC</t>
        </is>
      </c>
      <c r="F2406" s="0" t="inlineStr">
        <is>
          <t xml:space="preserve">psc:1905</t>
        </is>
      </c>
    </row>
    <row r="2407">
      <c r="B2407" s="0" t="inlineStr">
        <is>
          <t xml:space="preserve">0001</t>
        </is>
      </c>
      <c r="C2407" s="0" t="inlineStr">
        <is>
          <t xml:space="preserve">broad_maritime</t>
        </is>
      </c>
      <c r="D2407" s="4">
        <v>0.791778</v>
      </c>
      <c r="E2407" s="0" t="inlineStr">
        <is>
          <t xml:space="preserve">L.B.I., INC.</t>
        </is>
      </c>
      <c r="F2407" s="0" t="inlineStr">
        <is>
          <t xml:space="preserve">psc:2090</t>
        </is>
      </c>
    </row>
    <row r="2408">
      <c r="B2408" s="0" t="inlineStr">
        <is>
          <t xml:space="preserve">N0010423PBT76</t>
        </is>
      </c>
      <c r="C2408" s="0" t="inlineStr">
        <is>
          <t xml:space="preserve">small_craft</t>
        </is>
      </c>
      <c r="D2408" s="4">
        <v>0.791472</v>
      </c>
      <c r="E2408" s="0" t="inlineStr">
        <is>
          <t xml:space="preserve">HYSPAN PRECISION PRODUCTS, INC.</t>
        </is>
      </c>
      <c r="F2408" s="0" t="inlineStr">
        <is>
          <t xml:space="preserve">naics:336612</t>
        </is>
      </c>
    </row>
    <row r="2409">
      <c r="B2409" s="0" t="inlineStr">
        <is>
          <t xml:space="preserve">N0002425F4122</t>
        </is>
      </c>
      <c r="C2409" s="0" t="inlineStr">
        <is>
          <t xml:space="preserve">broad_maritime</t>
        </is>
      </c>
      <c r="D2409" s="4">
        <v>0.78969421</v>
      </c>
      <c r="E2409" s="0" t="inlineStr">
        <is>
          <t xml:space="preserve">HEXAGON US FEDERAL, INC</t>
        </is>
      </c>
      <c r="F2409" s="0" t="inlineStr">
        <is>
          <t xml:space="preserve">psc:2090</t>
        </is>
      </c>
    </row>
    <row r="2410">
      <c r="B2410" s="0" t="inlineStr">
        <is>
          <t xml:space="preserve">N6279324F1100</t>
        </is>
      </c>
      <c r="C2410" s="0" t="inlineStr">
        <is>
          <t xml:space="preserve">broad_maritime</t>
        </is>
      </c>
      <c r="D2410" s="4">
        <v>0.78563122</v>
      </c>
      <c r="E2410" s="0" t="inlineStr">
        <is>
          <t xml:space="preserve">HII FLEET SUPPORT GROUP LLC</t>
        </is>
      </c>
      <c r="F2410" s="0" t="inlineStr">
        <is>
          <t xml:space="preserve">psc:1905</t>
        </is>
      </c>
    </row>
    <row r="2411">
      <c r="B2411" s="0" t="inlineStr">
        <is>
          <t xml:space="preserve">N0002418C2229</t>
        </is>
      </c>
      <c r="C2411" s="0" t="inlineStr">
        <is>
          <t xml:space="preserve">small_craft</t>
        </is>
      </c>
      <c r="D2411" s="4">
        <v>0.7851234399999999</v>
      </c>
      <c r="E2411" s="0" t="inlineStr">
        <is>
          <t xml:space="preserve">GRAVOIS ALUMINUM BOATS LLC</t>
        </is>
      </c>
      <c r="F2411" s="0" t="inlineStr">
        <is>
          <t xml:space="preserve">naics:336612; psc:1940</t>
        </is>
      </c>
    </row>
    <row r="2412">
      <c r="B2412" s="0" t="inlineStr">
        <is>
          <t xml:space="preserve">N3220520P2065</t>
        </is>
      </c>
      <c r="C2412" s="0" t="inlineStr">
        <is>
          <t xml:space="preserve">broad_maritime</t>
        </is>
      </c>
      <c r="D2412" s="4">
        <v>0.7825</v>
      </c>
      <c r="E2412" s="0" t="inlineStr">
        <is>
          <t xml:space="preserve">LIFERAFT SYSTEMS AUSTRALIA PTY LTD</t>
        </is>
      </c>
      <c r="F2412" s="0" t="inlineStr">
        <is>
          <t xml:space="preserve">psc:2090</t>
        </is>
      </c>
    </row>
    <row r="2413">
      <c r="B2413" s="0" t="inlineStr">
        <is>
          <t xml:space="preserve">N0002424C4129</t>
        </is>
      </c>
      <c r="C2413" s="0" t="inlineStr">
        <is>
          <t xml:space="preserve">broad_maritime</t>
        </is>
      </c>
      <c r="D2413" s="4">
        <v>0.7819999999999999</v>
      </c>
      <c r="E2413" s="0" t="inlineStr">
        <is>
          <t xml:space="preserve">SAILPLAN MARITIME, INC.</t>
        </is>
      </c>
      <c r="F2413" s="0" t="inlineStr">
        <is>
          <t xml:space="preserve">psc:1905</t>
        </is>
      </c>
    </row>
    <row r="2414">
      <c r="B2414" s="0" t="inlineStr">
        <is>
          <t xml:space="preserve">N3220520P0228</t>
        </is>
      </c>
      <c r="C2414" s="0" t="inlineStr">
        <is>
          <t xml:space="preserve">broad_maritime</t>
        </is>
      </c>
      <c r="D2414" s="4">
        <v>0.7803</v>
      </c>
      <c r="E2414" s="0" t="inlineStr">
        <is>
          <t xml:space="preserve">FINCANTIERI MARINE SYSTEMS NORTH AMERICA, INC.</t>
        </is>
      </c>
      <c r="F2414" s="0" t="inlineStr">
        <is>
          <t xml:space="preserve">psc:2090</t>
        </is>
      </c>
    </row>
    <row r="2415">
      <c r="B2415" s="0" t="inlineStr">
        <is>
          <t xml:space="preserve">N3220521F2163</t>
        </is>
      </c>
      <c r="C2415" s="0" t="inlineStr">
        <is>
          <t xml:space="preserve">broad_maritime</t>
        </is>
      </c>
      <c r="D2415" s="4">
        <v>0.77894081</v>
      </c>
      <c r="E2415" s="0" t="inlineStr">
        <is>
          <t xml:space="preserve">CIRCOR NAVAL SOLUTIONS LLC</t>
        </is>
      </c>
      <c r="F2415" s="0" t="inlineStr">
        <is>
          <t xml:space="preserve">psc:2090</t>
        </is>
      </c>
    </row>
    <row r="2416">
      <c r="B2416" s="0" t="inlineStr">
        <is>
          <t xml:space="preserve">0065</t>
        </is>
      </c>
      <c r="C2416" s="0" t="inlineStr">
        <is>
          <t xml:space="preserve">broad_maritime</t>
        </is>
      </c>
      <c r="D2416" s="4">
        <v>0.77614542</v>
      </c>
      <c r="E2416" s="0" t="inlineStr">
        <is>
          <t xml:space="preserve">ROCKWELL AUTOMATION INC</t>
        </is>
      </c>
      <c r="F2416" s="0" t="inlineStr">
        <is>
          <t xml:space="preserve">psc:2090</t>
        </is>
      </c>
    </row>
    <row r="2417">
      <c r="B2417" s="0" t="inlineStr">
        <is>
          <t xml:space="preserve">N0010421PNC29</t>
        </is>
      </c>
      <c r="C2417" s="0" t="inlineStr">
        <is>
          <t xml:space="preserve">small_craft</t>
        </is>
      </c>
      <c r="D2417" s="4">
        <v>0.7735</v>
      </c>
      <c r="E2417" s="0" t="inlineStr">
        <is>
          <t xml:space="preserve">MOOG INC.</t>
        </is>
      </c>
      <c r="F2417" s="0" t="inlineStr">
        <is>
          <t xml:space="preserve">naics:336612</t>
        </is>
      </c>
    </row>
    <row r="2418">
      <c r="B2418" s="0" t="inlineStr">
        <is>
          <t xml:space="preserve">N6279324F1200</t>
        </is>
      </c>
      <c r="C2418" s="0" t="inlineStr">
        <is>
          <t xml:space="preserve">broad_maritime</t>
        </is>
      </c>
      <c r="D2418" s="4">
        <v>0.77304022</v>
      </c>
      <c r="E2418" s="0" t="inlineStr">
        <is>
          <t xml:space="preserve">HII FLEET SUPPORT GROUP LLC</t>
        </is>
      </c>
      <c r="F2418" s="0" t="inlineStr">
        <is>
          <t xml:space="preserve">psc:1905</t>
        </is>
      </c>
    </row>
    <row r="2419">
      <c r="B2419" s="0" t="inlineStr">
        <is>
          <t xml:space="preserve">N0024419F0475</t>
        </is>
      </c>
      <c r="C2419" s="0" t="inlineStr">
        <is>
          <t xml:space="preserve">broad_maritime</t>
        </is>
      </c>
      <c r="D2419" s="4">
        <v>0.771736</v>
      </c>
      <c r="E2419" s="0" t="inlineStr">
        <is>
          <t xml:space="preserve">JPL HABITABILITY, INC.</t>
        </is>
      </c>
      <c r="F2419" s="0" t="inlineStr">
        <is>
          <t xml:space="preserve">psc:2090</t>
        </is>
      </c>
    </row>
    <row r="2420">
      <c r="B2420" s="0" t="inlineStr">
        <is>
          <t xml:space="preserve">N6883622P0164</t>
        </is>
      </c>
      <c r="C2420" s="0" t="inlineStr">
        <is>
          <t xml:space="preserve">broad_maritime</t>
        </is>
      </c>
      <c r="D2420" s="4">
        <v>0.77</v>
      </c>
      <c r="E2420" s="0" t="inlineStr">
        <is>
          <t xml:space="preserve">APS PRESSURE SYSTEMS LLC</t>
        </is>
      </c>
      <c r="F2420" s="0" t="inlineStr">
        <is>
          <t xml:space="preserve">psc:2090</t>
        </is>
      </c>
    </row>
    <row r="2421">
      <c r="B2421" s="0" t="inlineStr">
        <is>
          <t xml:space="preserve">N0002420F22Q2</t>
        </is>
      </c>
      <c r="C2421" s="0" t="inlineStr">
        <is>
          <t xml:space="preserve">small_craft</t>
        </is>
      </c>
      <c r="D2421" s="4">
        <v>0.76821014</v>
      </c>
      <c r="E2421" s="0" t="inlineStr">
        <is>
          <t xml:space="preserve">MODUTECH MARINE, INC.</t>
        </is>
      </c>
      <c r="F2421" s="0" t="inlineStr">
        <is>
          <t xml:space="preserve">naics:336612; psc:1940</t>
        </is>
      </c>
    </row>
    <row r="2422">
      <c r="B2422" s="0" t="inlineStr">
        <is>
          <t xml:space="preserve">N3220520P0052</t>
        </is>
      </c>
      <c r="C2422" s="0" t="inlineStr">
        <is>
          <t xml:space="preserve">broad_maritime</t>
        </is>
      </c>
      <c r="D2422" s="4">
        <v>0.7661774399999999</v>
      </c>
      <c r="E2422" s="0" t="inlineStr">
        <is>
          <t xml:space="preserve">ROLLS-ROYCE SOLUTIONS AMERICA INC</t>
        </is>
      </c>
      <c r="F2422" s="0" t="inlineStr">
        <is>
          <t xml:space="preserve">psc:2090</t>
        </is>
      </c>
    </row>
    <row r="2423">
      <c r="B2423" s="0" t="inlineStr">
        <is>
          <t xml:space="preserve">N0002415C2204</t>
        </is>
      </c>
      <c r="C2423" s="0" t="inlineStr">
        <is>
          <t xml:space="preserve">small_craft</t>
        </is>
      </c>
      <c r="D2423" s="4">
        <v>0.76578</v>
      </c>
      <c r="E2423" s="0" t="inlineStr">
        <is>
          <t xml:space="preserve">WILLARD MARINE, INC.</t>
        </is>
      </c>
      <c r="F2423" s="0" t="inlineStr">
        <is>
          <t xml:space="preserve">naics:336612; psc:1940</t>
        </is>
      </c>
    </row>
    <row r="2424">
      <c r="B2424" s="0" t="inlineStr">
        <is>
          <t xml:space="preserve">N0010425FCQ03</t>
        </is>
      </c>
      <c r="C2424" s="0" t="inlineStr">
        <is>
          <t xml:space="preserve">small_craft</t>
        </is>
      </c>
      <c r="D2424" s="4">
        <v>0.7654799999999999</v>
      </c>
      <c r="E2424" s="0" t="inlineStr">
        <is>
          <t xml:space="preserve">BIRD-JOHNSON PROPELLER COMPANY, LLC</t>
        </is>
      </c>
      <c r="F2424" s="0" t="inlineStr">
        <is>
          <t xml:space="preserve">naics:336612</t>
        </is>
      </c>
    </row>
    <row r="2425">
      <c r="B2425" s="0" t="inlineStr">
        <is>
          <t xml:space="preserve">N0010422PK063</t>
        </is>
      </c>
      <c r="C2425" s="0" t="inlineStr">
        <is>
          <t xml:space="preserve">broad_maritime</t>
        </is>
      </c>
      <c r="D2425" s="4">
        <v>0.762</v>
      </c>
      <c r="E2425" s="0" t="inlineStr">
        <is>
          <t xml:space="preserve">WESLEY INTERNATIONAL LLC</t>
        </is>
      </c>
      <c r="F2425" s="0" t="inlineStr">
        <is>
          <t xml:space="preserve">psc:2090</t>
        </is>
      </c>
    </row>
    <row r="2426">
      <c r="B2426" s="0" t="inlineStr">
        <is>
          <t xml:space="preserve">N0002423F23A3</t>
        </is>
      </c>
      <c r="C2426" s="0" t="inlineStr">
        <is>
          <t xml:space="preserve">small_craft</t>
        </is>
      </c>
      <c r="D2426" s="4">
        <v>0.75991491</v>
      </c>
      <c r="E2426" s="0" t="inlineStr">
        <is>
          <t xml:space="preserve">LAKE ASSAULT BOATS, LLC</t>
        </is>
      </c>
      <c r="F2426" s="0" t="inlineStr">
        <is>
          <t xml:space="preserve">naics:336612; psc:1940</t>
        </is>
      </c>
    </row>
    <row r="2427">
      <c r="B2427" s="0" t="inlineStr">
        <is>
          <t xml:space="preserve">N3220513P3008</t>
        </is>
      </c>
      <c r="C2427" s="0" t="inlineStr">
        <is>
          <t xml:space="preserve">broad_maritime</t>
        </is>
      </c>
      <c r="D2427" s="4">
        <v>0.75945</v>
      </c>
      <c r="E2427" s="0" t="inlineStr">
        <is>
          <t xml:space="preserve">DEFENSE MARITIME SOLUTIONS, INC.</t>
        </is>
      </c>
      <c r="F2427" s="0" t="inlineStr">
        <is>
          <t xml:space="preserve">psc:2090</t>
        </is>
      </c>
    </row>
    <row r="2428">
      <c r="B2428" s="0" t="inlineStr">
        <is>
          <t xml:space="preserve">N6133121F0163</t>
        </is>
      </c>
      <c r="C2428" s="0" t="inlineStr">
        <is>
          <t xml:space="preserve">broad_maritime</t>
        </is>
      </c>
      <c r="D2428" s="4">
        <v>0.7591679899999999</v>
      </c>
      <c r="E2428" s="0" t="inlineStr">
        <is>
          <t xml:space="preserve">SERCO INC</t>
        </is>
      </c>
      <c r="F2428" s="0" t="inlineStr">
        <is>
          <t xml:space="preserve">psc:2090</t>
        </is>
      </c>
    </row>
    <row r="2429">
      <c r="B2429" s="0" t="inlineStr">
        <is>
          <t xml:space="preserve">N6279323F1031</t>
        </is>
      </c>
      <c r="C2429" s="0" t="inlineStr">
        <is>
          <t xml:space="preserve">broad_maritime</t>
        </is>
      </c>
      <c r="D2429" s="4">
        <v>0.75839243</v>
      </c>
      <c r="E2429" s="0" t="inlineStr">
        <is>
          <t xml:space="preserve">HII FLEET SUPPORT GROUP LLC</t>
        </is>
      </c>
      <c r="F2429" s="0" t="inlineStr">
        <is>
          <t xml:space="preserve">psc:1905</t>
        </is>
      </c>
    </row>
    <row r="2430">
      <c r="B2430" s="0" t="inlineStr">
        <is>
          <t xml:space="preserve">N0016720F1057</t>
        </is>
      </c>
      <c r="C2430" s="0" t="inlineStr">
        <is>
          <t xml:space="preserve">broad_maritime</t>
        </is>
      </c>
      <c r="D2430" s="4">
        <v>0.75244461</v>
      </c>
      <c r="E2430" s="0" t="inlineStr">
        <is>
          <t xml:space="preserve">FAIRLEAD BOATWORKS, INC.</t>
        </is>
      </c>
      <c r="F2430" s="0" t="inlineStr">
        <is>
          <t xml:space="preserve">psc:1905</t>
        </is>
      </c>
    </row>
    <row r="2431">
      <c r="B2431" s="0" t="inlineStr">
        <is>
          <t xml:space="preserve">N5523624F9977</t>
        </is>
      </c>
      <c r="C2431" s="0" t="inlineStr">
        <is>
          <t xml:space="preserve">broad_maritime</t>
        </is>
      </c>
      <c r="D2431" s="4">
        <v>0.7451949999999999</v>
      </c>
      <c r="E2431" s="0" t="inlineStr">
        <is>
          <t xml:space="preserve">HII FLEET SUPPORT GROUP LLC</t>
        </is>
      </c>
      <c r="F2431" s="0" t="inlineStr">
        <is>
          <t xml:space="preserve">psc:1905</t>
        </is>
      </c>
    </row>
    <row r="2432">
      <c r="B2432" s="0" t="inlineStr">
        <is>
          <t xml:space="preserve">N5523625F9980</t>
        </is>
      </c>
      <c r="C2432" s="0" t="inlineStr">
        <is>
          <t xml:space="preserve">broad_maritime</t>
        </is>
      </c>
      <c r="D2432" s="4">
        <v>0.744267</v>
      </c>
      <c r="E2432" s="0" t="inlineStr">
        <is>
          <t xml:space="preserve">HII FLEET SUPPORT GROUP LLC</t>
        </is>
      </c>
      <c r="F2432" s="0" t="inlineStr">
        <is>
          <t xml:space="preserve">psc:1905</t>
        </is>
      </c>
    </row>
    <row r="2433">
      <c r="B2433" s="0" t="inlineStr">
        <is>
          <t xml:space="preserve">N5523623F9974</t>
        </is>
      </c>
      <c r="C2433" s="0" t="inlineStr">
        <is>
          <t xml:space="preserve">broad_maritime</t>
        </is>
      </c>
      <c r="D2433" s="4">
        <v>0.74229474</v>
      </c>
      <c r="E2433" s="0" t="inlineStr">
        <is>
          <t xml:space="preserve">HII FLEET SUPPORT GROUP LLC</t>
        </is>
      </c>
      <c r="F2433" s="0" t="inlineStr">
        <is>
          <t xml:space="preserve">psc:1905</t>
        </is>
      </c>
    </row>
    <row r="2434">
      <c r="B2434" s="0" t="inlineStr">
        <is>
          <t xml:space="preserve">N0002419F22Q1</t>
        </is>
      </c>
      <c r="C2434" s="0" t="inlineStr">
        <is>
          <t xml:space="preserve">small_craft</t>
        </is>
      </c>
      <c r="D2434" s="4">
        <v>0.74097214</v>
      </c>
      <c r="E2434" s="0" t="inlineStr">
        <is>
          <t xml:space="preserve">MODUTECH MARINE, INC.</t>
        </is>
      </c>
      <c r="F2434" s="0" t="inlineStr">
        <is>
          <t xml:space="preserve">naics:336612; psc:1940</t>
        </is>
      </c>
    </row>
    <row r="2435">
      <c r="B2435" s="0" t="inlineStr">
        <is>
          <t xml:space="preserve">N3220522F0016</t>
        </is>
      </c>
      <c r="C2435" s="0" t="inlineStr">
        <is>
          <t xml:space="preserve">broad_maritime</t>
        </is>
      </c>
      <c r="D2435" s="4">
        <v>0.7388429999999999</v>
      </c>
      <c r="E2435" s="0" t="inlineStr">
        <is>
          <t xml:space="preserve">NORTHROP GRUMMAN SYSTEMS CORPORATION</t>
        </is>
      </c>
      <c r="F2435" s="0" t="inlineStr">
        <is>
          <t xml:space="preserve">psc:2090</t>
        </is>
      </c>
    </row>
    <row r="2436">
      <c r="B2436" s="0" t="inlineStr">
        <is>
          <t xml:space="preserve">N6133123F0127</t>
        </is>
      </c>
      <c r="C2436" s="0" t="inlineStr">
        <is>
          <t xml:space="preserve">broad_maritime</t>
        </is>
      </c>
      <c r="D2436" s="4">
        <v>0.7358752</v>
      </c>
      <c r="E2436" s="0" t="inlineStr">
        <is>
          <t xml:space="preserve">BOOZ ALLEN HAMILTON INC</t>
        </is>
      </c>
      <c r="F2436" s="0" t="inlineStr">
        <is>
          <t xml:space="preserve">psc:2090</t>
        </is>
      </c>
    </row>
    <row r="2437">
      <c r="B2437" s="0" t="inlineStr">
        <is>
          <t xml:space="preserve">N0002423F22C3</t>
        </is>
      </c>
      <c r="C2437" s="0" t="inlineStr">
        <is>
          <t xml:space="preserve">small_craft</t>
        </is>
      </c>
      <c r="D2437" s="4">
        <v>0.73242428</v>
      </c>
      <c r="E2437" s="0" t="inlineStr">
        <is>
          <t xml:space="preserve">RIBCRAFT USA, LLC</t>
        </is>
      </c>
      <c r="F2437" s="0" t="inlineStr">
        <is>
          <t xml:space="preserve">naics:336612; psc:1940</t>
        </is>
      </c>
    </row>
    <row r="2438">
      <c r="B2438" s="0" t="inlineStr">
        <is>
          <t xml:space="preserve">N0002419C2232</t>
        </is>
      </c>
      <c r="C2438" s="0" t="inlineStr">
        <is>
          <t xml:space="preserve">broad_maritime</t>
        </is>
      </c>
      <c r="D2438" s="4">
        <v>0.7310198299999999</v>
      </c>
      <c r="E2438" s="0" t="inlineStr">
        <is>
          <t xml:space="preserve">VIGOR WORKS LLC</t>
        </is>
      </c>
      <c r="F2438" s="0" t="inlineStr">
        <is>
          <t xml:space="preserve">psc:1905</t>
        </is>
      </c>
    </row>
    <row r="2439">
      <c r="B2439" s="0" t="inlineStr">
        <is>
          <t xml:space="preserve">N0018925P0121</t>
        </is>
      </c>
      <c r="C2439" s="0" t="inlineStr">
        <is>
          <t xml:space="preserve">broad_maritime</t>
        </is>
      </c>
      <c r="D2439" s="4">
        <v>0.7302053599999999</v>
      </c>
      <c r="E2439" s="0" t="inlineStr">
        <is>
          <t xml:space="preserve">W S DARLEY &amp; CO</t>
        </is>
      </c>
      <c r="F2439" s="0" t="inlineStr">
        <is>
          <t xml:space="preserve">psc:2090</t>
        </is>
      </c>
    </row>
    <row r="2440">
      <c r="B2440" s="0" t="inlineStr">
        <is>
          <t xml:space="preserve">N0010422CFA06</t>
        </is>
      </c>
      <c r="C2440" s="0" t="inlineStr">
        <is>
          <t xml:space="preserve">small_craft</t>
        </is>
      </c>
      <c r="D2440" s="4">
        <v>0.7283749399999999</v>
      </c>
      <c r="E2440" s="0" t="inlineStr">
        <is>
          <t xml:space="preserve">U.S.A. SPARES INC.</t>
        </is>
      </c>
      <c r="F2440" s="0" t="inlineStr">
        <is>
          <t xml:space="preserve">naics:336612</t>
        </is>
      </c>
    </row>
    <row r="2441">
      <c r="B2441" s="0" t="inlineStr">
        <is>
          <t xml:space="preserve">N0010422CFA05</t>
        </is>
      </c>
      <c r="C2441" s="0" t="inlineStr">
        <is>
          <t xml:space="preserve">small_craft</t>
        </is>
      </c>
      <c r="D2441" s="4">
        <v>0.7283749399999999</v>
      </c>
      <c r="E2441" s="0" t="inlineStr">
        <is>
          <t xml:space="preserve">U.S.A. SPARES INC.</t>
        </is>
      </c>
      <c r="F2441" s="0" t="inlineStr">
        <is>
          <t xml:space="preserve">naics:336612</t>
        </is>
      </c>
    </row>
    <row r="2442">
      <c r="B2442" s="0" t="inlineStr">
        <is>
          <t xml:space="preserve">N0002424F4102</t>
        </is>
      </c>
      <c r="C2442" s="0" t="inlineStr">
        <is>
          <t xml:space="preserve">broad_maritime</t>
        </is>
      </c>
      <c r="D2442" s="4">
        <v>0.72788901</v>
      </c>
      <c r="E2442" s="0" t="inlineStr">
        <is>
          <t xml:space="preserve">VIRGINIA ELECTRONIC SYSTEMS, INC.</t>
        </is>
      </c>
      <c r="F2442" s="0" t="inlineStr">
        <is>
          <t xml:space="preserve">psc:2090</t>
        </is>
      </c>
    </row>
    <row r="2443">
      <c r="B2443" s="0" t="inlineStr">
        <is>
          <t xml:space="preserve">N5523622F9951</t>
        </is>
      </c>
      <c r="C2443" s="0" t="inlineStr">
        <is>
          <t xml:space="preserve">broad_maritime</t>
        </is>
      </c>
      <c r="D2443" s="4">
        <v>0.7238798299999999</v>
      </c>
      <c r="E2443" s="0" t="inlineStr">
        <is>
          <t xml:space="preserve">HII FLEET SUPPORT GROUP LLC</t>
        </is>
      </c>
      <c r="F2443" s="0" t="inlineStr">
        <is>
          <t xml:space="preserve">psc:1905</t>
        </is>
      </c>
    </row>
    <row r="2444">
      <c r="B2444" s="0" t="inlineStr">
        <is>
          <t xml:space="preserve">N6279323F0001</t>
        </is>
      </c>
      <c r="C2444" s="0" t="inlineStr">
        <is>
          <t xml:space="preserve">broad_maritime</t>
        </is>
      </c>
      <c r="D2444" s="4">
        <v>0.7231159899999999</v>
      </c>
      <c r="E2444" s="0" t="inlineStr">
        <is>
          <t xml:space="preserve">HII FLEET SUPPORT GROUP LLC</t>
        </is>
      </c>
      <c r="F2444" s="0" t="inlineStr">
        <is>
          <t xml:space="preserve">psc:1905</t>
        </is>
      </c>
    </row>
    <row r="2445">
      <c r="B2445" s="0" t="inlineStr">
        <is>
          <t xml:space="preserve">0091</t>
        </is>
      </c>
      <c r="C2445" s="0" t="inlineStr">
        <is>
          <t xml:space="preserve">broad_maritime</t>
        </is>
      </c>
      <c r="D2445" s="4">
        <v>0.7230904499999999</v>
      </c>
      <c r="E2445" s="0" t="inlineStr">
        <is>
          <t xml:space="preserve">ROCKWELL AUTOMATION INC</t>
        </is>
      </c>
      <c r="F2445" s="0" t="inlineStr">
        <is>
          <t xml:space="preserve">psc:2090</t>
        </is>
      </c>
    </row>
    <row r="2446">
      <c r="B2446" s="0" t="inlineStr">
        <is>
          <t xml:space="preserve">N3220517P4157</t>
        </is>
      </c>
      <c r="C2446" s="0" t="inlineStr">
        <is>
          <t xml:space="preserve">broad_maritime</t>
        </is>
      </c>
      <c r="D2446" s="4">
        <v>0.7224999999999999</v>
      </c>
      <c r="E2446" s="0" t="inlineStr">
        <is>
          <t xml:space="preserve">J. W. MARINE EQUIPMENT, INC.</t>
        </is>
      </c>
      <c r="F2446" s="0" t="inlineStr">
        <is>
          <t xml:space="preserve">psc:2090</t>
        </is>
      </c>
    </row>
    <row r="2447">
      <c r="B2447" s="0" t="inlineStr">
        <is>
          <t xml:space="preserve">N3220521P2074</t>
        </is>
      </c>
      <c r="C2447" s="0" t="inlineStr">
        <is>
          <t xml:space="preserve">broad_maritime</t>
        </is>
      </c>
      <c r="D2447" s="4">
        <v>0.71941861</v>
      </c>
      <c r="E2447" s="0" t="inlineStr">
        <is>
          <t xml:space="preserve">FAIRBANKS MORSE, LLC</t>
        </is>
      </c>
      <c r="F2447" s="0" t="inlineStr">
        <is>
          <t xml:space="preserve">psc:2090</t>
        </is>
      </c>
    </row>
    <row r="2448">
      <c r="B2448" s="0" t="inlineStr">
        <is>
          <t xml:space="preserve">N6133121F0156</t>
        </is>
      </c>
      <c r="C2448" s="0" t="inlineStr">
        <is>
          <t xml:space="preserve">broad_maritime</t>
        </is>
      </c>
      <c r="D2448" s="4">
        <v>0.71882416</v>
      </c>
      <c r="E2448" s="0" t="inlineStr">
        <is>
          <t xml:space="preserve">ATLANTIC DIVING SUPPLY, INC.</t>
        </is>
      </c>
      <c r="F2448" s="0" t="inlineStr">
        <is>
          <t xml:space="preserve">psc:2090</t>
        </is>
      </c>
    </row>
    <row r="2449">
      <c r="B2449" s="0" t="inlineStr">
        <is>
          <t xml:space="preserve">N5005421C0007</t>
        </is>
      </c>
      <c r="C2449" s="0" t="inlineStr">
        <is>
          <t xml:space="preserve">broad_maritime</t>
        </is>
      </c>
      <c r="D2449" s="4">
        <v>0.7188</v>
      </c>
      <c r="E2449" s="0" t="inlineStr">
        <is>
          <t xml:space="preserve">SCHOELLHORN - ALBRECHT MACHINE CO INC</t>
        </is>
      </c>
      <c r="F2449" s="0" t="inlineStr">
        <is>
          <t xml:space="preserve">psc:2090</t>
        </is>
      </c>
    </row>
    <row r="2450">
      <c r="B2450" s="0" t="inlineStr">
        <is>
          <t xml:space="preserve">N6449821F4244</t>
        </is>
      </c>
      <c r="C2450" s="0" t="inlineStr">
        <is>
          <t xml:space="preserve">broad_maritime</t>
        </is>
      </c>
      <c r="D2450" s="4">
        <v>0.718646</v>
      </c>
      <c r="E2450" s="0" t="inlineStr">
        <is>
          <t xml:space="preserve">LEIDOS, INC.</t>
        </is>
      </c>
      <c r="F2450" s="0" t="inlineStr">
        <is>
          <t xml:space="preserve">psc:2090</t>
        </is>
      </c>
    </row>
    <row r="2451">
      <c r="B2451" s="0" t="inlineStr">
        <is>
          <t xml:space="preserve">N6449821F4224</t>
        </is>
      </c>
      <c r="C2451" s="0" t="inlineStr">
        <is>
          <t xml:space="preserve">broad_maritime</t>
        </is>
      </c>
      <c r="D2451" s="4">
        <v>0.718646</v>
      </c>
      <c r="E2451" s="0" t="inlineStr">
        <is>
          <t xml:space="preserve">LEIDOS, INC.</t>
        </is>
      </c>
      <c r="F2451" s="0" t="inlineStr">
        <is>
          <t xml:space="preserve">psc:2090</t>
        </is>
      </c>
    </row>
    <row r="2452">
      <c r="B2452" s="0" t="inlineStr">
        <is>
          <t xml:space="preserve">N3220522P0101</t>
        </is>
      </c>
      <c r="C2452" s="0" t="inlineStr">
        <is>
          <t xml:space="preserve">broad_maritime</t>
        </is>
      </c>
      <c r="D2452" s="4">
        <v>0.7176469999999999</v>
      </c>
      <c r="E2452" s="0" t="inlineStr">
        <is>
          <t xml:space="preserve">HARRIS FIRE PROTECTION CO INC</t>
        </is>
      </c>
      <c r="F2452" s="0" t="inlineStr">
        <is>
          <t xml:space="preserve">psc:2090</t>
        </is>
      </c>
    </row>
    <row r="2453">
      <c r="B2453" s="0" t="inlineStr">
        <is>
          <t xml:space="preserve">N0010425PYB72</t>
        </is>
      </c>
      <c r="C2453" s="0" t="inlineStr">
        <is>
          <t xml:space="preserve">broad_maritime</t>
        </is>
      </c>
      <c r="D2453" s="4">
        <v>0.715772</v>
      </c>
      <c r="E2453" s="0" t="inlineStr">
        <is>
          <t xml:space="preserve">ELECTRIC BOAT CORPORATION</t>
        </is>
      </c>
      <c r="F2453" s="0" t="inlineStr">
        <is>
          <t xml:space="preserve">psc:2090</t>
        </is>
      </c>
    </row>
    <row r="2454">
      <c r="B2454" s="0" t="inlineStr">
        <is>
          <t xml:space="preserve">N6449817F4047</t>
        </is>
      </c>
      <c r="C2454" s="0" t="inlineStr">
        <is>
          <t xml:space="preserve">broad_maritime</t>
        </is>
      </c>
      <c r="D2454" s="4">
        <v>0.714803</v>
      </c>
      <c r="E2454" s="0" t="inlineStr">
        <is>
          <t xml:space="preserve">L.B.I., INC.</t>
        </is>
      </c>
      <c r="F2454" s="0" t="inlineStr">
        <is>
          <t xml:space="preserve">psc:2090</t>
        </is>
      </c>
    </row>
    <row r="2455">
      <c r="B2455" s="0" t="inlineStr">
        <is>
          <t xml:space="preserve">0060</t>
        </is>
      </c>
      <c r="C2455" s="0" t="inlineStr">
        <is>
          <t xml:space="preserve">broad_maritime</t>
        </is>
      </c>
      <c r="D2455" s="4">
        <v>0.712228</v>
      </c>
      <c r="E2455" s="0" t="inlineStr">
        <is>
          <t xml:space="preserve">ROCKWELL AUTOMATION INC</t>
        </is>
      </c>
      <c r="F2455" s="0" t="inlineStr">
        <is>
          <t xml:space="preserve">psc:2090</t>
        </is>
      </c>
    </row>
    <row r="2456">
      <c r="B2456" s="0" t="inlineStr">
        <is>
          <t xml:space="preserve">N0010422PLC17</t>
        </is>
      </c>
      <c r="C2456" s="0" t="inlineStr">
        <is>
          <t xml:space="preserve">small_craft</t>
        </is>
      </c>
      <c r="D2456" s="4">
        <v>0.7120390999999999</v>
      </c>
      <c r="E2456" s="0" t="inlineStr">
        <is>
          <t xml:space="preserve">HY-TEK MANUFACTURING CO., INC.</t>
        </is>
      </c>
      <c r="F2456" s="0" t="inlineStr">
        <is>
          <t xml:space="preserve">naics:336612</t>
        </is>
      </c>
    </row>
    <row r="2457">
      <c r="B2457" s="0" t="inlineStr">
        <is>
          <t xml:space="preserve">0002</t>
        </is>
      </c>
      <c r="C2457" s="0" t="inlineStr">
        <is>
          <t xml:space="preserve">broad_maritime</t>
        </is>
      </c>
      <c r="D2457" s="4">
        <v>0.7109209999999999</v>
      </c>
      <c r="E2457" s="0" t="inlineStr">
        <is>
          <t xml:space="preserve">HUNTINGTON INGALLS INCORPORATED</t>
        </is>
      </c>
      <c r="F2457" s="0" t="inlineStr">
        <is>
          <t xml:space="preserve">psc:1905</t>
        </is>
      </c>
    </row>
    <row r="2458">
      <c r="B2458" s="0" t="inlineStr">
        <is>
          <t xml:space="preserve">N0024421C0013</t>
        </is>
      </c>
      <c r="C2458" s="0" t="inlineStr">
        <is>
          <t xml:space="preserve">broad_maritime</t>
        </is>
      </c>
      <c r="D2458" s="4">
        <v>0.7058968</v>
      </c>
      <c r="E2458" s="0" t="inlineStr">
        <is>
          <t xml:space="preserve">INCREDIBLE SUPPLY LLC</t>
        </is>
      </c>
      <c r="F2458" s="0" t="inlineStr">
        <is>
          <t xml:space="preserve">psc:2090</t>
        </is>
      </c>
    </row>
    <row r="2459">
      <c r="B2459" s="0" t="inlineStr">
        <is>
          <t xml:space="preserve">N0002414C6213</t>
        </is>
      </c>
      <c r="C2459" s="0" t="inlineStr">
        <is>
          <t xml:space="preserve">broad_maritime</t>
        </is>
      </c>
      <c r="D2459" s="4">
        <v>0.703813</v>
      </c>
      <c r="E2459" s="0" t="inlineStr">
        <is>
          <t xml:space="preserve">FOSTER-MILLER, INC.</t>
        </is>
      </c>
      <c r="F2459" s="0" t="inlineStr">
        <is>
          <t xml:space="preserve">psc:1905</t>
        </is>
      </c>
    </row>
    <row r="2460">
      <c r="B2460" s="0" t="inlineStr">
        <is>
          <t xml:space="preserve">0012</t>
        </is>
      </c>
      <c r="C2460" s="0" t="inlineStr">
        <is>
          <t xml:space="preserve">broad_maritime</t>
        </is>
      </c>
      <c r="D2460" s="4">
        <v>0.7013179399999999</v>
      </c>
      <c r="E2460" s="0" t="inlineStr">
        <is>
          <t xml:space="preserve">LEIDOS, INC.</t>
        </is>
      </c>
      <c r="F2460" s="0" t="inlineStr">
        <is>
          <t xml:space="preserve">psc:2090</t>
        </is>
      </c>
    </row>
    <row r="2461">
      <c r="B2461" s="0" t="inlineStr">
        <is>
          <t xml:space="preserve">N5005420P0041</t>
        </is>
      </c>
      <c r="C2461" s="0" t="inlineStr">
        <is>
          <t xml:space="preserve">broad_maritime</t>
        </is>
      </c>
      <c r="D2461" s="4">
        <v>0.69927</v>
      </c>
      <c r="E2461" s="0" t="inlineStr">
        <is>
          <t xml:space="preserve">APPLETON MARINE INC</t>
        </is>
      </c>
      <c r="F2461" s="0" t="inlineStr">
        <is>
          <t xml:space="preserve">psc:2090</t>
        </is>
      </c>
    </row>
    <row r="2462">
      <c r="B2462" s="0" t="inlineStr">
        <is>
          <t xml:space="preserve">N0010424PFD79</t>
        </is>
      </c>
      <c r="C2462" s="0" t="inlineStr">
        <is>
          <t xml:space="preserve">small_craft</t>
        </is>
      </c>
      <c r="D2462" s="4">
        <v>0.6983649399999999</v>
      </c>
      <c r="E2462" s="0" t="inlineStr">
        <is>
          <t xml:space="preserve">CEPEDA ASSOCIATES, INC.</t>
        </is>
      </c>
      <c r="F2462" s="0" t="inlineStr">
        <is>
          <t xml:space="preserve">naics:336612</t>
        </is>
      </c>
    </row>
    <row r="2463">
      <c r="B2463" s="0" t="inlineStr">
        <is>
          <t xml:space="preserve">N0002418F22T1</t>
        </is>
      </c>
      <c r="C2463" s="0" t="inlineStr">
        <is>
          <t xml:space="preserve">other_small</t>
        </is>
      </c>
      <c r="D2463" s="4">
        <v>0.69758572</v>
      </c>
      <c r="E2463" s="0" t="inlineStr">
        <is>
          <t xml:space="preserve">AUSTAL USA, LLC</t>
        </is>
      </c>
      <c r="F2463" s="0" t="inlineStr">
        <is>
          <t xml:space="preserve">psc:1990</t>
        </is>
      </c>
    </row>
    <row r="2464">
      <c r="B2464" s="0" t="inlineStr">
        <is>
          <t xml:space="preserve">N6133121F0144</t>
        </is>
      </c>
      <c r="C2464" s="0" t="inlineStr">
        <is>
          <t xml:space="preserve">broad_maritime</t>
        </is>
      </c>
      <c r="D2464" s="4">
        <v>0.6956530799999999</v>
      </c>
      <c r="E2464" s="0" t="inlineStr">
        <is>
          <t xml:space="preserve">ATLANTIC DIVING SUPPLY, INC.</t>
        </is>
      </c>
      <c r="F2464" s="0" t="inlineStr">
        <is>
          <t xml:space="preserve">psc:2090</t>
        </is>
      </c>
    </row>
    <row r="2465">
      <c r="B2465" s="0" t="inlineStr">
        <is>
          <t xml:space="preserve">N0010423PNB41</t>
        </is>
      </c>
      <c r="C2465" s="0" t="inlineStr">
        <is>
          <t xml:space="preserve">broad_maritime</t>
        </is>
      </c>
      <c r="D2465" s="4">
        <v>0.6934199999999999</v>
      </c>
      <c r="E2465" s="0" t="inlineStr">
        <is>
          <t xml:space="preserve">MARINE POLYMERS, INC</t>
        </is>
      </c>
      <c r="F2465" s="0" t="inlineStr">
        <is>
          <t xml:space="preserve">psc:2090</t>
        </is>
      </c>
    </row>
    <row r="2466">
      <c r="B2466" s="0" t="inlineStr">
        <is>
          <t xml:space="preserve">N3220515P1311</t>
        </is>
      </c>
      <c r="C2466" s="0" t="inlineStr">
        <is>
          <t xml:space="preserve">broad_maritime</t>
        </is>
      </c>
      <c r="D2466" s="4">
        <v>0.69227016</v>
      </c>
      <c r="E2466" s="0" t="inlineStr">
        <is>
          <t xml:space="preserve">MARY HELEN PARKEY</t>
        </is>
      </c>
      <c r="F2466" s="0" t="inlineStr">
        <is>
          <t xml:space="preserve">psc:2090</t>
        </is>
      </c>
    </row>
    <row r="2467">
      <c r="B2467" s="0" t="inlineStr">
        <is>
          <t xml:space="preserve">N0010421PDC69</t>
        </is>
      </c>
      <c r="C2467" s="0" t="inlineStr">
        <is>
          <t xml:space="preserve">small_craft</t>
        </is>
      </c>
      <c r="D2467" s="4">
        <v>0.6920999999999999</v>
      </c>
      <c r="E2467" s="0" t="inlineStr">
        <is>
          <t xml:space="preserve">KIHOMAC INC</t>
        </is>
      </c>
      <c r="F2467" s="0" t="inlineStr">
        <is>
          <t xml:space="preserve">naics:336612</t>
        </is>
      </c>
    </row>
    <row r="2468">
      <c r="B2468" s="0" t="inlineStr">
        <is>
          <t xml:space="preserve">N6449819F4253</t>
        </is>
      </c>
      <c r="C2468" s="0" t="inlineStr">
        <is>
          <t xml:space="preserve">broad_maritime</t>
        </is>
      </c>
      <c r="D2468" s="4">
        <v>0.690102</v>
      </c>
      <c r="E2468" s="0" t="inlineStr">
        <is>
          <t xml:space="preserve">LEIDOS, INC.</t>
        </is>
      </c>
      <c r="F2468" s="0" t="inlineStr">
        <is>
          <t xml:space="preserve">psc:2090</t>
        </is>
      </c>
    </row>
    <row r="2469">
      <c r="B2469" s="0" t="inlineStr">
        <is>
          <t xml:space="preserve">N3220517P4015</t>
        </is>
      </c>
      <c r="C2469" s="0" t="inlineStr">
        <is>
          <t xml:space="preserve">broad_maritime</t>
        </is>
      </c>
      <c r="D2469" s="4">
        <v>0.6894469999999999</v>
      </c>
      <c r="E2469" s="0" t="inlineStr">
        <is>
          <t xml:space="preserve">PIMA VALVE, LLC</t>
        </is>
      </c>
      <c r="F2469" s="0" t="inlineStr">
        <is>
          <t xml:space="preserve">psc:2090</t>
        </is>
      </c>
    </row>
    <row r="2470">
      <c r="B2470" s="0" t="inlineStr">
        <is>
          <t xml:space="preserve">N3220517F0702</t>
        </is>
      </c>
      <c r="C2470" s="0" t="inlineStr">
        <is>
          <t xml:space="preserve">other_small</t>
        </is>
      </c>
      <c r="D2470" s="4">
        <v>0.688542</v>
      </c>
      <c r="E2470" s="0" t="inlineStr">
        <is>
          <t xml:space="preserve">LAKE SHORE SYSTEMS, INC.</t>
        </is>
      </c>
      <c r="F2470" s="0" t="inlineStr">
        <is>
          <t xml:space="preserve">psc:1990</t>
        </is>
      </c>
    </row>
    <row r="2471">
      <c r="B2471" s="0" t="inlineStr">
        <is>
          <t xml:space="preserve">N0010425PYB87</t>
        </is>
      </c>
      <c r="C2471" s="0" t="inlineStr">
        <is>
          <t xml:space="preserve">broad_maritime</t>
        </is>
      </c>
      <c r="D2471" s="4">
        <v>0.68823</v>
      </c>
      <c r="E2471" s="0" t="inlineStr">
        <is>
          <t xml:space="preserve">WESTLAND TECHNOLOGIES, INC.</t>
        </is>
      </c>
      <c r="F2471" s="0" t="inlineStr">
        <is>
          <t xml:space="preserve">psc:2090</t>
        </is>
      </c>
    </row>
    <row r="2472">
      <c r="B2472" s="0" t="inlineStr">
        <is>
          <t xml:space="preserve">N0010425PYB86</t>
        </is>
      </c>
      <c r="C2472" s="0" t="inlineStr">
        <is>
          <t xml:space="preserve">broad_maritime</t>
        </is>
      </c>
      <c r="D2472" s="4">
        <v>0.68823</v>
      </c>
      <c r="E2472" s="0" t="inlineStr">
        <is>
          <t xml:space="preserve">WESTLAND TECHNOLOGIES, INC.</t>
        </is>
      </c>
      <c r="F2472" s="0" t="inlineStr">
        <is>
          <t xml:space="preserve">psc:2090</t>
        </is>
      </c>
    </row>
    <row r="2473">
      <c r="B2473" s="0" t="inlineStr">
        <is>
          <t xml:space="preserve">N0010425PYB85</t>
        </is>
      </c>
      <c r="C2473" s="0" t="inlineStr">
        <is>
          <t xml:space="preserve">broad_maritime</t>
        </is>
      </c>
      <c r="D2473" s="4">
        <v>0.68823</v>
      </c>
      <c r="E2473" s="0" t="inlineStr">
        <is>
          <t xml:space="preserve">WESTLAND TECHNOLOGIES, INC.</t>
        </is>
      </c>
      <c r="F2473" s="0" t="inlineStr">
        <is>
          <t xml:space="preserve">psc:2090</t>
        </is>
      </c>
    </row>
    <row r="2474">
      <c r="B2474" s="0" t="inlineStr">
        <is>
          <t xml:space="preserve">N0002418F22E1</t>
        </is>
      </c>
      <c r="C2474" s="0" t="inlineStr">
        <is>
          <t xml:space="preserve">small_craft</t>
        </is>
      </c>
      <c r="D2474" s="4">
        <v>0.6854665999999999</v>
      </c>
      <c r="E2474" s="0" t="inlineStr">
        <is>
          <t xml:space="preserve">SILVER SHIPS, INC</t>
        </is>
      </c>
      <c r="F2474" s="0" t="inlineStr">
        <is>
          <t xml:space="preserve">naics:336612; psc:1940</t>
        </is>
      </c>
    </row>
    <row r="2475">
      <c r="B2475" s="0" t="inlineStr">
        <is>
          <t xml:space="preserve">N0010424PXC29</t>
        </is>
      </c>
      <c r="C2475" s="0" t="inlineStr">
        <is>
          <t xml:space="preserve">other_small</t>
        </is>
      </c>
      <c r="D2475" s="4">
        <v>0.68465375</v>
      </c>
      <c r="E2475" s="0" t="inlineStr">
        <is>
          <t xml:space="preserve">L3HARRIS GLOBAL COMMUNICATIONS, INC.</t>
        </is>
      </c>
      <c r="F2475" s="0" t="inlineStr">
        <is>
          <t xml:space="preserve">psc:1990</t>
        </is>
      </c>
    </row>
    <row r="2476">
      <c r="B2476" s="0" t="inlineStr">
        <is>
          <t xml:space="preserve">0001</t>
        </is>
      </c>
      <c r="C2476" s="0" t="inlineStr">
        <is>
          <t xml:space="preserve">broad_maritime</t>
        </is>
      </c>
      <c r="D2476" s="4">
        <v>0.683778</v>
      </c>
      <c r="E2476" s="0" t="inlineStr">
        <is>
          <t xml:space="preserve">L3 TECHNOLOGIES, INC.</t>
        </is>
      </c>
      <c r="F2476" s="0" t="inlineStr">
        <is>
          <t xml:space="preserve">psc:2090</t>
        </is>
      </c>
    </row>
    <row r="2477">
      <c r="B2477" s="0" t="inlineStr">
        <is>
          <t xml:space="preserve">7N01</t>
        </is>
      </c>
      <c r="C2477" s="0" t="inlineStr">
        <is>
          <t xml:space="preserve">usv_core</t>
        </is>
      </c>
      <c r="D2477" s="4">
        <v>0.68329849</v>
      </c>
      <c r="E2477" s="0" t="inlineStr">
        <is>
          <t xml:space="preserve">AUSGAR TECHNOLOGIES, INC.</t>
        </is>
      </c>
      <c r="F2477" s="0" t="inlineStr">
        <is>
          <t xml:space="preserve">keyword</t>
        </is>
      </c>
    </row>
    <row r="2478">
      <c r="B2478" s="0" t="inlineStr">
        <is>
          <t xml:space="preserve">0002</t>
        </is>
      </c>
      <c r="C2478" s="0" t="inlineStr">
        <is>
          <t xml:space="preserve">broad_maritime</t>
        </is>
      </c>
      <c r="D2478" s="4">
        <v>0.68282379</v>
      </c>
      <c r="E2478" s="0" t="inlineStr">
        <is>
          <t xml:space="preserve">L3 TECHNOLOGIES, INC.</t>
        </is>
      </c>
      <c r="F2478" s="0" t="inlineStr">
        <is>
          <t xml:space="preserve">psc:2090</t>
        </is>
      </c>
    </row>
    <row r="2479">
      <c r="B2479" s="0" t="inlineStr">
        <is>
          <t xml:space="preserve">0007</t>
        </is>
      </c>
      <c r="C2479" s="0" t="inlineStr">
        <is>
          <t xml:space="preserve">broad_maritime</t>
        </is>
      </c>
      <c r="D2479" s="4">
        <v>0.68051268</v>
      </c>
      <c r="E2479" s="0" t="inlineStr">
        <is>
          <t xml:space="preserve">LEIDOS, INC.</t>
        </is>
      </c>
      <c r="F2479" s="0" t="inlineStr">
        <is>
          <t xml:space="preserve">psc:2090</t>
        </is>
      </c>
    </row>
    <row r="2480">
      <c r="B2480" s="0" t="inlineStr">
        <is>
          <t xml:space="preserve">N0010422PK038</t>
        </is>
      </c>
      <c r="C2480" s="0" t="inlineStr">
        <is>
          <t xml:space="preserve">broad_maritime</t>
        </is>
      </c>
      <c r="D2480" s="4">
        <v>0.6794899999999999</v>
      </c>
      <c r="E2480" s="0" t="inlineStr">
        <is>
          <t xml:space="preserve">BPR-RICO MANUFACTURING INC.</t>
        </is>
      </c>
      <c r="F2480" s="0" t="inlineStr">
        <is>
          <t xml:space="preserve">psc:2090</t>
        </is>
      </c>
    </row>
    <row r="2481">
      <c r="B2481" s="0" t="inlineStr">
        <is>
          <t xml:space="preserve">N0002415C2226</t>
        </is>
      </c>
      <c r="C2481" s="0" t="inlineStr">
        <is>
          <t xml:space="preserve">small_craft</t>
        </is>
      </c>
      <c r="D2481" s="4">
        <v>0.67833797</v>
      </c>
      <c r="E2481" s="0" t="inlineStr">
        <is>
          <t xml:space="preserve">NW BEND BOATS, LLC</t>
        </is>
      </c>
      <c r="F2481" s="0" t="inlineStr">
        <is>
          <t xml:space="preserve">naics:336612; psc:1940</t>
        </is>
      </c>
    </row>
    <row r="2482">
      <c r="B2482" s="0" t="inlineStr">
        <is>
          <t xml:space="preserve">0004</t>
        </is>
      </c>
      <c r="C2482" s="0" t="inlineStr">
        <is>
          <t xml:space="preserve">broad_maritime</t>
        </is>
      </c>
      <c r="D2482" s="4">
        <v>0.6743</v>
      </c>
      <c r="E2482" s="0" t="inlineStr">
        <is>
          <t xml:space="preserve">KNUDSEN SYSTEMS INC.</t>
        </is>
      </c>
      <c r="F2482" s="0" t="inlineStr">
        <is>
          <t xml:space="preserve">psc:2090</t>
        </is>
      </c>
    </row>
    <row r="2483">
      <c r="B2483" s="0" t="inlineStr">
        <is>
          <t xml:space="preserve">N6279321F1000</t>
        </is>
      </c>
      <c r="C2483" s="0" t="inlineStr">
        <is>
          <t xml:space="preserve">broad_maritime</t>
        </is>
      </c>
      <c r="D2483" s="4">
        <v>0.67411145</v>
      </c>
      <c r="E2483" s="0" t="inlineStr">
        <is>
          <t xml:space="preserve">HII FLEET SUPPORT GROUP LLC</t>
        </is>
      </c>
      <c r="F2483" s="0" t="inlineStr">
        <is>
          <t xml:space="preserve">psc:1905</t>
        </is>
      </c>
    </row>
    <row r="2484">
      <c r="B2484" s="0" t="inlineStr">
        <is>
          <t xml:space="preserve">N0010424PXD13</t>
        </is>
      </c>
      <c r="C2484" s="0" t="inlineStr">
        <is>
          <t xml:space="preserve">small_craft</t>
        </is>
      </c>
      <c r="D2484" s="4">
        <v>0.6733199999999999</v>
      </c>
      <c r="E2484" s="0" t="inlineStr">
        <is>
          <t xml:space="preserve">SHERWOOD AVIONICS AND ACCESSORIES, INC.</t>
        </is>
      </c>
      <c r="F2484" s="0" t="inlineStr">
        <is>
          <t xml:space="preserve">naics:336612</t>
        </is>
      </c>
    </row>
    <row r="2485">
      <c r="B2485" s="0" t="inlineStr">
        <is>
          <t xml:space="preserve">N5523625F9983</t>
        </is>
      </c>
      <c r="C2485" s="0" t="inlineStr">
        <is>
          <t xml:space="preserve">broad_maritime</t>
        </is>
      </c>
      <c r="D2485" s="4">
        <v>0.6694049999999999</v>
      </c>
      <c r="E2485" s="0" t="inlineStr">
        <is>
          <t xml:space="preserve">HII FLEET SUPPORT GROUP LLC</t>
        </is>
      </c>
      <c r="F2485" s="0" t="inlineStr">
        <is>
          <t xml:space="preserve">psc:1905</t>
        </is>
      </c>
    </row>
    <row r="2486">
      <c r="B2486" s="0" t="inlineStr">
        <is>
          <t xml:space="preserve">N3220524P2191</t>
        </is>
      </c>
      <c r="C2486" s="0" t="inlineStr">
        <is>
          <t xml:space="preserve">broad_maritime</t>
        </is>
      </c>
      <c r="D2486" s="4">
        <v>0.6679999999999999</v>
      </c>
      <c r="E2486" s="0" t="inlineStr">
        <is>
          <t xml:space="preserve">ALLIED SYSTEMS COMPANY</t>
        </is>
      </c>
      <c r="F2486" s="0" t="inlineStr">
        <is>
          <t xml:space="preserve">psc:2090</t>
        </is>
      </c>
    </row>
    <row r="2487">
      <c r="B2487" s="0" t="inlineStr">
        <is>
          <t xml:space="preserve">N3220516P4201</t>
        </is>
      </c>
      <c r="C2487" s="0" t="inlineStr">
        <is>
          <t xml:space="preserve">broad_maritime</t>
        </is>
      </c>
      <c r="D2487" s="4">
        <v>0.66600319</v>
      </c>
      <c r="E2487" s="0" t="inlineStr">
        <is>
          <t xml:space="preserve">MOTOR-SERVICES HUGO STAMP, INC</t>
        </is>
      </c>
      <c r="F2487" s="0" t="inlineStr">
        <is>
          <t xml:space="preserve">psc:2090</t>
        </is>
      </c>
    </row>
    <row r="2488">
      <c r="B2488" s="0" t="inlineStr">
        <is>
          <t xml:space="preserve">N5523623F9971</t>
        </is>
      </c>
      <c r="C2488" s="0" t="inlineStr">
        <is>
          <t xml:space="preserve">broad_maritime</t>
        </is>
      </c>
      <c r="D2488" s="4">
        <v>0.66386819</v>
      </c>
      <c r="E2488" s="0" t="inlineStr">
        <is>
          <t xml:space="preserve">HII FLEET SUPPORT GROUP LLC</t>
        </is>
      </c>
      <c r="F2488" s="0" t="inlineStr">
        <is>
          <t xml:space="preserve">psc:1905</t>
        </is>
      </c>
    </row>
    <row r="2489">
      <c r="B2489" s="0" t="inlineStr">
        <is>
          <t xml:space="preserve">N3220515P1363</t>
        </is>
      </c>
      <c r="C2489" s="0" t="inlineStr">
        <is>
          <t xml:space="preserve">broad_maritime</t>
        </is>
      </c>
      <c r="D2489" s="4">
        <v>0.6582092399999999</v>
      </c>
      <c r="E2489" s="0" t="inlineStr">
        <is>
          <t xml:space="preserve">ABB INC.</t>
        </is>
      </c>
      <c r="F2489" s="0" t="inlineStr">
        <is>
          <t xml:space="preserve">psc:2090</t>
        </is>
      </c>
    </row>
    <row r="2490">
      <c r="B2490" s="0" t="inlineStr">
        <is>
          <t xml:space="preserve">N6449819F4100</t>
        </is>
      </c>
      <c r="C2490" s="0" t="inlineStr">
        <is>
          <t xml:space="preserve">broad_maritime</t>
        </is>
      </c>
      <c r="D2490" s="4">
        <v>0.657774</v>
      </c>
      <c r="E2490" s="0" t="inlineStr">
        <is>
          <t xml:space="preserve">FLIGHTFAB, INC.</t>
        </is>
      </c>
      <c r="F2490" s="0" t="inlineStr">
        <is>
          <t xml:space="preserve">psc:2090</t>
        </is>
      </c>
    </row>
    <row r="2491">
      <c r="B2491" s="0" t="inlineStr">
        <is>
          <t xml:space="preserve">N0010425PJC66</t>
        </is>
      </c>
      <c r="C2491" s="0" t="inlineStr">
        <is>
          <t xml:space="preserve">small_craft</t>
        </is>
      </c>
      <c r="D2491" s="4">
        <v>0.6549999999999999</v>
      </c>
      <c r="E2491" s="0" t="inlineStr">
        <is>
          <t xml:space="preserve">KINGSBURY INC.</t>
        </is>
      </c>
      <c r="F2491" s="0" t="inlineStr">
        <is>
          <t xml:space="preserve">naics:336612</t>
        </is>
      </c>
    </row>
    <row r="2492">
      <c r="B2492" s="0" t="inlineStr">
        <is>
          <t xml:space="preserve">N0024424F0486</t>
        </is>
      </c>
      <c r="C2492" s="0" t="inlineStr">
        <is>
          <t xml:space="preserve">broad_maritime</t>
        </is>
      </c>
      <c r="D2492" s="4">
        <v>0.65491</v>
      </c>
      <c r="E2492" s="0" t="inlineStr">
        <is>
          <t xml:space="preserve">MARINE &amp; RESTAURANT FABRICATORS, INC.</t>
        </is>
      </c>
      <c r="F2492" s="0" t="inlineStr">
        <is>
          <t xml:space="preserve">psc:2090</t>
        </is>
      </c>
    </row>
    <row r="2493">
      <c r="B2493" s="0" t="inlineStr">
        <is>
          <t xml:space="preserve">N6893626F5006</t>
        </is>
      </c>
      <c r="C2493" s="0" t="inlineStr">
        <is>
          <t xml:space="preserve">small_craft</t>
        </is>
      </c>
      <c r="D2493" s="4">
        <v>0.6522443499999999</v>
      </c>
      <c r="E2493" s="0" t="inlineStr">
        <is>
          <t xml:space="preserve">THE MOLDING COMPANY, INC.</t>
        </is>
      </c>
      <c r="F2493" s="0" t="inlineStr">
        <is>
          <t xml:space="preserve">psc:1940</t>
        </is>
      </c>
    </row>
    <row r="2494">
      <c r="B2494" s="0" t="inlineStr">
        <is>
          <t xml:space="preserve">N0002415F2203</t>
        </is>
      </c>
      <c r="C2494" s="0" t="inlineStr">
        <is>
          <t xml:space="preserve">small_craft</t>
        </is>
      </c>
      <c r="D2494" s="4">
        <v>0.651565</v>
      </c>
      <c r="E2494" s="0" t="inlineStr">
        <is>
          <t xml:space="preserve">SILVER SHIPS, INC</t>
        </is>
      </c>
      <c r="F2494" s="0" t="inlineStr">
        <is>
          <t xml:space="preserve">naics:336612; psc:1940</t>
        </is>
      </c>
    </row>
    <row r="2495">
      <c r="B2495" s="0" t="inlineStr">
        <is>
          <t xml:space="preserve">N0018924P0059</t>
        </is>
      </c>
      <c r="C2495" s="0" t="inlineStr">
        <is>
          <t xml:space="preserve">broad_maritime</t>
        </is>
      </c>
      <c r="D2495" s="4">
        <v>0.6512048</v>
      </c>
      <c r="E2495" s="0" t="inlineStr">
        <is>
          <t xml:space="preserve">ENGINE SYSTEMS, INC.</t>
        </is>
      </c>
      <c r="F2495" s="0" t="inlineStr">
        <is>
          <t xml:space="preserve">psc:2090</t>
        </is>
      </c>
    </row>
    <row r="2496">
      <c r="B2496" s="0" t="inlineStr">
        <is>
          <t xml:space="preserve">N3220523F1043</t>
        </is>
      </c>
      <c r="C2496" s="0" t="inlineStr">
        <is>
          <t xml:space="preserve">broad_maritime</t>
        </is>
      </c>
      <c r="D2496" s="4">
        <v>0.6511383199999999</v>
      </c>
      <c r="E2496" s="0" t="inlineStr">
        <is>
          <t xml:space="preserve">CIRCOR NAVAL SOLUTIONS LLC</t>
        </is>
      </c>
      <c r="F2496" s="0" t="inlineStr">
        <is>
          <t xml:space="preserve">psc:2090</t>
        </is>
      </c>
    </row>
    <row r="2497">
      <c r="B2497" s="0" t="inlineStr">
        <is>
          <t xml:space="preserve">0006</t>
        </is>
      </c>
      <c r="C2497" s="0" t="inlineStr">
        <is>
          <t xml:space="preserve">broad_maritime</t>
        </is>
      </c>
      <c r="D2497" s="4">
        <v>0.649882</v>
      </c>
      <c r="E2497" s="0" t="inlineStr">
        <is>
          <t xml:space="preserve">LAUREL TECHNOLOGIES PARTNERSHIP</t>
        </is>
      </c>
      <c r="F2497" s="0" t="inlineStr">
        <is>
          <t xml:space="preserve">psc:2090</t>
        </is>
      </c>
    </row>
    <row r="2498">
      <c r="B2498" s="0" t="inlineStr">
        <is>
          <t xml:space="preserve">N0016422CJR93</t>
        </is>
      </c>
      <c r="C2498" s="0" t="inlineStr">
        <is>
          <t xml:space="preserve">small_craft</t>
        </is>
      </c>
      <c r="D2498" s="4">
        <v>0.64986216</v>
      </c>
      <c r="E2498" s="0" t="inlineStr">
        <is>
          <t xml:space="preserve">HYDRONALIX INC</t>
        </is>
      </c>
      <c r="F2498" s="0" t="inlineStr">
        <is>
          <t xml:space="preserve">naics:336612</t>
        </is>
      </c>
    </row>
    <row r="2499">
      <c r="B2499" s="0" t="inlineStr">
        <is>
          <t xml:space="preserve">N0002425F4118</t>
        </is>
      </c>
      <c r="C2499" s="0" t="inlineStr">
        <is>
          <t xml:space="preserve">small_craft</t>
        </is>
      </c>
      <c r="D2499" s="4">
        <v>0.6486449999999999</v>
      </c>
      <c r="E2499" s="0" t="inlineStr">
        <is>
          <t xml:space="preserve">UNITED STATES MARINE INC</t>
        </is>
      </c>
      <c r="F2499" s="0" t="inlineStr">
        <is>
          <t xml:space="preserve">psc:1940</t>
        </is>
      </c>
    </row>
    <row r="2500">
      <c r="B2500" s="0" t="inlineStr">
        <is>
          <t xml:space="preserve">N6817124F0093</t>
        </is>
      </c>
      <c r="C2500" s="0" t="inlineStr">
        <is>
          <t xml:space="preserve">broad_maritime</t>
        </is>
      </c>
      <c r="D2500" s="4">
        <v>0.64759598</v>
      </c>
      <c r="E2500" s="0" t="inlineStr">
        <is>
          <t xml:space="preserve">FINCANTIERI MARINE SYSTEMS NORTH AMERICA, INC.</t>
        </is>
      </c>
      <c r="F2500" s="0" t="inlineStr">
        <is>
          <t xml:space="preserve">psc:2090</t>
        </is>
      </c>
    </row>
    <row r="2501">
      <c r="B2501" s="0" t="inlineStr">
        <is>
          <t xml:space="preserve">N0010422PLC04</t>
        </is>
      </c>
      <c r="C2501" s="0" t="inlineStr">
        <is>
          <t xml:space="preserve">small_craft</t>
        </is>
      </c>
      <c r="D2501" s="4">
        <v>0.6455995999999999</v>
      </c>
      <c r="E2501" s="0" t="inlineStr">
        <is>
          <t xml:space="preserve">ECI DEFENSE GROUP, INC.</t>
        </is>
      </c>
      <c r="F2501" s="0" t="inlineStr">
        <is>
          <t xml:space="preserve">naics:336612</t>
        </is>
      </c>
    </row>
    <row r="2502">
      <c r="B2502" s="0" t="inlineStr">
        <is>
          <t xml:space="preserve">N3220523F2339</t>
        </is>
      </c>
      <c r="C2502" s="0" t="inlineStr">
        <is>
          <t xml:space="preserve">broad_maritime</t>
        </is>
      </c>
      <c r="D2502" s="4">
        <v>0.64249417</v>
      </c>
      <c r="E2502" s="0" t="inlineStr">
        <is>
          <t xml:space="preserve">ROLLS-ROYCE SOLUTIONS AMERICA INC</t>
        </is>
      </c>
      <c r="F2502" s="0" t="inlineStr">
        <is>
          <t xml:space="preserve">psc:2090</t>
        </is>
      </c>
    </row>
    <row r="2503">
      <c r="B2503" s="0" t="inlineStr">
        <is>
          <t xml:space="preserve">N0010424PF008</t>
        </is>
      </c>
      <c r="C2503" s="0" t="inlineStr">
        <is>
          <t xml:space="preserve">small_craft</t>
        </is>
      </c>
      <c r="D2503" s="4">
        <v>0.642</v>
      </c>
      <c r="E2503" s="0" t="inlineStr">
        <is>
          <t xml:space="preserve">DEFENSE MARITIME SOLUTIONS, INC.</t>
        </is>
      </c>
      <c r="F2503" s="0" t="inlineStr">
        <is>
          <t xml:space="preserve">naics:336612</t>
        </is>
      </c>
    </row>
    <row r="2504">
      <c r="B2504" s="0" t="inlineStr">
        <is>
          <t xml:space="preserve">N0002421C2200</t>
        </is>
      </c>
      <c r="C2504" s="0" t="inlineStr">
        <is>
          <t xml:space="preserve">small_craft</t>
        </is>
      </c>
      <c r="D2504" s="4">
        <v>0.642</v>
      </c>
      <c r="E2504" s="0" t="inlineStr">
        <is>
          <t xml:space="preserve">THOMAS JENKINS</t>
        </is>
      </c>
      <c r="F2504" s="0" t="inlineStr">
        <is>
          <t xml:space="preserve">naics:336612; psc:1940</t>
        </is>
      </c>
    </row>
    <row r="2505">
      <c r="B2505" s="0" t="inlineStr">
        <is>
          <t xml:space="preserve">N5523625F0264</t>
        </is>
      </c>
      <c r="C2505" s="0" t="inlineStr">
        <is>
          <t xml:space="preserve">broad_maritime</t>
        </is>
      </c>
      <c r="D2505" s="4">
        <v>0.64119321</v>
      </c>
      <c r="E2505" s="0" t="inlineStr">
        <is>
          <t xml:space="preserve">PROFESSIONAL CONTRACT SERVICES, INC.</t>
        </is>
      </c>
      <c r="F2505" s="0" t="inlineStr">
        <is>
          <t xml:space="preserve">psc:2090</t>
        </is>
      </c>
    </row>
    <row r="2506">
      <c r="B2506" s="0" t="inlineStr">
        <is>
          <t xml:space="preserve">N0010425PF005</t>
        </is>
      </c>
      <c r="C2506" s="0" t="inlineStr">
        <is>
          <t xml:space="preserve">small_craft</t>
        </is>
      </c>
      <c r="D2506" s="4">
        <v>0.639351</v>
      </c>
      <c r="E2506" s="0" t="inlineStr">
        <is>
          <t xml:space="preserve">DEFENSE MARITIME SOLUTIONS, INC.</t>
        </is>
      </c>
      <c r="F2506" s="0" t="inlineStr">
        <is>
          <t xml:space="preserve">naics:336612</t>
        </is>
      </c>
    </row>
    <row r="2507">
      <c r="B2507" s="0" t="inlineStr">
        <is>
          <t xml:space="preserve">GA01</t>
        </is>
      </c>
      <c r="C2507" s="0" t="inlineStr">
        <is>
          <t xml:space="preserve">broad_maritime</t>
        </is>
      </c>
      <c r="D2507" s="4">
        <v>0.639204</v>
      </c>
      <c r="E2507" s="0" t="inlineStr">
        <is>
          <t xml:space="preserve">HUNTINGTON INGALLS INC</t>
        </is>
      </c>
      <c r="F2507" s="0" t="inlineStr">
        <is>
          <t xml:space="preserve">psc:1905</t>
        </is>
      </c>
    </row>
    <row r="2508">
      <c r="B2508" s="0" t="inlineStr">
        <is>
          <t xml:space="preserve">N6133122F0124</t>
        </is>
      </c>
      <c r="C2508" s="0" t="inlineStr">
        <is>
          <t xml:space="preserve">broad_maritime</t>
        </is>
      </c>
      <c r="D2508" s="4">
        <v>0.63721862</v>
      </c>
      <c r="E2508" s="0" t="inlineStr">
        <is>
          <t xml:space="preserve">ATLANTIC DIVING SUPPLY, INC.</t>
        </is>
      </c>
      <c r="F2508" s="0" t="inlineStr">
        <is>
          <t xml:space="preserve">psc:2090</t>
        </is>
      </c>
    </row>
    <row r="2509">
      <c r="B2509" s="0" t="inlineStr">
        <is>
          <t xml:space="preserve">N0002419F22F2</t>
        </is>
      </c>
      <c r="C2509" s="0" t="inlineStr">
        <is>
          <t xml:space="preserve">small_craft</t>
        </is>
      </c>
      <c r="D2509" s="4">
        <v>0.6364031800000001</v>
      </c>
      <c r="E2509" s="0" t="inlineStr">
        <is>
          <t xml:space="preserve">WORKSKIFF, INC.</t>
        </is>
      </c>
      <c r="F2509" s="0" t="inlineStr">
        <is>
          <t xml:space="preserve">naics:336612; psc:1940</t>
        </is>
      </c>
    </row>
    <row r="2510">
      <c r="B2510" s="0" t="inlineStr">
        <is>
          <t xml:space="preserve">FX03</t>
        </is>
      </c>
      <c r="C2510" s="0" t="inlineStr">
        <is>
          <t xml:space="preserve">broad_maritime</t>
        </is>
      </c>
      <c r="D2510" s="4">
        <v>0.6359526999999999</v>
      </c>
      <c r="E2510" s="0" t="inlineStr">
        <is>
          <t xml:space="preserve">HUNTINGTON INGALLS INC</t>
        </is>
      </c>
      <c r="F2510" s="0" t="inlineStr">
        <is>
          <t xml:space="preserve">psc:1905</t>
        </is>
      </c>
    </row>
    <row r="2511">
      <c r="B2511" s="0" t="inlineStr">
        <is>
          <t xml:space="preserve">N3220520P0091</t>
        </is>
      </c>
      <c r="C2511" s="0" t="inlineStr">
        <is>
          <t xml:space="preserve">broad_maritime</t>
        </is>
      </c>
      <c r="D2511" s="4">
        <v>0.63538688</v>
      </c>
      <c r="E2511" s="0" t="inlineStr">
        <is>
          <t xml:space="preserve">AUSTAL USA, LLC</t>
        </is>
      </c>
      <c r="F2511" s="0" t="inlineStr">
        <is>
          <t xml:space="preserve">psc:2090</t>
        </is>
      </c>
    </row>
    <row r="2512">
      <c r="B2512" s="0" t="inlineStr">
        <is>
          <t xml:space="preserve">N0010426PXA95</t>
        </is>
      </c>
      <c r="C2512" s="0" t="inlineStr">
        <is>
          <t xml:space="preserve">broad_maritime</t>
        </is>
      </c>
      <c r="D2512" s="4">
        <v>0.6353160999999999</v>
      </c>
      <c r="E2512" s="0" t="inlineStr">
        <is>
          <t xml:space="preserve">DRS NETWORK &amp; IMAGING SYSTEMS LLC</t>
        </is>
      </c>
      <c r="F2512" s="0" t="inlineStr">
        <is>
          <t xml:space="preserve">psc:2090</t>
        </is>
      </c>
    </row>
    <row r="2513">
      <c r="B2513" s="0" t="inlineStr">
        <is>
          <t xml:space="preserve">N6523622F0142</t>
        </is>
      </c>
      <c r="C2513" s="0" t="inlineStr">
        <is>
          <t xml:space="preserve">usv_core</t>
        </is>
      </c>
      <c r="D2513" s="4">
        <v>0.6348357299999999</v>
      </c>
      <c r="E2513" s="0" t="inlineStr">
        <is>
          <t xml:space="preserve">W R SYSTEMS LTD.</t>
        </is>
      </c>
      <c r="F2513" s="0" t="inlineStr">
        <is>
          <t xml:space="preserve">keyword</t>
        </is>
      </c>
    </row>
    <row r="2514">
      <c r="B2514" s="0" t="inlineStr">
        <is>
          <t xml:space="preserve">N0003922F1046</t>
        </is>
      </c>
      <c r="C2514" s="0" t="inlineStr">
        <is>
          <t xml:space="preserve">small_craft</t>
        </is>
      </c>
      <c r="D2514" s="4">
        <v>0.6347656999999999</v>
      </c>
      <c r="E2514" s="0" t="inlineStr">
        <is>
          <t xml:space="preserve">TELEDYNE BROWN ENGINEERING, INC.</t>
        </is>
      </c>
      <c r="F2514" s="0" t="inlineStr">
        <is>
          <t xml:space="preserve">psc:1940</t>
        </is>
      </c>
    </row>
    <row r="2515">
      <c r="B2515" s="0" t="inlineStr">
        <is>
          <t xml:space="preserve">N0003924F1017</t>
        </is>
      </c>
      <c r="C2515" s="0" t="inlineStr">
        <is>
          <t xml:space="preserve">small_craft</t>
        </is>
      </c>
      <c r="D2515" s="4">
        <v>0.63367608</v>
      </c>
      <c r="E2515" s="0" t="inlineStr">
        <is>
          <t xml:space="preserve">TELEDYNE BROWN ENGINEERING, INC.</t>
        </is>
      </c>
      <c r="F2515" s="0" t="inlineStr">
        <is>
          <t xml:space="preserve">psc:1940</t>
        </is>
      </c>
    </row>
    <row r="2516">
      <c r="B2516" s="0" t="inlineStr">
        <is>
          <t xml:space="preserve">N6133122F0051</t>
        </is>
      </c>
      <c r="C2516" s="0" t="inlineStr">
        <is>
          <t xml:space="preserve">broad_maritime</t>
        </is>
      </c>
      <c r="D2516" s="4">
        <v>0.631714</v>
      </c>
      <c r="E2516" s="0" t="inlineStr">
        <is>
          <t xml:space="preserve">HII UNMANNED SYSTEMS, INC</t>
        </is>
      </c>
      <c r="F2516" s="0" t="inlineStr">
        <is>
          <t xml:space="preserve">psc:2090</t>
        </is>
      </c>
    </row>
    <row r="2517">
      <c r="B2517" s="0" t="inlineStr">
        <is>
          <t xml:space="preserve">N0024417C0007</t>
        </is>
      </c>
      <c r="C2517" s="0" t="inlineStr">
        <is>
          <t xml:space="preserve">broad_maritime</t>
        </is>
      </c>
      <c r="D2517" s="4">
        <v>0.63</v>
      </c>
      <c r="E2517" s="0" t="inlineStr">
        <is>
          <t xml:space="preserve">GENERAL MARINE PRODUCTS, INC</t>
        </is>
      </c>
      <c r="F2517" s="0" t="inlineStr">
        <is>
          <t xml:space="preserve">psc:2090</t>
        </is>
      </c>
    </row>
    <row r="2518">
      <c r="B2518" s="0" t="inlineStr">
        <is>
          <t xml:space="preserve">N5523625F9970</t>
        </is>
      </c>
      <c r="C2518" s="0" t="inlineStr">
        <is>
          <t xml:space="preserve">broad_maritime</t>
        </is>
      </c>
      <c r="D2518" s="4">
        <v>0.6266888899999999</v>
      </c>
      <c r="E2518" s="0" t="inlineStr">
        <is>
          <t xml:space="preserve">HII FLEET SUPPORT GROUP LLC</t>
        </is>
      </c>
      <c r="F2518" s="0" t="inlineStr">
        <is>
          <t xml:space="preserve">psc:1905</t>
        </is>
      </c>
    </row>
    <row r="2519">
      <c r="B2519" s="0" t="inlineStr">
        <is>
          <t xml:space="preserve">N0002417C2225</t>
        </is>
      </c>
      <c r="C2519" s="0" t="inlineStr">
        <is>
          <t xml:space="preserve">small_craft</t>
        </is>
      </c>
      <c r="D2519" s="4">
        <v>0.62651942</v>
      </c>
      <c r="E2519" s="0" t="inlineStr">
        <is>
          <t xml:space="preserve">DEFENDER INDUSTRIES, INC.</t>
        </is>
      </c>
      <c r="F2519" s="0" t="inlineStr">
        <is>
          <t xml:space="preserve">naics:336612; psc:1940</t>
        </is>
      </c>
    </row>
    <row r="2520">
      <c r="B2520" s="0" t="inlineStr">
        <is>
          <t xml:space="preserve">N3220524P0020</t>
        </is>
      </c>
      <c r="C2520" s="0" t="inlineStr">
        <is>
          <t xml:space="preserve">broad_maritime</t>
        </is>
      </c>
      <c r="D2520" s="4">
        <v>0.62459452</v>
      </c>
      <c r="E2520" s="0" t="inlineStr">
        <is>
          <t xml:space="preserve">SCHOTTEL, INC.</t>
        </is>
      </c>
      <c r="F2520" s="0" t="inlineStr">
        <is>
          <t xml:space="preserve">psc:2090</t>
        </is>
      </c>
    </row>
    <row r="2521">
      <c r="B2521" s="0" t="inlineStr">
        <is>
          <t xml:space="preserve">N3220520F0341</t>
        </is>
      </c>
      <c r="C2521" s="0" t="inlineStr">
        <is>
          <t xml:space="preserve">broad_maritime</t>
        </is>
      </c>
      <c r="D2521" s="4">
        <v>0.6234299999999999</v>
      </c>
      <c r="E2521" s="0" t="inlineStr">
        <is>
          <t xml:space="preserve">CIRCOR NAVAL SOLUTIONS LLC</t>
        </is>
      </c>
      <c r="F2521" s="0" t="inlineStr">
        <is>
          <t xml:space="preserve">psc:2090</t>
        </is>
      </c>
    </row>
    <row r="2522">
      <c r="B2522" s="0" t="inlineStr">
        <is>
          <t xml:space="preserve">N0018922P0615</t>
        </is>
      </c>
      <c r="C2522" s="0" t="inlineStr">
        <is>
          <t xml:space="preserve">broad_maritime</t>
        </is>
      </c>
      <c r="D2522" s="4">
        <v>0.62334566</v>
      </c>
      <c r="E2522" s="0" t="inlineStr">
        <is>
          <t xml:space="preserve">JAL ENTERPRISES, INC.</t>
        </is>
      </c>
      <c r="F2522" s="0" t="inlineStr">
        <is>
          <t xml:space="preserve">psc:2090</t>
        </is>
      </c>
    </row>
    <row r="2523">
      <c r="B2523" s="0" t="inlineStr">
        <is>
          <t xml:space="preserve">N6133124F0097</t>
        </is>
      </c>
      <c r="C2523" s="0" t="inlineStr">
        <is>
          <t xml:space="preserve">broad_maritime</t>
        </is>
      </c>
      <c r="D2523" s="4">
        <v>0.62172175</v>
      </c>
      <c r="E2523" s="0" t="inlineStr">
        <is>
          <t xml:space="preserve">BOOZ ALLEN HAMILTON INC</t>
        </is>
      </c>
      <c r="F2523" s="0" t="inlineStr">
        <is>
          <t xml:space="preserve">psc:2090</t>
        </is>
      </c>
    </row>
    <row r="2524">
      <c r="B2524" s="0" t="inlineStr">
        <is>
          <t xml:space="preserve">N0003921F6009</t>
        </is>
      </c>
      <c r="C2524" s="0" t="inlineStr">
        <is>
          <t xml:space="preserve">other_small</t>
        </is>
      </c>
      <c r="D2524" s="4">
        <v>0.6209984399999999</v>
      </c>
      <c r="E2524" s="0" t="inlineStr">
        <is>
          <t xml:space="preserve">TELEDYNE BROWN ENGINEERING, INC.</t>
        </is>
      </c>
      <c r="F2524" s="0" t="inlineStr">
        <is>
          <t xml:space="preserve">psc:1925</t>
        </is>
      </c>
    </row>
    <row r="2525">
      <c r="B2525" s="0" t="inlineStr">
        <is>
          <t xml:space="preserve">0001</t>
        </is>
      </c>
      <c r="C2525" s="0" t="inlineStr">
        <is>
          <t xml:space="preserve">small_craft</t>
        </is>
      </c>
      <c r="D2525" s="4">
        <v>0.61737088</v>
      </c>
      <c r="E2525" s="0" t="inlineStr">
        <is>
          <t xml:space="preserve">WORKSKIFF, INC.</t>
        </is>
      </c>
      <c r="F2525" s="0" t="inlineStr">
        <is>
          <t xml:space="preserve">naics:336612; psc:1940</t>
        </is>
      </c>
    </row>
    <row r="2526">
      <c r="B2526" s="0" t="inlineStr">
        <is>
          <t xml:space="preserve">0002</t>
        </is>
      </c>
      <c r="C2526" s="0" t="inlineStr">
        <is>
          <t xml:space="preserve">small_craft</t>
        </is>
      </c>
      <c r="D2526" s="4">
        <v>0.6160108799999999</v>
      </c>
      <c r="E2526" s="0" t="inlineStr">
        <is>
          <t xml:space="preserve">THE MOLDING COMPANY, INC.</t>
        </is>
      </c>
      <c r="F2526" s="0" t="inlineStr">
        <is>
          <t xml:space="preserve">naics:336612</t>
        </is>
      </c>
    </row>
    <row r="2527">
      <c r="B2527" s="0" t="inlineStr">
        <is>
          <t xml:space="preserve">N6133118F0043</t>
        </is>
      </c>
      <c r="C2527" s="0" t="inlineStr">
        <is>
          <t xml:space="preserve">broad_maritime</t>
        </is>
      </c>
      <c r="D2527" s="4">
        <v>0.61531606</v>
      </c>
      <c r="E2527" s="0" t="inlineStr">
        <is>
          <t xml:space="preserve">ATLANTIC DIVING SUPPLY, INC.</t>
        </is>
      </c>
      <c r="F2527" s="0" t="inlineStr">
        <is>
          <t xml:space="preserve">psc:2090</t>
        </is>
      </c>
    </row>
    <row r="2528">
      <c r="B2528" s="0" t="inlineStr">
        <is>
          <t xml:space="preserve">N6133118F0063</t>
        </is>
      </c>
      <c r="C2528" s="0" t="inlineStr">
        <is>
          <t xml:space="preserve">broad_maritime</t>
        </is>
      </c>
      <c r="D2528" s="4">
        <v>0.6142389399999999</v>
      </c>
      <c r="E2528" s="0" t="inlineStr">
        <is>
          <t xml:space="preserve">ATLANTIC DIVING SUPPLY, INC.</t>
        </is>
      </c>
      <c r="F2528" s="0" t="inlineStr">
        <is>
          <t xml:space="preserve">psc:2090</t>
        </is>
      </c>
    </row>
    <row r="2529">
      <c r="B2529" s="0" t="inlineStr">
        <is>
          <t xml:space="preserve">N6133118F0057</t>
        </is>
      </c>
      <c r="C2529" s="0" t="inlineStr">
        <is>
          <t xml:space="preserve">broad_maritime</t>
        </is>
      </c>
      <c r="D2529" s="4">
        <v>0.61316118</v>
      </c>
      <c r="E2529" s="0" t="inlineStr">
        <is>
          <t xml:space="preserve">ATLANTIC DIVING SUPPLY, INC.</t>
        </is>
      </c>
      <c r="F2529" s="0" t="inlineStr">
        <is>
          <t xml:space="preserve">psc:2090</t>
        </is>
      </c>
    </row>
    <row r="2530">
      <c r="B2530" s="0" t="inlineStr">
        <is>
          <t xml:space="preserve">N0010425PF003</t>
        </is>
      </c>
      <c r="C2530" s="0" t="inlineStr">
        <is>
          <t xml:space="preserve">small_craft</t>
        </is>
      </c>
      <c r="D2530" s="4">
        <v>0.61277324</v>
      </c>
      <c r="E2530" s="0" t="inlineStr">
        <is>
          <t xml:space="preserve">DEFENSE MARITIME SOLUTIONS, INC.</t>
        </is>
      </c>
      <c r="F2530" s="0" t="inlineStr">
        <is>
          <t xml:space="preserve">naics:336612</t>
        </is>
      </c>
    </row>
    <row r="2531">
      <c r="B2531" s="0" t="inlineStr">
        <is>
          <t xml:space="preserve">N6449818F4005</t>
        </is>
      </c>
      <c r="C2531" s="0" t="inlineStr">
        <is>
          <t xml:space="preserve">broad_maritime</t>
        </is>
      </c>
      <c r="D2531" s="4">
        <v>0.612</v>
      </c>
      <c r="E2531" s="0" t="inlineStr">
        <is>
          <t xml:space="preserve">FLIGHTFAB, INC.</t>
        </is>
      </c>
      <c r="F2531" s="0" t="inlineStr">
        <is>
          <t xml:space="preserve">psc:2090</t>
        </is>
      </c>
    </row>
    <row r="2532">
      <c r="B2532" s="0" t="inlineStr">
        <is>
          <t xml:space="preserve">N0010425PJB97</t>
        </is>
      </c>
      <c r="C2532" s="0" t="inlineStr">
        <is>
          <t xml:space="preserve">small_craft</t>
        </is>
      </c>
      <c r="D2532" s="4">
        <v>0.60782956</v>
      </c>
      <c r="E2532" s="0" t="inlineStr">
        <is>
          <t xml:space="preserve">DEFENSE MARITIME SOLUTIONS, INC.</t>
        </is>
      </c>
      <c r="F2532" s="0" t="inlineStr">
        <is>
          <t xml:space="preserve">naics:336612</t>
        </is>
      </c>
    </row>
    <row r="2533">
      <c r="B2533" s="0" t="inlineStr">
        <is>
          <t xml:space="preserve">0007</t>
        </is>
      </c>
      <c r="C2533" s="0" t="inlineStr">
        <is>
          <t xml:space="preserve">broad_maritime</t>
        </is>
      </c>
      <c r="D2533" s="4">
        <v>0.6057815</v>
      </c>
      <c r="E2533" s="0" t="inlineStr">
        <is>
          <t xml:space="preserve">LAUREL TECHNOLOGIES PARTNERSHIP</t>
        </is>
      </c>
      <c r="F2533" s="0" t="inlineStr">
        <is>
          <t xml:space="preserve">psc:2090</t>
        </is>
      </c>
    </row>
    <row r="2534">
      <c r="B2534" s="0" t="inlineStr">
        <is>
          <t xml:space="preserve">N5523624F9982</t>
        </is>
      </c>
      <c r="C2534" s="0" t="inlineStr">
        <is>
          <t xml:space="preserve">broad_maritime</t>
        </is>
      </c>
      <c r="D2534" s="4">
        <v>0.604206</v>
      </c>
      <c r="E2534" s="0" t="inlineStr">
        <is>
          <t xml:space="preserve">HII FLEET SUPPORT GROUP LLC</t>
        </is>
      </c>
      <c r="F2534" s="0" t="inlineStr">
        <is>
          <t xml:space="preserve">psc:1905</t>
        </is>
      </c>
    </row>
    <row r="2535">
      <c r="B2535" s="0" t="inlineStr">
        <is>
          <t xml:space="preserve">N6279325F7513</t>
        </is>
      </c>
      <c r="C2535" s="0" t="inlineStr">
        <is>
          <t xml:space="preserve">broad_maritime</t>
        </is>
      </c>
      <c r="D2535" s="4">
        <v>0.6028179399999999</v>
      </c>
      <c r="E2535" s="0" t="inlineStr">
        <is>
          <t xml:space="preserve">HII FLEET SUPPORT GROUP LLC</t>
        </is>
      </c>
      <c r="F2535" s="0" t="inlineStr">
        <is>
          <t xml:space="preserve">psc:1905</t>
        </is>
      </c>
    </row>
    <row r="2536">
      <c r="B2536" s="0" t="inlineStr">
        <is>
          <t xml:space="preserve">N3220520P2350</t>
        </is>
      </c>
      <c r="C2536" s="0" t="inlineStr">
        <is>
          <t xml:space="preserve">broad_maritime</t>
        </is>
      </c>
      <c r="D2536" s="4">
        <v>0.599004</v>
      </c>
      <c r="E2536" s="0" t="inlineStr">
        <is>
          <t xml:space="preserve">AMERICAN VULKAN CORPORATION</t>
        </is>
      </c>
      <c r="F2536" s="0" t="inlineStr">
        <is>
          <t xml:space="preserve">psc:2090</t>
        </is>
      </c>
    </row>
    <row r="2537">
      <c r="B2537" s="0" t="inlineStr">
        <is>
          <t xml:space="preserve">N6660425FC849</t>
        </is>
      </c>
      <c r="C2537" s="0" t="inlineStr">
        <is>
          <t xml:space="preserve">small_craft</t>
        </is>
      </c>
      <c r="D2537" s="4">
        <v>0.599</v>
      </c>
      <c r="E2537" s="0" t="inlineStr">
        <is>
          <t xml:space="preserve">LOCKHEED MARTIN CORPORATION</t>
        </is>
      </c>
      <c r="F2537" s="0" t="inlineStr">
        <is>
          <t xml:space="preserve">psc:1940</t>
        </is>
      </c>
    </row>
    <row r="2538">
      <c r="B2538" s="0" t="inlineStr">
        <is>
          <t xml:space="preserve">N0010423PDD61</t>
        </is>
      </c>
      <c r="C2538" s="0" t="inlineStr">
        <is>
          <t xml:space="preserve">broad_maritime</t>
        </is>
      </c>
      <c r="D2538" s="4">
        <v>0.59829356</v>
      </c>
      <c r="E2538" s="0" t="inlineStr">
        <is>
          <t xml:space="preserve">JERED LLC</t>
        </is>
      </c>
      <c r="F2538" s="0" t="inlineStr">
        <is>
          <t xml:space="preserve">psc:2090</t>
        </is>
      </c>
    </row>
    <row r="2539">
      <c r="B2539" s="0" t="inlineStr">
        <is>
          <t xml:space="preserve">N3220521P2087</t>
        </is>
      </c>
      <c r="C2539" s="0" t="inlineStr">
        <is>
          <t xml:space="preserve">broad_maritime</t>
        </is>
      </c>
      <c r="D2539" s="4">
        <v>0.597704</v>
      </c>
      <c r="E2539" s="0" t="inlineStr">
        <is>
          <t xml:space="preserve">AMERICAN VULKAN CORPORATION</t>
        </is>
      </c>
      <c r="F2539" s="0" t="inlineStr">
        <is>
          <t xml:space="preserve">psc:2090</t>
        </is>
      </c>
    </row>
    <row r="2540">
      <c r="B2540" s="0" t="inlineStr">
        <is>
          <t xml:space="preserve">N3220521P2662</t>
        </is>
      </c>
      <c r="C2540" s="0" t="inlineStr">
        <is>
          <t xml:space="preserve">broad_maritime</t>
        </is>
      </c>
      <c r="D2540" s="4">
        <v>0.595704</v>
      </c>
      <c r="E2540" s="0" t="inlineStr">
        <is>
          <t xml:space="preserve">AMERICAN VULKAN CORPORATION</t>
        </is>
      </c>
      <c r="F2540" s="0" t="inlineStr">
        <is>
          <t xml:space="preserve">psc:2090</t>
        </is>
      </c>
    </row>
    <row r="2541">
      <c r="B2541" s="0" t="inlineStr">
        <is>
          <t xml:space="preserve">N3220521P2025</t>
        </is>
      </c>
      <c r="C2541" s="0" t="inlineStr">
        <is>
          <t xml:space="preserve">broad_maritime</t>
        </is>
      </c>
      <c r="D2541" s="4">
        <v>0.595704</v>
      </c>
      <c r="E2541" s="0" t="inlineStr">
        <is>
          <t xml:space="preserve">AMERICAN VULKAN CORPORATION</t>
        </is>
      </c>
      <c r="F2541" s="0" t="inlineStr">
        <is>
          <t xml:space="preserve">psc:2090</t>
        </is>
      </c>
    </row>
    <row r="2542">
      <c r="B2542" s="0" t="inlineStr">
        <is>
          <t xml:space="preserve">N3220519P4514</t>
        </is>
      </c>
      <c r="C2542" s="0" t="inlineStr">
        <is>
          <t xml:space="preserve">broad_maritime</t>
        </is>
      </c>
      <c r="D2542" s="4">
        <v>0.595704</v>
      </c>
      <c r="E2542" s="0" t="inlineStr">
        <is>
          <t xml:space="preserve">AMERICAN VULKAN CORPORATION</t>
        </is>
      </c>
      <c r="F2542" s="0" t="inlineStr">
        <is>
          <t xml:space="preserve">psc:2090</t>
        </is>
      </c>
    </row>
    <row r="2543">
      <c r="B2543" s="0" t="inlineStr">
        <is>
          <t xml:space="preserve">N0010425PYC05</t>
        </is>
      </c>
      <c r="C2543" s="0" t="inlineStr">
        <is>
          <t xml:space="preserve">broad_maritime</t>
        </is>
      </c>
      <c r="D2543" s="4">
        <v>0.595625</v>
      </c>
      <c r="E2543" s="0" t="inlineStr">
        <is>
          <t xml:space="preserve">GOODRICH CORPORATION</t>
        </is>
      </c>
      <c r="F2543" s="0" t="inlineStr">
        <is>
          <t xml:space="preserve">psc:2090</t>
        </is>
      </c>
    </row>
    <row r="2544">
      <c r="B2544" s="0" t="inlineStr">
        <is>
          <t xml:space="preserve">N0010423PZB37</t>
        </is>
      </c>
      <c r="C2544" s="0" t="inlineStr">
        <is>
          <t xml:space="preserve">small_craft</t>
        </is>
      </c>
      <c r="D2544" s="4">
        <v>0.592128</v>
      </c>
      <c r="E2544" s="0" t="inlineStr">
        <is>
          <t xml:space="preserve">GK MECHANICAL SYSTEMS LLC</t>
        </is>
      </c>
      <c r="F2544" s="0" t="inlineStr">
        <is>
          <t xml:space="preserve">naics:336612</t>
        </is>
      </c>
    </row>
    <row r="2545">
      <c r="B2545" s="0" t="inlineStr">
        <is>
          <t xml:space="preserve">N0010416CFA60</t>
        </is>
      </c>
      <c r="C2545" s="0" t="inlineStr">
        <is>
          <t xml:space="preserve">small_craft</t>
        </is>
      </c>
      <c r="D2545" s="4">
        <v>0.59</v>
      </c>
      <c r="E2545" s="0" t="inlineStr">
        <is>
          <t xml:space="preserve">MENDENHALL TECHNICAL SERVICES, INC.</t>
        </is>
      </c>
      <c r="F2545" s="0" t="inlineStr">
        <is>
          <t xml:space="preserve">naics:336612</t>
        </is>
      </c>
    </row>
    <row r="2546">
      <c r="B2546" s="0" t="inlineStr">
        <is>
          <t xml:space="preserve">N6449818F4127</t>
        </is>
      </c>
      <c r="C2546" s="0" t="inlineStr">
        <is>
          <t xml:space="preserve">broad_maritime</t>
        </is>
      </c>
      <c r="D2546" s="4">
        <v>0.58891279</v>
      </c>
      <c r="E2546" s="0" t="inlineStr">
        <is>
          <t xml:space="preserve">NAG, LLC</t>
        </is>
      </c>
      <c r="F2546" s="0" t="inlineStr">
        <is>
          <t xml:space="preserve">psc:2090</t>
        </is>
      </c>
    </row>
    <row r="2547">
      <c r="B2547" s="0" t="inlineStr">
        <is>
          <t xml:space="preserve">N6133124F0124</t>
        </is>
      </c>
      <c r="C2547" s="0" t="inlineStr">
        <is>
          <t xml:space="preserve">broad_maritime</t>
        </is>
      </c>
      <c r="D2547" s="4">
        <v>0.58567</v>
      </c>
      <c r="E2547" s="0" t="inlineStr">
        <is>
          <t xml:space="preserve">ATLANTIC DIVING SUPPLY, INC.</t>
        </is>
      </c>
      <c r="F2547" s="0" t="inlineStr">
        <is>
          <t xml:space="preserve">psc:2090</t>
        </is>
      </c>
    </row>
    <row r="2548">
      <c r="B2548" s="0" t="inlineStr">
        <is>
          <t xml:space="preserve">N6133119F0105</t>
        </is>
      </c>
      <c r="C2548" s="0" t="inlineStr">
        <is>
          <t xml:space="preserve">broad_maritime</t>
        </is>
      </c>
      <c r="D2548" s="4">
        <v>0.58457028</v>
      </c>
      <c r="E2548" s="0" t="inlineStr">
        <is>
          <t xml:space="preserve">ATLANTIC DIVING SUPPLY, INC.</t>
        </is>
      </c>
      <c r="F2548" s="0" t="inlineStr">
        <is>
          <t xml:space="preserve">psc:2090</t>
        </is>
      </c>
    </row>
    <row r="2549">
      <c r="B2549" s="0" t="inlineStr">
        <is>
          <t xml:space="preserve">N0003918F1380</t>
        </is>
      </c>
      <c r="C2549" s="0" t="inlineStr">
        <is>
          <t xml:space="preserve">broad_maritime</t>
        </is>
      </c>
      <c r="D2549" s="4">
        <v>0.58304165</v>
      </c>
      <c r="E2549" s="0" t="inlineStr">
        <is>
          <t xml:space="preserve">LOCKHEED MARTIN CORPORATION</t>
        </is>
      </c>
      <c r="F2549" s="0" t="inlineStr">
        <is>
          <t xml:space="preserve">psc:2090</t>
        </is>
      </c>
    </row>
    <row r="2550">
      <c r="B2550" s="0" t="inlineStr">
        <is>
          <t xml:space="preserve">N3220515P3515</t>
        </is>
      </c>
      <c r="C2550" s="0" t="inlineStr">
        <is>
          <t xml:space="preserve">broad_maritime</t>
        </is>
      </c>
      <c r="D2550" s="4">
        <v>0.5823326099999999</v>
      </c>
      <c r="E2550" s="0" t="inlineStr">
        <is>
          <t xml:space="preserve">IMECO INC</t>
        </is>
      </c>
      <c r="F2550" s="0" t="inlineStr">
        <is>
          <t xml:space="preserve">psc:2090</t>
        </is>
      </c>
    </row>
    <row r="2551">
      <c r="B2551" s="0" t="inlineStr">
        <is>
          <t xml:space="preserve">N0010422PK044</t>
        </is>
      </c>
      <c r="C2551" s="0" t="inlineStr">
        <is>
          <t xml:space="preserve">broad_maritime</t>
        </is>
      </c>
      <c r="D2551" s="4">
        <v>0.5805385</v>
      </c>
      <c r="E2551" s="0" t="inlineStr">
        <is>
          <t xml:space="preserve">BRODERSON MANUFACTURING CORP</t>
        </is>
      </c>
      <c r="F2551" s="0" t="inlineStr">
        <is>
          <t xml:space="preserve">psc:2090</t>
        </is>
      </c>
    </row>
    <row r="2552">
      <c r="B2552" s="0" t="inlineStr">
        <is>
          <t xml:space="preserve">0006</t>
        </is>
      </c>
      <c r="C2552" s="0" t="inlineStr">
        <is>
          <t xml:space="preserve">broad_maritime</t>
        </is>
      </c>
      <c r="D2552" s="4">
        <v>0.57952951</v>
      </c>
      <c r="E2552" s="0" t="inlineStr">
        <is>
          <t xml:space="preserve">LEIDOS, INC.</t>
        </is>
      </c>
      <c r="F2552" s="0" t="inlineStr">
        <is>
          <t xml:space="preserve">psc:2090</t>
        </is>
      </c>
    </row>
    <row r="2553">
      <c r="B2553" s="0" t="inlineStr">
        <is>
          <t xml:space="preserve">N5523623F9999</t>
        </is>
      </c>
      <c r="C2553" s="0" t="inlineStr">
        <is>
          <t xml:space="preserve">broad_maritime</t>
        </is>
      </c>
      <c r="D2553" s="4">
        <v>0.579162</v>
      </c>
      <c r="E2553" s="0" t="inlineStr">
        <is>
          <t xml:space="preserve">HII FLEET SUPPORT GROUP LLC</t>
        </is>
      </c>
      <c r="F2553" s="0" t="inlineStr">
        <is>
          <t xml:space="preserve">psc:1905</t>
        </is>
      </c>
    </row>
    <row r="2554">
      <c r="B2554" s="0" t="inlineStr">
        <is>
          <t xml:space="preserve">N0010424CBA42</t>
        </is>
      </c>
      <c r="C2554" s="0" t="inlineStr">
        <is>
          <t xml:space="preserve">small_craft</t>
        </is>
      </c>
      <c r="D2554" s="4">
        <v>0.576166</v>
      </c>
      <c r="E2554" s="0" t="inlineStr">
        <is>
          <t xml:space="preserve">NATSTAR DEFENSE INC</t>
        </is>
      </c>
      <c r="F2554" s="0" t="inlineStr">
        <is>
          <t xml:space="preserve">naics:336612</t>
        </is>
      </c>
    </row>
    <row r="2555">
      <c r="B2555" s="0" t="inlineStr">
        <is>
          <t xml:space="preserve">N4044210C3000</t>
        </is>
      </c>
      <c r="C2555" s="0" t="inlineStr">
        <is>
          <t xml:space="preserve">broad_maritime</t>
        </is>
      </c>
      <c r="D2555" s="4">
        <v>0.57615347</v>
      </c>
      <c r="E2555" s="0" t="inlineStr">
        <is>
          <t xml:space="preserve">US JOINER LLC</t>
        </is>
      </c>
      <c r="F2555" s="0" t="inlineStr">
        <is>
          <t xml:space="preserve">psc:2090</t>
        </is>
      </c>
    </row>
    <row r="2556">
      <c r="B2556" s="0" t="inlineStr">
        <is>
          <t xml:space="preserve">N6133117F0152</t>
        </is>
      </c>
      <c r="C2556" s="0" t="inlineStr">
        <is>
          <t xml:space="preserve">broad_maritime</t>
        </is>
      </c>
      <c r="D2556" s="4">
        <v>0.5761149999999999</v>
      </c>
      <c r="E2556" s="0" t="inlineStr">
        <is>
          <t xml:space="preserve">ATLANTIC DIVING SUPPLY, INC.</t>
        </is>
      </c>
      <c r="F2556" s="0" t="inlineStr">
        <is>
          <t xml:space="preserve">psc:2090</t>
        </is>
      </c>
    </row>
    <row r="2557">
      <c r="B2557" s="0" t="inlineStr">
        <is>
          <t xml:space="preserve">N3220518P4067</t>
        </is>
      </c>
      <c r="C2557" s="0" t="inlineStr">
        <is>
          <t xml:space="preserve">broad_maritime</t>
        </is>
      </c>
      <c r="D2557" s="4">
        <v>0.574794</v>
      </c>
      <c r="E2557" s="0" t="inlineStr">
        <is>
          <t xml:space="preserve">AMERICAN VULKAN CORPORATION</t>
        </is>
      </c>
      <c r="F2557" s="0" t="inlineStr">
        <is>
          <t xml:space="preserve">psc:2090</t>
        </is>
      </c>
    </row>
    <row r="2558">
      <c r="B2558" s="0" t="inlineStr">
        <is>
          <t xml:space="preserve">N3220520P4029</t>
        </is>
      </c>
      <c r="C2558" s="0" t="inlineStr">
        <is>
          <t xml:space="preserve">broad_maritime</t>
        </is>
      </c>
      <c r="D2558" s="4">
        <v>0.571462</v>
      </c>
      <c r="E2558" s="0" t="inlineStr">
        <is>
          <t xml:space="preserve">APPLETON MARINE INC</t>
        </is>
      </c>
      <c r="F2558" s="0" t="inlineStr">
        <is>
          <t xml:space="preserve">psc:2090</t>
        </is>
      </c>
    </row>
    <row r="2559">
      <c r="B2559" s="0" t="inlineStr">
        <is>
          <t xml:space="preserve">N5523617C0015</t>
        </is>
      </c>
      <c r="C2559" s="0" t="inlineStr">
        <is>
          <t xml:space="preserve">broad_maritime</t>
        </is>
      </c>
      <c r="D2559" s="4">
        <v>0.57058076</v>
      </c>
      <c r="E2559" s="0" t="inlineStr">
        <is>
          <t xml:space="preserve">GEISLINGER CORPORATION</t>
        </is>
      </c>
      <c r="F2559" s="0" t="inlineStr">
        <is>
          <t xml:space="preserve">psc:1905</t>
        </is>
      </c>
    </row>
    <row r="2560">
      <c r="B2560" s="0" t="inlineStr">
        <is>
          <t xml:space="preserve">N0010423PCC42</t>
        </is>
      </c>
      <c r="C2560" s="0" t="inlineStr">
        <is>
          <t xml:space="preserve">small_craft</t>
        </is>
      </c>
      <c r="D2560" s="4">
        <v>0.569184</v>
      </c>
      <c r="E2560" s="0" t="inlineStr">
        <is>
          <t xml:space="preserve">CURTISS-WRIGHT ELECTRO-MECHANICAL CORP</t>
        </is>
      </c>
      <c r="F2560" s="0" t="inlineStr">
        <is>
          <t xml:space="preserve">naics:336612</t>
        </is>
      </c>
    </row>
    <row r="2561">
      <c r="B2561" s="0" t="inlineStr">
        <is>
          <t xml:space="preserve">N6817124F0077</t>
        </is>
      </c>
      <c r="C2561" s="0" t="inlineStr">
        <is>
          <t xml:space="preserve">broad_maritime</t>
        </is>
      </c>
      <c r="D2561" s="4">
        <v>0.5679053599999999</v>
      </c>
      <c r="E2561" s="0" t="inlineStr">
        <is>
          <t xml:space="preserve">FINCANTIERI MARINE SYSTEMS NORTH AMERICA, INC.</t>
        </is>
      </c>
      <c r="F2561" s="0" t="inlineStr">
        <is>
          <t xml:space="preserve">psc:2090</t>
        </is>
      </c>
    </row>
    <row r="2562">
      <c r="B2562" s="0" t="inlineStr">
        <is>
          <t xml:space="preserve">N6660420F8276</t>
        </is>
      </c>
      <c r="C2562" s="0" t="inlineStr">
        <is>
          <t xml:space="preserve">broad_maritime</t>
        </is>
      </c>
      <c r="D2562" s="4">
        <v>0.566489</v>
      </c>
      <c r="E2562" s="0" t="inlineStr">
        <is>
          <t xml:space="preserve">LOCKHEED MARTIN SIPPICAN, INC.</t>
        </is>
      </c>
      <c r="F2562" s="0" t="inlineStr">
        <is>
          <t xml:space="preserve">psc:2090</t>
        </is>
      </c>
    </row>
    <row r="2563">
      <c r="B2563" s="0" t="inlineStr">
        <is>
          <t xml:space="preserve">N0002419F22F3</t>
        </is>
      </c>
      <c r="C2563" s="0" t="inlineStr">
        <is>
          <t xml:space="preserve">small_craft</t>
        </is>
      </c>
      <c r="D2563" s="4">
        <v>0.56498066</v>
      </c>
      <c r="E2563" s="0" t="inlineStr">
        <is>
          <t xml:space="preserve">WORKSKIFF, INC.</t>
        </is>
      </c>
      <c r="F2563" s="0" t="inlineStr">
        <is>
          <t xml:space="preserve">naics:336612; psc:1940</t>
        </is>
      </c>
    </row>
    <row r="2564">
      <c r="B2564" s="0" t="inlineStr">
        <is>
          <t xml:space="preserve">N0010420PFB61</t>
        </is>
      </c>
      <c r="C2564" s="0" t="inlineStr">
        <is>
          <t xml:space="preserve">small_craft</t>
        </is>
      </c>
      <c r="D2564" s="4">
        <v>0.564916</v>
      </c>
      <c r="E2564" s="0" t="inlineStr">
        <is>
          <t xml:space="preserve">CEPEDA ASSOCIATES, INC.</t>
        </is>
      </c>
      <c r="F2564" s="0" t="inlineStr">
        <is>
          <t xml:space="preserve">naics:336612</t>
        </is>
      </c>
    </row>
    <row r="2565">
      <c r="B2565" s="0" t="inlineStr">
        <is>
          <t xml:space="preserve">N5523622F9996</t>
        </is>
      </c>
      <c r="C2565" s="0" t="inlineStr">
        <is>
          <t xml:space="preserve">broad_maritime</t>
        </is>
      </c>
      <c r="D2565" s="4">
        <v>0.563898</v>
      </c>
      <c r="E2565" s="0" t="inlineStr">
        <is>
          <t xml:space="preserve">HII FLEET SUPPORT GROUP LLC</t>
        </is>
      </c>
      <c r="F2565" s="0" t="inlineStr">
        <is>
          <t xml:space="preserve">psc:1905</t>
        </is>
      </c>
    </row>
    <row r="2566">
      <c r="B2566" s="0" t="inlineStr">
        <is>
          <t xml:space="preserve">N0040625FS121</t>
        </is>
      </c>
      <c r="C2566" s="0" t="inlineStr">
        <is>
          <t xml:space="preserve">broad_maritime</t>
        </is>
      </c>
      <c r="D2566" s="4">
        <v>0.5633013</v>
      </c>
      <c r="E2566" s="0" t="inlineStr">
        <is>
          <t xml:space="preserve">EVERLLENCE MIDDLE EAST AND AFRICA L.L.C</t>
        </is>
      </c>
      <c r="F2566" s="0" t="inlineStr">
        <is>
          <t xml:space="preserve">psc:2090</t>
        </is>
      </c>
    </row>
    <row r="2567">
      <c r="B2567" s="0" t="inlineStr">
        <is>
          <t xml:space="preserve">N3220516P4018</t>
        </is>
      </c>
      <c r="C2567" s="0" t="inlineStr">
        <is>
          <t xml:space="preserve">broad_maritime</t>
        </is>
      </c>
      <c r="D2567" s="4">
        <v>0.5621615999999999</v>
      </c>
      <c r="E2567" s="0" t="inlineStr">
        <is>
          <t xml:space="preserve">DEFENSE MARITIME SOLUTIONS, INC.</t>
        </is>
      </c>
      <c r="F2567" s="0" t="inlineStr">
        <is>
          <t xml:space="preserve">psc:2090</t>
        </is>
      </c>
    </row>
    <row r="2568">
      <c r="B2568" s="0" t="inlineStr">
        <is>
          <t xml:space="preserve">L805</t>
        </is>
      </c>
      <c r="C2568" s="0" t="inlineStr">
        <is>
          <t xml:space="preserve">broad_maritime</t>
        </is>
      </c>
      <c r="D2568" s="4">
        <v>0.5612779999999999</v>
      </c>
      <c r="E2568" s="0" t="inlineStr">
        <is>
          <t xml:space="preserve">ELECTRIC BOAT CORPORATION</t>
        </is>
      </c>
      <c r="F2568" s="0" t="inlineStr">
        <is>
          <t xml:space="preserve">psc:1905</t>
        </is>
      </c>
    </row>
    <row r="2569">
      <c r="B2569" s="0" t="inlineStr">
        <is>
          <t xml:space="preserve">N0016421FG038</t>
        </is>
      </c>
      <c r="C2569" s="0" t="inlineStr">
        <is>
          <t xml:space="preserve">broad_maritime</t>
        </is>
      </c>
      <c r="D2569" s="4">
        <v>0.5603311</v>
      </c>
      <c r="E2569" s="0" t="inlineStr">
        <is>
          <t xml:space="preserve">J &amp; N METAL PRODUCTS, LLC</t>
        </is>
      </c>
      <c r="F2569" s="0" t="inlineStr">
        <is>
          <t xml:space="preserve">psc:1905</t>
        </is>
      </c>
    </row>
    <row r="2570">
      <c r="B2570" s="0" t="inlineStr">
        <is>
          <t xml:space="preserve">N6449822F5068</t>
        </is>
      </c>
      <c r="C2570" s="0" t="inlineStr">
        <is>
          <t xml:space="preserve">broad_maritime</t>
        </is>
      </c>
      <c r="D2570" s="4">
        <v>0.5596314</v>
      </c>
      <c r="E2570" s="0" t="inlineStr">
        <is>
          <t xml:space="preserve">NAG, LLC</t>
        </is>
      </c>
      <c r="F2570" s="0" t="inlineStr">
        <is>
          <t xml:space="preserve">psc:2090</t>
        </is>
      </c>
    </row>
    <row r="2571">
      <c r="B2571" s="0" t="inlineStr">
        <is>
          <t xml:space="preserve">N3220515P3604</t>
        </is>
      </c>
      <c r="C2571" s="0" t="inlineStr">
        <is>
          <t xml:space="preserve">broad_maritime</t>
        </is>
      </c>
      <c r="D2571" s="4">
        <v>0.5594714399999999</v>
      </c>
      <c r="E2571" s="0" t="inlineStr">
        <is>
          <t xml:space="preserve">COLTEC INDUSTRIES INC.</t>
        </is>
      </c>
      <c r="F2571" s="0" t="inlineStr">
        <is>
          <t xml:space="preserve">psc:2090</t>
        </is>
      </c>
    </row>
    <row r="2572">
      <c r="B2572" s="0" t="inlineStr">
        <is>
          <t xml:space="preserve">N6600125F0657</t>
        </is>
      </c>
      <c r="C2572" s="0" t="inlineStr">
        <is>
          <t xml:space="preserve">usv_core</t>
        </is>
      </c>
      <c r="D2572" s="4">
        <v>0.5562054</v>
      </c>
      <c r="E2572" s="0" t="inlineStr">
        <is>
          <t xml:space="preserve">SYSTEMS TECHNOLOGY FORUM, LTD.</t>
        </is>
      </c>
      <c r="F2572" s="0" t="inlineStr">
        <is>
          <t xml:space="preserve">keyword</t>
        </is>
      </c>
    </row>
    <row r="2573">
      <c r="B2573" s="0" t="inlineStr">
        <is>
          <t xml:space="preserve">N3220518P4060</t>
        </is>
      </c>
      <c r="C2573" s="0" t="inlineStr">
        <is>
          <t xml:space="preserve">broad_maritime</t>
        </is>
      </c>
      <c r="D2573" s="4">
        <v>0.5559995999999999</v>
      </c>
      <c r="E2573" s="0" t="inlineStr">
        <is>
          <t xml:space="preserve">MOTOR-SERVICES HUGO STAMP, INC</t>
        </is>
      </c>
      <c r="F2573" s="0" t="inlineStr">
        <is>
          <t xml:space="preserve">psc:2090</t>
        </is>
      </c>
    </row>
    <row r="2574">
      <c r="B2574" s="0" t="inlineStr">
        <is>
          <t xml:space="preserve">N5005423P0101</t>
        </is>
      </c>
      <c r="C2574" s="0" t="inlineStr">
        <is>
          <t xml:space="preserve">broad_maritime</t>
        </is>
      </c>
      <c r="D2574" s="4">
        <v>0.5553899999999999</v>
      </c>
      <c r="E2574" s="0" t="inlineStr">
        <is>
          <t xml:space="preserve">KAMPI COMPONENTS CO INC</t>
        </is>
      </c>
      <c r="F2574" s="0" t="inlineStr">
        <is>
          <t xml:space="preserve">psc:2090</t>
        </is>
      </c>
    </row>
    <row r="2575">
      <c r="B2575" s="0" t="inlineStr">
        <is>
          <t xml:space="preserve">0020</t>
        </is>
      </c>
      <c r="C2575" s="0" t="inlineStr">
        <is>
          <t xml:space="preserve">broad_maritime</t>
        </is>
      </c>
      <c r="D2575" s="4">
        <v>0.5543199999999999</v>
      </c>
      <c r="E2575" s="0" t="inlineStr">
        <is>
          <t xml:space="preserve">ELECTRIC BOAT CORPORATION</t>
        </is>
      </c>
      <c r="F2575" s="0" t="inlineStr">
        <is>
          <t xml:space="preserve">psc:1905</t>
        </is>
      </c>
    </row>
    <row r="2576">
      <c r="B2576" s="0" t="inlineStr">
        <is>
          <t xml:space="preserve">N0018920P0576</t>
        </is>
      </c>
      <c r="C2576" s="0" t="inlineStr">
        <is>
          <t xml:space="preserve">broad_maritime</t>
        </is>
      </c>
      <c r="D2576" s="4">
        <v>0.5534256</v>
      </c>
      <c r="E2576" s="0" t="inlineStr">
        <is>
          <t xml:space="preserve">ALDEVRA LLC</t>
        </is>
      </c>
      <c r="F2576" s="0" t="inlineStr">
        <is>
          <t xml:space="preserve">psc:2090</t>
        </is>
      </c>
    </row>
    <row r="2577">
      <c r="B2577" s="0" t="inlineStr">
        <is>
          <t xml:space="preserve">N0003923F1023</t>
        </is>
      </c>
      <c r="C2577" s="0" t="inlineStr">
        <is>
          <t xml:space="preserve">small_craft</t>
        </is>
      </c>
      <c r="D2577" s="4">
        <v>0.5532511</v>
      </c>
      <c r="E2577" s="0" t="inlineStr">
        <is>
          <t xml:space="preserve">TELEDYNE BROWN ENGINEERING, INC.</t>
        </is>
      </c>
      <c r="F2577" s="0" t="inlineStr">
        <is>
          <t xml:space="preserve">psc:1940</t>
        </is>
      </c>
    </row>
    <row r="2578">
      <c r="B2578" s="0" t="inlineStr">
        <is>
          <t xml:space="preserve">N0016420FG016</t>
        </is>
      </c>
      <c r="C2578" s="0" t="inlineStr">
        <is>
          <t xml:space="preserve">broad_maritime</t>
        </is>
      </c>
      <c r="D2578" s="4">
        <v>0.5509972</v>
      </c>
      <c r="E2578" s="0" t="inlineStr">
        <is>
          <t xml:space="preserve">J &amp; N METAL PRODUCTS, LLC</t>
        </is>
      </c>
      <c r="F2578" s="0" t="inlineStr">
        <is>
          <t xml:space="preserve">psc:1905</t>
        </is>
      </c>
    </row>
    <row r="2579">
      <c r="B2579" s="0" t="inlineStr">
        <is>
          <t xml:space="preserve">N6600118F0094</t>
        </is>
      </c>
      <c r="C2579" s="0" t="inlineStr">
        <is>
          <t xml:space="preserve">usv_core</t>
        </is>
      </c>
      <c r="D2579" s="4">
        <v>0.5499999999999999</v>
      </c>
      <c r="E2579" s="0" t="inlineStr">
        <is>
          <t xml:space="preserve">COLSA CORP</t>
        </is>
      </c>
      <c r="F2579" s="0" t="inlineStr">
        <is>
          <t xml:space="preserve">keyword</t>
        </is>
      </c>
    </row>
    <row r="2580">
      <c r="B2580" s="0" t="inlineStr">
        <is>
          <t xml:space="preserve">N0010424PLD95</t>
        </is>
      </c>
      <c r="C2580" s="0" t="inlineStr">
        <is>
          <t xml:space="preserve">small_craft</t>
        </is>
      </c>
      <c r="D2580" s="4">
        <v>0.5499999999999999</v>
      </c>
      <c r="E2580" s="0" t="inlineStr">
        <is>
          <t xml:space="preserve">INTEGRATED PROCUREMENT TECHNOLOGIES</t>
        </is>
      </c>
      <c r="F2580" s="0" t="inlineStr">
        <is>
          <t xml:space="preserve">naics:336612</t>
        </is>
      </c>
    </row>
    <row r="2581">
      <c r="B2581" s="0" t="inlineStr">
        <is>
          <t xml:space="preserve">N4044207P5273</t>
        </is>
      </c>
      <c r="C2581" s="0" t="inlineStr">
        <is>
          <t xml:space="preserve">other_small</t>
        </is>
      </c>
      <c r="D2581" s="4">
        <v>0.54896927</v>
      </c>
      <c r="E2581" s="0" t="inlineStr">
        <is>
          <t xml:space="preserve">MI-TECH INC</t>
        </is>
      </c>
      <c r="F2581" s="0" t="inlineStr">
        <is>
          <t xml:space="preserve">psc:1925</t>
        </is>
      </c>
    </row>
    <row r="2582">
      <c r="B2582" s="0" t="inlineStr">
        <is>
          <t xml:space="preserve">N0002419F4139</t>
        </is>
      </c>
      <c r="C2582" s="0" t="inlineStr">
        <is>
          <t xml:space="preserve">broad_maritime</t>
        </is>
      </c>
      <c r="D2582" s="4">
        <v>0.5478111800000001</v>
      </c>
      <c r="E2582" s="0" t="inlineStr">
        <is>
          <t xml:space="preserve">BOWHEAD OPERATIONS &amp; MAINTENANCE SOLUTIONS LLC</t>
        </is>
      </c>
      <c r="F2582" s="0" t="inlineStr">
        <is>
          <t xml:space="preserve">psc:2090</t>
        </is>
      </c>
    </row>
    <row r="2583">
      <c r="B2583" s="0" t="inlineStr">
        <is>
          <t xml:space="preserve">N0010422PNC20</t>
        </is>
      </c>
      <c r="C2583" s="0" t="inlineStr">
        <is>
          <t xml:space="preserve">small_craft</t>
        </is>
      </c>
      <c r="D2583" s="4">
        <v>0.54705417</v>
      </c>
      <c r="E2583" s="0" t="inlineStr">
        <is>
          <t xml:space="preserve">RADIO DESIGN GROUP, INC.</t>
        </is>
      </c>
      <c r="F2583" s="0" t="inlineStr">
        <is>
          <t xml:space="preserve">naics:336612</t>
        </is>
      </c>
    </row>
    <row r="2584">
      <c r="B2584" s="0" t="inlineStr">
        <is>
          <t xml:space="preserve">N3220519P6802</t>
        </is>
      </c>
      <c r="C2584" s="0" t="inlineStr">
        <is>
          <t xml:space="preserve">broad_maritime</t>
        </is>
      </c>
      <c r="D2584" s="4">
        <v>0.54604927</v>
      </c>
      <c r="E2584" s="0" t="inlineStr">
        <is>
          <t xml:space="preserve">AERO-GLEN INTERNATIONAL LLC</t>
        </is>
      </c>
      <c r="F2584" s="0" t="inlineStr">
        <is>
          <t xml:space="preserve">psc:2090</t>
        </is>
      </c>
    </row>
    <row r="2585">
      <c r="B2585" s="0" t="inlineStr">
        <is>
          <t xml:space="preserve">N3220521F1156</t>
        </is>
      </c>
      <c r="C2585" s="0" t="inlineStr">
        <is>
          <t xml:space="preserve">broad_maritime</t>
        </is>
      </c>
      <c r="D2585" s="4">
        <v>0.54400241</v>
      </c>
      <c r="E2585" s="0" t="inlineStr">
        <is>
          <t xml:space="preserve">CIRCOR NAVAL SOLUTIONS LLC</t>
        </is>
      </c>
      <c r="F2585" s="0" t="inlineStr">
        <is>
          <t xml:space="preserve">psc:2090</t>
        </is>
      </c>
    </row>
    <row r="2586">
      <c r="B2586" s="0" t="inlineStr">
        <is>
          <t xml:space="preserve">N3220517P4155</t>
        </is>
      </c>
      <c r="C2586" s="0" t="inlineStr">
        <is>
          <t xml:space="preserve">broad_maritime</t>
        </is>
      </c>
      <c r="D2586" s="4">
        <v>0.54387</v>
      </c>
      <c r="E2586" s="0" t="inlineStr">
        <is>
          <t xml:space="preserve">CDK MOBILE SYSTEMS INC</t>
        </is>
      </c>
      <c r="F2586" s="0" t="inlineStr">
        <is>
          <t xml:space="preserve">psc:2090</t>
        </is>
      </c>
    </row>
    <row r="2587">
      <c r="B2587" s="0" t="inlineStr">
        <is>
          <t xml:space="preserve">N6817124F0038</t>
        </is>
      </c>
      <c r="C2587" s="0" t="inlineStr">
        <is>
          <t xml:space="preserve">broad_maritime</t>
        </is>
      </c>
      <c r="D2587" s="4">
        <v>0.54184488</v>
      </c>
      <c r="E2587" s="0" t="inlineStr">
        <is>
          <t xml:space="preserve">FINCANTIERI MARINE SYSTEMS NORTH AMERICA, INC.</t>
        </is>
      </c>
      <c r="F2587" s="0" t="inlineStr">
        <is>
          <t xml:space="preserve">psc:2090</t>
        </is>
      </c>
    </row>
    <row r="2588">
      <c r="B2588" s="0" t="inlineStr">
        <is>
          <t xml:space="preserve">N6133123F0113</t>
        </is>
      </c>
      <c r="C2588" s="0" t="inlineStr">
        <is>
          <t xml:space="preserve">broad_maritime</t>
        </is>
      </c>
      <c r="D2588" s="4">
        <v>0.54051002</v>
      </c>
      <c r="E2588" s="0" t="inlineStr">
        <is>
          <t xml:space="preserve">BOOZ ALLEN HAMILTON INC</t>
        </is>
      </c>
      <c r="F2588" s="0" t="inlineStr">
        <is>
          <t xml:space="preserve">psc:2090</t>
        </is>
      </c>
    </row>
    <row r="2589">
      <c r="B2589" s="0" t="inlineStr">
        <is>
          <t xml:space="preserve">N6600119F0881</t>
        </is>
      </c>
      <c r="C2589" s="0" t="inlineStr">
        <is>
          <t xml:space="preserve">usv_core</t>
        </is>
      </c>
      <c r="D2589" s="4">
        <v>0.5392125799999999</v>
      </c>
      <c r="E2589" s="0" t="inlineStr">
        <is>
          <t xml:space="preserve">COLSA CORP</t>
        </is>
      </c>
      <c r="F2589" s="0" t="inlineStr">
        <is>
          <t xml:space="preserve">keyword</t>
        </is>
      </c>
    </row>
    <row r="2590">
      <c r="B2590" s="0" t="inlineStr">
        <is>
          <t xml:space="preserve">N6600118F0381</t>
        </is>
      </c>
      <c r="C2590" s="0" t="inlineStr">
        <is>
          <t xml:space="preserve">broad_maritime</t>
        </is>
      </c>
      <c r="D2590" s="4">
        <v>0.5389999999999999</v>
      </c>
      <c r="E2590" s="0" t="inlineStr">
        <is>
          <t xml:space="preserve">V &amp; T TOOLING, INC</t>
        </is>
      </c>
      <c r="F2590" s="0" t="inlineStr">
        <is>
          <t xml:space="preserve">psc:2090</t>
        </is>
      </c>
    </row>
    <row r="2591">
      <c r="B2591" s="0" t="inlineStr">
        <is>
          <t xml:space="preserve">0005</t>
        </is>
      </c>
      <c r="C2591" s="0" t="inlineStr">
        <is>
          <t xml:space="preserve">broad_maritime</t>
        </is>
      </c>
      <c r="D2591" s="4">
        <v>0.5379999999999999</v>
      </c>
      <c r="E2591" s="0" t="inlineStr">
        <is>
          <t xml:space="preserve">BATH IRON WORKS CORPORATION</t>
        </is>
      </c>
      <c r="F2591" s="0" t="inlineStr">
        <is>
          <t xml:space="preserve">psc:1905</t>
        </is>
      </c>
    </row>
    <row r="2592">
      <c r="B2592" s="0" t="inlineStr">
        <is>
          <t xml:space="preserve">N3220515P4004</t>
        </is>
      </c>
      <c r="C2592" s="0" t="inlineStr">
        <is>
          <t xml:space="preserve">broad_maritime</t>
        </is>
      </c>
      <c r="D2592" s="4">
        <v>0.5378769999999999</v>
      </c>
      <c r="E2592" s="0" t="inlineStr">
        <is>
          <t xml:space="preserve">COLONNA'S SHIP YARD, INCORPORATED</t>
        </is>
      </c>
      <c r="F2592" s="0" t="inlineStr">
        <is>
          <t xml:space="preserve">psc:2090</t>
        </is>
      </c>
    </row>
    <row r="2593">
      <c r="B2593" s="0" t="inlineStr">
        <is>
          <t xml:space="preserve">N6817123F0077</t>
        </is>
      </c>
      <c r="C2593" s="0" t="inlineStr">
        <is>
          <t xml:space="preserve">broad_maritime</t>
        </is>
      </c>
      <c r="D2593" s="4">
        <v>0.53734642</v>
      </c>
      <c r="E2593" s="0" t="inlineStr">
        <is>
          <t xml:space="preserve">FINCANTIERI MARINE SYSTEMS NORTH AMERICA, INC.</t>
        </is>
      </c>
      <c r="F2593" s="0" t="inlineStr">
        <is>
          <t xml:space="preserve">psc:2090</t>
        </is>
      </c>
    </row>
    <row r="2594">
      <c r="B2594" s="0" t="inlineStr">
        <is>
          <t xml:space="preserve">N3220520F8368</t>
        </is>
      </c>
      <c r="C2594" s="0" t="inlineStr">
        <is>
          <t xml:space="preserve">other_small</t>
        </is>
      </c>
      <c r="D2594" s="4">
        <v>0.5372504699999999</v>
      </c>
      <c r="E2594" s="0" t="inlineStr">
        <is>
          <t xml:space="preserve">LAKE SHORE SYSTEMS, INC.</t>
        </is>
      </c>
      <c r="F2594" s="0" t="inlineStr">
        <is>
          <t xml:space="preserve">psc:1990</t>
        </is>
      </c>
    </row>
    <row r="2595">
      <c r="B2595" s="0" t="inlineStr">
        <is>
          <t xml:space="preserve">N6833515C0084</t>
        </is>
      </c>
      <c r="C2595" s="0" t="inlineStr">
        <is>
          <t xml:space="preserve">small_craft</t>
        </is>
      </c>
      <c r="D2595" s="4">
        <v>0.53704</v>
      </c>
      <c r="E2595" s="0" t="inlineStr">
        <is>
          <t xml:space="preserve">BRUNSWICK COMMERCIAL &amp; GOVERNMENT PRODUCTS, INC.</t>
        </is>
      </c>
      <c r="F2595" s="0" t="inlineStr">
        <is>
          <t xml:space="preserve">naics:336612; psc:1940</t>
        </is>
      </c>
    </row>
    <row r="2596">
      <c r="B2596" s="0" t="inlineStr">
        <is>
          <t xml:space="preserve">0007</t>
        </is>
      </c>
      <c r="C2596" s="0" t="inlineStr">
        <is>
          <t xml:space="preserve">small_craft</t>
        </is>
      </c>
      <c r="D2596" s="4">
        <v>0.53636</v>
      </c>
      <c r="E2596" s="0" t="inlineStr">
        <is>
          <t xml:space="preserve">GRAVOIS ALUMINUM BOATS LLC</t>
        </is>
      </c>
      <c r="F2596" s="0" t="inlineStr">
        <is>
          <t xml:space="preserve">naics:336612; psc:1940</t>
        </is>
      </c>
    </row>
    <row r="2597">
      <c r="B2597" s="0" t="inlineStr">
        <is>
          <t xml:space="preserve">N0002426F22A3</t>
        </is>
      </c>
      <c r="C2597" s="0" t="inlineStr">
        <is>
          <t xml:space="preserve">small_craft</t>
        </is>
      </c>
      <c r="D2597" s="4">
        <v>0.5362173</v>
      </c>
      <c r="E2597" s="0" t="inlineStr">
        <is>
          <t xml:space="preserve">LAKE ASSAULT BOATS, LLC</t>
        </is>
      </c>
      <c r="F2597" s="0" t="inlineStr">
        <is>
          <t xml:space="preserve">naics:336612; psc:1940</t>
        </is>
      </c>
    </row>
    <row r="2598">
      <c r="B2598" s="0" t="inlineStr">
        <is>
          <t xml:space="preserve">N0017317C6014</t>
        </is>
      </c>
      <c r="C2598" s="0" t="inlineStr">
        <is>
          <t xml:space="preserve">usv_core</t>
        </is>
      </c>
      <c r="D2598" s="4">
        <v>0.535</v>
      </c>
      <c r="E2598" s="0" t="inlineStr">
        <is>
          <t xml:space="preserve">SEAROBOTICS CORPORATION</t>
        </is>
      </c>
      <c r="F2598" s="0" t="inlineStr">
        <is>
          <t xml:space="preserve">keyword; naics:336612; psc:1990</t>
        </is>
      </c>
    </row>
    <row r="2599">
      <c r="B2599" s="0" t="inlineStr">
        <is>
          <t xml:space="preserve">N3220516P4003</t>
        </is>
      </c>
      <c r="C2599" s="0" t="inlineStr">
        <is>
          <t xml:space="preserve">broad_maritime</t>
        </is>
      </c>
      <c r="D2599" s="4">
        <v>0.53467024</v>
      </c>
      <c r="E2599" s="0" t="inlineStr">
        <is>
          <t xml:space="preserve">COLTEC INDUSTRIES INC.</t>
        </is>
      </c>
      <c r="F2599" s="0" t="inlineStr">
        <is>
          <t xml:space="preserve">psc:2090</t>
        </is>
      </c>
    </row>
    <row r="2600">
      <c r="B2600" s="0" t="inlineStr">
        <is>
          <t xml:space="preserve">N0010424FY704</t>
        </is>
      </c>
      <c r="C2600" s="0" t="inlineStr">
        <is>
          <t xml:space="preserve">small_craft</t>
        </is>
      </c>
      <c r="D2600" s="4">
        <v>0.534111</v>
      </c>
      <c r="E2600" s="0" t="inlineStr">
        <is>
          <t xml:space="preserve">L3 TECHNOLOGIES, INC.</t>
        </is>
      </c>
      <c r="F2600" s="0" t="inlineStr">
        <is>
          <t xml:space="preserve">naics:336612</t>
        </is>
      </c>
    </row>
    <row r="2601">
      <c r="B2601" s="0" t="inlineStr">
        <is>
          <t xml:space="preserve">N3220521P4198</t>
        </is>
      </c>
      <c r="C2601" s="0" t="inlineStr">
        <is>
          <t xml:space="preserve">broad_maritime</t>
        </is>
      </c>
      <c r="D2601" s="4">
        <v>0.53349087</v>
      </c>
      <c r="E2601" s="0" t="inlineStr">
        <is>
          <t xml:space="preserve">LAKE SHORE SYSTEMS, INC.</t>
        </is>
      </c>
      <c r="F2601" s="0" t="inlineStr">
        <is>
          <t xml:space="preserve">psc:2090</t>
        </is>
      </c>
    </row>
    <row r="2602">
      <c r="B2602" s="0" t="inlineStr">
        <is>
          <t xml:space="preserve">0014</t>
        </is>
      </c>
      <c r="C2602" s="0" t="inlineStr">
        <is>
          <t xml:space="preserve">broad_maritime</t>
        </is>
      </c>
      <c r="D2602" s="4">
        <v>0.531126</v>
      </c>
      <c r="E2602" s="0" t="inlineStr">
        <is>
          <t xml:space="preserve">PACIFIC MARITIME INDUSTRIES CORP.</t>
        </is>
      </c>
      <c r="F2602" s="0" t="inlineStr">
        <is>
          <t xml:space="preserve">psc:2090</t>
        </is>
      </c>
    </row>
    <row r="2603">
      <c r="B2603" s="0" t="inlineStr">
        <is>
          <t xml:space="preserve">N3220521F1191</t>
        </is>
      </c>
      <c r="C2603" s="0" t="inlineStr">
        <is>
          <t xml:space="preserve">broad_maritime</t>
        </is>
      </c>
      <c r="D2603" s="4">
        <v>0.5308848899999999</v>
      </c>
      <c r="E2603" s="0" t="inlineStr">
        <is>
          <t xml:space="preserve">CIRCOR NAVAL SOLUTIONS LLC</t>
        </is>
      </c>
      <c r="F2603" s="0" t="inlineStr">
        <is>
          <t xml:space="preserve">psc:2090</t>
        </is>
      </c>
    </row>
    <row r="2604">
      <c r="B2604" s="0" t="inlineStr">
        <is>
          <t xml:space="preserve">N0010422PLD41</t>
        </is>
      </c>
      <c r="C2604" s="0" t="inlineStr">
        <is>
          <t xml:space="preserve">small_craft</t>
        </is>
      </c>
      <c r="D2604" s="4">
        <v>0.5301683</v>
      </c>
      <c r="E2604" s="0" t="inlineStr">
        <is>
          <t xml:space="preserve">LAKE SHORE SYSTEMS, INC.</t>
        </is>
      </c>
      <c r="F2604" s="0" t="inlineStr">
        <is>
          <t xml:space="preserve">naics:336612</t>
        </is>
      </c>
    </row>
    <row r="2605">
      <c r="B2605" s="0" t="inlineStr">
        <is>
          <t xml:space="preserve">N0010422PJA11</t>
        </is>
      </c>
      <c r="C2605" s="0" t="inlineStr">
        <is>
          <t xml:space="preserve">small_craft</t>
        </is>
      </c>
      <c r="D2605" s="4">
        <v>0.5301683</v>
      </c>
      <c r="E2605" s="0" t="inlineStr">
        <is>
          <t xml:space="preserve">LAKE SHORE SYSTEMS, INC.</t>
        </is>
      </c>
      <c r="F2605" s="0" t="inlineStr">
        <is>
          <t xml:space="preserve">naics:336612</t>
        </is>
      </c>
    </row>
    <row r="2606">
      <c r="B2606" s="0" t="inlineStr">
        <is>
          <t xml:space="preserve">N0024425PS215</t>
        </is>
      </c>
      <c r="C2606" s="0" t="inlineStr">
        <is>
          <t xml:space="preserve">broad_maritime</t>
        </is>
      </c>
      <c r="D2606" s="4">
        <v>0.5296035099999999</v>
      </c>
      <c r="E2606" s="0" t="inlineStr">
        <is>
          <t xml:space="preserve">CHESAPEAKE MARINE, LLC</t>
        </is>
      </c>
      <c r="F2606" s="0" t="inlineStr">
        <is>
          <t xml:space="preserve">psc:2090</t>
        </is>
      </c>
    </row>
    <row r="2607">
      <c r="B2607" s="0" t="inlineStr">
        <is>
          <t xml:space="preserve">N0010423CLA08</t>
        </is>
      </c>
      <c r="C2607" s="0" t="inlineStr">
        <is>
          <t xml:space="preserve">small_craft</t>
        </is>
      </c>
      <c r="D2607" s="4">
        <v>0.5293124</v>
      </c>
      <c r="E2607" s="0" t="inlineStr">
        <is>
          <t xml:space="preserve">A3 SYSTEMS CORPORATION</t>
        </is>
      </c>
      <c r="F2607" s="0" t="inlineStr">
        <is>
          <t xml:space="preserve">naics:336612</t>
        </is>
      </c>
    </row>
    <row r="2608">
      <c r="B2608" s="0" t="inlineStr">
        <is>
          <t xml:space="preserve">N0024422F0013</t>
        </is>
      </c>
      <c r="C2608" s="0" t="inlineStr">
        <is>
          <t xml:space="preserve">broad_maritime</t>
        </is>
      </c>
      <c r="D2608" s="4">
        <v>0.529175</v>
      </c>
      <c r="E2608" s="0" t="inlineStr">
        <is>
          <t xml:space="preserve">JPL HABITABILITY, INC.</t>
        </is>
      </c>
      <c r="F2608" s="0" t="inlineStr">
        <is>
          <t xml:space="preserve">psc:2090</t>
        </is>
      </c>
    </row>
    <row r="2609">
      <c r="B2609" s="0" t="inlineStr">
        <is>
          <t xml:space="preserve">N3220516P4022</t>
        </is>
      </c>
      <c r="C2609" s="0" t="inlineStr">
        <is>
          <t xml:space="preserve">broad_maritime</t>
        </is>
      </c>
      <c r="D2609" s="4">
        <v>0.52895678</v>
      </c>
      <c r="E2609" s="0" t="inlineStr">
        <is>
          <t xml:space="preserve">MOTOR-SERVICES HUGO STAMP, INC</t>
        </is>
      </c>
      <c r="F2609" s="0" t="inlineStr">
        <is>
          <t xml:space="preserve">psc:2090</t>
        </is>
      </c>
    </row>
    <row r="2610">
      <c r="B2610" s="0" t="inlineStr">
        <is>
          <t xml:space="preserve">N3220516P4316</t>
        </is>
      </c>
      <c r="C2610" s="0" t="inlineStr">
        <is>
          <t xml:space="preserve">broad_maritime</t>
        </is>
      </c>
      <c r="D2610" s="4">
        <v>0.5289523199999999</v>
      </c>
      <c r="E2610" s="0" t="inlineStr">
        <is>
          <t xml:space="preserve">IMECO INC</t>
        </is>
      </c>
      <c r="F2610" s="0" t="inlineStr">
        <is>
          <t xml:space="preserve">psc:2090</t>
        </is>
      </c>
    </row>
    <row r="2611">
      <c r="B2611" s="0" t="inlineStr">
        <is>
          <t xml:space="preserve">N0024421P0125</t>
        </is>
      </c>
      <c r="C2611" s="0" t="inlineStr">
        <is>
          <t xml:space="preserve">small_craft</t>
        </is>
      </c>
      <c r="D2611" s="4">
        <v>0.5280507099999999</v>
      </c>
      <c r="E2611" s="0" t="inlineStr">
        <is>
          <t xml:space="preserve">TELEDYNE INSTRUMENTS, INC.</t>
        </is>
      </c>
      <c r="F2611" s="0" t="inlineStr">
        <is>
          <t xml:space="preserve">psc:1940</t>
        </is>
      </c>
    </row>
    <row r="2612">
      <c r="B2612" s="0" t="inlineStr">
        <is>
          <t xml:space="preserve">0008</t>
        </is>
      </c>
      <c r="C2612" s="0" t="inlineStr">
        <is>
          <t xml:space="preserve">broad_maritime</t>
        </is>
      </c>
      <c r="D2612" s="4">
        <v>0.5278309999999999</v>
      </c>
      <c r="E2612" s="0" t="inlineStr">
        <is>
          <t xml:space="preserve">KNUDSEN SYSTEMS INC.</t>
        </is>
      </c>
      <c r="F2612" s="0" t="inlineStr">
        <is>
          <t xml:space="preserve">psc:2090</t>
        </is>
      </c>
    </row>
    <row r="2613">
      <c r="B2613" s="0" t="inlineStr">
        <is>
          <t xml:space="preserve">N3220514P4001</t>
        </is>
      </c>
      <c r="C2613" s="0" t="inlineStr">
        <is>
          <t xml:space="preserve">broad_maritime</t>
        </is>
      </c>
      <c r="D2613" s="4">
        <v>0.5257051899999999</v>
      </c>
      <c r="E2613" s="0" t="inlineStr">
        <is>
          <t xml:space="preserve">DEFENSE MARITIME SOLUTIONS, INC.</t>
        </is>
      </c>
      <c r="F2613" s="0" t="inlineStr">
        <is>
          <t xml:space="preserve">psc:2090</t>
        </is>
      </c>
    </row>
    <row r="2614">
      <c r="B2614" s="0" t="inlineStr">
        <is>
          <t xml:space="preserve">N6600119F0027</t>
        </is>
      </c>
      <c r="C2614" s="0" t="inlineStr">
        <is>
          <t xml:space="preserve">usv_core</t>
        </is>
      </c>
      <c r="D2614" s="4">
        <v>0.52489586</v>
      </c>
      <c r="E2614" s="0" t="inlineStr">
        <is>
          <t xml:space="preserve">COLSA CORP</t>
        </is>
      </c>
      <c r="F2614" s="0" t="inlineStr">
        <is>
          <t xml:space="preserve">keyword</t>
        </is>
      </c>
    </row>
    <row r="2615">
      <c r="B2615" s="0" t="inlineStr">
        <is>
          <t xml:space="preserve">0002</t>
        </is>
      </c>
      <c r="C2615" s="0" t="inlineStr">
        <is>
          <t xml:space="preserve">small_craft</t>
        </is>
      </c>
      <c r="D2615" s="4">
        <v>0.52404664</v>
      </c>
      <c r="E2615" s="0" t="inlineStr">
        <is>
          <t xml:space="preserve">SAUNDERS ENGINE &amp; EQUIPMENT CO INC</t>
        </is>
      </c>
      <c r="F2615" s="0" t="inlineStr">
        <is>
          <t xml:space="preserve">naics:336612</t>
        </is>
      </c>
    </row>
    <row r="2616">
      <c r="B2616" s="0" t="inlineStr">
        <is>
          <t xml:space="preserve">N0003921F4032</t>
        </is>
      </c>
      <c r="C2616" s="0" t="inlineStr">
        <is>
          <t xml:space="preserve">small_craft</t>
        </is>
      </c>
      <c r="D2616" s="4">
        <v>0.52285576</v>
      </c>
      <c r="E2616" s="0" t="inlineStr">
        <is>
          <t xml:space="preserve">HII UNMANNED SYSTEMS, INC</t>
        </is>
      </c>
      <c r="F2616" s="0" t="inlineStr">
        <is>
          <t xml:space="preserve">psc:1940</t>
        </is>
      </c>
    </row>
    <row r="2617">
      <c r="B2617" s="0" t="inlineStr">
        <is>
          <t xml:space="preserve">N4044212P3002</t>
        </is>
      </c>
      <c r="C2617" s="0" t="inlineStr">
        <is>
          <t xml:space="preserve">broad_maritime</t>
        </is>
      </c>
      <c r="D2617" s="4">
        <v>0.52273154</v>
      </c>
      <c r="E2617" s="0" t="inlineStr">
        <is>
          <t xml:space="preserve">SEA RECOVERY CORPORATION</t>
        </is>
      </c>
      <c r="F2617" s="0" t="inlineStr">
        <is>
          <t xml:space="preserve">psc:2090</t>
        </is>
      </c>
    </row>
    <row r="2618">
      <c r="B2618" s="0" t="inlineStr">
        <is>
          <t xml:space="preserve">N3220522F3275</t>
        </is>
      </c>
      <c r="C2618" s="0" t="inlineStr">
        <is>
          <t xml:space="preserve">broad_maritime</t>
        </is>
      </c>
      <c r="D2618" s="4">
        <v>0.5199349999999999</v>
      </c>
      <c r="E2618" s="0" t="inlineStr">
        <is>
          <t xml:space="preserve">NORTHROP GRUMMAN SYSTEMS CORPORATION</t>
        </is>
      </c>
      <c r="F2618" s="0" t="inlineStr">
        <is>
          <t xml:space="preserve">psc:2090</t>
        </is>
      </c>
    </row>
    <row r="2619">
      <c r="B2619" s="0" t="inlineStr">
        <is>
          <t xml:space="preserve">N3220517P1114</t>
        </is>
      </c>
      <c r="C2619" s="0" t="inlineStr">
        <is>
          <t xml:space="preserve">broad_maritime</t>
        </is>
      </c>
      <c r="D2619" s="4">
        <v>0.5197486</v>
      </c>
      <c r="E2619" s="0" t="inlineStr">
        <is>
          <t xml:space="preserve">NORTHROP GRUMMAN SYSTEMS CORPORATION</t>
        </is>
      </c>
      <c r="F2619" s="0" t="inlineStr">
        <is>
          <t xml:space="preserve">psc:2090</t>
        </is>
      </c>
    </row>
    <row r="2620">
      <c r="B2620" s="0" t="inlineStr">
        <is>
          <t xml:space="preserve">N3220517P4158</t>
        </is>
      </c>
      <c r="C2620" s="0" t="inlineStr">
        <is>
          <t xml:space="preserve">broad_maritime</t>
        </is>
      </c>
      <c r="D2620" s="4">
        <v>0.519547</v>
      </c>
      <c r="E2620" s="0" t="inlineStr">
        <is>
          <t xml:space="preserve">CARVER PUMP COMPANY</t>
        </is>
      </c>
      <c r="F2620" s="0" t="inlineStr">
        <is>
          <t xml:space="preserve">psc:2090</t>
        </is>
      </c>
    </row>
    <row r="2621">
      <c r="B2621" s="0" t="inlineStr">
        <is>
          <t xml:space="preserve">N3220517P4022</t>
        </is>
      </c>
      <c r="C2621" s="0" t="inlineStr">
        <is>
          <t xml:space="preserve">broad_maritime</t>
        </is>
      </c>
      <c r="D2621" s="4">
        <v>0.51661</v>
      </c>
      <c r="E2621" s="0" t="inlineStr">
        <is>
          <t xml:space="preserve">AMERICAN VULKAN CORPORATION</t>
        </is>
      </c>
      <c r="F2621" s="0" t="inlineStr">
        <is>
          <t xml:space="preserve">psc:2090</t>
        </is>
      </c>
    </row>
    <row r="2622">
      <c r="B2622" s="0" t="inlineStr">
        <is>
          <t xml:space="preserve">0014</t>
        </is>
      </c>
      <c r="C2622" s="0" t="inlineStr">
        <is>
          <t xml:space="preserve">broad_maritime</t>
        </is>
      </c>
      <c r="D2622" s="4">
        <v>0.516454</v>
      </c>
      <c r="E2622" s="0" t="inlineStr">
        <is>
          <t xml:space="preserve">LAUREL TECHNOLOGIES PARTNERSHIP</t>
        </is>
      </c>
      <c r="F2622" s="0" t="inlineStr">
        <is>
          <t xml:space="preserve">psc:2090</t>
        </is>
      </c>
    </row>
    <row r="2623">
      <c r="B2623" s="0" t="inlineStr">
        <is>
          <t xml:space="preserve">N0002425F22A3</t>
        </is>
      </c>
      <c r="C2623" s="0" t="inlineStr">
        <is>
          <t xml:space="preserve">small_craft</t>
        </is>
      </c>
      <c r="D2623" s="4">
        <v>0.5157242999999999</v>
      </c>
      <c r="E2623" s="0" t="inlineStr">
        <is>
          <t xml:space="preserve">LAKE ASSAULT BOATS, LLC</t>
        </is>
      </c>
      <c r="F2623" s="0" t="inlineStr">
        <is>
          <t xml:space="preserve">naics:336612; psc:1940</t>
        </is>
      </c>
    </row>
    <row r="2624">
      <c r="B2624" s="0" t="inlineStr">
        <is>
          <t xml:space="preserve">EHQ6</t>
        </is>
      </c>
      <c r="C2624" s="0" t="inlineStr">
        <is>
          <t xml:space="preserve">broad_maritime</t>
        </is>
      </c>
      <c r="D2624" s="4">
        <v>0.5122888</v>
      </c>
      <c r="E2624" s="0" t="inlineStr">
        <is>
          <t xml:space="preserve">GENERAL ELECTRIC COMPANY</t>
        </is>
      </c>
      <c r="F2624" s="0" t="inlineStr">
        <is>
          <t xml:space="preserve">psc:2090</t>
        </is>
      </c>
    </row>
    <row r="2625">
      <c r="B2625" s="0" t="inlineStr">
        <is>
          <t xml:space="preserve">N3220517P4424</t>
        </is>
      </c>
      <c r="C2625" s="0" t="inlineStr">
        <is>
          <t xml:space="preserve">broad_maritime</t>
        </is>
      </c>
      <c r="D2625" s="4">
        <v>0.51152248</v>
      </c>
      <c r="E2625" s="0" t="inlineStr">
        <is>
          <t xml:space="preserve">MOTOR-SERVICES HUGO STAMP, INC</t>
        </is>
      </c>
      <c r="F2625" s="0" t="inlineStr">
        <is>
          <t xml:space="preserve">psc:2090</t>
        </is>
      </c>
    </row>
    <row r="2626">
      <c r="B2626" s="0" t="inlineStr">
        <is>
          <t xml:space="preserve">N3220519P4534</t>
        </is>
      </c>
      <c r="C2626" s="0" t="inlineStr">
        <is>
          <t xml:space="preserve">broad_maritime</t>
        </is>
      </c>
      <c r="D2626" s="4">
        <v>0.511352</v>
      </c>
      <c r="E2626" s="0" t="inlineStr">
        <is>
          <t xml:space="preserve">APPLETON MARINE INC</t>
        </is>
      </c>
      <c r="F2626" s="0" t="inlineStr">
        <is>
          <t xml:space="preserve">psc:2090</t>
        </is>
      </c>
    </row>
    <row r="2627">
      <c r="B2627" s="0" t="inlineStr">
        <is>
          <t xml:space="preserve">N3220525P2413</t>
        </is>
      </c>
      <c r="C2627" s="0" t="inlineStr">
        <is>
          <t xml:space="preserve">broad_maritime</t>
        </is>
      </c>
      <c r="D2627" s="4">
        <v>0.510141</v>
      </c>
      <c r="E2627" s="0" t="inlineStr">
        <is>
          <t xml:space="preserve">TECNICO CORPORATION</t>
        </is>
      </c>
      <c r="F2627" s="0" t="inlineStr">
        <is>
          <t xml:space="preserve">psc:2090</t>
        </is>
      </c>
    </row>
    <row r="2628">
      <c r="B2628" s="0" t="inlineStr">
        <is>
          <t xml:space="preserve">N0002414C6297</t>
        </is>
      </c>
      <c r="C2628" s="0" t="inlineStr">
        <is>
          <t xml:space="preserve">broad_maritime</t>
        </is>
      </c>
      <c r="D2628" s="4">
        <v>0.51</v>
      </c>
      <c r="E2628" s="0" t="inlineStr">
        <is>
          <t xml:space="preserve">APPLIED MATHEMATICS, INC.</t>
        </is>
      </c>
      <c r="F2628" s="0" t="inlineStr">
        <is>
          <t xml:space="preserve">psc:1905</t>
        </is>
      </c>
    </row>
    <row r="2629">
      <c r="B2629" s="0" t="inlineStr">
        <is>
          <t xml:space="preserve">N3220516P4419</t>
        </is>
      </c>
      <c r="C2629" s="0" t="inlineStr">
        <is>
          <t xml:space="preserve">broad_maritime</t>
        </is>
      </c>
      <c r="D2629" s="4">
        <v>0.51</v>
      </c>
      <c r="E2629" s="0" t="inlineStr">
        <is>
          <t xml:space="preserve">MI-TECH INC</t>
        </is>
      </c>
      <c r="F2629" s="0" t="inlineStr">
        <is>
          <t xml:space="preserve">psc:2090</t>
        </is>
      </c>
    </row>
    <row r="2630">
      <c r="B2630" s="0" t="inlineStr">
        <is>
          <t xml:space="preserve">N3220523P0079</t>
        </is>
      </c>
      <c r="C2630" s="0" t="inlineStr">
        <is>
          <t xml:space="preserve">broad_maritime</t>
        </is>
      </c>
      <c r="D2630" s="4">
        <v>0.50888865</v>
      </c>
      <c r="E2630" s="0" t="inlineStr">
        <is>
          <t xml:space="preserve">JOHNSON CONTROLS BUILDING AUTOMATION SYSTEMS, LLC</t>
        </is>
      </c>
      <c r="F2630" s="0" t="inlineStr">
        <is>
          <t xml:space="preserve">psc:2090</t>
        </is>
      </c>
    </row>
    <row r="2631">
      <c r="B2631" s="0" t="inlineStr">
        <is>
          <t xml:space="preserve">N0010422PK043</t>
        </is>
      </c>
      <c r="C2631" s="0" t="inlineStr">
        <is>
          <t xml:space="preserve">broad_maritime</t>
        </is>
      </c>
      <c r="D2631" s="4">
        <v>0.508</v>
      </c>
      <c r="E2631" s="0" t="inlineStr">
        <is>
          <t xml:space="preserve">WESLEY INTERNATIONAL LLC</t>
        </is>
      </c>
      <c r="F2631" s="0" t="inlineStr">
        <is>
          <t xml:space="preserve">psc:2090</t>
        </is>
      </c>
    </row>
    <row r="2632">
      <c r="B2632" s="0" t="inlineStr">
        <is>
          <t xml:space="preserve">N0010422PK042</t>
        </is>
      </c>
      <c r="C2632" s="0" t="inlineStr">
        <is>
          <t xml:space="preserve">broad_maritime</t>
        </is>
      </c>
      <c r="D2632" s="4">
        <v>0.508</v>
      </c>
      <c r="E2632" s="0" t="inlineStr">
        <is>
          <t xml:space="preserve">WESLEY INTERNATIONAL LLC</t>
        </is>
      </c>
      <c r="F2632" s="0" t="inlineStr">
        <is>
          <t xml:space="preserve">psc:2090</t>
        </is>
      </c>
    </row>
    <row r="2633">
      <c r="B2633" s="0" t="inlineStr">
        <is>
          <t xml:space="preserve">N0010423PFB38</t>
        </is>
      </c>
      <c r="C2633" s="0" t="inlineStr">
        <is>
          <t xml:space="preserve">small_craft</t>
        </is>
      </c>
      <c r="D2633" s="4">
        <v>0.506589</v>
      </c>
      <c r="E2633" s="0" t="inlineStr">
        <is>
          <t xml:space="preserve">L3 TECHNOLOGIES, INC.</t>
        </is>
      </c>
      <c r="F2633" s="0" t="inlineStr">
        <is>
          <t xml:space="preserve">naics:336612</t>
        </is>
      </c>
    </row>
    <row r="2634">
      <c r="B2634" s="0" t="inlineStr">
        <is>
          <t xml:space="preserve">N0024424F0374</t>
        </is>
      </c>
      <c r="C2634" s="0" t="inlineStr">
        <is>
          <t xml:space="preserve">broad_maritime</t>
        </is>
      </c>
      <c r="D2634" s="4">
        <v>0.50593775</v>
      </c>
      <c r="E2634" s="0" t="inlineStr">
        <is>
          <t xml:space="preserve">JPL HABITABILITY, INC.</t>
        </is>
      </c>
      <c r="F2634" s="0" t="inlineStr">
        <is>
          <t xml:space="preserve">psc:2090</t>
        </is>
      </c>
    </row>
    <row r="2635">
      <c r="B2635" s="0" t="inlineStr">
        <is>
          <t xml:space="preserve">L816</t>
        </is>
      </c>
      <c r="C2635" s="0" t="inlineStr">
        <is>
          <t xml:space="preserve">broad_maritime</t>
        </is>
      </c>
      <c r="D2635" s="4">
        <v>0.505752</v>
      </c>
      <c r="E2635" s="0" t="inlineStr">
        <is>
          <t xml:space="preserve">ELECTRIC BOAT CORPORATION</t>
        </is>
      </c>
      <c r="F2635" s="0" t="inlineStr">
        <is>
          <t xml:space="preserve">psc:1905</t>
        </is>
      </c>
    </row>
    <row r="2636">
      <c r="B2636" s="0" t="inlineStr">
        <is>
          <t xml:space="preserve">N6449823F4191</t>
        </is>
      </c>
      <c r="C2636" s="0" t="inlineStr">
        <is>
          <t xml:space="preserve">broad_maritime</t>
        </is>
      </c>
      <c r="D2636" s="4">
        <v>0.50520744</v>
      </c>
      <c r="E2636" s="0" t="inlineStr">
        <is>
          <t xml:space="preserve">LEIDOS, INC.</t>
        </is>
      </c>
      <c r="F2636" s="0" t="inlineStr">
        <is>
          <t xml:space="preserve">psc:2090</t>
        </is>
      </c>
    </row>
    <row r="2637">
      <c r="B2637" s="0" t="inlineStr">
        <is>
          <t xml:space="preserve">N6247325F0413</t>
        </is>
      </c>
      <c r="C2637" s="0" t="inlineStr">
        <is>
          <t xml:space="preserve">usv_core</t>
        </is>
      </c>
      <c r="D2637" s="4">
        <v>0.5043951099999999</v>
      </c>
      <c r="E2637" s="0" t="inlineStr">
        <is>
          <t xml:space="preserve">MAKERS ARCHITECTURE AND URBAN DESIGN LLP</t>
        </is>
      </c>
      <c r="F2637" s="0" t="inlineStr">
        <is>
          <t xml:space="preserve">keyword</t>
        </is>
      </c>
    </row>
    <row r="2638">
      <c r="B2638" s="0" t="inlineStr">
        <is>
          <t xml:space="preserve">N0010424PJC25</t>
        </is>
      </c>
      <c r="C2638" s="0" t="inlineStr">
        <is>
          <t xml:space="preserve">small_craft</t>
        </is>
      </c>
      <c r="D2638" s="4">
        <v>0.50392912</v>
      </c>
      <c r="E2638" s="0" t="inlineStr">
        <is>
          <t xml:space="preserve">SCIENCE APPLICATIONS INTERNATIONAL CORPORATION</t>
        </is>
      </c>
      <c r="F2638" s="0" t="inlineStr">
        <is>
          <t xml:space="preserve">naics:336612</t>
        </is>
      </c>
    </row>
    <row r="2639">
      <c r="B2639" s="0" t="inlineStr">
        <is>
          <t xml:space="preserve">N0010424FY703</t>
        </is>
      </c>
      <c r="C2639" s="0" t="inlineStr">
        <is>
          <t xml:space="preserve">small_craft</t>
        </is>
      </c>
      <c r="D2639" s="4">
        <v>0.50383071</v>
      </c>
      <c r="E2639" s="0" t="inlineStr">
        <is>
          <t xml:space="preserve">L3 TECHNOLOGIES, INC.</t>
        </is>
      </c>
      <c r="F2639" s="0" t="inlineStr">
        <is>
          <t xml:space="preserve">naics:336612</t>
        </is>
      </c>
    </row>
    <row r="2640">
      <c r="B2640" s="0" t="inlineStr">
        <is>
          <t xml:space="preserve">N3220520F2227</t>
        </is>
      </c>
      <c r="C2640" s="0" t="inlineStr">
        <is>
          <t xml:space="preserve">broad_maritime</t>
        </is>
      </c>
      <c r="D2640" s="4">
        <v>0.501544</v>
      </c>
      <c r="E2640" s="0" t="inlineStr">
        <is>
          <t xml:space="preserve">ROLLS-ROYCE SOLUTIONS AMERICA INC</t>
        </is>
      </c>
      <c r="F2640" s="0" t="inlineStr">
        <is>
          <t xml:space="preserve">psc:2090</t>
        </is>
      </c>
    </row>
    <row r="2641">
      <c r="B2641" s="0" t="inlineStr">
        <is>
          <t xml:space="preserve">N6600115F7179</t>
        </is>
      </c>
      <c r="C2641" s="0" t="inlineStr">
        <is>
          <t xml:space="preserve">small_craft</t>
        </is>
      </c>
      <c r="D2641" s="4">
        <v>0.50147</v>
      </c>
      <c r="E2641" s="0" t="inlineStr">
        <is>
          <t xml:space="preserve">SILVER SHIPS, INC</t>
        </is>
      </c>
      <c r="F2641" s="0" t="inlineStr">
        <is>
          <t xml:space="preserve">naics:336612; psc:1940</t>
        </is>
      </c>
    </row>
    <row r="2642">
      <c r="B2642" s="0" t="inlineStr">
        <is>
          <t xml:space="preserve">N6600120F0581</t>
        </is>
      </c>
      <c r="C2642" s="0" t="inlineStr">
        <is>
          <t xml:space="preserve">usv_core</t>
        </is>
      </c>
      <c r="D2642" s="4">
        <v>0.50070805</v>
      </c>
      <c r="E2642" s="0" t="inlineStr">
        <is>
          <t xml:space="preserve">COLSA CORP</t>
        </is>
      </c>
      <c r="F2642" s="0" t="inlineStr">
        <is>
          <t xml:space="preserve">keyword</t>
        </is>
      </c>
    </row>
    <row r="2643">
      <c r="B2643" s="0" t="inlineStr">
        <is>
          <t xml:space="preserve">N0003924F1053</t>
        </is>
      </c>
      <c r="C2643" s="0" t="inlineStr">
        <is>
          <t xml:space="preserve">small_craft</t>
        </is>
      </c>
      <c r="D2643" s="4">
        <v>0.49999845</v>
      </c>
      <c r="E2643" s="0" t="inlineStr">
        <is>
          <t xml:space="preserve">TELEDYNE BROWN ENGINEERING, INC.</t>
        </is>
      </c>
      <c r="F2643" s="0" t="inlineStr">
        <is>
          <t xml:space="preserve">psc:1940</t>
        </is>
      </c>
    </row>
    <row r="2644">
      <c r="B2644" s="0" t="inlineStr">
        <is>
          <t xml:space="preserve">N0040616P3670</t>
        </is>
      </c>
      <c r="C2644" s="0" t="inlineStr">
        <is>
          <t xml:space="preserve">small_craft</t>
        </is>
      </c>
      <c r="D2644" s="4">
        <v>0.49967999999999996</v>
      </c>
      <c r="E2644" s="0" t="inlineStr">
        <is>
          <t xml:space="preserve">TIMKEN GEARS &amp; SERVICES INC.</t>
        </is>
      </c>
      <c r="F2644" s="0" t="inlineStr">
        <is>
          <t xml:space="preserve">naics:336612</t>
        </is>
      </c>
    </row>
    <row r="2645">
      <c r="B2645" s="0" t="inlineStr">
        <is>
          <t xml:space="preserve">N6449818F4076</t>
        </is>
      </c>
      <c r="C2645" s="0" t="inlineStr">
        <is>
          <t xml:space="preserve">broad_maritime</t>
        </is>
      </c>
      <c r="D2645" s="4">
        <v>0.49912799999999996</v>
      </c>
      <c r="E2645" s="0" t="inlineStr">
        <is>
          <t xml:space="preserve">LAUREL TECHNOLOGIES PARTNERSHIP</t>
        </is>
      </c>
      <c r="F2645" s="0" t="inlineStr">
        <is>
          <t xml:space="preserve">psc:2090</t>
        </is>
      </c>
    </row>
    <row r="2646">
      <c r="B2646" s="0" t="inlineStr">
        <is>
          <t xml:space="preserve">N0018915PZ486</t>
        </is>
      </c>
      <c r="C2646" s="0" t="inlineStr">
        <is>
          <t xml:space="preserve">small_craft</t>
        </is>
      </c>
      <c r="D2646" s="4">
        <v>0.498</v>
      </c>
      <c r="E2646" s="0" t="inlineStr">
        <is>
          <t xml:space="preserve">OFFSHORE SAILING SCHOOL, LTD., INC.</t>
        </is>
      </c>
      <c r="F2646" s="0" t="inlineStr">
        <is>
          <t xml:space="preserve">naics:336612; psc:1940</t>
        </is>
      </c>
    </row>
    <row r="2647">
      <c r="B2647" s="0" t="inlineStr">
        <is>
          <t xml:space="preserve">N5523624F9971</t>
        </is>
      </c>
      <c r="C2647" s="0" t="inlineStr">
        <is>
          <t xml:space="preserve">broad_maritime</t>
        </is>
      </c>
      <c r="D2647" s="4">
        <v>0.49791103000000003</v>
      </c>
      <c r="E2647" s="0" t="inlineStr">
        <is>
          <t xml:space="preserve">HII FLEET SUPPORT GROUP LLC</t>
        </is>
      </c>
      <c r="F2647" s="0" t="inlineStr">
        <is>
          <t xml:space="preserve">psc:1905</t>
        </is>
      </c>
    </row>
    <row r="2648">
      <c r="B2648" s="0" t="inlineStr">
        <is>
          <t xml:space="preserve">N0002424F22A1</t>
        </is>
      </c>
      <c r="C2648" s="0" t="inlineStr">
        <is>
          <t xml:space="preserve">small_craft</t>
        </is>
      </c>
      <c r="D2648" s="4">
        <v>0.4974863</v>
      </c>
      <c r="E2648" s="0" t="inlineStr">
        <is>
          <t xml:space="preserve">LAKE ASSAULT BOATS, LLC</t>
        </is>
      </c>
      <c r="F2648" s="0" t="inlineStr">
        <is>
          <t xml:space="preserve">naics:336612; psc:1940</t>
        </is>
      </c>
    </row>
    <row r="2649">
      <c r="B2649" s="0" t="inlineStr">
        <is>
          <t xml:space="preserve">W31P4Q22F0172</t>
        </is>
      </c>
      <c r="C2649" s="0" t="inlineStr">
        <is>
          <t xml:space="preserve">usv_core</t>
        </is>
      </c>
      <c r="D2649" s="4">
        <v>0.49569599999999997</v>
      </c>
      <c r="E2649" s="0" t="inlineStr">
        <is>
          <t xml:space="preserve">GEORGIA TECH APPLIED RESEARCH CORP</t>
        </is>
      </c>
      <c r="F2649" s="0" t="inlineStr">
        <is>
          <t xml:space="preserve">keyword</t>
        </is>
      </c>
    </row>
    <row r="2650">
      <c r="B2650" s="0" t="inlineStr">
        <is>
          <t xml:space="preserve">N0010424PNB25</t>
        </is>
      </c>
      <c r="C2650" s="0" t="inlineStr">
        <is>
          <t xml:space="preserve">broad_maritime</t>
        </is>
      </c>
      <c r="D2650" s="4">
        <v>0.49545</v>
      </c>
      <c r="E2650" s="0" t="inlineStr">
        <is>
          <t xml:space="preserve">MARINE POLYMERS, INC</t>
        </is>
      </c>
      <c r="F2650" s="0" t="inlineStr">
        <is>
          <t xml:space="preserve">psc:2090</t>
        </is>
      </c>
    </row>
    <row r="2651">
      <c r="B2651" s="0" t="inlineStr">
        <is>
          <t xml:space="preserve">N3220521P2143</t>
        </is>
      </c>
      <c r="C2651" s="0" t="inlineStr">
        <is>
          <t xml:space="preserve">broad_maritime</t>
        </is>
      </c>
      <c r="D2651" s="4">
        <v>0.49516425</v>
      </c>
      <c r="E2651" s="0" t="inlineStr">
        <is>
          <t xml:space="preserve">FAIRBANKS MORSE, LLC</t>
        </is>
      </c>
      <c r="F2651" s="0" t="inlineStr">
        <is>
          <t xml:space="preserve">psc:2090</t>
        </is>
      </c>
    </row>
    <row r="2652">
      <c r="B2652" s="0" t="inlineStr">
        <is>
          <t xml:space="preserve">N3220514P3021</t>
        </is>
      </c>
      <c r="C2652" s="0" t="inlineStr">
        <is>
          <t xml:space="preserve">broad_maritime</t>
        </is>
      </c>
      <c r="D2652" s="4">
        <v>0.494554</v>
      </c>
      <c r="E2652" s="0" t="inlineStr">
        <is>
          <t xml:space="preserve">WRM, INC</t>
        </is>
      </c>
      <c r="F2652" s="0" t="inlineStr">
        <is>
          <t xml:space="preserve">psc:2090</t>
        </is>
      </c>
    </row>
    <row r="2653">
      <c r="B2653" s="0" t="inlineStr">
        <is>
          <t xml:space="preserve">N0010426PYA29</t>
        </is>
      </c>
      <c r="C2653" s="0" t="inlineStr">
        <is>
          <t xml:space="preserve">small_craft</t>
        </is>
      </c>
      <c r="D2653" s="4">
        <v>0.49412</v>
      </c>
      <c r="E2653" s="0" t="inlineStr">
        <is>
          <t xml:space="preserve">DURAMAX MARINE, LLC</t>
        </is>
      </c>
      <c r="F2653" s="0" t="inlineStr">
        <is>
          <t xml:space="preserve">naics:336612</t>
        </is>
      </c>
    </row>
    <row r="2654">
      <c r="B2654" s="0" t="inlineStr">
        <is>
          <t xml:space="preserve">N6883622P0258</t>
        </is>
      </c>
      <c r="C2654" s="0" t="inlineStr">
        <is>
          <t xml:space="preserve">broad_maritime</t>
        </is>
      </c>
      <c r="D2654" s="4">
        <v>0.49402415999999993</v>
      </c>
      <c r="E2654" s="0" t="inlineStr">
        <is>
          <t xml:space="preserve">JERED LLC</t>
        </is>
      </c>
      <c r="F2654" s="0" t="inlineStr">
        <is>
          <t xml:space="preserve">psc:1905</t>
        </is>
      </c>
    </row>
    <row r="2655">
      <c r="B2655" s="0" t="inlineStr">
        <is>
          <t xml:space="preserve">N3220520P6023</t>
        </is>
      </c>
      <c r="C2655" s="0" t="inlineStr">
        <is>
          <t xml:space="preserve">broad_maritime</t>
        </is>
      </c>
      <c r="D2655" s="4">
        <v>0.49374956</v>
      </c>
      <c r="E2655" s="0" t="inlineStr">
        <is>
          <t xml:space="preserve">FASSMER SERVICE AMERICA LLC</t>
        </is>
      </c>
      <c r="F2655" s="0" t="inlineStr">
        <is>
          <t xml:space="preserve">psc:2090</t>
        </is>
      </c>
    </row>
    <row r="2656">
      <c r="B2656" s="0" t="inlineStr">
        <is>
          <t xml:space="preserve">N0017317P2006</t>
        </is>
      </c>
      <c r="C2656" s="0" t="inlineStr">
        <is>
          <t xml:space="preserve">small_craft</t>
        </is>
      </c>
      <c r="D2656" s="4">
        <v>0.49209699999999995</v>
      </c>
      <c r="E2656" s="0" t="inlineStr">
        <is>
          <t xml:space="preserve">TELEDYNE INSTRUMENTS, INC.</t>
        </is>
      </c>
      <c r="F2656" s="0" t="inlineStr">
        <is>
          <t xml:space="preserve">psc:1940</t>
        </is>
      </c>
    </row>
    <row r="2657">
      <c r="B2657" s="0" t="inlineStr">
        <is>
          <t xml:space="preserve">N0010416PFG21</t>
        </is>
      </c>
      <c r="C2657" s="0" t="inlineStr">
        <is>
          <t xml:space="preserve">small_craft</t>
        </is>
      </c>
      <c r="D2657" s="4">
        <v>0.49039562</v>
      </c>
      <c r="E2657" s="0" t="inlineStr">
        <is>
          <t xml:space="preserve">ROLLS-ROYCE MARINE NORTH AMERICA INC.</t>
        </is>
      </c>
      <c r="F2657" s="0" t="inlineStr">
        <is>
          <t xml:space="preserve">naics:336612</t>
        </is>
      </c>
    </row>
    <row r="2658">
      <c r="B2658" s="0" t="inlineStr">
        <is>
          <t xml:space="preserve">N0010424PLD29</t>
        </is>
      </c>
      <c r="C2658" s="0" t="inlineStr">
        <is>
          <t xml:space="preserve">small_craft</t>
        </is>
      </c>
      <c r="D2658" s="4">
        <v>0.49027615999999996</v>
      </c>
      <c r="E2658" s="0" t="inlineStr">
        <is>
          <t xml:space="preserve">AEF-PERFORMANCE LLC</t>
        </is>
      </c>
      <c r="F2658" s="0" t="inlineStr">
        <is>
          <t xml:space="preserve">naics:336612; psc:1940</t>
        </is>
      </c>
    </row>
    <row r="2659">
      <c r="B2659" s="0" t="inlineStr">
        <is>
          <t xml:space="preserve">N5005421P0156</t>
        </is>
      </c>
      <c r="C2659" s="0" t="inlineStr">
        <is>
          <t xml:space="preserve">broad_maritime</t>
        </is>
      </c>
      <c r="D2659" s="4">
        <v>0.49011335999999994</v>
      </c>
      <c r="E2659" s="0" t="inlineStr">
        <is>
          <t xml:space="preserve">CARTER MACHINERY COMPANY, INCORPORATED</t>
        </is>
      </c>
      <c r="F2659" s="0" t="inlineStr">
        <is>
          <t xml:space="preserve">psc:2090</t>
        </is>
      </c>
    </row>
    <row r="2660">
      <c r="B2660" s="0" t="inlineStr">
        <is>
          <t xml:space="preserve">N3220515P1329</t>
        </is>
      </c>
      <c r="C2660" s="0" t="inlineStr">
        <is>
          <t xml:space="preserve">broad_maritime</t>
        </is>
      </c>
      <c r="D2660" s="4">
        <v>0.48959953999999994</v>
      </c>
      <c r="E2660" s="0" t="inlineStr">
        <is>
          <t xml:space="preserve">GEISLINGER CORPORATION</t>
        </is>
      </c>
      <c r="F2660" s="0" t="inlineStr">
        <is>
          <t xml:space="preserve">psc:2090</t>
        </is>
      </c>
    </row>
    <row r="2661">
      <c r="B2661" s="0" t="inlineStr">
        <is>
          <t xml:space="preserve">N0002425F22B3</t>
        </is>
      </c>
      <c r="C2661" s="0" t="inlineStr">
        <is>
          <t xml:space="preserve">small_craft</t>
        </is>
      </c>
      <c r="D2661" s="4">
        <v>0.4894522</v>
      </c>
      <c r="E2661" s="0" t="inlineStr">
        <is>
          <t xml:space="preserve">METALCRAFT MARINE US, INC.</t>
        </is>
      </c>
      <c r="F2661" s="0" t="inlineStr">
        <is>
          <t xml:space="preserve">naics:336612; psc:1940</t>
        </is>
      </c>
    </row>
    <row r="2662">
      <c r="B2662" s="0" t="inlineStr">
        <is>
          <t xml:space="preserve">N3220519P6507</t>
        </is>
      </c>
      <c r="C2662" s="0" t="inlineStr">
        <is>
          <t xml:space="preserve">broad_maritime</t>
        </is>
      </c>
      <c r="D2662" s="4">
        <v>0.489038</v>
      </c>
      <c r="E2662" s="0" t="inlineStr">
        <is>
          <t xml:space="preserve">WACO PRODUCTS, INC</t>
        </is>
      </c>
      <c r="F2662" s="0" t="inlineStr">
        <is>
          <t xml:space="preserve">psc:2090</t>
        </is>
      </c>
    </row>
    <row r="2663">
      <c r="B2663" s="0" t="inlineStr">
        <is>
          <t xml:space="preserve">N0002421C2254</t>
        </is>
      </c>
      <c r="C2663" s="0" t="inlineStr">
        <is>
          <t xml:space="preserve">small_craft</t>
        </is>
      </c>
      <c r="D2663" s="4">
        <v>0.48897315</v>
      </c>
      <c r="E2663" s="0" t="inlineStr">
        <is>
          <t xml:space="preserve">ZODIAC OF NORTH AMERICA, INC.</t>
        </is>
      </c>
      <c r="F2663" s="0" t="inlineStr">
        <is>
          <t xml:space="preserve">naics:336612; psc:1940</t>
        </is>
      </c>
    </row>
    <row r="2664">
      <c r="B2664" s="0" t="inlineStr">
        <is>
          <t xml:space="preserve">N0010421PNA04</t>
        </is>
      </c>
      <c r="C2664" s="0" t="inlineStr">
        <is>
          <t xml:space="preserve">small_craft</t>
        </is>
      </c>
      <c r="D2664" s="4">
        <v>0.4875</v>
      </c>
      <c r="E2664" s="0" t="inlineStr">
        <is>
          <t xml:space="preserve">CONTROL COMPONENTS INC.</t>
        </is>
      </c>
      <c r="F2664" s="0" t="inlineStr">
        <is>
          <t xml:space="preserve">naics:336612</t>
        </is>
      </c>
    </row>
    <row r="2665">
      <c r="B2665" s="0" t="inlineStr">
        <is>
          <t xml:space="preserve">N3220518P6666</t>
        </is>
      </c>
      <c r="C2665" s="0" t="inlineStr">
        <is>
          <t xml:space="preserve">broad_maritime</t>
        </is>
      </c>
      <c r="D2665" s="4">
        <v>0.48543</v>
      </c>
      <c r="E2665" s="0" t="inlineStr">
        <is>
          <t xml:space="preserve">KONGSBERG DISCOVERY US, LLC</t>
        </is>
      </c>
      <c r="F2665" s="0" t="inlineStr">
        <is>
          <t xml:space="preserve">psc:2090</t>
        </is>
      </c>
    </row>
    <row r="2666">
      <c r="B2666" s="0" t="inlineStr">
        <is>
          <t xml:space="preserve">N3220523F1612</t>
        </is>
      </c>
      <c r="C2666" s="0" t="inlineStr">
        <is>
          <t xml:space="preserve">broad_maritime</t>
        </is>
      </c>
      <c r="D2666" s="4">
        <v>0.48503440999999997</v>
      </c>
      <c r="E2666" s="0" t="inlineStr">
        <is>
          <t xml:space="preserve">CIRCOR NAVAL SOLUTIONS LLC</t>
        </is>
      </c>
      <c r="F2666" s="0" t="inlineStr">
        <is>
          <t xml:space="preserve">psc:2090</t>
        </is>
      </c>
    </row>
    <row r="2667">
      <c r="B2667" s="0" t="inlineStr">
        <is>
          <t xml:space="preserve">N0003920F0185</t>
        </is>
      </c>
      <c r="C2667" s="0" t="inlineStr">
        <is>
          <t xml:space="preserve">small_craft</t>
        </is>
      </c>
      <c r="D2667" s="4">
        <v>0.484232</v>
      </c>
      <c r="E2667" s="0" t="inlineStr">
        <is>
          <t xml:space="preserve">HII UNMANNED SYSTEMS, INC</t>
        </is>
      </c>
      <c r="F2667" s="0" t="inlineStr">
        <is>
          <t xml:space="preserve">psc:1940</t>
        </is>
      </c>
    </row>
    <row r="2668">
      <c r="B2668" s="0" t="inlineStr">
        <is>
          <t xml:space="preserve">N3220522F4017</t>
        </is>
      </c>
      <c r="C2668" s="0" t="inlineStr">
        <is>
          <t xml:space="preserve">broad_maritime</t>
        </is>
      </c>
      <c r="D2668" s="4">
        <v>0.4842037</v>
      </c>
      <c r="E2668" s="0" t="inlineStr">
        <is>
          <t xml:space="preserve">CIRCOR NAVAL SOLUTIONS LLC</t>
        </is>
      </c>
      <c r="F2668" s="0" t="inlineStr">
        <is>
          <t xml:space="preserve">psc:2090</t>
        </is>
      </c>
    </row>
    <row r="2669">
      <c r="B2669" s="0" t="inlineStr">
        <is>
          <t xml:space="preserve">N6449822F4177</t>
        </is>
      </c>
      <c r="C2669" s="0" t="inlineStr">
        <is>
          <t xml:space="preserve">broad_maritime</t>
        </is>
      </c>
      <c r="D2669" s="4">
        <v>0.48410544</v>
      </c>
      <c r="E2669" s="0" t="inlineStr">
        <is>
          <t xml:space="preserve">LEIDOS, INC.</t>
        </is>
      </c>
      <c r="F2669" s="0" t="inlineStr">
        <is>
          <t xml:space="preserve">psc:2090</t>
        </is>
      </c>
    </row>
    <row r="2670">
      <c r="B2670" s="0" t="inlineStr">
        <is>
          <t xml:space="preserve">N3220521P2264</t>
        </is>
      </c>
      <c r="C2670" s="0" t="inlineStr">
        <is>
          <t xml:space="preserve">broad_maritime</t>
        </is>
      </c>
      <c r="D2670" s="4">
        <v>0.48353833</v>
      </c>
      <c r="E2670" s="0" t="inlineStr">
        <is>
          <t xml:space="preserve">FAIRBANKS MORSE, LLC</t>
        </is>
      </c>
      <c r="F2670" s="0" t="inlineStr">
        <is>
          <t xml:space="preserve">psc:2090</t>
        </is>
      </c>
    </row>
    <row r="2671">
      <c r="B2671" s="0" t="inlineStr">
        <is>
          <t xml:space="preserve">N0010420PDA82</t>
        </is>
      </c>
      <c r="C2671" s="0" t="inlineStr">
        <is>
          <t xml:space="preserve">small_craft</t>
        </is>
      </c>
      <c r="D2671" s="4">
        <v>0.48263079999999997</v>
      </c>
      <c r="E2671" s="0" t="inlineStr">
        <is>
          <t xml:space="preserve">WILDCAT PROPELLERS, INC</t>
        </is>
      </c>
      <c r="F2671" s="0" t="inlineStr">
        <is>
          <t xml:space="preserve">naics:336612</t>
        </is>
      </c>
    </row>
    <row r="2672">
      <c r="B2672" s="0" t="inlineStr">
        <is>
          <t xml:space="preserve">N0010420PDA81</t>
        </is>
      </c>
      <c r="C2672" s="0" t="inlineStr">
        <is>
          <t xml:space="preserve">small_craft</t>
        </is>
      </c>
      <c r="D2672" s="4">
        <v>0.48263079999999997</v>
      </c>
      <c r="E2672" s="0" t="inlineStr">
        <is>
          <t xml:space="preserve">WILDCAT PROPELLERS, INC</t>
        </is>
      </c>
      <c r="F2672" s="0" t="inlineStr">
        <is>
          <t xml:space="preserve">naics:336612</t>
        </is>
      </c>
    </row>
    <row r="2673">
      <c r="B2673" s="0" t="inlineStr">
        <is>
          <t xml:space="preserve">N3220517P4024</t>
        </is>
      </c>
      <c r="C2673" s="0" t="inlineStr">
        <is>
          <t xml:space="preserve">broad_maritime</t>
        </is>
      </c>
      <c r="D2673" s="4">
        <v>0.482131</v>
      </c>
      <c r="E2673" s="0" t="inlineStr">
        <is>
          <t xml:space="preserve">NOLNACS MARINE LLC</t>
        </is>
      </c>
      <c r="F2673" s="0" t="inlineStr">
        <is>
          <t xml:space="preserve">psc:2090</t>
        </is>
      </c>
    </row>
    <row r="2674">
      <c r="B2674" s="0" t="inlineStr">
        <is>
          <t xml:space="preserve">N5523625P0009</t>
        </is>
      </c>
      <c r="C2674" s="0" t="inlineStr">
        <is>
          <t xml:space="preserve">broad_maritime</t>
        </is>
      </c>
      <c r="D2674" s="4">
        <v>0.48111856999999997</v>
      </c>
      <c r="E2674" s="0" t="inlineStr">
        <is>
          <t xml:space="preserve">FAIRBANKS MORSE, LLC</t>
        </is>
      </c>
      <c r="F2674" s="0" t="inlineStr">
        <is>
          <t xml:space="preserve">psc:2090</t>
        </is>
      </c>
    </row>
    <row r="2675">
      <c r="B2675" s="0" t="inlineStr">
        <is>
          <t xml:space="preserve">N0010423PND95</t>
        </is>
      </c>
      <c r="C2675" s="0" t="inlineStr">
        <is>
          <t xml:space="preserve">small_craft</t>
        </is>
      </c>
      <c r="D2675" s="4">
        <v>0.481104</v>
      </c>
      <c r="E2675" s="0" t="inlineStr">
        <is>
          <t xml:space="preserve">GK MECHANICAL SYSTEMS LLC</t>
        </is>
      </c>
      <c r="F2675" s="0" t="inlineStr">
        <is>
          <t xml:space="preserve">naics:336612</t>
        </is>
      </c>
    </row>
    <row r="2676">
      <c r="B2676" s="0" t="inlineStr">
        <is>
          <t xml:space="preserve">N6449825F4528</t>
        </is>
      </c>
      <c r="C2676" s="0" t="inlineStr">
        <is>
          <t xml:space="preserve">broad_maritime</t>
        </is>
      </c>
      <c r="D2676" s="4">
        <v>0.4801175</v>
      </c>
      <c r="E2676" s="0" t="inlineStr">
        <is>
          <t xml:space="preserve">OCEANEERING INTERNATIONAL INC</t>
        </is>
      </c>
      <c r="F2676" s="0" t="inlineStr">
        <is>
          <t xml:space="preserve">psc:1905</t>
        </is>
      </c>
    </row>
    <row r="2677">
      <c r="B2677" s="0" t="inlineStr">
        <is>
          <t xml:space="preserve">N6817123F0014</t>
        </is>
      </c>
      <c r="C2677" s="0" t="inlineStr">
        <is>
          <t xml:space="preserve">broad_maritime</t>
        </is>
      </c>
      <c r="D2677" s="4">
        <v>0.47990737</v>
      </c>
      <c r="E2677" s="0" t="inlineStr">
        <is>
          <t xml:space="preserve">ROLLS-ROYCE SOLUTIONS AMERICA INC</t>
        </is>
      </c>
      <c r="F2677" s="0" t="inlineStr">
        <is>
          <t xml:space="preserve">psc:2090</t>
        </is>
      </c>
    </row>
    <row r="2678">
      <c r="B2678" s="0" t="inlineStr">
        <is>
          <t xml:space="preserve">N0018926PL037</t>
        </is>
      </c>
      <c r="C2678" s="0" t="inlineStr">
        <is>
          <t xml:space="preserve">broad_maritime</t>
        </is>
      </c>
      <c r="D2678" s="4">
        <v>0.4798114</v>
      </c>
      <c r="E2678" s="0" t="inlineStr">
        <is>
          <t xml:space="preserve">VALKYRIE ENTERPRISES, LLC</t>
        </is>
      </c>
      <c r="F2678" s="0" t="inlineStr">
        <is>
          <t xml:space="preserve">psc:2090</t>
        </is>
      </c>
    </row>
    <row r="2679">
      <c r="B2679" s="0" t="inlineStr">
        <is>
          <t xml:space="preserve">N0002417F22E1</t>
        </is>
      </c>
      <c r="C2679" s="0" t="inlineStr">
        <is>
          <t xml:space="preserve">small_craft</t>
        </is>
      </c>
      <c r="D2679" s="4">
        <v>0.47920672999999997</v>
      </c>
      <c r="E2679" s="0" t="inlineStr">
        <is>
          <t xml:space="preserve">SILVER SHIPS, INC</t>
        </is>
      </c>
      <c r="F2679" s="0" t="inlineStr">
        <is>
          <t xml:space="preserve">naics:336612; psc:1940</t>
        </is>
      </c>
    </row>
    <row r="2680">
      <c r="B2680" s="0" t="inlineStr">
        <is>
          <t xml:space="preserve">7F02</t>
        </is>
      </c>
      <c r="C2680" s="0" t="inlineStr">
        <is>
          <t xml:space="preserve">broad_maritime</t>
        </is>
      </c>
      <c r="D2680" s="4">
        <v>0.478583</v>
      </c>
      <c r="E2680" s="0" t="inlineStr">
        <is>
          <t xml:space="preserve">AUSTAL USA, LLC</t>
        </is>
      </c>
      <c r="F2680" s="0" t="inlineStr">
        <is>
          <t xml:space="preserve">psc:1905</t>
        </is>
      </c>
    </row>
    <row r="2681">
      <c r="B2681" s="0" t="inlineStr">
        <is>
          <t xml:space="preserve">N0003924F1036</t>
        </is>
      </c>
      <c r="C2681" s="0" t="inlineStr">
        <is>
          <t xml:space="preserve">small_craft</t>
        </is>
      </c>
      <c r="D2681" s="4">
        <v>0.47827852</v>
      </c>
      <c r="E2681" s="0" t="inlineStr">
        <is>
          <t xml:space="preserve">TELEDYNE BROWN ENGINEERING, INC.</t>
        </is>
      </c>
      <c r="F2681" s="0" t="inlineStr">
        <is>
          <t xml:space="preserve">psc:1940</t>
        </is>
      </c>
    </row>
    <row r="2682">
      <c r="B2682" s="0" t="inlineStr">
        <is>
          <t xml:space="preserve">N3220516P4339</t>
        </is>
      </c>
      <c r="C2682" s="0" t="inlineStr">
        <is>
          <t xml:space="preserve">broad_maritime</t>
        </is>
      </c>
      <c r="D2682" s="4">
        <v>0.47797999999999996</v>
      </c>
      <c r="E2682" s="0" t="inlineStr">
        <is>
          <t xml:space="preserve">VALVE AUTOMATION AND CONTROL OF SAN DIEGO</t>
        </is>
      </c>
      <c r="F2682" s="0" t="inlineStr">
        <is>
          <t xml:space="preserve">psc:2090</t>
        </is>
      </c>
    </row>
    <row r="2683">
      <c r="B2683" s="0" t="inlineStr">
        <is>
          <t xml:space="preserve">N0040625C0011</t>
        </is>
      </c>
      <c r="C2683" s="0" t="inlineStr">
        <is>
          <t xml:space="preserve">broad_maritime</t>
        </is>
      </c>
      <c r="D2683" s="4">
        <v>0.47276999999999997</v>
      </c>
      <c r="E2683" s="0" t="inlineStr">
        <is>
          <t xml:space="preserve">SPEC-BUILT SYSTEMS, INC.</t>
        </is>
      </c>
      <c r="F2683" s="0" t="inlineStr">
        <is>
          <t xml:space="preserve">psc:2090</t>
        </is>
      </c>
    </row>
    <row r="2684">
      <c r="B2684" s="0" t="inlineStr">
        <is>
          <t xml:space="preserve">N3220515P1382</t>
        </is>
      </c>
      <c r="C2684" s="0" t="inlineStr">
        <is>
          <t xml:space="preserve">broad_maritime</t>
        </is>
      </c>
      <c r="D2684" s="4">
        <v>0.47200748</v>
      </c>
      <c r="E2684" s="0" t="inlineStr">
        <is>
          <t xml:space="preserve">LAKE SHORE SYSTEMS, INC.</t>
        </is>
      </c>
      <c r="F2684" s="0" t="inlineStr">
        <is>
          <t xml:space="preserve">psc:2090</t>
        </is>
      </c>
    </row>
    <row r="2685">
      <c r="B2685" s="0" t="inlineStr">
        <is>
          <t xml:space="preserve">N0002424F4113</t>
        </is>
      </c>
      <c r="C2685" s="0" t="inlineStr">
        <is>
          <t xml:space="preserve">broad_maritime</t>
        </is>
      </c>
      <c r="D2685" s="4">
        <v>0.470871</v>
      </c>
      <c r="E2685" s="0" t="inlineStr">
        <is>
          <t xml:space="preserve">HEXAGON US FEDERAL, INC</t>
        </is>
      </c>
      <c r="F2685" s="0" t="inlineStr">
        <is>
          <t xml:space="preserve">psc:2090</t>
        </is>
      </c>
    </row>
    <row r="2686">
      <c r="B2686" s="0" t="inlineStr">
        <is>
          <t xml:space="preserve">N6279326PA003</t>
        </is>
      </c>
      <c r="C2686" s="0" t="inlineStr">
        <is>
          <t xml:space="preserve">broad_maritime</t>
        </is>
      </c>
      <c r="D2686" s="4">
        <v>0.47076172999999993</v>
      </c>
      <c r="E2686" s="0" t="inlineStr">
        <is>
          <t xml:space="preserve">J. F. BRENNAN COMPANY, INC.</t>
        </is>
      </c>
      <c r="F2686" s="0" t="inlineStr">
        <is>
          <t xml:space="preserve">psc:2090</t>
        </is>
      </c>
    </row>
    <row r="2687">
      <c r="B2687" s="0" t="inlineStr">
        <is>
          <t xml:space="preserve">N3220519F4100</t>
        </is>
      </c>
      <c r="C2687" s="0" t="inlineStr">
        <is>
          <t xml:space="preserve">other_small</t>
        </is>
      </c>
      <c r="D2687" s="4">
        <v>0.47061979</v>
      </c>
      <c r="E2687" s="0" t="inlineStr">
        <is>
          <t xml:space="preserve">LAKE SHORE SYSTEMS, INC.</t>
        </is>
      </c>
      <c r="F2687" s="0" t="inlineStr">
        <is>
          <t xml:space="preserve">psc:1990</t>
        </is>
      </c>
    </row>
    <row r="2688">
      <c r="B2688" s="0" t="inlineStr">
        <is>
          <t xml:space="preserve">0004</t>
        </is>
      </c>
      <c r="C2688" s="0" t="inlineStr">
        <is>
          <t xml:space="preserve">broad_maritime</t>
        </is>
      </c>
      <c r="D2688" s="4">
        <v>0.47042399999999995</v>
      </c>
      <c r="E2688" s="0" t="inlineStr">
        <is>
          <t xml:space="preserve">LEIDOS, INC.</t>
        </is>
      </c>
      <c r="F2688" s="0" t="inlineStr">
        <is>
          <t xml:space="preserve">psc:2090</t>
        </is>
      </c>
    </row>
    <row r="2689">
      <c r="B2689" s="0" t="inlineStr">
        <is>
          <t xml:space="preserve">N0002419C2206</t>
        </is>
      </c>
      <c r="C2689" s="0" t="inlineStr">
        <is>
          <t xml:space="preserve">small_craft</t>
        </is>
      </c>
      <c r="D2689" s="4">
        <v>0.47006603</v>
      </c>
      <c r="E2689" s="0" t="inlineStr">
        <is>
          <t xml:space="preserve">ZODIAC OF NORTH AMERICA, INC.</t>
        </is>
      </c>
      <c r="F2689" s="0" t="inlineStr">
        <is>
          <t xml:space="preserve">naics:336612; psc:1940</t>
        </is>
      </c>
    </row>
    <row r="2690">
      <c r="B2690" s="0" t="inlineStr">
        <is>
          <t xml:space="preserve">N3220521F1243</t>
        </is>
      </c>
      <c r="C2690" s="0" t="inlineStr">
        <is>
          <t xml:space="preserve">broad_maritime</t>
        </is>
      </c>
      <c r="D2690" s="4">
        <v>0.46847091999999996</v>
      </c>
      <c r="E2690" s="0" t="inlineStr">
        <is>
          <t xml:space="preserve">ROLLS-ROYCE SOLUTIONS AMERICA INC</t>
        </is>
      </c>
      <c r="F2690" s="0" t="inlineStr">
        <is>
          <t xml:space="preserve">psc:2090</t>
        </is>
      </c>
    </row>
    <row r="2691">
      <c r="B2691" s="0" t="inlineStr">
        <is>
          <t xml:space="preserve">N3220521F1149</t>
        </is>
      </c>
      <c r="C2691" s="0" t="inlineStr">
        <is>
          <t xml:space="preserve">broad_maritime</t>
        </is>
      </c>
      <c r="D2691" s="4">
        <v>0.4682984</v>
      </c>
      <c r="E2691" s="0" t="inlineStr">
        <is>
          <t xml:space="preserve">AUSTAL USA, LLC</t>
        </is>
      </c>
      <c r="F2691" s="0" t="inlineStr">
        <is>
          <t xml:space="preserve">psc:2090</t>
        </is>
      </c>
    </row>
    <row r="2692">
      <c r="B2692" s="0" t="inlineStr">
        <is>
          <t xml:space="preserve">N0002424F22A4</t>
        </is>
      </c>
      <c r="C2692" s="0" t="inlineStr">
        <is>
          <t xml:space="preserve">small_craft</t>
        </is>
      </c>
      <c r="D2692" s="4">
        <v>0.46725122999999996</v>
      </c>
      <c r="E2692" s="0" t="inlineStr">
        <is>
          <t xml:space="preserve">METALCRAFT MARINE US, INC.</t>
        </is>
      </c>
      <c r="F2692" s="0" t="inlineStr">
        <is>
          <t xml:space="preserve">naics:336612; psc:1940</t>
        </is>
      </c>
    </row>
    <row r="2693">
      <c r="B2693" s="0" t="inlineStr">
        <is>
          <t xml:space="preserve">N3220517P4006</t>
        </is>
      </c>
      <c r="C2693" s="0" t="inlineStr">
        <is>
          <t xml:space="preserve">broad_maritime</t>
        </is>
      </c>
      <c r="D2693" s="4">
        <v>0.46648599999999996</v>
      </c>
      <c r="E2693" s="0" t="inlineStr">
        <is>
          <t xml:space="preserve">CIRCOR NAVAL SOLUTIONS LLC</t>
        </is>
      </c>
      <c r="F2693" s="0" t="inlineStr">
        <is>
          <t xml:space="preserve">psc:2090</t>
        </is>
      </c>
    </row>
    <row r="2694">
      <c r="B2694" s="0" t="inlineStr">
        <is>
          <t xml:space="preserve">0006</t>
        </is>
      </c>
      <c r="C2694" s="0" t="inlineStr">
        <is>
          <t xml:space="preserve">other_small</t>
        </is>
      </c>
      <c r="D2694" s="4">
        <v>0.46632199999999996</v>
      </c>
      <c r="E2694" s="0" t="inlineStr">
        <is>
          <t xml:space="preserve">OCEANEERING INTERNATIONAL INC</t>
        </is>
      </c>
      <c r="F2694" s="0" t="inlineStr">
        <is>
          <t xml:space="preserve">psc:1990</t>
        </is>
      </c>
    </row>
    <row r="2695">
      <c r="B2695" s="0" t="inlineStr">
        <is>
          <t xml:space="preserve">N3220518C4318</t>
        </is>
      </c>
      <c r="C2695" s="0" t="inlineStr">
        <is>
          <t xml:space="preserve">broad_maritime</t>
        </is>
      </c>
      <c r="D2695" s="4">
        <v>0.46623499999999996</v>
      </c>
      <c r="E2695" s="0" t="inlineStr">
        <is>
          <t xml:space="preserve">PEERLESS MFG CO</t>
        </is>
      </c>
      <c r="F2695" s="0" t="inlineStr">
        <is>
          <t xml:space="preserve">psc:2090</t>
        </is>
      </c>
    </row>
    <row r="2696">
      <c r="B2696" s="0" t="inlineStr">
        <is>
          <t xml:space="preserve">N6278918F0024</t>
        </is>
      </c>
      <c r="C2696" s="0" t="inlineStr">
        <is>
          <t xml:space="preserve">broad_maritime</t>
        </is>
      </c>
      <c r="D2696" s="4">
        <v>0.46604199999999996</v>
      </c>
      <c r="E2696" s="0" t="inlineStr">
        <is>
          <t xml:space="preserve">ELECTRIC BOAT CORPORATION</t>
        </is>
      </c>
      <c r="F2696" s="0" t="inlineStr">
        <is>
          <t xml:space="preserve">psc:1905</t>
        </is>
      </c>
    </row>
    <row r="2697">
      <c r="B2697" s="0" t="inlineStr">
        <is>
          <t xml:space="preserve">N0010421PND97</t>
        </is>
      </c>
      <c r="C2697" s="0" t="inlineStr">
        <is>
          <t xml:space="preserve">small_craft</t>
        </is>
      </c>
      <c r="D2697" s="4">
        <v>0.465788</v>
      </c>
      <c r="E2697" s="0" t="inlineStr">
        <is>
          <t xml:space="preserve">BAE SYSTEMS INFORMATION AND ELECTRONIC SYSTEMS INTEGRATION INC.</t>
        </is>
      </c>
      <c r="F2697" s="0" t="inlineStr">
        <is>
          <t xml:space="preserve">naics:336612</t>
        </is>
      </c>
    </row>
    <row r="2698">
      <c r="B2698" s="0" t="inlineStr">
        <is>
          <t xml:space="preserve">N0010424FY702</t>
        </is>
      </c>
      <c r="C2698" s="0" t="inlineStr">
        <is>
          <t xml:space="preserve">small_craft</t>
        </is>
      </c>
      <c r="D2698" s="4">
        <v>0.46503999999999995</v>
      </c>
      <c r="E2698" s="0" t="inlineStr">
        <is>
          <t xml:space="preserve">L3 TECHNOLOGIES, INC.</t>
        </is>
      </c>
      <c r="F2698" s="0" t="inlineStr">
        <is>
          <t xml:space="preserve">naics:336612</t>
        </is>
      </c>
    </row>
    <row r="2699">
      <c r="B2699" s="0" t="inlineStr">
        <is>
          <t xml:space="preserve">N3220522P0186</t>
        </is>
      </c>
      <c r="C2699" s="0" t="inlineStr">
        <is>
          <t xml:space="preserve">broad_maritime</t>
        </is>
      </c>
      <c r="D2699" s="4">
        <v>0.464765</v>
      </c>
      <c r="E2699" s="0" t="inlineStr">
        <is>
          <t xml:space="preserve">LAKE SHORE SYSTEMS, INC.</t>
        </is>
      </c>
      <c r="F2699" s="0" t="inlineStr">
        <is>
          <t xml:space="preserve">psc:2090</t>
        </is>
      </c>
    </row>
    <row r="2700">
      <c r="B2700" s="0" t="inlineStr">
        <is>
          <t xml:space="preserve">0009</t>
        </is>
      </c>
      <c r="C2700" s="0" t="inlineStr">
        <is>
          <t xml:space="preserve">other_small</t>
        </is>
      </c>
      <c r="D2700" s="4">
        <v>0.464535</v>
      </c>
      <c r="E2700" s="0" t="inlineStr">
        <is>
          <t xml:space="preserve">LOCKHEED MARTIN CORPORATION</t>
        </is>
      </c>
      <c r="F2700" s="0" t="inlineStr">
        <is>
          <t xml:space="preserve">psc:1990</t>
        </is>
      </c>
    </row>
    <row r="2701">
      <c r="B2701" s="0" t="inlineStr">
        <is>
          <t xml:space="preserve">N3220522F3498</t>
        </is>
      </c>
      <c r="C2701" s="0" t="inlineStr">
        <is>
          <t xml:space="preserve">broad_maritime</t>
        </is>
      </c>
      <c r="D2701" s="4">
        <v>0.46336174999999996</v>
      </c>
      <c r="E2701" s="0" t="inlineStr">
        <is>
          <t xml:space="preserve">CIRCOR NAVAL SOLUTIONS LLC</t>
        </is>
      </c>
      <c r="F2701" s="0" t="inlineStr">
        <is>
          <t xml:space="preserve">psc:2090</t>
        </is>
      </c>
    </row>
    <row r="2702">
      <c r="B2702" s="0" t="inlineStr">
        <is>
          <t xml:space="preserve">N3220517P4254</t>
        </is>
      </c>
      <c r="C2702" s="0" t="inlineStr">
        <is>
          <t xml:space="preserve">broad_maritime</t>
        </is>
      </c>
      <c r="D2702" s="4">
        <v>0.463296</v>
      </c>
      <c r="E2702" s="0" t="inlineStr">
        <is>
          <t xml:space="preserve">APPLETON MARINE INC</t>
        </is>
      </c>
      <c r="F2702" s="0" t="inlineStr">
        <is>
          <t xml:space="preserve">psc:2090</t>
        </is>
      </c>
    </row>
    <row r="2703">
      <c r="B2703" s="0" t="inlineStr">
        <is>
          <t xml:space="preserve">N0040623F0034</t>
        </is>
      </c>
      <c r="C2703" s="0" t="inlineStr">
        <is>
          <t xml:space="preserve">broad_maritime</t>
        </is>
      </c>
      <c r="D2703" s="4">
        <v>0.46302596</v>
      </c>
      <c r="E2703" s="0" t="inlineStr">
        <is>
          <t xml:space="preserve">DEFENSE MARITIME SOLUTIONS, INC.</t>
        </is>
      </c>
      <c r="F2703" s="0" t="inlineStr">
        <is>
          <t xml:space="preserve">psc:2090</t>
        </is>
      </c>
    </row>
    <row r="2704">
      <c r="B2704" s="0" t="inlineStr">
        <is>
          <t xml:space="preserve">N0010421PDD14</t>
        </is>
      </c>
      <c r="C2704" s="0" t="inlineStr">
        <is>
          <t xml:space="preserve">small_craft</t>
        </is>
      </c>
      <c r="D2704" s="4">
        <v>0.461555</v>
      </c>
      <c r="E2704" s="0" t="inlineStr">
        <is>
          <t xml:space="preserve">TIMKEN GEARS &amp; SERVICES INC.</t>
        </is>
      </c>
      <c r="F2704" s="0" t="inlineStr">
        <is>
          <t xml:space="preserve">naics:336612</t>
        </is>
      </c>
    </row>
    <row r="2705">
      <c r="B2705" s="0" t="inlineStr">
        <is>
          <t xml:space="preserve">N3220523F0189</t>
        </is>
      </c>
      <c r="C2705" s="0" t="inlineStr">
        <is>
          <t xml:space="preserve">broad_maritime</t>
        </is>
      </c>
      <c r="D2705" s="4">
        <v>0.46081</v>
      </c>
      <c r="E2705" s="0" t="inlineStr">
        <is>
          <t xml:space="preserve">FINCANTIERI MARINE SYSTEMS NORTH AMERICA, INC.</t>
        </is>
      </c>
      <c r="F2705" s="0" t="inlineStr">
        <is>
          <t xml:space="preserve">psc:2090</t>
        </is>
      </c>
    </row>
    <row r="2706">
      <c r="B2706" s="0" t="inlineStr">
        <is>
          <t xml:space="preserve">N0010425FY700</t>
        </is>
      </c>
      <c r="C2706" s="0" t="inlineStr">
        <is>
          <t xml:space="preserve">small_craft</t>
        </is>
      </c>
      <c r="D2706" s="4">
        <v>0.46080503999999994</v>
      </c>
      <c r="E2706" s="0" t="inlineStr">
        <is>
          <t xml:space="preserve">L3 TECHNOLOGIES, INC.</t>
        </is>
      </c>
      <c r="F2706" s="0" t="inlineStr">
        <is>
          <t xml:space="preserve">naics:336612</t>
        </is>
      </c>
    </row>
    <row r="2707">
      <c r="B2707" s="0" t="inlineStr">
        <is>
          <t xml:space="preserve">0028</t>
        </is>
      </c>
      <c r="C2707" s="0" t="inlineStr">
        <is>
          <t xml:space="preserve">broad_maritime</t>
        </is>
      </c>
      <c r="D2707" s="4">
        <v>0.45964573999999997</v>
      </c>
      <c r="E2707" s="0" t="inlineStr">
        <is>
          <t xml:space="preserve">G. S. E. DYNAMICS, INC.</t>
        </is>
      </c>
      <c r="F2707" s="0" t="inlineStr">
        <is>
          <t xml:space="preserve">psc:2090</t>
        </is>
      </c>
    </row>
    <row r="2708">
      <c r="B2708" s="0" t="inlineStr">
        <is>
          <t xml:space="preserve">0007</t>
        </is>
      </c>
      <c r="C2708" s="0" t="inlineStr">
        <is>
          <t xml:space="preserve">broad_maritime</t>
        </is>
      </c>
      <c r="D2708" s="4">
        <v>0.45948138</v>
      </c>
      <c r="E2708" s="0" t="inlineStr">
        <is>
          <t xml:space="preserve">ROLLS-ROYCE SOLUTIONS AMERICA INC</t>
        </is>
      </c>
      <c r="F2708" s="0" t="inlineStr">
        <is>
          <t xml:space="preserve">psc:2090</t>
        </is>
      </c>
    </row>
    <row r="2709">
      <c r="B2709" s="0" t="inlineStr">
        <is>
          <t xml:space="preserve">N0010425PYB44</t>
        </is>
      </c>
      <c r="C2709" s="0" t="inlineStr">
        <is>
          <t xml:space="preserve">broad_maritime</t>
        </is>
      </c>
      <c r="D2709" s="4">
        <v>0.45882</v>
      </c>
      <c r="E2709" s="0" t="inlineStr">
        <is>
          <t xml:space="preserve">WESTLAND TECHNOLOGIES, INC.</t>
        </is>
      </c>
      <c r="F2709" s="0" t="inlineStr">
        <is>
          <t xml:space="preserve">psc:2090</t>
        </is>
      </c>
    </row>
    <row r="2710">
      <c r="B2710" s="0" t="inlineStr">
        <is>
          <t xml:space="preserve">N0016419F0209</t>
        </is>
      </c>
      <c r="C2710" s="0" t="inlineStr">
        <is>
          <t xml:space="preserve">small_craft</t>
        </is>
      </c>
      <c r="D2710" s="4">
        <v>0.45851411999999997</v>
      </c>
      <c r="E2710" s="0" t="inlineStr">
        <is>
          <t xml:space="preserve">ATLANTIC DIVING SUPPLY, INC.</t>
        </is>
      </c>
      <c r="F2710" s="0" t="inlineStr">
        <is>
          <t xml:space="preserve">psc:1940</t>
        </is>
      </c>
    </row>
    <row r="2711">
      <c r="B2711" s="0" t="inlineStr">
        <is>
          <t xml:space="preserve">N6133126F0020</t>
        </is>
      </c>
      <c r="C2711" s="0" t="inlineStr">
        <is>
          <t xml:space="preserve">broad_maritime</t>
        </is>
      </c>
      <c r="D2711" s="4">
        <v>0.45802984</v>
      </c>
      <c r="E2711" s="0" t="inlineStr">
        <is>
          <t xml:space="preserve">HII UNMANNED SYSTEMS, INC</t>
        </is>
      </c>
      <c r="F2711" s="0" t="inlineStr">
        <is>
          <t xml:space="preserve">psc:2090</t>
        </is>
      </c>
    </row>
    <row r="2712">
      <c r="B2712" s="0" t="inlineStr">
        <is>
          <t xml:space="preserve">N6133118F0197</t>
        </is>
      </c>
      <c r="C2712" s="0" t="inlineStr">
        <is>
          <t xml:space="preserve">broad_maritime</t>
        </is>
      </c>
      <c r="D2712" s="4">
        <v>0.45740483</v>
      </c>
      <c r="E2712" s="0" t="inlineStr">
        <is>
          <t xml:space="preserve">ATLANTIC DIVING SUPPLY, INC.</t>
        </is>
      </c>
      <c r="F2712" s="0" t="inlineStr">
        <is>
          <t xml:space="preserve">psc:2090</t>
        </is>
      </c>
    </row>
    <row r="2713">
      <c r="B2713" s="0" t="inlineStr">
        <is>
          <t xml:space="preserve">N5523625F9981</t>
        </is>
      </c>
      <c r="C2713" s="0" t="inlineStr">
        <is>
          <t xml:space="preserve">broad_maritime</t>
        </is>
      </c>
      <c r="D2713" s="4">
        <v>0.457095</v>
      </c>
      <c r="E2713" s="0" t="inlineStr">
        <is>
          <t xml:space="preserve">HII FLEET SUPPORT GROUP LLC</t>
        </is>
      </c>
      <c r="F2713" s="0" t="inlineStr">
        <is>
          <t xml:space="preserve">psc:1905</t>
        </is>
      </c>
    </row>
    <row r="2714">
      <c r="B2714" s="0" t="inlineStr">
        <is>
          <t xml:space="preserve">N3220518P4617</t>
        </is>
      </c>
      <c r="C2714" s="0" t="inlineStr">
        <is>
          <t xml:space="preserve">broad_maritime</t>
        </is>
      </c>
      <c r="D2714" s="4">
        <v>0.457088</v>
      </c>
      <c r="E2714" s="0" t="inlineStr">
        <is>
          <t xml:space="preserve">NORTHROP GRUMMAN SYSTEMS CORPORATION</t>
        </is>
      </c>
      <c r="F2714" s="0" t="inlineStr">
        <is>
          <t xml:space="preserve">psc:2090</t>
        </is>
      </c>
    </row>
    <row r="2715">
      <c r="B2715" s="0" t="inlineStr">
        <is>
          <t xml:space="preserve">N0010420PXB84</t>
        </is>
      </c>
      <c r="C2715" s="0" t="inlineStr">
        <is>
          <t xml:space="preserve">small_craft</t>
        </is>
      </c>
      <c r="D2715" s="4">
        <v>0.454823</v>
      </c>
      <c r="E2715" s="0" t="inlineStr">
        <is>
          <t xml:space="preserve">HENSOLDT INC</t>
        </is>
      </c>
      <c r="F2715" s="0" t="inlineStr">
        <is>
          <t xml:space="preserve">naics:336612</t>
        </is>
      </c>
    </row>
    <row r="2716">
      <c r="B2716" s="0" t="inlineStr">
        <is>
          <t xml:space="preserve">0005</t>
        </is>
      </c>
      <c r="C2716" s="0" t="inlineStr">
        <is>
          <t xml:space="preserve">broad_maritime</t>
        </is>
      </c>
      <c r="D2716" s="4">
        <v>0.45467340999999994</v>
      </c>
      <c r="E2716" s="0" t="inlineStr">
        <is>
          <t xml:space="preserve">L3 TECHNOLOGIES, INC.</t>
        </is>
      </c>
      <c r="F2716" s="0" t="inlineStr">
        <is>
          <t xml:space="preserve">psc:2090</t>
        </is>
      </c>
    </row>
    <row r="2717">
      <c r="B2717" s="0" t="inlineStr">
        <is>
          <t xml:space="preserve">N3220518P4002</t>
        </is>
      </c>
      <c r="C2717" s="0" t="inlineStr">
        <is>
          <t xml:space="preserve">broad_maritime</t>
        </is>
      </c>
      <c r="D2717" s="4">
        <v>0.45461027</v>
      </c>
      <c r="E2717" s="0" t="inlineStr">
        <is>
          <t xml:space="preserve">BAKER, LYMAN &amp; COMPANY, INC.</t>
        </is>
      </c>
      <c r="F2717" s="0" t="inlineStr">
        <is>
          <t xml:space="preserve">psc:2090</t>
        </is>
      </c>
    </row>
    <row r="2718">
      <c r="B2718" s="0" t="inlineStr">
        <is>
          <t xml:space="preserve">N3220517P4304</t>
        </is>
      </c>
      <c r="C2718" s="0" t="inlineStr">
        <is>
          <t xml:space="preserve">broad_maritime</t>
        </is>
      </c>
      <c r="D2718" s="4">
        <v>0.45458949</v>
      </c>
      <c r="E2718" s="0" t="inlineStr">
        <is>
          <t xml:space="preserve">FAIRBANKS MORSE, LLC</t>
        </is>
      </c>
      <c r="F2718" s="0" t="inlineStr">
        <is>
          <t xml:space="preserve">psc:2090</t>
        </is>
      </c>
    </row>
    <row r="2719">
      <c r="B2719" s="0" t="inlineStr">
        <is>
          <t xml:space="preserve">0002</t>
        </is>
      </c>
      <c r="C2719" s="0" t="inlineStr">
        <is>
          <t xml:space="preserve">broad_maritime</t>
        </is>
      </c>
      <c r="D2719" s="4">
        <v>0.45399999999999996</v>
      </c>
      <c r="E2719" s="0" t="inlineStr">
        <is>
          <t xml:space="preserve">NAG, LLC</t>
        </is>
      </c>
      <c r="F2719" s="0" t="inlineStr">
        <is>
          <t xml:space="preserve">psc:2090</t>
        </is>
      </c>
    </row>
    <row r="2720">
      <c r="B2720" s="0" t="inlineStr">
        <is>
          <t xml:space="preserve">N3220515P4007</t>
        </is>
      </c>
      <c r="C2720" s="0" t="inlineStr">
        <is>
          <t xml:space="preserve">broad_maritime</t>
        </is>
      </c>
      <c r="D2720" s="4">
        <v>0.45368938999999997</v>
      </c>
      <c r="E2720" s="0" t="inlineStr">
        <is>
          <t xml:space="preserve">FINCANTIERI MARINE SYSTEMS NORTH AMERICA, INC.</t>
        </is>
      </c>
      <c r="F2720" s="0" t="inlineStr">
        <is>
          <t xml:space="preserve">psc:2090</t>
        </is>
      </c>
    </row>
    <row r="2721">
      <c r="B2721" s="0" t="inlineStr">
        <is>
          <t xml:space="preserve">N3220517P4040</t>
        </is>
      </c>
      <c r="C2721" s="0" t="inlineStr">
        <is>
          <t xml:space="preserve">broad_maritime</t>
        </is>
      </c>
      <c r="D2721" s="4">
        <v>0.45036117999999997</v>
      </c>
      <c r="E2721" s="0" t="inlineStr">
        <is>
          <t xml:space="preserve">FAIRBANKS MORSE, LLC</t>
        </is>
      </c>
      <c r="F2721" s="0" t="inlineStr">
        <is>
          <t xml:space="preserve">psc:2090</t>
        </is>
      </c>
    </row>
    <row r="2722">
      <c r="B2722" s="0" t="inlineStr">
        <is>
          <t xml:space="preserve">N0010422PUB25</t>
        </is>
      </c>
      <c r="C2722" s="0" t="inlineStr">
        <is>
          <t xml:space="preserve">small_craft</t>
        </is>
      </c>
      <c r="D2722" s="4">
        <v>0.44887499999999997</v>
      </c>
      <c r="E2722" s="0" t="inlineStr">
        <is>
          <t xml:space="preserve">REX SYSTEMS INCORPORATED</t>
        </is>
      </c>
      <c r="F2722" s="0" t="inlineStr">
        <is>
          <t xml:space="preserve">naics:336612</t>
        </is>
      </c>
    </row>
    <row r="2723">
      <c r="B2723" s="0" t="inlineStr">
        <is>
          <t xml:space="preserve">N3220516P7611</t>
        </is>
      </c>
      <c r="C2723" s="0" t="inlineStr">
        <is>
          <t xml:space="preserve">broad_maritime</t>
        </is>
      </c>
      <c r="D2723" s="4">
        <v>0.44770211</v>
      </c>
      <c r="E2723" s="0" t="inlineStr">
        <is>
          <t xml:space="preserve">WESTFLEX, INC.</t>
        </is>
      </c>
      <c r="F2723" s="0" t="inlineStr">
        <is>
          <t xml:space="preserve">psc:2090</t>
        </is>
      </c>
    </row>
    <row r="2724">
      <c r="B2724" s="0" t="inlineStr">
        <is>
          <t xml:space="preserve">N0018922P0484</t>
        </is>
      </c>
      <c r="C2724" s="0" t="inlineStr">
        <is>
          <t xml:space="preserve">broad_maritime</t>
        </is>
      </c>
      <c r="D2724" s="4">
        <v>0.44634799999999997</v>
      </c>
      <c r="E2724" s="0" t="inlineStr">
        <is>
          <t xml:space="preserve">LISTER CHAIN &amp; FORGE INC</t>
        </is>
      </c>
      <c r="F2724" s="0" t="inlineStr">
        <is>
          <t xml:space="preserve">psc:2090</t>
        </is>
      </c>
    </row>
    <row r="2725">
      <c r="B2725" s="0" t="inlineStr">
        <is>
          <t xml:space="preserve">N6449820F5212</t>
        </is>
      </c>
      <c r="C2725" s="0" t="inlineStr">
        <is>
          <t xml:space="preserve">broad_maritime</t>
        </is>
      </c>
      <c r="D2725" s="4">
        <v>0.446123</v>
      </c>
      <c r="E2725" s="0" t="inlineStr">
        <is>
          <t xml:space="preserve">NAG, LLC</t>
        </is>
      </c>
      <c r="F2725" s="0" t="inlineStr">
        <is>
          <t xml:space="preserve">psc:2090</t>
        </is>
      </c>
    </row>
    <row r="2726">
      <c r="B2726" s="0" t="inlineStr">
        <is>
          <t xml:space="preserve">N3220518P4338</t>
        </is>
      </c>
      <c r="C2726" s="0" t="inlineStr">
        <is>
          <t xml:space="preserve">broad_maritime</t>
        </is>
      </c>
      <c r="D2726" s="4">
        <v>0.44464772999999996</v>
      </c>
      <c r="E2726" s="0" t="inlineStr">
        <is>
          <t xml:space="preserve">FAIRBANKS MORSE, LLC</t>
        </is>
      </c>
      <c r="F2726" s="0" t="inlineStr">
        <is>
          <t xml:space="preserve">psc:2090</t>
        </is>
      </c>
    </row>
    <row r="2727">
      <c r="B2727" s="0" t="inlineStr">
        <is>
          <t xml:space="preserve">N3220514P5004</t>
        </is>
      </c>
      <c r="C2727" s="0" t="inlineStr">
        <is>
          <t xml:space="preserve">broad_maritime</t>
        </is>
      </c>
      <c r="D2727" s="4">
        <v>0.44354</v>
      </c>
      <c r="E2727" s="0" t="inlineStr">
        <is>
          <t xml:space="preserve">STEWART &amp; STEVENSON POWER PRODUCTS LLC</t>
        </is>
      </c>
      <c r="F2727" s="0" t="inlineStr">
        <is>
          <t xml:space="preserve">psc:2090</t>
        </is>
      </c>
    </row>
    <row r="2728">
      <c r="B2728" s="0" t="inlineStr">
        <is>
          <t xml:space="preserve">N3225317F0023</t>
        </is>
      </c>
      <c r="C2728" s="0" t="inlineStr">
        <is>
          <t xml:space="preserve">broad_maritime</t>
        </is>
      </c>
      <c r="D2728" s="4">
        <v>0.443109</v>
      </c>
      <c r="E2728" s="0" t="inlineStr">
        <is>
          <t xml:space="preserve">ELECTRIC BOAT CORPORATION</t>
        </is>
      </c>
      <c r="F2728" s="0" t="inlineStr">
        <is>
          <t xml:space="preserve">psc:1905</t>
        </is>
      </c>
    </row>
    <row r="2729">
      <c r="B2729" s="0" t="inlineStr">
        <is>
          <t xml:space="preserve">N5523626F9971</t>
        </is>
      </c>
      <c r="C2729" s="0" t="inlineStr">
        <is>
          <t xml:space="preserve">broad_maritime</t>
        </is>
      </c>
      <c r="D2729" s="4">
        <v>0.44282499999999997</v>
      </c>
      <c r="E2729" s="0" t="inlineStr">
        <is>
          <t xml:space="preserve">HII FLEET SUPPORT GROUP LLC</t>
        </is>
      </c>
      <c r="F2729" s="0" t="inlineStr">
        <is>
          <t xml:space="preserve">psc:1905</t>
        </is>
      </c>
    </row>
    <row r="2730">
      <c r="B2730" s="0" t="inlineStr">
        <is>
          <t xml:space="preserve">N6449817F4137</t>
        </is>
      </c>
      <c r="C2730" s="0" t="inlineStr">
        <is>
          <t xml:space="preserve">broad_maritime</t>
        </is>
      </c>
      <c r="D2730" s="4">
        <v>0.44218999999999997</v>
      </c>
      <c r="E2730" s="0" t="inlineStr">
        <is>
          <t xml:space="preserve">LAUREL TECHNOLOGIES PARTNERSHIP</t>
        </is>
      </c>
      <c r="F2730" s="0" t="inlineStr">
        <is>
          <t xml:space="preserve">psc:2090</t>
        </is>
      </c>
    </row>
    <row r="2731">
      <c r="B2731" s="0" t="inlineStr">
        <is>
          <t xml:space="preserve">0003</t>
        </is>
      </c>
      <c r="C2731" s="0" t="inlineStr">
        <is>
          <t xml:space="preserve">small_craft</t>
        </is>
      </c>
      <c r="D2731" s="4">
        <v>0.442081</v>
      </c>
      <c r="E2731" s="0" t="inlineStr">
        <is>
          <t xml:space="preserve">GRAVOIS ALUMINUM BOATS LLC</t>
        </is>
      </c>
      <c r="F2731" s="0" t="inlineStr">
        <is>
          <t xml:space="preserve">naics:336612</t>
        </is>
      </c>
    </row>
    <row r="2732">
      <c r="B2732" s="0" t="inlineStr">
        <is>
          <t xml:space="preserve">N0002419F22J4</t>
        </is>
      </c>
      <c r="C2732" s="0" t="inlineStr">
        <is>
          <t xml:space="preserve">small_craft</t>
        </is>
      </c>
      <c r="D2732" s="4">
        <v>0.44157303999999997</v>
      </c>
      <c r="E2732" s="0" t="inlineStr">
        <is>
          <t xml:space="preserve">UNITED STATES MARINE INC</t>
        </is>
      </c>
      <c r="F2732" s="0" t="inlineStr">
        <is>
          <t xml:space="preserve">naics:336612; psc:1940</t>
        </is>
      </c>
    </row>
    <row r="2733">
      <c r="B2733" s="0" t="inlineStr">
        <is>
          <t xml:space="preserve">N0002418F22R1</t>
        </is>
      </c>
      <c r="C2733" s="0" t="inlineStr">
        <is>
          <t xml:space="preserve">small_craft</t>
        </is>
      </c>
      <c r="D2733" s="4">
        <v>0.44097132</v>
      </c>
      <c r="E2733" s="0" t="inlineStr">
        <is>
          <t xml:space="preserve">GRAVOIS ALUMINUM BOATS LLC</t>
        </is>
      </c>
      <c r="F2733" s="0" t="inlineStr">
        <is>
          <t xml:space="preserve">naics:336612</t>
        </is>
      </c>
    </row>
    <row r="2734">
      <c r="B2734" s="0" t="inlineStr">
        <is>
          <t xml:space="preserve">N6133121F0015</t>
        </is>
      </c>
      <c r="C2734" s="0" t="inlineStr">
        <is>
          <t xml:space="preserve">usv_core</t>
        </is>
      </c>
      <c r="D2734" s="4">
        <v>0.44</v>
      </c>
      <c r="E2734" s="0" t="inlineStr">
        <is>
          <t xml:space="preserve">SERCO INC</t>
        </is>
      </c>
      <c r="F2734" s="0" t="inlineStr">
        <is>
          <t xml:space="preserve">keyword</t>
        </is>
      </c>
    </row>
    <row r="2735">
      <c r="B2735" s="0" t="inlineStr">
        <is>
          <t xml:space="preserve">N0018916PZ501</t>
        </is>
      </c>
      <c r="C2735" s="0" t="inlineStr">
        <is>
          <t xml:space="preserve">broad_maritime</t>
        </is>
      </c>
      <c r="D2735" s="4">
        <v>0.43980031999999997</v>
      </c>
      <c r="E2735" s="0" t="inlineStr">
        <is>
          <t xml:space="preserve">STARRAG USA INC</t>
        </is>
      </c>
      <c r="F2735" s="0" t="inlineStr">
        <is>
          <t xml:space="preserve">psc:2090</t>
        </is>
      </c>
    </row>
    <row r="2736">
      <c r="B2736" s="0" t="inlineStr">
        <is>
          <t xml:space="preserve">0006</t>
        </is>
      </c>
      <c r="C2736" s="0" t="inlineStr">
        <is>
          <t xml:space="preserve">broad_maritime</t>
        </is>
      </c>
      <c r="D2736" s="4">
        <v>0.43872163999999997</v>
      </c>
      <c r="E2736" s="0" t="inlineStr">
        <is>
          <t xml:space="preserve">L3 TECHNOLOGIES, INC.</t>
        </is>
      </c>
      <c r="F2736" s="0" t="inlineStr">
        <is>
          <t xml:space="preserve">psc:2090</t>
        </is>
      </c>
    </row>
    <row r="2737">
      <c r="B2737" s="0" t="inlineStr">
        <is>
          <t xml:space="preserve">N6278917F0017</t>
        </is>
      </c>
      <c r="C2737" s="0" t="inlineStr">
        <is>
          <t xml:space="preserve">broad_maritime</t>
        </is>
      </c>
      <c r="D2737" s="4">
        <v>0.43815699999999996</v>
      </c>
      <c r="E2737" s="0" t="inlineStr">
        <is>
          <t xml:space="preserve">ELECTRIC BOAT CORPORATION</t>
        </is>
      </c>
      <c r="F2737" s="0" t="inlineStr">
        <is>
          <t xml:space="preserve">psc:1905</t>
        </is>
      </c>
    </row>
    <row r="2738">
      <c r="B2738" s="0" t="inlineStr">
        <is>
          <t xml:space="preserve">N3220521P2655</t>
        </is>
      </c>
      <c r="C2738" s="0" t="inlineStr">
        <is>
          <t xml:space="preserve">broad_maritime</t>
        </is>
      </c>
      <c r="D2738" s="4">
        <v>0.4372738</v>
      </c>
      <c r="E2738" s="0" t="inlineStr">
        <is>
          <t xml:space="preserve">DEFENSE MARITIME SOLUTIONS, INC.</t>
        </is>
      </c>
      <c r="F2738" s="0" t="inlineStr">
        <is>
          <t xml:space="preserve">psc:2090</t>
        </is>
      </c>
    </row>
    <row r="2739">
      <c r="B2739" s="0" t="inlineStr">
        <is>
          <t xml:space="preserve">N5523624P0091</t>
        </is>
      </c>
      <c r="C2739" s="0" t="inlineStr">
        <is>
          <t xml:space="preserve">broad_maritime</t>
        </is>
      </c>
      <c r="D2739" s="4">
        <v>0.436478</v>
      </c>
      <c r="E2739" s="0" t="inlineStr">
        <is>
          <t xml:space="preserve">SUSTAINABLE INDUSTRIES</t>
        </is>
      </c>
      <c r="F2739" s="0" t="inlineStr">
        <is>
          <t xml:space="preserve">psc:2090</t>
        </is>
      </c>
    </row>
    <row r="2740">
      <c r="B2740" s="0" t="inlineStr">
        <is>
          <t xml:space="preserve">N0024423F0405</t>
        </is>
      </c>
      <c r="C2740" s="0" t="inlineStr">
        <is>
          <t xml:space="preserve">broad_maritime</t>
        </is>
      </c>
      <c r="D2740" s="4">
        <v>0.43590999999999996</v>
      </c>
      <c r="E2740" s="0" t="inlineStr">
        <is>
          <t xml:space="preserve">MARINE &amp; RESTAURANT FABRICATORS, INC.</t>
        </is>
      </c>
      <c r="F2740" s="0" t="inlineStr">
        <is>
          <t xml:space="preserve">psc:2090</t>
        </is>
      </c>
    </row>
    <row r="2741">
      <c r="B2741" s="0" t="inlineStr">
        <is>
          <t xml:space="preserve">N6449819F4294</t>
        </is>
      </c>
      <c r="C2741" s="0" t="inlineStr">
        <is>
          <t xml:space="preserve">broad_maritime</t>
        </is>
      </c>
      <c r="D2741" s="4">
        <v>0.43521519</v>
      </c>
      <c r="E2741" s="0" t="inlineStr">
        <is>
          <t xml:space="preserve">NAG, LLC</t>
        </is>
      </c>
      <c r="F2741" s="0" t="inlineStr">
        <is>
          <t xml:space="preserve">psc:2090</t>
        </is>
      </c>
    </row>
    <row r="2742">
      <c r="B2742" s="0" t="inlineStr">
        <is>
          <t xml:space="preserve">0007</t>
        </is>
      </c>
      <c r="C2742" s="0" t="inlineStr">
        <is>
          <t xml:space="preserve">broad_maritime</t>
        </is>
      </c>
      <c r="D2742" s="4">
        <v>0.433064</v>
      </c>
      <c r="E2742" s="0" t="inlineStr">
        <is>
          <t xml:space="preserve">LOCKHEED MARTIN CORPORATION</t>
        </is>
      </c>
      <c r="F2742" s="0" t="inlineStr">
        <is>
          <t xml:space="preserve">psc:1905</t>
        </is>
      </c>
    </row>
    <row r="2743">
      <c r="B2743" s="0" t="inlineStr">
        <is>
          <t xml:space="preserve">N3225318F0018</t>
        </is>
      </c>
      <c r="C2743" s="0" t="inlineStr">
        <is>
          <t xml:space="preserve">broad_maritime</t>
        </is>
      </c>
      <c r="D2743" s="4">
        <v>0.4327552</v>
      </c>
      <c r="E2743" s="0" t="inlineStr">
        <is>
          <t xml:space="preserve">ELECTRIC BOAT CORPORATION</t>
        </is>
      </c>
      <c r="F2743" s="0" t="inlineStr">
        <is>
          <t xml:space="preserve">psc:1905</t>
        </is>
      </c>
    </row>
    <row r="2744">
      <c r="B2744" s="0" t="inlineStr">
        <is>
          <t xml:space="preserve">N3220521P2254</t>
        </is>
      </c>
      <c r="C2744" s="0" t="inlineStr">
        <is>
          <t xml:space="preserve">broad_maritime</t>
        </is>
      </c>
      <c r="D2744" s="4">
        <v>0.43226923999999994</v>
      </c>
      <c r="E2744" s="0" t="inlineStr">
        <is>
          <t xml:space="preserve">DEFENSE MARITIME SOLUTIONS, INC.</t>
        </is>
      </c>
      <c r="F2744" s="0" t="inlineStr">
        <is>
          <t xml:space="preserve">psc:2090</t>
        </is>
      </c>
    </row>
    <row r="2745">
      <c r="B2745" s="0" t="inlineStr">
        <is>
          <t xml:space="preserve">N0016720F1086</t>
        </is>
      </c>
      <c r="C2745" s="0" t="inlineStr">
        <is>
          <t xml:space="preserve">small_craft</t>
        </is>
      </c>
      <c r="D2745" s="4">
        <v>0.43092127</v>
      </c>
      <c r="E2745" s="0" t="inlineStr">
        <is>
          <t xml:space="preserve">GRYPHON TECHNOLOGIES, L.C.</t>
        </is>
      </c>
      <c r="F2745" s="0" t="inlineStr">
        <is>
          <t xml:space="preserve">psc:1940</t>
        </is>
      </c>
    </row>
    <row r="2746">
      <c r="B2746" s="0" t="inlineStr">
        <is>
          <t xml:space="preserve">N3220522P0027</t>
        </is>
      </c>
      <c r="C2746" s="0" t="inlineStr">
        <is>
          <t xml:space="preserve">broad_maritime</t>
        </is>
      </c>
      <c r="D2746" s="4">
        <v>0.43058008</v>
      </c>
      <c r="E2746" s="0" t="inlineStr">
        <is>
          <t xml:space="preserve">DEFENSE MARITIME SOLUTIONS, INC.</t>
        </is>
      </c>
      <c r="F2746" s="0" t="inlineStr">
        <is>
          <t xml:space="preserve">psc:2090</t>
        </is>
      </c>
    </row>
    <row r="2747">
      <c r="B2747" s="0" t="inlineStr">
        <is>
          <t xml:space="preserve">0003</t>
        </is>
      </c>
      <c r="C2747" s="0" t="inlineStr">
        <is>
          <t xml:space="preserve">broad_maritime</t>
        </is>
      </c>
      <c r="D2747" s="4">
        <v>0.429434</v>
      </c>
      <c r="E2747" s="0" t="inlineStr">
        <is>
          <t xml:space="preserve">LOCKHEED MARTIN SIPPICAN, INC.</t>
        </is>
      </c>
      <c r="F2747" s="0" t="inlineStr">
        <is>
          <t xml:space="preserve">psc:2090</t>
        </is>
      </c>
    </row>
    <row r="2748">
      <c r="B2748" s="0" t="inlineStr">
        <is>
          <t xml:space="preserve">N0002419F22U2</t>
        </is>
      </c>
      <c r="C2748" s="0" t="inlineStr">
        <is>
          <t xml:space="preserve">small_craft</t>
        </is>
      </c>
      <c r="D2748" s="4">
        <v>0.42886690999999993</v>
      </c>
      <c r="E2748" s="0" t="inlineStr">
        <is>
          <t xml:space="preserve">VIGOR KVICHAK LLC</t>
        </is>
      </c>
      <c r="F2748" s="0" t="inlineStr">
        <is>
          <t xml:space="preserve">naics:336612; psc:1940</t>
        </is>
      </c>
    </row>
    <row r="2749">
      <c r="B2749" s="0" t="inlineStr">
        <is>
          <t xml:space="preserve">N0024423F0418</t>
        </is>
      </c>
      <c r="C2749" s="0" t="inlineStr">
        <is>
          <t xml:space="preserve">broad_maritime</t>
        </is>
      </c>
      <c r="D2749" s="4">
        <v>0.427985</v>
      </c>
      <c r="E2749" s="0" t="inlineStr">
        <is>
          <t xml:space="preserve">MARINE &amp; RESTAURANT FABRICATORS, INC.</t>
        </is>
      </c>
      <c r="F2749" s="0" t="inlineStr">
        <is>
          <t xml:space="preserve">psc:2090</t>
        </is>
      </c>
    </row>
    <row r="2750">
      <c r="B2750" s="0" t="inlineStr">
        <is>
          <t xml:space="preserve">N6833516C0338</t>
        </is>
      </c>
      <c r="C2750" s="0" t="inlineStr">
        <is>
          <t xml:space="preserve">small_craft</t>
        </is>
      </c>
      <c r="D2750" s="4">
        <v>0.42774599999999996</v>
      </c>
      <c r="E2750" s="0" t="inlineStr">
        <is>
          <t xml:space="preserve">BRUNSWICK COMMERCIAL &amp; GOVERNMENT PRODUCTS, INC.</t>
        </is>
      </c>
      <c r="F2750" s="0" t="inlineStr">
        <is>
          <t xml:space="preserve">naics:336612; psc:1940</t>
        </is>
      </c>
    </row>
    <row r="2751">
      <c r="B2751" s="0" t="inlineStr">
        <is>
          <t xml:space="preserve">N0010424CBA37</t>
        </is>
      </c>
      <c r="C2751" s="0" t="inlineStr">
        <is>
          <t xml:space="preserve">small_craft</t>
        </is>
      </c>
      <c r="D2751" s="4">
        <v>0.42695809999999995</v>
      </c>
      <c r="E2751" s="0" t="inlineStr">
        <is>
          <t xml:space="preserve">SFC VALVE CORPORATION</t>
        </is>
      </c>
      <c r="F2751" s="0" t="inlineStr">
        <is>
          <t xml:space="preserve">naics:336612</t>
        </is>
      </c>
    </row>
    <row r="2752">
      <c r="B2752" s="0" t="inlineStr">
        <is>
          <t xml:space="preserve">N6449818F4034</t>
        </is>
      </c>
      <c r="C2752" s="0" t="inlineStr">
        <is>
          <t xml:space="preserve">broad_maritime</t>
        </is>
      </c>
      <c r="D2752" s="4">
        <v>0.4268214</v>
      </c>
      <c r="E2752" s="0" t="inlineStr">
        <is>
          <t xml:space="preserve">NAG, LLC</t>
        </is>
      </c>
      <c r="F2752" s="0" t="inlineStr">
        <is>
          <t xml:space="preserve">psc:2090</t>
        </is>
      </c>
    </row>
    <row r="2753">
      <c r="B2753" s="0" t="inlineStr">
        <is>
          <t xml:space="preserve">N3220524P2289</t>
        </is>
      </c>
      <c r="C2753" s="0" t="inlineStr">
        <is>
          <t xml:space="preserve">broad_maritime</t>
        </is>
      </c>
      <c r="D2753" s="4">
        <v>0.42592909</v>
      </c>
      <c r="E2753" s="0" t="inlineStr">
        <is>
          <t xml:space="preserve">TORK SYSTEMS INC</t>
        </is>
      </c>
      <c r="F2753" s="0" t="inlineStr">
        <is>
          <t xml:space="preserve">psc:2090</t>
        </is>
      </c>
    </row>
    <row r="2754">
      <c r="B2754" s="0" t="inlineStr">
        <is>
          <t xml:space="preserve">N3220515P3002</t>
        </is>
      </c>
      <c r="C2754" s="0" t="inlineStr">
        <is>
          <t xml:space="preserve">broad_maritime</t>
        </is>
      </c>
      <c r="D2754" s="4">
        <v>0.4255874</v>
      </c>
      <c r="E2754" s="0" t="inlineStr">
        <is>
          <t xml:space="preserve">DEFENSE MARITIME SOLUTIONS, INC.</t>
        </is>
      </c>
      <c r="F2754" s="0" t="inlineStr">
        <is>
          <t xml:space="preserve">psc:2090</t>
        </is>
      </c>
    </row>
    <row r="2755">
      <c r="B2755" s="0" t="inlineStr">
        <is>
          <t xml:space="preserve">N3220523P2086</t>
        </is>
      </c>
      <c r="C2755" s="0" t="inlineStr">
        <is>
          <t xml:space="preserve">broad_maritime</t>
        </is>
      </c>
      <c r="D2755" s="4">
        <v>0.42539441999999994</v>
      </c>
      <c r="E2755" s="0" t="inlineStr">
        <is>
          <t xml:space="preserve">L3HARRIS TECHNOLOGIES, INC.</t>
        </is>
      </c>
      <c r="F2755" s="0" t="inlineStr">
        <is>
          <t xml:space="preserve">psc:2090</t>
        </is>
      </c>
    </row>
    <row r="2756">
      <c r="B2756" s="0" t="inlineStr">
        <is>
          <t xml:space="preserve">L804</t>
        </is>
      </c>
      <c r="C2756" s="0" t="inlineStr">
        <is>
          <t xml:space="preserve">broad_maritime</t>
        </is>
      </c>
      <c r="D2756" s="4">
        <v>0.42475999999999997</v>
      </c>
      <c r="E2756" s="0" t="inlineStr">
        <is>
          <t xml:space="preserve">ELECTRIC BOAT CORPORATION</t>
        </is>
      </c>
      <c r="F2756" s="0" t="inlineStr">
        <is>
          <t xml:space="preserve">psc:1905</t>
        </is>
      </c>
    </row>
    <row r="2757">
      <c r="B2757" s="0" t="inlineStr">
        <is>
          <t xml:space="preserve">N3220520P2057</t>
        </is>
      </c>
      <c r="C2757" s="0" t="inlineStr">
        <is>
          <t xml:space="preserve">broad_maritime</t>
        </is>
      </c>
      <c r="D2757" s="4">
        <v>0.42436346999999996</v>
      </c>
      <c r="E2757" s="0" t="inlineStr">
        <is>
          <t xml:space="preserve">ROLLS-ROYCE SOLUTIONS AMERICA INC</t>
        </is>
      </c>
      <c r="F2757" s="0" t="inlineStr">
        <is>
          <t xml:space="preserve">psc:2090</t>
        </is>
      </c>
    </row>
    <row r="2758">
      <c r="B2758" s="0" t="inlineStr">
        <is>
          <t xml:space="preserve">N6449817F4135</t>
        </is>
      </c>
      <c r="C2758" s="0" t="inlineStr">
        <is>
          <t xml:space="preserve">broad_maritime</t>
        </is>
      </c>
      <c r="D2758" s="4">
        <v>0.423054</v>
      </c>
      <c r="E2758" s="0" t="inlineStr">
        <is>
          <t xml:space="preserve">LAUREL TECHNOLOGIES PARTNERSHIP</t>
        </is>
      </c>
      <c r="F2758" s="0" t="inlineStr">
        <is>
          <t xml:space="preserve">psc:2090</t>
        </is>
      </c>
    </row>
    <row r="2759">
      <c r="B2759" s="0" t="inlineStr">
        <is>
          <t xml:space="preserve">N3220521P2551</t>
        </is>
      </c>
      <c r="C2759" s="0" t="inlineStr">
        <is>
          <t xml:space="preserve">broad_maritime</t>
        </is>
      </c>
      <c r="D2759" s="4">
        <v>0.423</v>
      </c>
      <c r="E2759" s="0" t="inlineStr">
        <is>
          <t xml:space="preserve">DEFENSE MARITIME SOLUTIONS, INC.</t>
        </is>
      </c>
      <c r="F2759" s="0" t="inlineStr">
        <is>
          <t xml:space="preserve">psc:2090</t>
        </is>
      </c>
    </row>
    <row r="2760">
      <c r="B2760" s="0" t="inlineStr">
        <is>
          <t xml:space="preserve">N6449817F4150</t>
        </is>
      </c>
      <c r="C2760" s="0" t="inlineStr">
        <is>
          <t xml:space="preserve">broad_maritime</t>
        </is>
      </c>
      <c r="D2760" s="4">
        <v>0.4226</v>
      </c>
      <c r="E2760" s="0" t="inlineStr">
        <is>
          <t xml:space="preserve">FLIGHTFAB, INC.</t>
        </is>
      </c>
      <c r="F2760" s="0" t="inlineStr">
        <is>
          <t xml:space="preserve">psc:2090</t>
        </is>
      </c>
    </row>
    <row r="2761">
      <c r="B2761" s="0" t="inlineStr">
        <is>
          <t xml:space="preserve">N0010424PNC34</t>
        </is>
      </c>
      <c r="C2761" s="0" t="inlineStr">
        <is>
          <t xml:space="preserve">small_craft</t>
        </is>
      </c>
      <c r="D2761" s="4">
        <v>0.42209599999999997</v>
      </c>
      <c r="E2761" s="0" t="inlineStr">
        <is>
          <t xml:space="preserve">ORDNANCE TECHNOLOGY SERVICE, INC.</t>
        </is>
      </c>
      <c r="F2761" s="0" t="inlineStr">
        <is>
          <t xml:space="preserve">naics:336612</t>
        </is>
      </c>
    </row>
    <row r="2762">
      <c r="B2762" s="0" t="inlineStr">
        <is>
          <t xml:space="preserve">N0002418F22U1</t>
        </is>
      </c>
      <c r="C2762" s="0" t="inlineStr">
        <is>
          <t xml:space="preserve">small_craft</t>
        </is>
      </c>
      <c r="D2762" s="4">
        <v>0.42169538</v>
      </c>
      <c r="E2762" s="0" t="inlineStr">
        <is>
          <t xml:space="preserve">VIGOR KVICHAK LLC</t>
        </is>
      </c>
      <c r="F2762" s="0" t="inlineStr">
        <is>
          <t xml:space="preserve">naics:336612; psc:1940</t>
        </is>
      </c>
    </row>
    <row r="2763">
      <c r="B2763" s="0" t="inlineStr">
        <is>
          <t xml:space="preserve">N5523625P0030</t>
        </is>
      </c>
      <c r="C2763" s="0" t="inlineStr">
        <is>
          <t xml:space="preserve">broad_maritime</t>
        </is>
      </c>
      <c r="D2763" s="4">
        <v>0.4215635</v>
      </c>
      <c r="E2763" s="0" t="inlineStr">
        <is>
          <t xml:space="preserve">TRIDENT MARITIME SYSTEMS, INC.</t>
        </is>
      </c>
      <c r="F2763" s="0" t="inlineStr">
        <is>
          <t xml:space="preserve">psc:2090</t>
        </is>
      </c>
    </row>
    <row r="2764">
      <c r="B2764" s="0" t="inlineStr">
        <is>
          <t xml:space="preserve">N0010424PZA74</t>
        </is>
      </c>
      <c r="C2764" s="0" t="inlineStr">
        <is>
          <t xml:space="preserve">broad_maritime</t>
        </is>
      </c>
      <c r="D2764" s="4">
        <v>0.42073</v>
      </c>
      <c r="E2764" s="0" t="inlineStr">
        <is>
          <t xml:space="preserve">PRECISION EQUIPMENT, INC.</t>
        </is>
      </c>
      <c r="F2764" s="0" t="inlineStr">
        <is>
          <t xml:space="preserve">psc:2090</t>
        </is>
      </c>
    </row>
    <row r="2765">
      <c r="B2765" s="0" t="inlineStr">
        <is>
          <t xml:space="preserve">0003</t>
        </is>
      </c>
      <c r="C2765" s="0" t="inlineStr">
        <is>
          <t xml:space="preserve">broad_maritime</t>
        </is>
      </c>
      <c r="D2765" s="4">
        <v>0.42029099999999997</v>
      </c>
      <c r="E2765" s="0" t="inlineStr">
        <is>
          <t xml:space="preserve">BAE SYSTEMS MARITIME SOLUTIONS SAN DIEGO INC.</t>
        </is>
      </c>
      <c r="F2765" s="0" t="inlineStr">
        <is>
          <t xml:space="preserve">psc:1905</t>
        </is>
      </c>
    </row>
    <row r="2766">
      <c r="B2766" s="0" t="inlineStr">
        <is>
          <t xml:space="preserve">N3220515P5007</t>
        </is>
      </c>
      <c r="C2766" s="0" t="inlineStr">
        <is>
          <t xml:space="preserve">broad_maritime</t>
        </is>
      </c>
      <c r="D2766" s="4">
        <v>0.42</v>
      </c>
      <c r="E2766" s="0" t="inlineStr">
        <is>
          <t xml:space="preserve">CONTROL FLOW, INC.</t>
        </is>
      </c>
      <c r="F2766" s="0" t="inlineStr">
        <is>
          <t xml:space="preserve">psc:2090</t>
        </is>
      </c>
    </row>
    <row r="2767">
      <c r="B2767" s="0" t="inlineStr">
        <is>
          <t xml:space="preserve">N0024417C0004</t>
        </is>
      </c>
      <c r="C2767" s="0" t="inlineStr">
        <is>
          <t xml:space="preserve">broad_maritime</t>
        </is>
      </c>
      <c r="D2767" s="4">
        <v>0.42</v>
      </c>
      <c r="E2767" s="0" t="inlineStr">
        <is>
          <t xml:space="preserve">GENERAL MARINE PRODUCTS, INC</t>
        </is>
      </c>
      <c r="F2767" s="0" t="inlineStr">
        <is>
          <t xml:space="preserve">psc:2090</t>
        </is>
      </c>
    </row>
    <row r="2768">
      <c r="B2768" s="0" t="inlineStr">
        <is>
          <t xml:space="preserve">N3220521F2001</t>
        </is>
      </c>
      <c r="C2768" s="0" t="inlineStr">
        <is>
          <t xml:space="preserve">broad_maritime</t>
        </is>
      </c>
      <c r="D2768" s="4">
        <v>0.41930999999999996</v>
      </c>
      <c r="E2768" s="0" t="inlineStr">
        <is>
          <t xml:space="preserve">FINCANTIERI MARINE SYSTEMS NORTH AMERICA, INC.</t>
        </is>
      </c>
      <c r="F2768" s="0" t="inlineStr">
        <is>
          <t xml:space="preserve">psc:2090</t>
        </is>
      </c>
    </row>
    <row r="2769">
      <c r="B2769" s="0" t="inlineStr">
        <is>
          <t xml:space="preserve">N3220520F2470</t>
        </is>
      </c>
      <c r="C2769" s="0" t="inlineStr">
        <is>
          <t xml:space="preserve">other_small</t>
        </is>
      </c>
      <c r="D2769" s="4">
        <v>0.41866451</v>
      </c>
      <c r="E2769" s="0" t="inlineStr">
        <is>
          <t xml:space="preserve">LAKE SHORE SYSTEMS, INC.</t>
        </is>
      </c>
      <c r="F2769" s="0" t="inlineStr">
        <is>
          <t xml:space="preserve">psc:1990</t>
        </is>
      </c>
    </row>
    <row r="2770">
      <c r="B2770" s="0" t="inlineStr">
        <is>
          <t xml:space="preserve">4T01</t>
        </is>
      </c>
      <c r="C2770" s="0" t="inlineStr">
        <is>
          <t xml:space="preserve">broad_maritime</t>
        </is>
      </c>
      <c r="D2770" s="4">
        <v>0.41818878</v>
      </c>
      <c r="E2770" s="0" t="inlineStr">
        <is>
          <t xml:space="preserve">HUNTINGTON INGALLS INC</t>
        </is>
      </c>
      <c r="F2770" s="0" t="inlineStr">
        <is>
          <t xml:space="preserve">psc:2090</t>
        </is>
      </c>
    </row>
    <row r="2771">
      <c r="B2771" s="0" t="inlineStr">
        <is>
          <t xml:space="preserve">N6278914P0011</t>
        </is>
      </c>
      <c r="C2771" s="0" t="inlineStr">
        <is>
          <t xml:space="preserve">broad_maritime</t>
        </is>
      </c>
      <c r="D2771" s="4">
        <v>0.41671748</v>
      </c>
      <c r="E2771" s="0" t="inlineStr">
        <is>
          <t xml:space="preserve">YORK INTERNATIONAL CORPORATION</t>
        </is>
      </c>
      <c r="F2771" s="0" t="inlineStr">
        <is>
          <t xml:space="preserve">psc:1905</t>
        </is>
      </c>
    </row>
    <row r="2772">
      <c r="B2772" s="0" t="inlineStr">
        <is>
          <t xml:space="preserve">N0010425PLA16</t>
        </is>
      </c>
      <c r="C2772" s="0" t="inlineStr">
        <is>
          <t xml:space="preserve">small_craft</t>
        </is>
      </c>
      <c r="D2772" s="4">
        <v>0.41566337999999997</v>
      </c>
      <c r="E2772" s="0" t="inlineStr">
        <is>
          <t xml:space="preserve">GLOBAL INCORPORATED</t>
        </is>
      </c>
      <c r="F2772" s="0" t="inlineStr">
        <is>
          <t xml:space="preserve">naics:336612</t>
        </is>
      </c>
    </row>
    <row r="2773">
      <c r="B2773" s="0" t="inlineStr">
        <is>
          <t xml:space="preserve">N0010424PYC41</t>
        </is>
      </c>
      <c r="C2773" s="0" t="inlineStr">
        <is>
          <t xml:space="preserve">small_craft</t>
        </is>
      </c>
      <c r="D2773" s="4">
        <v>0.41517699999999996</v>
      </c>
      <c r="E2773" s="0" t="inlineStr">
        <is>
          <t xml:space="preserve">SARGENT AEROSPACE &amp; DEFENSE, LLC</t>
        </is>
      </c>
      <c r="F2773" s="0" t="inlineStr">
        <is>
          <t xml:space="preserve">naics:336612</t>
        </is>
      </c>
    </row>
    <row r="2774">
      <c r="B2774" s="0" t="inlineStr">
        <is>
          <t xml:space="preserve">N5523625F9972</t>
        </is>
      </c>
      <c r="C2774" s="0" t="inlineStr">
        <is>
          <t xml:space="preserve">broad_maritime</t>
        </is>
      </c>
      <c r="D2774" s="4">
        <v>0.41441526</v>
      </c>
      <c r="E2774" s="0" t="inlineStr">
        <is>
          <t xml:space="preserve">HII FLEET SUPPORT GROUP LLC</t>
        </is>
      </c>
      <c r="F2774" s="0" t="inlineStr">
        <is>
          <t xml:space="preserve">psc:1905</t>
        </is>
      </c>
    </row>
    <row r="2775">
      <c r="B2775" s="0" t="inlineStr">
        <is>
          <t xml:space="preserve">N6230615FB015</t>
        </is>
      </c>
      <c r="C2775" s="0" t="inlineStr">
        <is>
          <t xml:space="preserve">broad_maritime</t>
        </is>
      </c>
      <c r="D2775" s="4">
        <v>0.414166</v>
      </c>
      <c r="E2775" s="0" t="inlineStr">
        <is>
          <t xml:space="preserve">APPLANIX LLC</t>
        </is>
      </c>
      <c r="F2775" s="0" t="inlineStr">
        <is>
          <t xml:space="preserve">psc:2090</t>
        </is>
      </c>
    </row>
    <row r="2776">
      <c r="B2776" s="0" t="inlineStr">
        <is>
          <t xml:space="preserve">N6600117P6642</t>
        </is>
      </c>
      <c r="C2776" s="0" t="inlineStr">
        <is>
          <t xml:space="preserve">small_craft</t>
        </is>
      </c>
      <c r="D2776" s="4">
        <v>0.41405</v>
      </c>
      <c r="E2776" s="0" t="inlineStr">
        <is>
          <t xml:space="preserve">WELLER RECREATION, INC</t>
        </is>
      </c>
      <c r="F2776" s="0" t="inlineStr">
        <is>
          <t xml:space="preserve">psc:1940</t>
        </is>
      </c>
    </row>
    <row r="2777">
      <c r="B2777" s="0" t="inlineStr">
        <is>
          <t xml:space="preserve">N5523624F9975</t>
        </is>
      </c>
      <c r="C2777" s="0" t="inlineStr">
        <is>
          <t xml:space="preserve">broad_maritime</t>
        </is>
      </c>
      <c r="D2777" s="4">
        <v>0.41374229999999995</v>
      </c>
      <c r="E2777" s="0" t="inlineStr">
        <is>
          <t xml:space="preserve">HII FLEET SUPPORT GROUP LLC</t>
        </is>
      </c>
      <c r="F2777" s="0" t="inlineStr">
        <is>
          <t xml:space="preserve">psc:1905</t>
        </is>
      </c>
    </row>
    <row r="2778">
      <c r="B2778" s="0" t="inlineStr">
        <is>
          <t xml:space="preserve">N3220522P0097</t>
        </is>
      </c>
      <c r="C2778" s="0" t="inlineStr">
        <is>
          <t xml:space="preserve">broad_maritime</t>
        </is>
      </c>
      <c r="D2778" s="4">
        <v>0.41006</v>
      </c>
      <c r="E2778" s="0" t="inlineStr">
        <is>
          <t xml:space="preserve">SIMPLEX AMERICAS LLC</t>
        </is>
      </c>
      <c r="F2778" s="0" t="inlineStr">
        <is>
          <t xml:space="preserve">psc:2090</t>
        </is>
      </c>
    </row>
    <row r="2779">
      <c r="B2779" s="0" t="inlineStr">
        <is>
          <t xml:space="preserve">0008</t>
        </is>
      </c>
      <c r="C2779" s="0" t="inlineStr">
        <is>
          <t xml:space="preserve">broad_maritime</t>
        </is>
      </c>
      <c r="D2779" s="4">
        <v>0.409976</v>
      </c>
      <c r="E2779" s="0" t="inlineStr">
        <is>
          <t xml:space="preserve">TRELLEBORG MARINE SYSTEMS NORTH AMERICA, INC.</t>
        </is>
      </c>
      <c r="F2779" s="0" t="inlineStr">
        <is>
          <t xml:space="preserve">psc:2090</t>
        </is>
      </c>
    </row>
    <row r="2780">
      <c r="B2780" s="0" t="inlineStr">
        <is>
          <t xml:space="preserve">N3220517P4004</t>
        </is>
      </c>
      <c r="C2780" s="0" t="inlineStr">
        <is>
          <t xml:space="preserve">small_craft</t>
        </is>
      </c>
      <c r="D2780" s="4">
        <v>0.40868</v>
      </c>
      <c r="E2780" s="0" t="inlineStr">
        <is>
          <t xml:space="preserve">WILLARD MARINE, INC.</t>
        </is>
      </c>
      <c r="F2780" s="0" t="inlineStr">
        <is>
          <t xml:space="preserve">naics:336612; psc:2090</t>
        </is>
      </c>
    </row>
    <row r="2781">
      <c r="B2781" s="0" t="inlineStr">
        <is>
          <t xml:space="preserve">N6449818F4072</t>
        </is>
      </c>
      <c r="C2781" s="0" t="inlineStr">
        <is>
          <t xml:space="preserve">broad_maritime</t>
        </is>
      </c>
      <c r="D2781" s="4">
        <v>0.40865598999999997</v>
      </c>
      <c r="E2781" s="0" t="inlineStr">
        <is>
          <t xml:space="preserve">NAG, LLC</t>
        </is>
      </c>
      <c r="F2781" s="0" t="inlineStr">
        <is>
          <t xml:space="preserve">psc:2090</t>
        </is>
      </c>
    </row>
    <row r="2782">
      <c r="B2782" s="0" t="inlineStr">
        <is>
          <t xml:space="preserve">0010</t>
        </is>
      </c>
      <c r="C2782" s="0" t="inlineStr">
        <is>
          <t xml:space="preserve">broad_maritime</t>
        </is>
      </c>
      <c r="D2782" s="4">
        <v>0.408452</v>
      </c>
      <c r="E2782" s="0" t="inlineStr">
        <is>
          <t xml:space="preserve">LAUREL TECHNOLOGIES PARTNERSHIP</t>
        </is>
      </c>
      <c r="F2782" s="0" t="inlineStr">
        <is>
          <t xml:space="preserve">psc:2090</t>
        </is>
      </c>
    </row>
    <row r="2783">
      <c r="B2783" s="0" t="inlineStr">
        <is>
          <t xml:space="preserve">N0016425PX001</t>
        </is>
      </c>
      <c r="C2783" s="0" t="inlineStr">
        <is>
          <t xml:space="preserve">small_craft</t>
        </is>
      </c>
      <c r="D2783" s="4">
        <v>0.407532</v>
      </c>
      <c r="E2783" s="0" t="inlineStr">
        <is>
          <t xml:space="preserve">WORKSKIFF, INC.</t>
        </is>
      </c>
      <c r="F2783" s="0" t="inlineStr">
        <is>
          <t xml:space="preserve">naics:336612; psc:1940</t>
        </is>
      </c>
    </row>
    <row r="2784">
      <c r="B2784" s="0" t="inlineStr">
        <is>
          <t xml:space="preserve">0020</t>
        </is>
      </c>
      <c r="C2784" s="0" t="inlineStr">
        <is>
          <t xml:space="preserve">broad_maritime</t>
        </is>
      </c>
      <c r="D2784" s="4">
        <v>0.40738199999999997</v>
      </c>
      <c r="E2784" s="0" t="inlineStr">
        <is>
          <t xml:space="preserve">FLIGHTFAB, INC.</t>
        </is>
      </c>
      <c r="F2784" s="0" t="inlineStr">
        <is>
          <t xml:space="preserve">psc:2090</t>
        </is>
      </c>
    </row>
    <row r="2785">
      <c r="B2785" s="0" t="inlineStr">
        <is>
          <t xml:space="preserve">N0010424CBA38</t>
        </is>
      </c>
      <c r="C2785" s="0" t="inlineStr">
        <is>
          <t xml:space="preserve">small_craft</t>
        </is>
      </c>
      <c r="D2785" s="4">
        <v>0.406128</v>
      </c>
      <c r="E2785" s="0" t="inlineStr">
        <is>
          <t xml:space="preserve">JO-KELL INC.</t>
        </is>
      </c>
      <c r="F2785" s="0" t="inlineStr">
        <is>
          <t xml:space="preserve">naics:336612</t>
        </is>
      </c>
    </row>
    <row r="2786">
      <c r="B2786" s="0" t="inlineStr">
        <is>
          <t xml:space="preserve">N3220519P6747</t>
        </is>
      </c>
      <c r="C2786" s="0" t="inlineStr">
        <is>
          <t xml:space="preserve">broad_maritime</t>
        </is>
      </c>
      <c r="D2786" s="4">
        <v>0.40599999999999997</v>
      </c>
      <c r="E2786" s="0" t="inlineStr">
        <is>
          <t xml:space="preserve">LIFTKING MANUFACTURING CORP</t>
        </is>
      </c>
      <c r="F2786" s="0" t="inlineStr">
        <is>
          <t xml:space="preserve">psc:2090</t>
        </is>
      </c>
    </row>
    <row r="2787">
      <c r="B2787" s="0" t="inlineStr">
        <is>
          <t xml:space="preserve">N3220519P4571</t>
        </is>
      </c>
      <c r="C2787" s="0" t="inlineStr">
        <is>
          <t xml:space="preserve">broad_maritime</t>
        </is>
      </c>
      <c r="D2787" s="4">
        <v>0.40599999999999997</v>
      </c>
      <c r="E2787" s="0" t="inlineStr">
        <is>
          <t xml:space="preserve">LIFTKING MANUFACTURING CORP</t>
        </is>
      </c>
      <c r="F2787" s="0" t="inlineStr">
        <is>
          <t xml:space="preserve">psc:2090</t>
        </is>
      </c>
    </row>
    <row r="2788">
      <c r="B2788" s="0" t="inlineStr">
        <is>
          <t xml:space="preserve">N0010424PYB83</t>
        </is>
      </c>
      <c r="C2788" s="0" t="inlineStr">
        <is>
          <t xml:space="preserve">broad_maritime</t>
        </is>
      </c>
      <c r="D2788" s="4">
        <v>0.40599999999999997</v>
      </c>
      <c r="E2788" s="0" t="inlineStr">
        <is>
          <t xml:space="preserve">MARINE POLYMERS, INC</t>
        </is>
      </c>
      <c r="F2788" s="0" t="inlineStr">
        <is>
          <t xml:space="preserve">psc:2090</t>
        </is>
      </c>
    </row>
    <row r="2789">
      <c r="B2789" s="0" t="inlineStr">
        <is>
          <t xml:space="preserve">N6230621P0011</t>
        </is>
      </c>
      <c r="C2789" s="0" t="inlineStr">
        <is>
          <t xml:space="preserve">broad_maritime</t>
        </is>
      </c>
      <c r="D2789" s="4">
        <v>0.40557499999999996</v>
      </c>
      <c r="E2789" s="0" t="inlineStr">
        <is>
          <t xml:space="preserve">SUBSEA TECHNOLOGIES, INC.</t>
        </is>
      </c>
      <c r="F2789" s="0" t="inlineStr">
        <is>
          <t xml:space="preserve">psc:2090</t>
        </is>
      </c>
    </row>
    <row r="2790">
      <c r="B2790" s="0" t="inlineStr">
        <is>
          <t xml:space="preserve">N6449821F4291</t>
        </is>
      </c>
      <c r="C2790" s="0" t="inlineStr">
        <is>
          <t xml:space="preserve">broad_maritime</t>
        </is>
      </c>
      <c r="D2790" s="4">
        <v>0.40531599999999995</v>
      </c>
      <c r="E2790" s="0" t="inlineStr">
        <is>
          <t xml:space="preserve">FLIGHTFAB, INC.</t>
        </is>
      </c>
      <c r="F2790" s="0" t="inlineStr">
        <is>
          <t xml:space="preserve">psc:2090</t>
        </is>
      </c>
    </row>
    <row r="2791">
      <c r="B2791" s="0" t="inlineStr">
        <is>
          <t xml:space="preserve">N3220517P4430</t>
        </is>
      </c>
      <c r="C2791" s="0" t="inlineStr">
        <is>
          <t xml:space="preserve">broad_maritime</t>
        </is>
      </c>
      <c r="D2791" s="4">
        <v>0.404248</v>
      </c>
      <c r="E2791" s="0" t="inlineStr">
        <is>
          <t xml:space="preserve">APPLETON MARINE INC</t>
        </is>
      </c>
      <c r="F2791" s="0" t="inlineStr">
        <is>
          <t xml:space="preserve">psc:2090</t>
        </is>
      </c>
    </row>
    <row r="2792">
      <c r="B2792" s="0" t="inlineStr">
        <is>
          <t xml:space="preserve">N6278918F0009</t>
        </is>
      </c>
      <c r="C2792" s="0" t="inlineStr">
        <is>
          <t xml:space="preserve">broad_maritime</t>
        </is>
      </c>
      <c r="D2792" s="4">
        <v>0.40404399999999996</v>
      </c>
      <c r="E2792" s="0" t="inlineStr">
        <is>
          <t xml:space="preserve">HUNTINGTON INGALLS INC</t>
        </is>
      </c>
      <c r="F2792" s="0" t="inlineStr">
        <is>
          <t xml:space="preserve">psc:1905</t>
        </is>
      </c>
    </row>
    <row r="2793">
      <c r="B2793" s="0" t="inlineStr">
        <is>
          <t xml:space="preserve">N3220515P1342</t>
        </is>
      </c>
      <c r="C2793" s="0" t="inlineStr">
        <is>
          <t xml:space="preserve">broad_maritime</t>
        </is>
      </c>
      <c r="D2793" s="4">
        <v>0.40298826</v>
      </c>
      <c r="E2793" s="0" t="inlineStr">
        <is>
          <t xml:space="preserve">ROLLS-ROYCE MARINE NORTH AMERICA INC.</t>
        </is>
      </c>
      <c r="F2793" s="0" t="inlineStr">
        <is>
          <t xml:space="preserve">psc:2090</t>
        </is>
      </c>
    </row>
    <row r="2794">
      <c r="B2794" s="0" t="inlineStr">
        <is>
          <t xml:space="preserve">N4034521P0092</t>
        </is>
      </c>
      <c r="C2794" s="0" t="inlineStr">
        <is>
          <t xml:space="preserve">broad_maritime</t>
        </is>
      </c>
      <c r="D2794" s="4">
        <v>0.40237999999999996</v>
      </c>
      <c r="E2794" s="0" t="inlineStr">
        <is>
          <t xml:space="preserve">WELIN LAMBIE LIMITED</t>
        </is>
      </c>
      <c r="F2794" s="0" t="inlineStr">
        <is>
          <t xml:space="preserve">psc:2090</t>
        </is>
      </c>
    </row>
    <row r="2795">
      <c r="B2795" s="0" t="inlineStr">
        <is>
          <t xml:space="preserve">N3220519P6039</t>
        </is>
      </c>
      <c r="C2795" s="0" t="inlineStr">
        <is>
          <t xml:space="preserve">broad_maritime</t>
        </is>
      </c>
      <c r="D2795" s="4">
        <v>0.402118</v>
      </c>
      <c r="E2795" s="0" t="inlineStr">
        <is>
          <t xml:space="preserve">APPLETON MARINE INC</t>
        </is>
      </c>
      <c r="F2795" s="0" t="inlineStr">
        <is>
          <t xml:space="preserve">psc:2090</t>
        </is>
      </c>
    </row>
    <row r="2796">
      <c r="B2796" s="0" t="inlineStr">
        <is>
          <t xml:space="preserve">N0016722F0017</t>
        </is>
      </c>
      <c r="C2796" s="0" t="inlineStr">
        <is>
          <t xml:space="preserve">broad_maritime</t>
        </is>
      </c>
      <c r="D2796" s="4">
        <v>0.40204399999999996</v>
      </c>
      <c r="E2796" s="0" t="inlineStr">
        <is>
          <t xml:space="preserve">L.B.I., INC.</t>
        </is>
      </c>
      <c r="F2796" s="0" t="inlineStr">
        <is>
          <t xml:space="preserve">psc:2090</t>
        </is>
      </c>
    </row>
    <row r="2797">
      <c r="B2797" s="0" t="inlineStr">
        <is>
          <t xml:space="preserve">L806</t>
        </is>
      </c>
      <c r="C2797" s="0" t="inlineStr">
        <is>
          <t xml:space="preserve">broad_maritime</t>
        </is>
      </c>
      <c r="D2797" s="4">
        <v>0.40141099999999996</v>
      </c>
      <c r="E2797" s="0" t="inlineStr">
        <is>
          <t xml:space="preserve">ELECTRIC BOAT CORPORATION</t>
        </is>
      </c>
      <c r="F2797" s="0" t="inlineStr">
        <is>
          <t xml:space="preserve">psc:1905</t>
        </is>
      </c>
    </row>
    <row r="2798">
      <c r="B2798" s="0" t="inlineStr">
        <is>
          <t xml:space="preserve">N0003925F1003</t>
        </is>
      </c>
      <c r="C2798" s="0" t="inlineStr">
        <is>
          <t xml:space="preserve">small_craft</t>
        </is>
      </c>
      <c r="D2798" s="4">
        <v>0.40099049</v>
      </c>
      <c r="E2798" s="0" t="inlineStr">
        <is>
          <t xml:space="preserve">TELEDYNE BROWN ENGINEERING, INC.</t>
        </is>
      </c>
      <c r="F2798" s="0" t="inlineStr">
        <is>
          <t xml:space="preserve">psc:1940</t>
        </is>
      </c>
    </row>
    <row r="2799">
      <c r="B2799" s="0" t="inlineStr">
        <is>
          <t xml:space="preserve">N3220516P7023</t>
        </is>
      </c>
      <c r="C2799" s="0" t="inlineStr">
        <is>
          <t xml:space="preserve">broad_maritime</t>
        </is>
      </c>
      <c r="D2799" s="4">
        <v>0.400128</v>
      </c>
      <c r="E2799" s="0" t="inlineStr">
        <is>
          <t xml:space="preserve">KONGSBERG MARITIME INC</t>
        </is>
      </c>
      <c r="F2799" s="0" t="inlineStr">
        <is>
          <t xml:space="preserve">psc:2090</t>
        </is>
      </c>
    </row>
    <row r="2800">
      <c r="B2800" s="0" t="inlineStr">
        <is>
          <t xml:space="preserve">N0010425PCB47</t>
        </is>
      </c>
      <c r="C2800" s="0" t="inlineStr">
        <is>
          <t xml:space="preserve">small_craft</t>
        </is>
      </c>
      <c r="D2800" s="4">
        <v>0.39999999999999997</v>
      </c>
      <c r="E2800" s="0" t="inlineStr">
        <is>
          <t xml:space="preserve">ENGINE SYSTEMS, INC.</t>
        </is>
      </c>
      <c r="F2800" s="0" t="inlineStr">
        <is>
          <t xml:space="preserve">naics:336612</t>
        </is>
      </c>
    </row>
    <row r="2801">
      <c r="B2801" s="0" t="inlineStr">
        <is>
          <t xml:space="preserve">N0024423F0414</t>
        </is>
      </c>
      <c r="C2801" s="0" t="inlineStr">
        <is>
          <t xml:space="preserve">broad_maritime</t>
        </is>
      </c>
      <c r="D2801" s="4">
        <v>0.39918499999999996</v>
      </c>
      <c r="E2801" s="0" t="inlineStr">
        <is>
          <t xml:space="preserve">MARINE &amp; RESTAURANT FABRICATORS, INC.</t>
        </is>
      </c>
      <c r="F2801" s="0" t="inlineStr">
        <is>
          <t xml:space="preserve">psc:2090</t>
        </is>
      </c>
    </row>
    <row r="2802">
      <c r="B2802" s="0" t="inlineStr">
        <is>
          <t xml:space="preserve">N6660420FC827</t>
        </is>
      </c>
      <c r="C2802" s="0" t="inlineStr">
        <is>
          <t xml:space="preserve">small_craft</t>
        </is>
      </c>
      <c r="D2802" s="4">
        <v>0.39897</v>
      </c>
      <c r="E2802" s="0" t="inlineStr">
        <is>
          <t xml:space="preserve">LOCKHEED MARTIN CORPORATION</t>
        </is>
      </c>
      <c r="F2802" s="0" t="inlineStr">
        <is>
          <t xml:space="preserve">psc:1940</t>
        </is>
      </c>
    </row>
    <row r="2803">
      <c r="B2803" s="0" t="inlineStr">
        <is>
          <t xml:space="preserve">N5005422C0005</t>
        </is>
      </c>
      <c r="C2803" s="0" t="inlineStr">
        <is>
          <t xml:space="preserve">broad_maritime</t>
        </is>
      </c>
      <c r="D2803" s="4">
        <v>0.398565</v>
      </c>
      <c r="E2803" s="0" t="inlineStr">
        <is>
          <t xml:space="preserve">PPG ARCHITECTURAL FINISHES, INC.</t>
        </is>
      </c>
      <c r="F2803" s="0" t="inlineStr">
        <is>
          <t xml:space="preserve">psc:2090</t>
        </is>
      </c>
    </row>
    <row r="2804">
      <c r="B2804" s="0" t="inlineStr">
        <is>
          <t xml:space="preserve">N5005422P0201</t>
        </is>
      </c>
      <c r="C2804" s="0" t="inlineStr">
        <is>
          <t xml:space="preserve">broad_maritime</t>
        </is>
      </c>
      <c r="D2804" s="4">
        <v>0.397735</v>
      </c>
      <c r="E2804" s="0" t="inlineStr">
        <is>
          <t xml:space="preserve">CORNELL-CARR CO., INC.</t>
        </is>
      </c>
      <c r="F2804" s="0" t="inlineStr">
        <is>
          <t xml:space="preserve">psc:2090</t>
        </is>
      </c>
    </row>
    <row r="2805">
      <c r="B2805" s="0" t="inlineStr">
        <is>
          <t xml:space="preserve">N6449819FPS41</t>
        </is>
      </c>
      <c r="C2805" s="0" t="inlineStr">
        <is>
          <t xml:space="preserve">broad_maritime</t>
        </is>
      </c>
      <c r="D2805" s="4">
        <v>0.39771303999999996</v>
      </c>
      <c r="E2805" s="0" t="inlineStr">
        <is>
          <t xml:space="preserve">NAG, LLC</t>
        </is>
      </c>
      <c r="F2805" s="0" t="inlineStr">
        <is>
          <t xml:space="preserve">psc:2090</t>
        </is>
      </c>
    </row>
    <row r="2806">
      <c r="B2806" s="0" t="inlineStr">
        <is>
          <t xml:space="preserve">N3220518F3553</t>
        </is>
      </c>
      <c r="C2806" s="0" t="inlineStr">
        <is>
          <t xml:space="preserve">broad_maritime</t>
        </is>
      </c>
      <c r="D2806" s="4">
        <v>0.3970372</v>
      </c>
      <c r="E2806" s="0" t="inlineStr">
        <is>
          <t xml:space="preserve">SHELL MARINE PRODUCTS (US) COMPANY</t>
        </is>
      </c>
      <c r="F2806" s="0" t="inlineStr">
        <is>
          <t xml:space="preserve">psc:2090</t>
        </is>
      </c>
    </row>
    <row r="2807">
      <c r="B2807" s="0" t="inlineStr">
        <is>
          <t xml:space="preserve">N6449819F4263</t>
        </is>
      </c>
      <c r="C2807" s="0" t="inlineStr">
        <is>
          <t xml:space="preserve">broad_maritime</t>
        </is>
      </c>
      <c r="D2807" s="4">
        <v>0.396842</v>
      </c>
      <c r="E2807" s="0" t="inlineStr">
        <is>
          <t xml:space="preserve">OCEANEERING INTERNATIONAL INC</t>
        </is>
      </c>
      <c r="F2807" s="0" t="inlineStr">
        <is>
          <t xml:space="preserve">psc:1905</t>
        </is>
      </c>
    </row>
    <row r="2808">
      <c r="B2808" s="0" t="inlineStr">
        <is>
          <t xml:space="preserve">0004</t>
        </is>
      </c>
      <c r="C2808" s="0" t="inlineStr">
        <is>
          <t xml:space="preserve">small_craft</t>
        </is>
      </c>
      <c r="D2808" s="4">
        <v>0.396744</v>
      </c>
      <c r="E2808" s="0" t="inlineStr">
        <is>
          <t xml:space="preserve">VIGOR KVICHAK LLC</t>
        </is>
      </c>
      <c r="F2808" s="0" t="inlineStr">
        <is>
          <t xml:space="preserve">naics:336612; psc:1940</t>
        </is>
      </c>
    </row>
    <row r="2809">
      <c r="B2809" s="0" t="inlineStr">
        <is>
          <t xml:space="preserve">N5005420P0135</t>
        </is>
      </c>
      <c r="C2809" s="0" t="inlineStr">
        <is>
          <t xml:space="preserve">broad_maritime</t>
        </is>
      </c>
      <c r="D2809" s="4">
        <v>0.39658899999999997</v>
      </c>
      <c r="E2809" s="0" t="inlineStr">
        <is>
          <t xml:space="preserve">TRI-WAY INDUSTRIES, INC.</t>
        </is>
      </c>
      <c r="F2809" s="0" t="inlineStr">
        <is>
          <t xml:space="preserve">psc:2090</t>
        </is>
      </c>
    </row>
    <row r="2810">
      <c r="B2810" s="0" t="inlineStr">
        <is>
          <t xml:space="preserve">0008</t>
        </is>
      </c>
      <c r="C2810" s="0" t="inlineStr">
        <is>
          <t xml:space="preserve">broad_maritime</t>
        </is>
      </c>
      <c r="D2810" s="4">
        <v>0.39614</v>
      </c>
      <c r="E2810" s="0" t="inlineStr">
        <is>
          <t xml:space="preserve">FENDER CARE LIMITED</t>
        </is>
      </c>
      <c r="F2810" s="0" t="inlineStr">
        <is>
          <t xml:space="preserve">psc:2090</t>
        </is>
      </c>
    </row>
    <row r="2811">
      <c r="B2811" s="0" t="inlineStr">
        <is>
          <t xml:space="preserve">N0024423F0203</t>
        </is>
      </c>
      <c r="C2811" s="0" t="inlineStr">
        <is>
          <t xml:space="preserve">broad_maritime</t>
        </is>
      </c>
      <c r="D2811" s="4">
        <v>0.39544999999999997</v>
      </c>
      <c r="E2811" s="0" t="inlineStr">
        <is>
          <t xml:space="preserve">MARINE &amp; RESTAURANT FABRICATORS, INC.</t>
        </is>
      </c>
      <c r="F2811" s="0" t="inlineStr">
        <is>
          <t xml:space="preserve">psc:2090</t>
        </is>
      </c>
    </row>
    <row r="2812">
      <c r="B2812" s="0" t="inlineStr">
        <is>
          <t xml:space="preserve">N6817123F0036</t>
        </is>
      </c>
      <c r="C2812" s="0" t="inlineStr">
        <is>
          <t xml:space="preserve">broad_maritime</t>
        </is>
      </c>
      <c r="D2812" s="4">
        <v>0.39509605</v>
      </c>
      <c r="E2812" s="0" t="inlineStr">
        <is>
          <t xml:space="preserve">FINCANTIERI MARINE SYSTEMS NORTH AMERICA, INC.</t>
        </is>
      </c>
      <c r="F2812" s="0" t="inlineStr">
        <is>
          <t xml:space="preserve">psc:2090</t>
        </is>
      </c>
    </row>
    <row r="2813">
      <c r="B2813" s="0" t="inlineStr">
        <is>
          <t xml:space="preserve">N0024423F0211</t>
        </is>
      </c>
      <c r="C2813" s="0" t="inlineStr">
        <is>
          <t xml:space="preserve">broad_maritime</t>
        </is>
      </c>
      <c r="D2813" s="4">
        <v>0.394619</v>
      </c>
      <c r="E2813" s="0" t="inlineStr">
        <is>
          <t xml:space="preserve">MARINE &amp; RESTAURANT FABRICATORS, INC.</t>
        </is>
      </c>
      <c r="F2813" s="0" t="inlineStr">
        <is>
          <t xml:space="preserve">psc:2090</t>
        </is>
      </c>
    </row>
    <row r="2814">
      <c r="B2814" s="0" t="inlineStr">
        <is>
          <t xml:space="preserve">N0024424F0428</t>
        </is>
      </c>
      <c r="C2814" s="0" t="inlineStr">
        <is>
          <t xml:space="preserve">broad_maritime</t>
        </is>
      </c>
      <c r="D2814" s="4">
        <v>0.394213</v>
      </c>
      <c r="E2814" s="0" t="inlineStr">
        <is>
          <t xml:space="preserve">MARINE &amp; RESTAURANT FABRICATORS, INC.</t>
        </is>
      </c>
      <c r="F2814" s="0" t="inlineStr">
        <is>
          <t xml:space="preserve">psc:2090</t>
        </is>
      </c>
    </row>
    <row r="2815">
      <c r="B2815" s="0" t="inlineStr">
        <is>
          <t xml:space="preserve">1009</t>
        </is>
      </c>
      <c r="C2815" s="0" t="inlineStr">
        <is>
          <t xml:space="preserve">small_craft</t>
        </is>
      </c>
      <c r="D2815" s="4">
        <v>0.39413079999999995</v>
      </c>
      <c r="E2815" s="0" t="inlineStr">
        <is>
          <t xml:space="preserve">WING INFLATABLES INC</t>
        </is>
      </c>
      <c r="F2815" s="0" t="inlineStr">
        <is>
          <t xml:space="preserve">naics:336612; psc:1940</t>
        </is>
      </c>
    </row>
    <row r="2816">
      <c r="B2816" s="0" t="inlineStr">
        <is>
          <t xml:space="preserve">N6230621F0099</t>
        </is>
      </c>
      <c r="C2816" s="0" t="inlineStr">
        <is>
          <t xml:space="preserve">broad_maritime</t>
        </is>
      </c>
      <c r="D2816" s="4">
        <v>0.39374558</v>
      </c>
      <c r="E2816" s="0" t="inlineStr">
        <is>
          <t xml:space="preserve">LOCKHEED MARTIN SIPPICAN, INC.</t>
        </is>
      </c>
      <c r="F2816" s="0" t="inlineStr">
        <is>
          <t xml:space="preserve">psc:2090</t>
        </is>
      </c>
    </row>
    <row r="2817">
      <c r="B2817" s="0" t="inlineStr">
        <is>
          <t xml:space="preserve">N0002421C2210</t>
        </is>
      </c>
      <c r="C2817" s="0" t="inlineStr">
        <is>
          <t xml:space="preserve">small_craft</t>
        </is>
      </c>
      <c r="D2817" s="4">
        <v>0.39316542</v>
      </c>
      <c r="E2817" s="0" t="inlineStr">
        <is>
          <t xml:space="preserve">MODUTECH MARINE, INC.</t>
        </is>
      </c>
      <c r="F2817" s="0" t="inlineStr">
        <is>
          <t xml:space="preserve">naics:336612; psc:1940</t>
        </is>
      </c>
    </row>
    <row r="2818">
      <c r="B2818" s="0" t="inlineStr">
        <is>
          <t xml:space="preserve">N0024419F0275</t>
        </is>
      </c>
      <c r="C2818" s="0" t="inlineStr">
        <is>
          <t xml:space="preserve">broad_maritime</t>
        </is>
      </c>
      <c r="D2818" s="4">
        <v>0.39260724999999996</v>
      </c>
      <c r="E2818" s="0" t="inlineStr">
        <is>
          <t xml:space="preserve">PACIFIC MARITIME INDUSTRIES CORP.</t>
        </is>
      </c>
      <c r="F2818" s="0" t="inlineStr">
        <is>
          <t xml:space="preserve">psc:2090</t>
        </is>
      </c>
    </row>
    <row r="2819">
      <c r="B2819" s="0" t="inlineStr">
        <is>
          <t xml:space="preserve">N6660418F1292</t>
        </is>
      </c>
      <c r="C2819" s="0" t="inlineStr">
        <is>
          <t xml:space="preserve">broad_maritime</t>
        </is>
      </c>
      <c r="D2819" s="4">
        <v>0.390876</v>
      </c>
      <c r="E2819" s="0" t="inlineStr">
        <is>
          <t xml:space="preserve">LOCKHEED MARTIN SIPPICAN, INC.</t>
        </is>
      </c>
      <c r="F2819" s="0" t="inlineStr">
        <is>
          <t xml:space="preserve">psc:2090</t>
        </is>
      </c>
    </row>
    <row r="2820">
      <c r="B2820" s="0" t="inlineStr">
        <is>
          <t xml:space="preserve">0010</t>
        </is>
      </c>
      <c r="C2820" s="0" t="inlineStr">
        <is>
          <t xml:space="preserve">other_small</t>
        </is>
      </c>
      <c r="D2820" s="4">
        <v>0.390685</v>
      </c>
      <c r="E2820" s="0" t="inlineStr">
        <is>
          <t xml:space="preserve">LOCKHEED MARTIN CORPORATION</t>
        </is>
      </c>
      <c r="F2820" s="0" t="inlineStr">
        <is>
          <t xml:space="preserve">psc:1990</t>
        </is>
      </c>
    </row>
    <row r="2821">
      <c r="B2821" s="0" t="inlineStr">
        <is>
          <t xml:space="preserve">N0016424FG050</t>
        </is>
      </c>
      <c r="C2821" s="0" t="inlineStr">
        <is>
          <t xml:space="preserve">broad_maritime</t>
        </is>
      </c>
      <c r="D2821" s="4">
        <v>0.39031025999999996</v>
      </c>
      <c r="E2821" s="0" t="inlineStr">
        <is>
          <t xml:space="preserve">J &amp; N METAL PRODUCTS, LLC</t>
        </is>
      </c>
      <c r="F2821" s="0" t="inlineStr">
        <is>
          <t xml:space="preserve">psc:1905</t>
        </is>
      </c>
    </row>
    <row r="2822">
      <c r="B2822" s="0" t="inlineStr">
        <is>
          <t xml:space="preserve">N6449820F4332</t>
        </is>
      </c>
      <c r="C2822" s="0" t="inlineStr">
        <is>
          <t xml:space="preserve">broad_maritime</t>
        </is>
      </c>
      <c r="D2822" s="4">
        <v>0.39027999999999996</v>
      </c>
      <c r="E2822" s="0" t="inlineStr">
        <is>
          <t xml:space="preserve">FLIGHTFAB, INC.</t>
        </is>
      </c>
      <c r="F2822" s="0" t="inlineStr">
        <is>
          <t xml:space="preserve">psc:2090</t>
        </is>
      </c>
    </row>
    <row r="2823">
      <c r="B2823" s="0" t="inlineStr">
        <is>
          <t xml:space="preserve">N6279325F1031</t>
        </is>
      </c>
      <c r="C2823" s="0" t="inlineStr">
        <is>
          <t xml:space="preserve">broad_maritime</t>
        </is>
      </c>
      <c r="D2823" s="4">
        <v>0.3894507</v>
      </c>
      <c r="E2823" s="0" t="inlineStr">
        <is>
          <t xml:space="preserve">HII FLEET SUPPORT GROUP LLC</t>
        </is>
      </c>
      <c r="F2823" s="0" t="inlineStr">
        <is>
          <t xml:space="preserve">psc:1905</t>
        </is>
      </c>
    </row>
    <row r="2824">
      <c r="B2824" s="0" t="inlineStr">
        <is>
          <t xml:space="preserve">N0010424PXD14</t>
        </is>
      </c>
      <c r="C2824" s="0" t="inlineStr">
        <is>
          <t xml:space="preserve">small_craft</t>
        </is>
      </c>
      <c r="D2824" s="4">
        <v>0.38904025</v>
      </c>
      <c r="E2824" s="0" t="inlineStr">
        <is>
          <t xml:space="preserve">DEFENSE MARITIME SOLUTIONS, INC.</t>
        </is>
      </c>
      <c r="F2824" s="0" t="inlineStr">
        <is>
          <t xml:space="preserve">naics:336612</t>
        </is>
      </c>
    </row>
    <row r="2825">
      <c r="B2825" s="0" t="inlineStr">
        <is>
          <t xml:space="preserve">N0017821PC300</t>
        </is>
      </c>
      <c r="C2825" s="0" t="inlineStr">
        <is>
          <t xml:space="preserve">broad_maritime</t>
        </is>
      </c>
      <c r="D2825" s="4">
        <v>0.38899999999999996</v>
      </c>
      <c r="E2825" s="0" t="inlineStr">
        <is>
          <t xml:space="preserve">SPENCER INDUSTRIES INC</t>
        </is>
      </c>
      <c r="F2825" s="0" t="inlineStr">
        <is>
          <t xml:space="preserve">psc:2090</t>
        </is>
      </c>
    </row>
    <row r="2826">
      <c r="B2826" s="0" t="inlineStr">
        <is>
          <t xml:space="preserve">N3220514P1356</t>
        </is>
      </c>
      <c r="C2826" s="0" t="inlineStr">
        <is>
          <t xml:space="preserve">broad_maritime</t>
        </is>
      </c>
      <c r="D2826" s="4">
        <v>0.3888439</v>
      </c>
      <c r="E2826" s="0" t="inlineStr">
        <is>
          <t xml:space="preserve">ROLLS-ROYCE MARINE NORTH AMERICA INC.</t>
        </is>
      </c>
      <c r="F2826" s="0" t="inlineStr">
        <is>
          <t xml:space="preserve">psc:2090</t>
        </is>
      </c>
    </row>
    <row r="2827">
      <c r="B2827" s="0" t="inlineStr">
        <is>
          <t xml:space="preserve">N3220521P2712</t>
        </is>
      </c>
      <c r="C2827" s="0" t="inlineStr">
        <is>
          <t xml:space="preserve">broad_maritime</t>
        </is>
      </c>
      <c r="D2827" s="4">
        <v>0.38849696</v>
      </c>
      <c r="E2827" s="0" t="inlineStr">
        <is>
          <t xml:space="preserve">DEFENSE MARITIME SOLUTIONS, INC.</t>
        </is>
      </c>
      <c r="F2827" s="0" t="inlineStr">
        <is>
          <t xml:space="preserve">psc:2090</t>
        </is>
      </c>
    </row>
    <row r="2828">
      <c r="B2828" s="0" t="inlineStr">
        <is>
          <t xml:space="preserve">N3220521P2614</t>
        </is>
      </c>
      <c r="C2828" s="0" t="inlineStr">
        <is>
          <t xml:space="preserve">broad_maritime</t>
        </is>
      </c>
      <c r="D2828" s="4">
        <v>0.38849696</v>
      </c>
      <c r="E2828" s="0" t="inlineStr">
        <is>
          <t xml:space="preserve">DEFENSE MARITIME SOLUTIONS, INC.</t>
        </is>
      </c>
      <c r="F2828" s="0" t="inlineStr">
        <is>
          <t xml:space="preserve">psc:2090</t>
        </is>
      </c>
    </row>
    <row r="2829">
      <c r="B2829" s="0" t="inlineStr">
        <is>
          <t xml:space="preserve">N3220519P4024</t>
        </is>
      </c>
      <c r="C2829" s="0" t="inlineStr">
        <is>
          <t xml:space="preserve">broad_maritime</t>
        </is>
      </c>
      <c r="D2829" s="4">
        <v>0.38801199999999997</v>
      </c>
      <c r="E2829" s="0" t="inlineStr">
        <is>
          <t xml:space="preserve">CIRCOR NAVAL SOLUTIONS LLC</t>
        </is>
      </c>
      <c r="F2829" s="0" t="inlineStr">
        <is>
          <t xml:space="preserve">psc:2090</t>
        </is>
      </c>
    </row>
    <row r="2830">
      <c r="B2830" s="0" t="inlineStr">
        <is>
          <t xml:space="preserve">N0010424PNA66</t>
        </is>
      </c>
      <c r="C2830" s="0" t="inlineStr">
        <is>
          <t xml:space="preserve">broad_maritime</t>
        </is>
      </c>
      <c r="D2830" s="4">
        <v>0.3873</v>
      </c>
      <c r="E2830" s="0" t="inlineStr">
        <is>
          <t xml:space="preserve">WESTLAND TECHNOLOGIES, INC.</t>
        </is>
      </c>
      <c r="F2830" s="0" t="inlineStr">
        <is>
          <t xml:space="preserve">psc:2090</t>
        </is>
      </c>
    </row>
    <row r="2831">
      <c r="B2831" s="0" t="inlineStr">
        <is>
          <t xml:space="preserve">N0040623F0147</t>
        </is>
      </c>
      <c r="C2831" s="0" t="inlineStr">
        <is>
          <t xml:space="preserve">broad_maritime</t>
        </is>
      </c>
      <c r="D2831" s="4">
        <v>0.3871084699999999</v>
      </c>
      <c r="E2831" s="0" t="inlineStr">
        <is>
          <t xml:space="preserve">CIRCOR NAVAL SOLUTIONS LLC</t>
        </is>
      </c>
      <c r="F2831" s="0" t="inlineStr">
        <is>
          <t xml:space="preserve">psc:2090</t>
        </is>
      </c>
    </row>
    <row r="2832">
      <c r="B2832" s="0" t="inlineStr">
        <is>
          <t xml:space="preserve">N0010425PFC59</t>
        </is>
      </c>
      <c r="C2832" s="0" t="inlineStr">
        <is>
          <t xml:space="preserve">small_craft</t>
        </is>
      </c>
      <c r="D2832" s="4">
        <v>0.38699999999999996</v>
      </c>
      <c r="E2832" s="0" t="inlineStr">
        <is>
          <t xml:space="preserve">U.S.A. SPARES INC.</t>
        </is>
      </c>
      <c r="F2832" s="0" t="inlineStr">
        <is>
          <t xml:space="preserve">naics:336612; psc:2090</t>
        </is>
      </c>
    </row>
    <row r="2833">
      <c r="B2833" s="0" t="inlineStr">
        <is>
          <t xml:space="preserve">0004</t>
        </is>
      </c>
      <c r="C2833" s="0" t="inlineStr">
        <is>
          <t xml:space="preserve">broad_maritime</t>
        </is>
      </c>
      <c r="D2833" s="4">
        <v>0.38694799999999996</v>
      </c>
      <c r="E2833" s="0" t="inlineStr">
        <is>
          <t xml:space="preserve">FLIGHTFAB, INC.</t>
        </is>
      </c>
      <c r="F2833" s="0" t="inlineStr">
        <is>
          <t xml:space="preserve">psc:2090</t>
        </is>
      </c>
    </row>
    <row r="2834">
      <c r="B2834" s="0" t="inlineStr">
        <is>
          <t xml:space="preserve">0003</t>
        </is>
      </c>
      <c r="C2834" s="0" t="inlineStr">
        <is>
          <t xml:space="preserve">broad_maritime</t>
        </is>
      </c>
      <c r="D2834" s="4">
        <v>0.38694799999999996</v>
      </c>
      <c r="E2834" s="0" t="inlineStr">
        <is>
          <t xml:space="preserve">FLIGHTFAB, INC.</t>
        </is>
      </c>
      <c r="F2834" s="0" t="inlineStr">
        <is>
          <t xml:space="preserve">psc:2090</t>
        </is>
      </c>
    </row>
    <row r="2835">
      <c r="B2835" s="0" t="inlineStr">
        <is>
          <t xml:space="preserve">N3220522F2698</t>
        </is>
      </c>
      <c r="C2835" s="0" t="inlineStr">
        <is>
          <t xml:space="preserve">broad_maritime</t>
        </is>
      </c>
      <c r="D2835" s="4">
        <v>0.386714</v>
      </c>
      <c r="E2835" s="0" t="inlineStr">
        <is>
          <t xml:space="preserve">NORTHROP GRUMMAN SYSTEMS CORPORATION</t>
        </is>
      </c>
      <c r="F2835" s="0" t="inlineStr">
        <is>
          <t xml:space="preserve">psc:2090</t>
        </is>
      </c>
    </row>
    <row r="2836">
      <c r="B2836" s="0" t="inlineStr">
        <is>
          <t xml:space="preserve">N6883625PS097</t>
        </is>
      </c>
      <c r="C2836" s="0" t="inlineStr">
        <is>
          <t xml:space="preserve">broad_maritime</t>
        </is>
      </c>
      <c r="D2836" s="4">
        <v>0.38655771</v>
      </c>
      <c r="E2836" s="0" t="inlineStr">
        <is>
          <t xml:space="preserve">CURTISS-WRIGHT ELECTRO-MECHANICAL CORP</t>
        </is>
      </c>
      <c r="F2836" s="0" t="inlineStr">
        <is>
          <t xml:space="preserve">psc:2090</t>
        </is>
      </c>
    </row>
    <row r="2837">
      <c r="B2837" s="0" t="inlineStr">
        <is>
          <t xml:space="preserve">N0010420F0KD0</t>
        </is>
      </c>
      <c r="C2837" s="0" t="inlineStr">
        <is>
          <t xml:space="preserve">broad_maritime</t>
        </is>
      </c>
      <c r="D2837" s="4">
        <v>0.38543299999999997</v>
      </c>
      <c r="E2837" s="0" t="inlineStr">
        <is>
          <t xml:space="preserve">RAYTHEON COMPANY</t>
        </is>
      </c>
      <c r="F2837" s="0" t="inlineStr">
        <is>
          <t xml:space="preserve">psc:1905</t>
        </is>
      </c>
    </row>
    <row r="2838">
      <c r="B2838" s="0" t="inlineStr">
        <is>
          <t xml:space="preserve">N6660419F1250</t>
        </is>
      </c>
      <c r="C2838" s="0" t="inlineStr">
        <is>
          <t xml:space="preserve">broad_maritime</t>
        </is>
      </c>
      <c r="D2838" s="4">
        <v>0.38514</v>
      </c>
      <c r="E2838" s="0" t="inlineStr">
        <is>
          <t xml:space="preserve">LOCKHEED MARTIN SIPPICAN, INC.</t>
        </is>
      </c>
      <c r="F2838" s="0" t="inlineStr">
        <is>
          <t xml:space="preserve">psc:2090</t>
        </is>
      </c>
    </row>
    <row r="2839">
      <c r="B2839" s="0" t="inlineStr">
        <is>
          <t xml:space="preserve">N6883625PS107</t>
        </is>
      </c>
      <c r="C2839" s="0" t="inlineStr">
        <is>
          <t xml:space="preserve">broad_maritime</t>
        </is>
      </c>
      <c r="D2839" s="4">
        <v>0.38469846999999996</v>
      </c>
      <c r="E2839" s="0" t="inlineStr">
        <is>
          <t xml:space="preserve">CURTISS-WRIGHT ELECTRO-MECHANICAL CORP</t>
        </is>
      </c>
      <c r="F2839" s="0" t="inlineStr">
        <is>
          <t xml:space="preserve">psc:2090</t>
        </is>
      </c>
    </row>
    <row r="2840">
      <c r="B2840" s="0" t="inlineStr">
        <is>
          <t xml:space="preserve">N5523622F9962</t>
        </is>
      </c>
      <c r="C2840" s="0" t="inlineStr">
        <is>
          <t xml:space="preserve">broad_maritime</t>
        </is>
      </c>
      <c r="D2840" s="4">
        <v>0.38464099999999996</v>
      </c>
      <c r="E2840" s="0" t="inlineStr">
        <is>
          <t xml:space="preserve">HII FLEET SUPPORT GROUP LLC</t>
        </is>
      </c>
      <c r="F2840" s="0" t="inlineStr">
        <is>
          <t xml:space="preserve">psc:1905</t>
        </is>
      </c>
    </row>
    <row r="2841">
      <c r="B2841" s="0" t="inlineStr">
        <is>
          <t xml:space="preserve">N0040623F0030</t>
        </is>
      </c>
      <c r="C2841" s="0" t="inlineStr">
        <is>
          <t xml:space="preserve">broad_maritime</t>
        </is>
      </c>
      <c r="D2841" s="4">
        <v>0.38413908</v>
      </c>
      <c r="E2841" s="0" t="inlineStr">
        <is>
          <t xml:space="preserve">FINCANTIERI MARINE SYSTEMS NORTH AMERICA, INC.</t>
        </is>
      </c>
      <c r="F2841" s="0" t="inlineStr">
        <is>
          <t xml:space="preserve">psc:2090</t>
        </is>
      </c>
    </row>
    <row r="2842">
      <c r="B2842" s="0" t="inlineStr">
        <is>
          <t xml:space="preserve">N6279325F7403</t>
        </is>
      </c>
      <c r="C2842" s="0" t="inlineStr">
        <is>
          <t xml:space="preserve">broad_maritime</t>
        </is>
      </c>
      <c r="D2842" s="4">
        <v>0.38331006</v>
      </c>
      <c r="E2842" s="0" t="inlineStr">
        <is>
          <t xml:space="preserve">HII FLEET SUPPORT GROUP LLC</t>
        </is>
      </c>
      <c r="F2842" s="0" t="inlineStr">
        <is>
          <t xml:space="preserve">psc:1905</t>
        </is>
      </c>
    </row>
    <row r="2843">
      <c r="B2843" s="0" t="inlineStr">
        <is>
          <t xml:space="preserve">N6133125F0185</t>
        </is>
      </c>
      <c r="C2843" s="0" t="inlineStr">
        <is>
          <t xml:space="preserve">broad_maritime</t>
        </is>
      </c>
      <c r="D2843" s="4">
        <v>0.38315111999999996</v>
      </c>
      <c r="E2843" s="0" t="inlineStr">
        <is>
          <t xml:space="preserve">HII UNMANNED SYSTEMS, INC</t>
        </is>
      </c>
      <c r="F2843" s="0" t="inlineStr">
        <is>
          <t xml:space="preserve">psc:2090</t>
        </is>
      </c>
    </row>
    <row r="2844">
      <c r="B2844" s="0" t="inlineStr">
        <is>
          <t xml:space="preserve">N0018925F0473</t>
        </is>
      </c>
      <c r="C2844" s="0" t="inlineStr">
        <is>
          <t xml:space="preserve">broad_maritime</t>
        </is>
      </c>
      <c r="D2844" s="4">
        <v>0.38312695</v>
      </c>
      <c r="E2844" s="0" t="inlineStr">
        <is>
          <t xml:space="preserve">JAL ENTERPRISES, INC.</t>
        </is>
      </c>
      <c r="F2844" s="0" t="inlineStr">
        <is>
          <t xml:space="preserve">psc:2090</t>
        </is>
      </c>
    </row>
    <row r="2845">
      <c r="B2845" s="0" t="inlineStr">
        <is>
          <t xml:space="preserve">N6278620F0010</t>
        </is>
      </c>
      <c r="C2845" s="0" t="inlineStr">
        <is>
          <t xml:space="preserve">broad_maritime</t>
        </is>
      </c>
      <c r="D2845" s="4">
        <v>0.38269096</v>
      </c>
      <c r="E2845" s="0" t="inlineStr">
        <is>
          <t xml:space="preserve">BAE SYSTEMS MARITIME SOLUTIONS SAN DIEGO INC.</t>
        </is>
      </c>
      <c r="F2845" s="0" t="inlineStr">
        <is>
          <t xml:space="preserve">psc:1905</t>
        </is>
      </c>
    </row>
    <row r="2846">
      <c r="B2846" s="0" t="inlineStr">
        <is>
          <t xml:space="preserve">N0010421CLA02</t>
        </is>
      </c>
      <c r="C2846" s="0" t="inlineStr">
        <is>
          <t xml:space="preserve">small_craft</t>
        </is>
      </c>
      <c r="D2846" s="4">
        <v>0.3826077</v>
      </c>
      <c r="E2846" s="0" t="inlineStr">
        <is>
          <t xml:space="preserve">CORNET TECHNOLOGY, INC.</t>
        </is>
      </c>
      <c r="F2846" s="0" t="inlineStr">
        <is>
          <t xml:space="preserve">naics:336612</t>
        </is>
      </c>
    </row>
    <row r="2847">
      <c r="B2847" s="0" t="inlineStr">
        <is>
          <t xml:space="preserve">N0002424F22B5</t>
        </is>
      </c>
      <c r="C2847" s="0" t="inlineStr">
        <is>
          <t xml:space="preserve">small_craft</t>
        </is>
      </c>
      <c r="D2847" s="4">
        <v>0.3822629</v>
      </c>
      <c r="E2847" s="0" t="inlineStr">
        <is>
          <t xml:space="preserve">METALCRAFT MARINE US, INC.</t>
        </is>
      </c>
      <c r="F2847" s="0" t="inlineStr">
        <is>
          <t xml:space="preserve">naics:336612; psc:1940</t>
        </is>
      </c>
    </row>
    <row r="2848">
      <c r="B2848" s="0" t="inlineStr">
        <is>
          <t xml:space="preserve">0094</t>
        </is>
      </c>
      <c r="C2848" s="0" t="inlineStr">
        <is>
          <t xml:space="preserve">broad_maritime</t>
        </is>
      </c>
      <c r="D2848" s="4">
        <v>0.38140210999999996</v>
      </c>
      <c r="E2848" s="0" t="inlineStr">
        <is>
          <t xml:space="preserve">ROCKWELL AUTOMATION INC</t>
        </is>
      </c>
      <c r="F2848" s="0" t="inlineStr">
        <is>
          <t xml:space="preserve">psc:2090</t>
        </is>
      </c>
    </row>
    <row r="2849">
      <c r="B2849" s="0" t="inlineStr">
        <is>
          <t xml:space="preserve">N6133117F0035</t>
        </is>
      </c>
      <c r="C2849" s="0" t="inlineStr">
        <is>
          <t xml:space="preserve">broad_maritime</t>
        </is>
      </c>
      <c r="D2849" s="4">
        <v>0.38004835</v>
      </c>
      <c r="E2849" s="0" t="inlineStr">
        <is>
          <t xml:space="preserve">ATLANTIC DIVING SUPPLY, INC.</t>
        </is>
      </c>
      <c r="F2849" s="0" t="inlineStr">
        <is>
          <t xml:space="preserve">psc:2090</t>
        </is>
      </c>
    </row>
    <row r="2850">
      <c r="B2850" s="0" t="inlineStr">
        <is>
          <t xml:space="preserve">N3220520F1017</t>
        </is>
      </c>
      <c r="C2850" s="0" t="inlineStr">
        <is>
          <t xml:space="preserve">other_small</t>
        </is>
      </c>
      <c r="D2850" s="4">
        <v>0.3791172</v>
      </c>
      <c r="E2850" s="0" t="inlineStr">
        <is>
          <t xml:space="preserve">LAKE SHORE SYSTEMS, INC.</t>
        </is>
      </c>
      <c r="F2850" s="0" t="inlineStr">
        <is>
          <t xml:space="preserve">psc:1990</t>
        </is>
      </c>
    </row>
    <row r="2851">
      <c r="B2851" s="0" t="inlineStr">
        <is>
          <t xml:space="preserve">N0010421PLC75</t>
        </is>
      </c>
      <c r="C2851" s="0" t="inlineStr">
        <is>
          <t xml:space="preserve">small_craft</t>
        </is>
      </c>
      <c r="D2851" s="4">
        <v>0.37885737999999997</v>
      </c>
      <c r="E2851" s="0" t="inlineStr">
        <is>
          <t xml:space="preserve">GENERAL DYNAMICS-OTS, INC.</t>
        </is>
      </c>
      <c r="F2851" s="0" t="inlineStr">
        <is>
          <t xml:space="preserve">naics:336612</t>
        </is>
      </c>
    </row>
    <row r="2852">
      <c r="B2852" s="0" t="inlineStr">
        <is>
          <t xml:space="preserve">N6449818F4041</t>
        </is>
      </c>
      <c r="C2852" s="0" t="inlineStr">
        <is>
          <t xml:space="preserve">broad_maritime</t>
        </is>
      </c>
      <c r="D2852" s="4">
        <v>0.37774331</v>
      </c>
      <c r="E2852" s="0" t="inlineStr">
        <is>
          <t xml:space="preserve">NAG, LLC</t>
        </is>
      </c>
      <c r="F2852" s="0" t="inlineStr">
        <is>
          <t xml:space="preserve">psc:2090</t>
        </is>
      </c>
    </row>
    <row r="2853">
      <c r="B2853" s="0" t="inlineStr">
        <is>
          <t xml:space="preserve">N0010425CBA35</t>
        </is>
      </c>
      <c r="C2853" s="0" t="inlineStr">
        <is>
          <t xml:space="preserve">small_craft</t>
        </is>
      </c>
      <c r="D2853" s="4">
        <v>0.3776</v>
      </c>
      <c r="E2853" s="0" t="inlineStr">
        <is>
          <t xml:space="preserve">NORTHROP GRUMMAN SYSTEMS CORPORATION</t>
        </is>
      </c>
      <c r="F2853" s="0" t="inlineStr">
        <is>
          <t xml:space="preserve">naics:336612</t>
        </is>
      </c>
    </row>
    <row r="2854">
      <c r="B2854" s="0" t="inlineStr">
        <is>
          <t xml:space="preserve">N3220519F8225</t>
        </is>
      </c>
      <c r="C2854" s="0" t="inlineStr">
        <is>
          <t xml:space="preserve">other_small</t>
        </is>
      </c>
      <c r="D2854" s="4">
        <v>0.37701446999999993</v>
      </c>
      <c r="E2854" s="0" t="inlineStr">
        <is>
          <t xml:space="preserve">LAKE SHORE SYSTEMS, INC.</t>
        </is>
      </c>
      <c r="F2854" s="0" t="inlineStr">
        <is>
          <t xml:space="preserve">psc:1990</t>
        </is>
      </c>
    </row>
    <row r="2855">
      <c r="B2855" s="0" t="inlineStr">
        <is>
          <t xml:space="preserve">N0024420F0157</t>
        </is>
      </c>
      <c r="C2855" s="0" t="inlineStr">
        <is>
          <t xml:space="preserve">broad_maritime</t>
        </is>
      </c>
      <c r="D2855" s="4">
        <v>0.376675</v>
      </c>
      <c r="E2855" s="0" t="inlineStr">
        <is>
          <t xml:space="preserve">PACIFIC MARITIME INDUSTRIES CORP.</t>
        </is>
      </c>
      <c r="F2855" s="0" t="inlineStr">
        <is>
          <t xml:space="preserve">psc:2090</t>
        </is>
      </c>
    </row>
    <row r="2856">
      <c r="B2856" s="0" t="inlineStr">
        <is>
          <t xml:space="preserve">N0018916PZ649</t>
        </is>
      </c>
      <c r="C2856" s="0" t="inlineStr">
        <is>
          <t xml:space="preserve">other_small</t>
        </is>
      </c>
      <c r="D2856" s="4">
        <v>0.37664</v>
      </c>
      <c r="E2856" s="0" t="inlineStr">
        <is>
          <t xml:space="preserve">MRV SYSTEMS, LLC</t>
        </is>
      </c>
      <c r="F2856" s="0" t="inlineStr">
        <is>
          <t xml:space="preserve">psc:1990</t>
        </is>
      </c>
    </row>
    <row r="2857">
      <c r="B2857" s="0" t="inlineStr">
        <is>
          <t xml:space="preserve">N3220524P2187</t>
        </is>
      </c>
      <c r="C2857" s="0" t="inlineStr">
        <is>
          <t xml:space="preserve">broad_maritime</t>
        </is>
      </c>
      <c r="D2857" s="4">
        <v>0.37613484999999997</v>
      </c>
      <c r="E2857" s="0" t="inlineStr">
        <is>
          <t xml:space="preserve">TECNICO CORPORATION</t>
        </is>
      </c>
      <c r="F2857" s="0" t="inlineStr">
        <is>
          <t xml:space="preserve">psc:2090</t>
        </is>
      </c>
    </row>
    <row r="2858">
      <c r="B2858" s="0" t="inlineStr">
        <is>
          <t xml:space="preserve">N3220518P4312</t>
        </is>
      </c>
      <c r="C2858" s="0" t="inlineStr">
        <is>
          <t xml:space="preserve">broad_maritime</t>
        </is>
      </c>
      <c r="D2858" s="4">
        <v>0.37571453</v>
      </c>
      <c r="E2858" s="0" t="inlineStr">
        <is>
          <t xml:space="preserve">L3HARRIS TECHNOLOGIES, INC.</t>
        </is>
      </c>
      <c r="F2858" s="0" t="inlineStr">
        <is>
          <t xml:space="preserve">psc:2090</t>
        </is>
      </c>
    </row>
    <row r="2859">
      <c r="B2859" s="0" t="inlineStr">
        <is>
          <t xml:space="preserve">N6278622F0002</t>
        </is>
      </c>
      <c r="C2859" s="0" t="inlineStr">
        <is>
          <t xml:space="preserve">broad_maritime</t>
        </is>
      </c>
      <c r="D2859" s="4">
        <v>0.374739</v>
      </c>
      <c r="E2859" s="0" t="inlineStr">
        <is>
          <t xml:space="preserve">BAE SYSTEMS MARITIME SOLUTIONS SAN DIEGO INC.</t>
        </is>
      </c>
      <c r="F2859" s="0" t="inlineStr">
        <is>
          <t xml:space="preserve">psc:1905</t>
        </is>
      </c>
    </row>
    <row r="2860">
      <c r="B2860" s="0" t="inlineStr">
        <is>
          <t xml:space="preserve">N3220521F1074</t>
        </is>
      </c>
      <c r="C2860" s="0" t="inlineStr">
        <is>
          <t xml:space="preserve">broad_maritime</t>
        </is>
      </c>
      <c r="D2860" s="4">
        <v>0.37433339</v>
      </c>
      <c r="E2860" s="0" t="inlineStr">
        <is>
          <t xml:space="preserve">ROLLS-ROYCE SOLUTIONS AMERICA INC</t>
        </is>
      </c>
      <c r="F2860" s="0" t="inlineStr">
        <is>
          <t xml:space="preserve">psc:2090</t>
        </is>
      </c>
    </row>
    <row r="2861">
      <c r="B2861" s="0" t="inlineStr">
        <is>
          <t xml:space="preserve">N3220518P4348</t>
        </is>
      </c>
      <c r="C2861" s="0" t="inlineStr">
        <is>
          <t xml:space="preserve">broad_maritime</t>
        </is>
      </c>
      <c r="D2861" s="4">
        <v>0.37421034999999997</v>
      </c>
      <c r="E2861" s="0" t="inlineStr">
        <is>
          <t xml:space="preserve">NORTHROP GRUMMAN SYSTEMS CORPORATION</t>
        </is>
      </c>
      <c r="F2861" s="0" t="inlineStr">
        <is>
          <t xml:space="preserve">psc:2090</t>
        </is>
      </c>
    </row>
    <row r="2862">
      <c r="B2862" s="0" t="inlineStr">
        <is>
          <t xml:space="preserve">N5523623F9968</t>
        </is>
      </c>
      <c r="C2862" s="0" t="inlineStr">
        <is>
          <t xml:space="preserve">broad_maritime</t>
        </is>
      </c>
      <c r="D2862" s="4">
        <v>0.373764</v>
      </c>
      <c r="E2862" s="0" t="inlineStr">
        <is>
          <t xml:space="preserve">HII FLEET SUPPORT GROUP LLC</t>
        </is>
      </c>
      <c r="F2862" s="0" t="inlineStr">
        <is>
          <t xml:space="preserve">psc:1905</t>
        </is>
      </c>
    </row>
    <row r="2863">
      <c r="B2863" s="0" t="inlineStr">
        <is>
          <t xml:space="preserve">N6279326F7430</t>
        </is>
      </c>
      <c r="C2863" s="0" t="inlineStr">
        <is>
          <t xml:space="preserve">broad_maritime</t>
        </is>
      </c>
      <c r="D2863" s="4">
        <v>0.37338389</v>
      </c>
      <c r="E2863" s="0" t="inlineStr">
        <is>
          <t xml:space="preserve">HII FLEET SUPPORT GROUP LLC</t>
        </is>
      </c>
      <c r="F2863" s="0" t="inlineStr">
        <is>
          <t xml:space="preserve">psc:1905</t>
        </is>
      </c>
    </row>
    <row r="2864">
      <c r="B2864" s="0" t="inlineStr">
        <is>
          <t xml:space="preserve">N3220515P5289</t>
        </is>
      </c>
      <c r="C2864" s="0" t="inlineStr">
        <is>
          <t xml:space="preserve">broad_maritime</t>
        </is>
      </c>
      <c r="D2864" s="4">
        <v>0.3732</v>
      </c>
      <c r="E2864" s="0" t="inlineStr">
        <is>
          <t xml:space="preserve">W. &amp; O. SUPPLY, INC.</t>
        </is>
      </c>
      <c r="F2864" s="0" t="inlineStr">
        <is>
          <t xml:space="preserve">psc:2090</t>
        </is>
      </c>
    </row>
    <row r="2865">
      <c r="B2865" s="0" t="inlineStr">
        <is>
          <t xml:space="preserve">N6133121P0144</t>
        </is>
      </c>
      <c r="C2865" s="0" t="inlineStr">
        <is>
          <t xml:space="preserve">broad_maritime</t>
        </is>
      </c>
      <c r="D2865" s="4">
        <v>0.37296324999999997</v>
      </c>
      <c r="E2865" s="0" t="inlineStr">
        <is>
          <t xml:space="preserve">SONARDYNE, INC.</t>
        </is>
      </c>
      <c r="F2865" s="0" t="inlineStr">
        <is>
          <t xml:space="preserve">psc:2090</t>
        </is>
      </c>
    </row>
    <row r="2866">
      <c r="B2866" s="0" t="inlineStr">
        <is>
          <t xml:space="preserve">N6238715C8001</t>
        </is>
      </c>
      <c r="C2866" s="0" t="inlineStr">
        <is>
          <t xml:space="preserve">broad_maritime</t>
        </is>
      </c>
      <c r="D2866" s="4">
        <v>0.37168732</v>
      </c>
      <c r="E2866" s="0" t="inlineStr">
        <is>
          <t xml:space="preserve">UNIFORMS MANUFACTURING, INC.</t>
        </is>
      </c>
      <c r="F2866" s="0" t="inlineStr">
        <is>
          <t xml:space="preserve">psc:2090</t>
        </is>
      </c>
    </row>
    <row r="2867">
      <c r="B2867" s="0" t="inlineStr">
        <is>
          <t xml:space="preserve">N0001415C5116</t>
        </is>
      </c>
      <c r="C2867" s="0" t="inlineStr">
        <is>
          <t xml:space="preserve">usv_core</t>
        </is>
      </c>
      <c r="D2867" s="4">
        <v>0.37141096999999995</v>
      </c>
      <c r="E2867" s="0" t="inlineStr">
        <is>
          <t xml:space="preserve">WOODS HOLE OCEANOGRAPHIC INSTITUTION</t>
        </is>
      </c>
      <c r="F2867" s="0" t="inlineStr">
        <is>
          <t xml:space="preserve">keyword</t>
        </is>
      </c>
    </row>
    <row r="2868">
      <c r="B2868" s="0" t="inlineStr">
        <is>
          <t xml:space="preserve">N6449821F4356</t>
        </is>
      </c>
      <c r="C2868" s="0" t="inlineStr">
        <is>
          <t xml:space="preserve">broad_maritime</t>
        </is>
      </c>
      <c r="D2868" s="4">
        <v>0.37100017999999996</v>
      </c>
      <c r="E2868" s="0" t="inlineStr">
        <is>
          <t xml:space="preserve">NAG, LLC</t>
        </is>
      </c>
      <c r="F2868" s="0" t="inlineStr">
        <is>
          <t xml:space="preserve">psc:2090</t>
        </is>
      </c>
    </row>
    <row r="2869">
      <c r="B2869" s="0" t="inlineStr">
        <is>
          <t xml:space="preserve">N3220516P4341</t>
        </is>
      </c>
      <c r="C2869" s="0" t="inlineStr">
        <is>
          <t xml:space="preserve">broad_maritime</t>
        </is>
      </c>
      <c r="D2869" s="4">
        <v>0.37011837999999997</v>
      </c>
      <c r="E2869" s="0" t="inlineStr">
        <is>
          <t xml:space="preserve">DEFENSE MARITIME SOLUTIONS, INC.</t>
        </is>
      </c>
      <c r="F2869" s="0" t="inlineStr">
        <is>
          <t xml:space="preserve">psc:2090</t>
        </is>
      </c>
    </row>
    <row r="2870">
      <c r="B2870" s="0" t="inlineStr">
        <is>
          <t xml:space="preserve">0007</t>
        </is>
      </c>
      <c r="C2870" s="0" t="inlineStr">
        <is>
          <t xml:space="preserve">broad_maritime</t>
        </is>
      </c>
      <c r="D2870" s="4">
        <v>0.367992</v>
      </c>
      <c r="E2870" s="0" t="inlineStr">
        <is>
          <t xml:space="preserve">TRELLEBORG MARINE SYSTEMS NORTH AMERICA, INC.</t>
        </is>
      </c>
      <c r="F2870" s="0" t="inlineStr">
        <is>
          <t xml:space="preserve">psc:2090</t>
        </is>
      </c>
    </row>
    <row r="2871">
      <c r="B2871" s="0" t="inlineStr">
        <is>
          <t xml:space="preserve">0006</t>
        </is>
      </c>
      <c r="C2871" s="0" t="inlineStr">
        <is>
          <t xml:space="preserve">broad_maritime</t>
        </is>
      </c>
      <c r="D2871" s="4">
        <v>0.367714</v>
      </c>
      <c r="E2871" s="0" t="inlineStr">
        <is>
          <t xml:space="preserve">TRELLEBORG MARINE SYSTEMS NORTH AMERICA, INC.</t>
        </is>
      </c>
      <c r="F2871" s="0" t="inlineStr">
        <is>
          <t xml:space="preserve">psc:2090</t>
        </is>
      </c>
    </row>
    <row r="2872">
      <c r="B2872" s="0" t="inlineStr">
        <is>
          <t xml:space="preserve">4T01</t>
        </is>
      </c>
      <c r="C2872" s="0" t="inlineStr">
        <is>
          <t xml:space="preserve">broad_maritime</t>
        </is>
      </c>
      <c r="D2872" s="4">
        <v>0.366448</v>
      </c>
      <c r="E2872" s="0" t="inlineStr">
        <is>
          <t xml:space="preserve">HUNTINGTON INGALLS INC</t>
        </is>
      </c>
      <c r="F2872" s="0" t="inlineStr">
        <is>
          <t xml:space="preserve">psc:2090</t>
        </is>
      </c>
    </row>
    <row r="2873">
      <c r="B2873" s="0" t="inlineStr">
        <is>
          <t xml:space="preserve">N5523622F9997</t>
        </is>
      </c>
      <c r="C2873" s="0" t="inlineStr">
        <is>
          <t xml:space="preserve">broad_maritime</t>
        </is>
      </c>
      <c r="D2873" s="4">
        <v>0.3663778</v>
      </c>
      <c r="E2873" s="0" t="inlineStr">
        <is>
          <t xml:space="preserve">HII FLEET SUPPORT GROUP LLC</t>
        </is>
      </c>
      <c r="F2873" s="0" t="inlineStr">
        <is>
          <t xml:space="preserve">psc:1905</t>
        </is>
      </c>
    </row>
    <row r="2874">
      <c r="B2874" s="0" t="inlineStr">
        <is>
          <t xml:space="preserve">N0002417F6200</t>
        </is>
      </c>
      <c r="C2874" s="0" t="inlineStr">
        <is>
          <t xml:space="preserve">broad_maritime</t>
        </is>
      </c>
      <c r="D2874" s="4">
        <v>0.36607799999999996</v>
      </c>
      <c r="E2874" s="0" t="inlineStr">
        <is>
          <t xml:space="preserve">ARGON ST, INC.</t>
        </is>
      </c>
      <c r="F2874" s="0" t="inlineStr">
        <is>
          <t xml:space="preserve">psc:1905</t>
        </is>
      </c>
    </row>
    <row r="2875">
      <c r="B2875" s="0" t="inlineStr">
        <is>
          <t xml:space="preserve">N0024422F0179</t>
        </is>
      </c>
      <c r="C2875" s="0" t="inlineStr">
        <is>
          <t xml:space="preserve">broad_maritime</t>
        </is>
      </c>
      <c r="D2875" s="4">
        <v>0.36594499999999996</v>
      </c>
      <c r="E2875" s="0" t="inlineStr">
        <is>
          <t xml:space="preserve">MARINE &amp; RESTAURANT FABRICATORS, INC.</t>
        </is>
      </c>
      <c r="F2875" s="0" t="inlineStr">
        <is>
          <t xml:space="preserve">psc:2090</t>
        </is>
      </c>
    </row>
    <row r="2876">
      <c r="B2876" s="0" t="inlineStr">
        <is>
          <t xml:space="preserve">0004</t>
        </is>
      </c>
      <c r="C2876" s="0" t="inlineStr">
        <is>
          <t xml:space="preserve">small_craft</t>
        </is>
      </c>
      <c r="D2876" s="4">
        <v>0.36588499999999996</v>
      </c>
      <c r="E2876" s="0" t="inlineStr">
        <is>
          <t xml:space="preserve">GRAVOIS ALUMINUM BOATS LLC</t>
        </is>
      </c>
      <c r="F2876" s="0" t="inlineStr">
        <is>
          <t xml:space="preserve">naics:336612; psc:1940</t>
        </is>
      </c>
    </row>
    <row r="2877">
      <c r="B2877" s="0" t="inlineStr">
        <is>
          <t xml:space="preserve">N3220523F1174</t>
        </is>
      </c>
      <c r="C2877" s="0" t="inlineStr">
        <is>
          <t xml:space="preserve">broad_maritime</t>
        </is>
      </c>
      <c r="D2877" s="4">
        <v>0.36405838</v>
      </c>
      <c r="E2877" s="0" t="inlineStr">
        <is>
          <t xml:space="preserve">CIRCOR NAVAL SOLUTIONS LLC</t>
        </is>
      </c>
      <c r="F2877" s="0" t="inlineStr">
        <is>
          <t xml:space="preserve">psc:2090</t>
        </is>
      </c>
    </row>
    <row r="2878">
      <c r="B2878" s="0" t="inlineStr">
        <is>
          <t xml:space="preserve">0201</t>
        </is>
      </c>
      <c r="C2878" s="0" t="inlineStr">
        <is>
          <t xml:space="preserve">broad_maritime</t>
        </is>
      </c>
      <c r="D2878" s="4">
        <v>0.364</v>
      </c>
      <c r="E2878" s="0" t="inlineStr">
        <is>
          <t xml:space="preserve">PACIFIC MARITIME INDUSTRIES CORP.</t>
        </is>
      </c>
      <c r="F2878" s="0" t="inlineStr">
        <is>
          <t xml:space="preserve">psc:2090</t>
        </is>
      </c>
    </row>
    <row r="2879">
      <c r="B2879" s="0" t="inlineStr">
        <is>
          <t xml:space="preserve">N3220513C5003</t>
        </is>
      </c>
      <c r="C2879" s="0" t="inlineStr">
        <is>
          <t xml:space="preserve">broad_maritime</t>
        </is>
      </c>
      <c r="D2879" s="4">
        <v>0.36393852</v>
      </c>
      <c r="E2879" s="0" t="inlineStr">
        <is>
          <t xml:space="preserve">PARKER-HANNIFIN CORP</t>
        </is>
      </c>
      <c r="F2879" s="0" t="inlineStr">
        <is>
          <t xml:space="preserve">psc:2090</t>
        </is>
      </c>
    </row>
    <row r="2880">
      <c r="B2880" s="0" t="inlineStr">
        <is>
          <t xml:space="preserve">N3220517P4241</t>
        </is>
      </c>
      <c r="C2880" s="0" t="inlineStr">
        <is>
          <t xml:space="preserve">broad_maritime</t>
        </is>
      </c>
      <c r="D2880" s="4">
        <v>0.36363999999999996</v>
      </c>
      <c r="E2880" s="0" t="inlineStr">
        <is>
          <t xml:space="preserve">VALVE AUTOMATION AND CONTROL OF SAN DIEGO</t>
        </is>
      </c>
      <c r="F2880" s="0" t="inlineStr">
        <is>
          <t xml:space="preserve">psc:2090</t>
        </is>
      </c>
    </row>
    <row r="2881">
      <c r="B2881" s="0" t="inlineStr">
        <is>
          <t xml:space="preserve">N6449818F4095</t>
        </is>
      </c>
      <c r="C2881" s="0" t="inlineStr">
        <is>
          <t xml:space="preserve">broad_maritime</t>
        </is>
      </c>
      <c r="D2881" s="4">
        <v>0.36234871999999996</v>
      </c>
      <c r="E2881" s="0" t="inlineStr">
        <is>
          <t xml:space="preserve">LEIDOS, INC.</t>
        </is>
      </c>
      <c r="F2881" s="0" t="inlineStr">
        <is>
          <t xml:space="preserve">psc:2090</t>
        </is>
      </c>
    </row>
    <row r="2882">
      <c r="B2882" s="0" t="inlineStr">
        <is>
          <t xml:space="preserve">N6279324F0112</t>
        </is>
      </c>
      <c r="C2882" s="0" t="inlineStr">
        <is>
          <t xml:space="preserve">broad_maritime</t>
        </is>
      </c>
      <c r="D2882" s="4">
        <v>0.3602944</v>
      </c>
      <c r="E2882" s="0" t="inlineStr">
        <is>
          <t xml:space="preserve">HII FLEET SUPPORT GROUP LLC</t>
        </is>
      </c>
      <c r="F2882" s="0" t="inlineStr">
        <is>
          <t xml:space="preserve">psc:1905</t>
        </is>
      </c>
    </row>
    <row r="2883">
      <c r="B2883" s="0" t="inlineStr">
        <is>
          <t xml:space="preserve">N3220517P4009</t>
        </is>
      </c>
      <c r="C2883" s="0" t="inlineStr">
        <is>
          <t xml:space="preserve">broad_maritime</t>
        </is>
      </c>
      <c r="D2883" s="4">
        <v>0.36024999999999996</v>
      </c>
      <c r="E2883" s="0" t="inlineStr">
        <is>
          <t xml:space="preserve">MOTOR-SERVICES HUGO STAMP, INC</t>
        </is>
      </c>
      <c r="F2883" s="0" t="inlineStr">
        <is>
          <t xml:space="preserve">psc:2090</t>
        </is>
      </c>
    </row>
    <row r="2884">
      <c r="B2884" s="0" t="inlineStr">
        <is>
          <t xml:space="preserve">N6449818F4090</t>
        </is>
      </c>
      <c r="C2884" s="0" t="inlineStr">
        <is>
          <t xml:space="preserve">broad_maritime</t>
        </is>
      </c>
      <c r="D2884" s="4">
        <v>0.358578</v>
      </c>
      <c r="E2884" s="0" t="inlineStr">
        <is>
          <t xml:space="preserve">TRELLEBORG MARINE SYSTEMS NORTH AMERICA, INC.</t>
        </is>
      </c>
      <c r="F2884" s="0" t="inlineStr">
        <is>
          <t xml:space="preserve">psc:2090</t>
        </is>
      </c>
    </row>
    <row r="2885">
      <c r="B2885" s="0" t="inlineStr">
        <is>
          <t xml:space="preserve">N0040622C0006</t>
        </is>
      </c>
      <c r="C2885" s="0" t="inlineStr">
        <is>
          <t xml:space="preserve">broad_maritime</t>
        </is>
      </c>
      <c r="D2885" s="4">
        <v>0.35799090999999994</v>
      </c>
      <c r="E2885" s="0" t="inlineStr">
        <is>
          <t xml:space="preserve">LAKE SHORE SYSTEMS, INC.</t>
        </is>
      </c>
      <c r="F2885" s="0" t="inlineStr">
        <is>
          <t xml:space="preserve">psc:2090</t>
        </is>
      </c>
    </row>
    <row r="2886">
      <c r="B2886" s="0" t="inlineStr">
        <is>
          <t xml:space="preserve">N6449819F4144</t>
        </is>
      </c>
      <c r="C2886" s="0" t="inlineStr">
        <is>
          <t xml:space="preserve">broad_maritime</t>
        </is>
      </c>
      <c r="D2886" s="4">
        <v>0.35781160999999995</v>
      </c>
      <c r="E2886" s="0" t="inlineStr">
        <is>
          <t xml:space="preserve">L3 TECHNOLOGIES, INC.</t>
        </is>
      </c>
      <c r="F2886" s="0" t="inlineStr">
        <is>
          <t xml:space="preserve">psc:2090</t>
        </is>
      </c>
    </row>
    <row r="2887">
      <c r="B2887" s="0" t="inlineStr">
        <is>
          <t xml:space="preserve">N3220517P4300</t>
        </is>
      </c>
      <c r="C2887" s="0" t="inlineStr">
        <is>
          <t xml:space="preserve">broad_maritime</t>
        </is>
      </c>
      <c r="D2887" s="4">
        <v>0.35726203</v>
      </c>
      <c r="E2887" s="0" t="inlineStr">
        <is>
          <t xml:space="preserve">WESTLEY GROUP LIMITED</t>
        </is>
      </c>
      <c r="F2887" s="0" t="inlineStr">
        <is>
          <t xml:space="preserve">psc:2090</t>
        </is>
      </c>
    </row>
    <row r="2888">
      <c r="B2888" s="0" t="inlineStr">
        <is>
          <t xml:space="preserve">N0010422PJC49</t>
        </is>
      </c>
      <c r="C2888" s="0" t="inlineStr">
        <is>
          <t xml:space="preserve">small_craft</t>
        </is>
      </c>
      <c r="D2888" s="4">
        <v>0.356985</v>
      </c>
      <c r="E2888" s="0" t="inlineStr">
        <is>
          <t xml:space="preserve">ADMARTEC, INC</t>
        </is>
      </c>
      <c r="F2888" s="0" t="inlineStr">
        <is>
          <t xml:space="preserve">naics:336612</t>
        </is>
      </c>
    </row>
    <row r="2889">
      <c r="B2889" s="0" t="inlineStr">
        <is>
          <t xml:space="preserve">N3220516P4011</t>
        </is>
      </c>
      <c r="C2889" s="0" t="inlineStr">
        <is>
          <t xml:space="preserve">broad_maritime</t>
        </is>
      </c>
      <c r="D2889" s="4">
        <v>0.35656476</v>
      </c>
      <c r="E2889" s="0" t="inlineStr">
        <is>
          <t xml:space="preserve">COLTEC INDUSTRIES INC.</t>
        </is>
      </c>
      <c r="F2889" s="0" t="inlineStr">
        <is>
          <t xml:space="preserve">psc:2090</t>
        </is>
      </c>
    </row>
    <row r="2890">
      <c r="B2890" s="0" t="inlineStr">
        <is>
          <t xml:space="preserve">N3220518P4001</t>
        </is>
      </c>
      <c r="C2890" s="0" t="inlineStr">
        <is>
          <t xml:space="preserve">broad_maritime</t>
        </is>
      </c>
      <c r="D2890" s="4">
        <v>0.355956</v>
      </c>
      <c r="E2890" s="0" t="inlineStr">
        <is>
          <t xml:space="preserve">MOTOR-SERVICES HUGO STAMP, INC</t>
        </is>
      </c>
      <c r="F2890" s="0" t="inlineStr">
        <is>
          <t xml:space="preserve">psc:2090</t>
        </is>
      </c>
    </row>
    <row r="2891">
      <c r="B2891" s="0" t="inlineStr">
        <is>
          <t xml:space="preserve">N3220521F1510</t>
        </is>
      </c>
      <c r="C2891" s="0" t="inlineStr">
        <is>
          <t xml:space="preserve">broad_maritime</t>
        </is>
      </c>
      <c r="D2891" s="4">
        <v>0.35531554</v>
      </c>
      <c r="E2891" s="0" t="inlineStr">
        <is>
          <t xml:space="preserve">FINCANTIERI MARINE SYSTEMS NORTH AMERICA, INC.</t>
        </is>
      </c>
      <c r="F2891" s="0" t="inlineStr">
        <is>
          <t xml:space="preserve">psc:2090</t>
        </is>
      </c>
    </row>
    <row r="2892">
      <c r="B2892" s="0" t="inlineStr">
        <is>
          <t xml:space="preserve">N0040623C0012</t>
        </is>
      </c>
      <c r="C2892" s="0" t="inlineStr">
        <is>
          <t xml:space="preserve">broad_maritime</t>
        </is>
      </c>
      <c r="D2892" s="4">
        <v>0.35469734999999997</v>
      </c>
      <c r="E2892" s="0" t="inlineStr">
        <is>
          <t xml:space="preserve">CURTISS-WRIGHT ELECTRO-MECHANICAL CORPORATION</t>
        </is>
      </c>
      <c r="F2892" s="0" t="inlineStr">
        <is>
          <t xml:space="preserve">psc:2090</t>
        </is>
      </c>
    </row>
    <row r="2893">
      <c r="B2893" s="0" t="inlineStr">
        <is>
          <t xml:space="preserve">N0024424F0477</t>
        </is>
      </c>
      <c r="C2893" s="0" t="inlineStr">
        <is>
          <t xml:space="preserve">broad_maritime</t>
        </is>
      </c>
      <c r="D2893" s="4">
        <v>0.35368</v>
      </c>
      <c r="E2893" s="0" t="inlineStr">
        <is>
          <t xml:space="preserve">MARINE &amp; RESTAURANT FABRICATORS, INC.</t>
        </is>
      </c>
      <c r="F2893" s="0" t="inlineStr">
        <is>
          <t xml:space="preserve">psc:2090</t>
        </is>
      </c>
    </row>
    <row r="2894">
      <c r="B2894" s="0" t="inlineStr">
        <is>
          <t xml:space="preserve">N0016423FG020</t>
        </is>
      </c>
      <c r="C2894" s="0" t="inlineStr">
        <is>
          <t xml:space="preserve">broad_maritime</t>
        </is>
      </c>
      <c r="D2894" s="4">
        <v>0.35367681</v>
      </c>
      <c r="E2894" s="0" t="inlineStr">
        <is>
          <t xml:space="preserve">J &amp; N METAL PRODUCTS, LLC</t>
        </is>
      </c>
      <c r="F2894" s="0" t="inlineStr">
        <is>
          <t xml:space="preserve">psc:1905</t>
        </is>
      </c>
    </row>
    <row r="2895">
      <c r="B2895" s="0" t="inlineStr">
        <is>
          <t xml:space="preserve">N0010425PLC10</t>
        </is>
      </c>
      <c r="C2895" s="0" t="inlineStr">
        <is>
          <t xml:space="preserve">small_craft</t>
        </is>
      </c>
      <c r="D2895" s="4">
        <v>0.353025</v>
      </c>
      <c r="E2895" s="0" t="inlineStr">
        <is>
          <t xml:space="preserve">D. P. BROWN OF PENNSYLVANIA, CORP</t>
        </is>
      </c>
      <c r="F2895" s="0" t="inlineStr">
        <is>
          <t xml:space="preserve">naics:336612</t>
        </is>
      </c>
    </row>
    <row r="2896">
      <c r="B2896" s="0" t="inlineStr">
        <is>
          <t xml:space="preserve">N3220521F1364</t>
        </is>
      </c>
      <c r="C2896" s="0" t="inlineStr">
        <is>
          <t xml:space="preserve">broad_maritime</t>
        </is>
      </c>
      <c r="D2896" s="4">
        <v>0.35258306</v>
      </c>
      <c r="E2896" s="0" t="inlineStr">
        <is>
          <t xml:space="preserve">FINCANTIERI MARINE SYSTEMS NORTH AMERICA, INC.</t>
        </is>
      </c>
      <c r="F2896" s="0" t="inlineStr">
        <is>
          <t xml:space="preserve">psc:2090</t>
        </is>
      </c>
    </row>
    <row r="2897">
      <c r="B2897" s="0" t="inlineStr">
        <is>
          <t xml:space="preserve">N5005425P0223</t>
        </is>
      </c>
      <c r="C2897" s="0" t="inlineStr">
        <is>
          <t xml:space="preserve">broad_maritime</t>
        </is>
      </c>
      <c r="D2897" s="4">
        <v>0.3525</v>
      </c>
      <c r="E2897" s="0" t="inlineStr">
        <is>
          <t xml:space="preserve">CORNELL-CARR CO., INC.</t>
        </is>
      </c>
      <c r="F2897" s="0" t="inlineStr">
        <is>
          <t xml:space="preserve">psc:2090</t>
        </is>
      </c>
    </row>
    <row r="2898">
      <c r="B2898" s="0" t="inlineStr">
        <is>
          <t xml:space="preserve">N3220515P3662</t>
        </is>
      </c>
      <c r="C2898" s="0" t="inlineStr">
        <is>
          <t xml:space="preserve">broad_maritime</t>
        </is>
      </c>
      <c r="D2898" s="4">
        <v>0.35216184</v>
      </c>
      <c r="E2898" s="0" t="inlineStr">
        <is>
          <t xml:space="preserve">DEFENSE MARITIME SOLUTIONS, INC.</t>
        </is>
      </c>
      <c r="F2898" s="0" t="inlineStr">
        <is>
          <t xml:space="preserve">psc:2090</t>
        </is>
      </c>
    </row>
    <row r="2899">
      <c r="B2899" s="0" t="inlineStr">
        <is>
          <t xml:space="preserve">N3220521P2039</t>
        </is>
      </c>
      <c r="C2899" s="0" t="inlineStr">
        <is>
          <t xml:space="preserve">broad_maritime</t>
        </is>
      </c>
      <c r="D2899" s="4">
        <v>0.35205489</v>
      </c>
      <c r="E2899" s="0" t="inlineStr">
        <is>
          <t xml:space="preserve">FAIRBANKS MORSE, LLC</t>
        </is>
      </c>
      <c r="F2899" s="0" t="inlineStr">
        <is>
          <t xml:space="preserve">psc:2090</t>
        </is>
      </c>
    </row>
    <row r="2900">
      <c r="B2900" s="0" t="inlineStr">
        <is>
          <t xml:space="preserve">N0010422PFC37</t>
        </is>
      </c>
      <c r="C2900" s="0" t="inlineStr">
        <is>
          <t xml:space="preserve">broad_maritime</t>
        </is>
      </c>
      <c r="D2900" s="4">
        <v>0.35</v>
      </c>
      <c r="E2900" s="0" t="inlineStr">
        <is>
          <t xml:space="preserve">WESTLAND TECHNOLOGIES, INC.</t>
        </is>
      </c>
      <c r="F2900" s="0" t="inlineStr">
        <is>
          <t xml:space="preserve">psc:2090</t>
        </is>
      </c>
    </row>
    <row r="2901">
      <c r="B2901" s="0" t="inlineStr">
        <is>
          <t xml:space="preserve">0055</t>
        </is>
      </c>
      <c r="C2901" s="0" t="inlineStr">
        <is>
          <t xml:space="preserve">broad_maritime</t>
        </is>
      </c>
      <c r="D2901" s="4">
        <v>0.349657</v>
      </c>
      <c r="E2901" s="0" t="inlineStr">
        <is>
          <t xml:space="preserve">ELECTRIC BOAT CORPORATION</t>
        </is>
      </c>
      <c r="F2901" s="0" t="inlineStr">
        <is>
          <t xml:space="preserve">psc:1905</t>
        </is>
      </c>
    </row>
    <row r="2902">
      <c r="B2902" s="0" t="inlineStr">
        <is>
          <t xml:space="preserve">N3220520P6706</t>
        </is>
      </c>
      <c r="C2902" s="0" t="inlineStr">
        <is>
          <t xml:space="preserve">broad_maritime</t>
        </is>
      </c>
      <c r="D2902" s="4">
        <v>0.3494292</v>
      </c>
      <c r="E2902" s="0" t="inlineStr">
        <is>
          <t xml:space="preserve">WORTH INDUSTRIES, INC.</t>
        </is>
      </c>
      <c r="F2902" s="0" t="inlineStr">
        <is>
          <t xml:space="preserve">psc:2090</t>
        </is>
      </c>
    </row>
    <row r="2903">
      <c r="B2903" s="0" t="inlineStr">
        <is>
          <t xml:space="preserve">N3220521P2246</t>
        </is>
      </c>
      <c r="C2903" s="0" t="inlineStr">
        <is>
          <t xml:space="preserve">broad_maritime</t>
        </is>
      </c>
      <c r="D2903" s="4">
        <v>0.349068</v>
      </c>
      <c r="E2903" s="0" t="inlineStr">
        <is>
          <t xml:space="preserve">APPLETON MARINE INC</t>
        </is>
      </c>
      <c r="F2903" s="0" t="inlineStr">
        <is>
          <t xml:space="preserve">psc:2090</t>
        </is>
      </c>
    </row>
    <row r="2904">
      <c r="B2904" s="0" t="inlineStr">
        <is>
          <t xml:space="preserve">N4044212P1015</t>
        </is>
      </c>
      <c r="C2904" s="0" t="inlineStr">
        <is>
          <t xml:space="preserve">broad_maritime</t>
        </is>
      </c>
      <c r="D2904" s="4">
        <v>0.34822228</v>
      </c>
      <c r="E2904" s="0" t="inlineStr">
        <is>
          <t xml:space="preserve">ROLLS-ROYCE MARINE NORTH AMERICA INC.</t>
        </is>
      </c>
      <c r="F2904" s="0" t="inlineStr">
        <is>
          <t xml:space="preserve">psc:2090</t>
        </is>
      </c>
    </row>
    <row r="2905">
      <c r="B2905" s="0" t="inlineStr">
        <is>
          <t xml:space="preserve">N6449825F0032</t>
        </is>
      </c>
      <c r="C2905" s="0" t="inlineStr">
        <is>
          <t xml:space="preserve">broad_maritime</t>
        </is>
      </c>
      <c r="D2905" s="4">
        <v>0.34808</v>
      </c>
      <c r="E2905" s="0" t="inlineStr">
        <is>
          <t xml:space="preserve">LEIDOS, INC.</t>
        </is>
      </c>
      <c r="F2905" s="0" t="inlineStr">
        <is>
          <t xml:space="preserve">psc:2090</t>
        </is>
      </c>
    </row>
    <row r="2906">
      <c r="B2906" s="0" t="inlineStr">
        <is>
          <t xml:space="preserve">0087</t>
        </is>
      </c>
      <c r="C2906" s="0" t="inlineStr">
        <is>
          <t xml:space="preserve">broad_maritime</t>
        </is>
      </c>
      <c r="D2906" s="4">
        <v>0.34773071999999994</v>
      </c>
      <c r="E2906" s="0" t="inlineStr">
        <is>
          <t xml:space="preserve">ROCKWELL AUTOMATION INC</t>
        </is>
      </c>
      <c r="F2906" s="0" t="inlineStr">
        <is>
          <t xml:space="preserve">psc:2090</t>
        </is>
      </c>
    </row>
    <row r="2907">
      <c r="B2907" s="0" t="inlineStr">
        <is>
          <t xml:space="preserve">N0040616P2621</t>
        </is>
      </c>
      <c r="C2907" s="0" t="inlineStr">
        <is>
          <t xml:space="preserve">broad_maritime</t>
        </is>
      </c>
      <c r="D2907" s="4">
        <v>0.34747427000000003</v>
      </c>
      <c r="E2907" s="0" t="inlineStr">
        <is>
          <t xml:space="preserve">JA MOODY LLC</t>
        </is>
      </c>
      <c r="F2907" s="0" t="inlineStr">
        <is>
          <t xml:space="preserve">psc:2090</t>
        </is>
      </c>
    </row>
    <row r="2908">
      <c r="B2908" s="0" t="inlineStr">
        <is>
          <t xml:space="preserve">N0010423PZB10</t>
        </is>
      </c>
      <c r="C2908" s="0" t="inlineStr">
        <is>
          <t xml:space="preserve">broad_maritime</t>
        </is>
      </c>
      <c r="D2908" s="4">
        <v>0.34682199999999996</v>
      </c>
      <c r="E2908" s="0" t="inlineStr">
        <is>
          <t xml:space="preserve">D. L. MARTIN CO.</t>
        </is>
      </c>
      <c r="F2908" s="0" t="inlineStr">
        <is>
          <t xml:space="preserve">psc:2090</t>
        </is>
      </c>
    </row>
    <row r="2909">
      <c r="B2909" s="0" t="inlineStr">
        <is>
          <t xml:space="preserve">N6278615P0050</t>
        </is>
      </c>
      <c r="C2909" s="0" t="inlineStr">
        <is>
          <t xml:space="preserve">other_small</t>
        </is>
      </c>
      <c r="D2909" s="4">
        <v>0.34618867</v>
      </c>
      <c r="E2909" s="0" t="inlineStr">
        <is>
          <t xml:space="preserve">KYODO SHIPPING &amp; TRADING CORP USA</t>
        </is>
      </c>
      <c r="F2909" s="0" t="inlineStr">
        <is>
          <t xml:space="preserve">psc:1990</t>
        </is>
      </c>
    </row>
    <row r="2910">
      <c r="B2910" s="0" t="inlineStr">
        <is>
          <t xml:space="preserve">N3220518P4326</t>
        </is>
      </c>
      <c r="C2910" s="0" t="inlineStr">
        <is>
          <t xml:space="preserve">broad_maritime</t>
        </is>
      </c>
      <c r="D2910" s="4">
        <v>0.34401776</v>
      </c>
      <c r="E2910" s="0" t="inlineStr">
        <is>
          <t xml:space="preserve">L3HARRIS TECHNOLOGIES, INC.</t>
        </is>
      </c>
      <c r="F2910" s="0" t="inlineStr">
        <is>
          <t xml:space="preserve">psc:2090</t>
        </is>
      </c>
    </row>
    <row r="2911">
      <c r="B2911" s="0" t="inlineStr">
        <is>
          <t xml:space="preserve">N6883622P0126</t>
        </is>
      </c>
      <c r="C2911" s="0" t="inlineStr">
        <is>
          <t xml:space="preserve">broad_maritime</t>
        </is>
      </c>
      <c r="D2911" s="4">
        <v>0.34199999999999997</v>
      </c>
      <c r="E2911" s="0" t="inlineStr">
        <is>
          <t xml:space="preserve">SCHOELLHORN - ALBRECHT MACHINE CO INC</t>
        </is>
      </c>
      <c r="F2911" s="0" t="inlineStr">
        <is>
          <t xml:space="preserve">psc:2090</t>
        </is>
      </c>
    </row>
    <row r="2912">
      <c r="B2912" s="0" t="inlineStr">
        <is>
          <t xml:space="preserve">N0024418F0461</t>
        </is>
      </c>
      <c r="C2912" s="0" t="inlineStr">
        <is>
          <t xml:space="preserve">broad_maritime</t>
        </is>
      </c>
      <c r="D2912" s="4">
        <v>0.341356</v>
      </c>
      <c r="E2912" s="0" t="inlineStr">
        <is>
          <t xml:space="preserve">JPL HABITABILITY, INC.</t>
        </is>
      </c>
      <c r="F2912" s="0" t="inlineStr">
        <is>
          <t xml:space="preserve">psc:2090</t>
        </is>
      </c>
    </row>
    <row r="2913">
      <c r="B2913" s="0" t="inlineStr">
        <is>
          <t xml:space="preserve">N3220518P4065</t>
        </is>
      </c>
      <c r="C2913" s="0" t="inlineStr">
        <is>
          <t xml:space="preserve">broad_maritime</t>
        </is>
      </c>
      <c r="D2913" s="4">
        <v>0.340765</v>
      </c>
      <c r="E2913" s="0" t="inlineStr">
        <is>
          <t xml:space="preserve">EATON CORPORATION</t>
        </is>
      </c>
      <c r="F2913" s="0" t="inlineStr">
        <is>
          <t xml:space="preserve">psc:2090</t>
        </is>
      </c>
    </row>
    <row r="2914">
      <c r="B2914" s="0" t="inlineStr">
        <is>
          <t xml:space="preserve">N0010420PFB34</t>
        </is>
      </c>
      <c r="C2914" s="0" t="inlineStr">
        <is>
          <t xml:space="preserve">broad_maritime</t>
        </is>
      </c>
      <c r="D2914" s="4">
        <v>0.33999999999999997</v>
      </c>
      <c r="E2914" s="0" t="inlineStr">
        <is>
          <t xml:space="preserve">L3 TECHNOLOGIES, INC.</t>
        </is>
      </c>
      <c r="F2914" s="0" t="inlineStr">
        <is>
          <t xml:space="preserve">psc:2090</t>
        </is>
      </c>
    </row>
    <row r="2915">
      <c r="B2915" s="0" t="inlineStr">
        <is>
          <t xml:space="preserve">N5005425FP006</t>
        </is>
      </c>
      <c r="C2915" s="0" t="inlineStr">
        <is>
          <t xml:space="preserve">broad_maritime</t>
        </is>
      </c>
      <c r="D2915" s="4">
        <v>0.339757</v>
      </c>
      <c r="E2915" s="0" t="inlineStr">
        <is>
          <t xml:space="preserve">METRO MACHINE CORP.</t>
        </is>
      </c>
      <c r="F2915" s="0" t="inlineStr">
        <is>
          <t xml:space="preserve">psc:1905</t>
        </is>
      </c>
    </row>
    <row r="2916">
      <c r="B2916" s="0" t="inlineStr">
        <is>
          <t xml:space="preserve">N3220525P2211</t>
        </is>
      </c>
      <c r="C2916" s="0" t="inlineStr">
        <is>
          <t xml:space="preserve">broad_maritime</t>
        </is>
      </c>
      <c r="D2916" s="4">
        <v>0.3394137</v>
      </c>
      <c r="E2916" s="0" t="inlineStr">
        <is>
          <t xml:space="preserve">TECNICO CORPORATION</t>
        </is>
      </c>
      <c r="F2916" s="0" t="inlineStr">
        <is>
          <t xml:space="preserve">psc:2090</t>
        </is>
      </c>
    </row>
    <row r="2917">
      <c r="B2917" s="0" t="inlineStr">
        <is>
          <t xml:space="preserve">0003</t>
        </is>
      </c>
      <c r="C2917" s="0" t="inlineStr">
        <is>
          <t xml:space="preserve">broad_maritime</t>
        </is>
      </c>
      <c r="D2917" s="4">
        <v>0.33836608</v>
      </c>
      <c r="E2917" s="0" t="inlineStr">
        <is>
          <t xml:space="preserve">ATLANTIC DIVING SUPPLY, INC.</t>
        </is>
      </c>
      <c r="F2917" s="0" t="inlineStr">
        <is>
          <t xml:space="preserve">psc:2090</t>
        </is>
      </c>
    </row>
    <row r="2918">
      <c r="B2918" s="0" t="inlineStr">
        <is>
          <t xml:space="preserve">N0010424PYB22</t>
        </is>
      </c>
      <c r="C2918" s="0" t="inlineStr">
        <is>
          <t xml:space="preserve">broad_maritime</t>
        </is>
      </c>
      <c r="D2918" s="4">
        <v>0.337784</v>
      </c>
      <c r="E2918" s="0" t="inlineStr">
        <is>
          <t xml:space="preserve">WESTLAND TECHNOLOGIES, INC.</t>
        </is>
      </c>
      <c r="F2918" s="0" t="inlineStr">
        <is>
          <t xml:space="preserve">psc:2090</t>
        </is>
      </c>
    </row>
    <row r="2919">
      <c r="B2919" s="0" t="inlineStr">
        <is>
          <t xml:space="preserve">N0018917P1394</t>
        </is>
      </c>
      <c r="C2919" s="0" t="inlineStr">
        <is>
          <t xml:space="preserve">broad_maritime</t>
        </is>
      </c>
      <c r="D2919" s="4">
        <v>0.33686429999999995</v>
      </c>
      <c r="E2919" s="0" t="inlineStr">
        <is>
          <t xml:space="preserve">REEL POWER INDUSTRIAL INC</t>
        </is>
      </c>
      <c r="F2919" s="0" t="inlineStr">
        <is>
          <t xml:space="preserve">psc:2090</t>
        </is>
      </c>
    </row>
    <row r="2920">
      <c r="B2920" s="0" t="inlineStr">
        <is>
          <t xml:space="preserve">N6133124F0079</t>
        </is>
      </c>
      <c r="C2920" s="0" t="inlineStr">
        <is>
          <t xml:space="preserve">broad_maritime</t>
        </is>
      </c>
      <c r="D2920" s="4">
        <v>0.336404</v>
      </c>
      <c r="E2920" s="0" t="inlineStr">
        <is>
          <t xml:space="preserve">KONGSBERG DISCOVERY US, LLC</t>
        </is>
      </c>
      <c r="F2920" s="0" t="inlineStr">
        <is>
          <t xml:space="preserve">psc:2090</t>
        </is>
      </c>
    </row>
    <row r="2921">
      <c r="B2921" s="0" t="inlineStr">
        <is>
          <t xml:space="preserve">N3220515P3452</t>
        </is>
      </c>
      <c r="C2921" s="0" t="inlineStr">
        <is>
          <t xml:space="preserve">broad_maritime</t>
        </is>
      </c>
      <c r="D2921" s="4">
        <v>0.335957</v>
      </c>
      <c r="E2921" s="0" t="inlineStr">
        <is>
          <t xml:space="preserve">AIR &amp; LIQUID SYSTEMS CORPORATION</t>
        </is>
      </c>
      <c r="F2921" s="0" t="inlineStr">
        <is>
          <t xml:space="preserve">psc:2090</t>
        </is>
      </c>
    </row>
    <row r="2922">
      <c r="B2922" s="0" t="inlineStr">
        <is>
          <t xml:space="preserve">N0018921P0642</t>
        </is>
      </c>
      <c r="C2922" s="0" t="inlineStr">
        <is>
          <t xml:space="preserve">broad_maritime</t>
        </is>
      </c>
      <c r="D2922" s="4">
        <v>0.334717</v>
      </c>
      <c r="E2922" s="0" t="inlineStr">
        <is>
          <t xml:space="preserve">TECNICO CORPORATION</t>
        </is>
      </c>
      <c r="F2922" s="0" t="inlineStr">
        <is>
          <t xml:space="preserve">psc:2090</t>
        </is>
      </c>
    </row>
    <row r="2923">
      <c r="B2923" s="0" t="inlineStr">
        <is>
          <t xml:space="preserve">0011</t>
        </is>
      </c>
      <c r="C2923" s="0" t="inlineStr">
        <is>
          <t xml:space="preserve">broad_maritime</t>
        </is>
      </c>
      <c r="D2923" s="4">
        <v>0.334188</v>
      </c>
      <c r="E2923" s="0" t="inlineStr">
        <is>
          <t xml:space="preserve">LAUREL TECHNOLOGIES PARTNERSHIP</t>
        </is>
      </c>
      <c r="F2923" s="0" t="inlineStr">
        <is>
          <t xml:space="preserve">psc:2090</t>
        </is>
      </c>
    </row>
    <row r="2924">
      <c r="B2924" s="0" t="inlineStr">
        <is>
          <t xml:space="preserve">N3220517P4001</t>
        </is>
      </c>
      <c r="C2924" s="0" t="inlineStr">
        <is>
          <t xml:space="preserve">broad_maritime</t>
        </is>
      </c>
      <c r="D2924" s="4">
        <v>0.33388</v>
      </c>
      <c r="E2924" s="0" t="inlineStr">
        <is>
          <t xml:space="preserve">CIRCOR NAVAL SOLUTIONS LLC</t>
        </is>
      </c>
      <c r="F2924" s="0" t="inlineStr">
        <is>
          <t xml:space="preserve">psc:2090</t>
        </is>
      </c>
    </row>
    <row r="2925">
      <c r="B2925" s="0" t="inlineStr">
        <is>
          <t xml:space="preserve">N3220518P6047</t>
        </is>
      </c>
      <c r="C2925" s="0" t="inlineStr">
        <is>
          <t xml:space="preserve">broad_maritime</t>
        </is>
      </c>
      <c r="D2925" s="4">
        <v>0.33380421999999993</v>
      </c>
      <c r="E2925" s="0" t="inlineStr">
        <is>
          <t xml:space="preserve">JERED LLC</t>
        </is>
      </c>
      <c r="F2925" s="0" t="inlineStr">
        <is>
          <t xml:space="preserve">psc:2090</t>
        </is>
      </c>
    </row>
    <row r="2926">
      <c r="B2926" s="0" t="inlineStr">
        <is>
          <t xml:space="preserve">N6449817F4136</t>
        </is>
      </c>
      <c r="C2926" s="0" t="inlineStr">
        <is>
          <t xml:space="preserve">broad_maritime</t>
        </is>
      </c>
      <c r="D2926" s="4">
        <v>0.33234871999999993</v>
      </c>
      <c r="E2926" s="0" t="inlineStr">
        <is>
          <t xml:space="preserve">LEIDOS, INC.</t>
        </is>
      </c>
      <c r="F2926" s="0" t="inlineStr">
        <is>
          <t xml:space="preserve">psc:2090</t>
        </is>
      </c>
    </row>
    <row r="2927">
      <c r="B2927" s="0" t="inlineStr">
        <is>
          <t xml:space="preserve">N6449819F0015</t>
        </is>
      </c>
      <c r="C2927" s="0" t="inlineStr">
        <is>
          <t xml:space="preserve">broad_maritime</t>
        </is>
      </c>
      <c r="D2927" s="4">
        <v>0.33222253999999996</v>
      </c>
      <c r="E2927" s="0" t="inlineStr">
        <is>
          <t xml:space="preserve">NAG, LLC</t>
        </is>
      </c>
      <c r="F2927" s="0" t="inlineStr">
        <is>
          <t xml:space="preserve">psc:2090</t>
        </is>
      </c>
    </row>
    <row r="2928">
      <c r="B2928" s="0" t="inlineStr">
        <is>
          <t xml:space="preserve">N6133119F0100</t>
        </is>
      </c>
      <c r="C2928" s="0" t="inlineStr">
        <is>
          <t xml:space="preserve">broad_maritime</t>
        </is>
      </c>
      <c r="D2928" s="4">
        <v>0.33089999999999997</v>
      </c>
      <c r="E2928" s="0" t="inlineStr">
        <is>
          <t xml:space="preserve">HII UNMANNED SYSTEMS, INC</t>
        </is>
      </c>
      <c r="F2928" s="0" t="inlineStr">
        <is>
          <t xml:space="preserve">psc:2090</t>
        </is>
      </c>
    </row>
    <row r="2929">
      <c r="B2929" s="0" t="inlineStr">
        <is>
          <t xml:space="preserve">N3220516P4030</t>
        </is>
      </c>
      <c r="C2929" s="0" t="inlineStr">
        <is>
          <t xml:space="preserve">broad_maritime</t>
        </is>
      </c>
      <c r="D2929" s="4">
        <v>0.33074887</v>
      </c>
      <c r="E2929" s="0" t="inlineStr">
        <is>
          <t xml:space="preserve">COLTEC INDUSTRIES INC.</t>
        </is>
      </c>
      <c r="F2929" s="0" t="inlineStr">
        <is>
          <t xml:space="preserve">psc:2090</t>
        </is>
      </c>
    </row>
    <row r="2930">
      <c r="B2930" s="0" t="inlineStr">
        <is>
          <t xml:space="preserve">N6133117F0092</t>
        </is>
      </c>
      <c r="C2930" s="0" t="inlineStr">
        <is>
          <t xml:space="preserve">broad_maritime</t>
        </is>
      </c>
      <c r="D2930" s="4">
        <v>0.33071303</v>
      </c>
      <c r="E2930" s="0" t="inlineStr">
        <is>
          <t xml:space="preserve">ATLANTIC DIVING SUPPLY, INC.</t>
        </is>
      </c>
      <c r="F2930" s="0" t="inlineStr">
        <is>
          <t xml:space="preserve">psc:2090</t>
        </is>
      </c>
    </row>
    <row r="2931">
      <c r="B2931" s="0" t="inlineStr">
        <is>
          <t xml:space="preserve">N4044625P0011</t>
        </is>
      </c>
      <c r="C2931" s="0" t="inlineStr">
        <is>
          <t xml:space="preserve">broad_maritime</t>
        </is>
      </c>
      <c r="D2931" s="4">
        <v>0.33029396</v>
      </c>
      <c r="E2931" s="0" t="inlineStr">
        <is>
          <t xml:space="preserve">EDDY PUMP CORPORATION</t>
        </is>
      </c>
      <c r="F2931" s="0" t="inlineStr">
        <is>
          <t xml:space="preserve">psc:2090</t>
        </is>
      </c>
    </row>
    <row r="2932">
      <c r="B2932" s="0" t="inlineStr">
        <is>
          <t xml:space="preserve">N0018925P0082</t>
        </is>
      </c>
      <c r="C2932" s="0" t="inlineStr">
        <is>
          <t xml:space="preserve">broad_maritime</t>
        </is>
      </c>
      <c r="D2932" s="4">
        <v>0.32999999999999996</v>
      </c>
      <c r="E2932" s="0" t="inlineStr">
        <is>
          <t xml:space="preserve">ALLIED SYSTEMS COMPANY</t>
        </is>
      </c>
      <c r="F2932" s="0" t="inlineStr">
        <is>
          <t xml:space="preserve">psc:2090</t>
        </is>
      </c>
    </row>
    <row r="2933">
      <c r="B2933" s="0" t="inlineStr">
        <is>
          <t xml:space="preserve">N0010424PCC11</t>
        </is>
      </c>
      <c r="C2933" s="0" t="inlineStr">
        <is>
          <t xml:space="preserve">small_craft</t>
        </is>
      </c>
      <c r="D2933" s="4">
        <v>0.32894999999999996</v>
      </c>
      <c r="E2933" s="0" t="inlineStr">
        <is>
          <t xml:space="preserve">ELECTRIC MOTOR AND CONTRACTING COMPANY</t>
        </is>
      </c>
      <c r="F2933" s="0" t="inlineStr">
        <is>
          <t xml:space="preserve">naics:336612</t>
        </is>
      </c>
    </row>
    <row r="2934">
      <c r="B2934" s="0" t="inlineStr">
        <is>
          <t xml:space="preserve">N0024417P0258</t>
        </is>
      </c>
      <c r="C2934" s="0" t="inlineStr">
        <is>
          <t xml:space="preserve">small_craft</t>
        </is>
      </c>
      <c r="D2934" s="4">
        <v>0.32872191999999995</v>
      </c>
      <c r="E2934" s="0" t="inlineStr">
        <is>
          <t xml:space="preserve">CENTRAL FLORIDA YAMAHA INC</t>
        </is>
      </c>
      <c r="F2934" s="0" t="inlineStr">
        <is>
          <t xml:space="preserve">naics:336612</t>
        </is>
      </c>
    </row>
    <row r="2935">
      <c r="B2935" s="0" t="inlineStr">
        <is>
          <t xml:space="preserve">N0002421C2214</t>
        </is>
      </c>
      <c r="C2935" s="0" t="inlineStr">
        <is>
          <t xml:space="preserve">small_craft</t>
        </is>
      </c>
      <c r="D2935" s="4">
        <v>0.328717</v>
      </c>
      <c r="E2935" s="0" t="inlineStr">
        <is>
          <t xml:space="preserve">VIGOR WORKS LLC</t>
        </is>
      </c>
      <c r="F2935" s="0" t="inlineStr">
        <is>
          <t xml:space="preserve">naics:336612; psc:1940</t>
        </is>
      </c>
    </row>
    <row r="2936">
      <c r="B2936" s="0" t="inlineStr">
        <is>
          <t xml:space="preserve">N0024420F0119</t>
        </is>
      </c>
      <c r="C2936" s="0" t="inlineStr">
        <is>
          <t xml:space="preserve">broad_maritime</t>
        </is>
      </c>
      <c r="D2936" s="4">
        <v>0.328465</v>
      </c>
      <c r="E2936" s="0" t="inlineStr">
        <is>
          <t xml:space="preserve">JPL HABITABILITY, INC.</t>
        </is>
      </c>
      <c r="F2936" s="0" t="inlineStr">
        <is>
          <t xml:space="preserve">psc:2090</t>
        </is>
      </c>
    </row>
    <row r="2937">
      <c r="B2937" s="0" t="inlineStr">
        <is>
          <t xml:space="preserve">1082</t>
        </is>
      </c>
      <c r="C2937" s="0" t="inlineStr">
        <is>
          <t xml:space="preserve">broad_maritime</t>
        </is>
      </c>
      <c r="D2937" s="4">
        <v>0.32818815</v>
      </c>
      <c r="E2937" s="0" t="inlineStr">
        <is>
          <t xml:space="preserve">THE JOHNS HOPKINS UNIVERSITY APPLIED PHYSICS LABORATORY LLC</t>
        </is>
      </c>
      <c r="F2937" s="0" t="inlineStr">
        <is>
          <t xml:space="preserve">psc:2090</t>
        </is>
      </c>
    </row>
    <row r="2938">
      <c r="B2938" s="0" t="inlineStr">
        <is>
          <t xml:space="preserve">N3220517P4150</t>
        </is>
      </c>
      <c r="C2938" s="0" t="inlineStr">
        <is>
          <t xml:space="preserve">broad_maritime</t>
        </is>
      </c>
      <c r="D2938" s="4">
        <v>0.327524</v>
      </c>
      <c r="E2938" s="0" t="inlineStr">
        <is>
          <t xml:space="preserve">ELECTRIC MOTOR AND CONTRACTING COMPANY</t>
        </is>
      </c>
      <c r="F2938" s="0" t="inlineStr">
        <is>
          <t xml:space="preserve">psc:2090</t>
        </is>
      </c>
    </row>
    <row r="2939">
      <c r="B2939" s="0" t="inlineStr">
        <is>
          <t xml:space="preserve">0021</t>
        </is>
      </c>
      <c r="C2939" s="0" t="inlineStr">
        <is>
          <t xml:space="preserve">broad_maritime</t>
        </is>
      </c>
      <c r="D2939" s="4">
        <v>0.327472</v>
      </c>
      <c r="E2939" s="0" t="inlineStr">
        <is>
          <t xml:space="preserve">FLIGHTFAB, INC.</t>
        </is>
      </c>
      <c r="F2939" s="0" t="inlineStr">
        <is>
          <t xml:space="preserve">psc:2090</t>
        </is>
      </c>
    </row>
    <row r="2940">
      <c r="B2940" s="0" t="inlineStr">
        <is>
          <t xml:space="preserve">N3220518P4537</t>
        </is>
      </c>
      <c r="C2940" s="0" t="inlineStr">
        <is>
          <t xml:space="preserve">broad_maritime</t>
        </is>
      </c>
      <c r="D2940" s="4">
        <v>0.326824</v>
      </c>
      <c r="E2940" s="0" t="inlineStr">
        <is>
          <t xml:space="preserve">RENK CORP</t>
        </is>
      </c>
      <c r="F2940" s="0" t="inlineStr">
        <is>
          <t xml:space="preserve">psc:2090</t>
        </is>
      </c>
    </row>
    <row r="2941">
      <c r="B2941" s="0" t="inlineStr">
        <is>
          <t xml:space="preserve">0013</t>
        </is>
      </c>
      <c r="C2941" s="0" t="inlineStr">
        <is>
          <t xml:space="preserve">broad_maritime</t>
        </is>
      </c>
      <c r="D2941" s="4">
        <v>0.326806</v>
      </c>
      <c r="E2941" s="0" t="inlineStr">
        <is>
          <t xml:space="preserve">LAUREL TECHNOLOGIES PARTNERSHIP</t>
        </is>
      </c>
      <c r="F2941" s="0" t="inlineStr">
        <is>
          <t xml:space="preserve">psc:2090</t>
        </is>
      </c>
    </row>
    <row r="2942">
      <c r="B2942" s="0" t="inlineStr">
        <is>
          <t xml:space="preserve">0012</t>
        </is>
      </c>
      <c r="C2942" s="0" t="inlineStr">
        <is>
          <t xml:space="preserve">broad_maritime</t>
        </is>
      </c>
      <c r="D2942" s="4">
        <v>0.32564699999999996</v>
      </c>
      <c r="E2942" s="0" t="inlineStr">
        <is>
          <t xml:space="preserve">LOCKHEED MARTIN CORPORATION</t>
        </is>
      </c>
      <c r="F2942" s="0" t="inlineStr">
        <is>
          <t xml:space="preserve">psc:1905</t>
        </is>
      </c>
    </row>
    <row r="2943">
      <c r="B2943" s="0" t="inlineStr">
        <is>
          <t xml:space="preserve">N0040620C0027</t>
        </is>
      </c>
      <c r="C2943" s="0" t="inlineStr">
        <is>
          <t xml:space="preserve">broad_maritime</t>
        </is>
      </c>
      <c r="D2943" s="4">
        <v>0.325</v>
      </c>
      <c r="E2943" s="0" t="inlineStr">
        <is>
          <t xml:space="preserve">BELLINGHAM MARINE INDUSTRIES, INC.</t>
        </is>
      </c>
      <c r="F2943" s="0" t="inlineStr">
        <is>
          <t xml:space="preserve">psc:2090</t>
        </is>
      </c>
    </row>
    <row r="2944">
      <c r="B2944" s="0" t="inlineStr">
        <is>
          <t xml:space="preserve">0004</t>
        </is>
      </c>
      <c r="C2944" s="0" t="inlineStr">
        <is>
          <t xml:space="preserve">small_craft</t>
        </is>
      </c>
      <c r="D2944" s="4">
        <v>0.32472696999999995</v>
      </c>
      <c r="E2944" s="0" t="inlineStr">
        <is>
          <t xml:space="preserve">SILVER SHIPS, INC</t>
        </is>
      </c>
      <c r="F2944" s="0" t="inlineStr">
        <is>
          <t xml:space="preserve">naics:336612; psc:1940</t>
        </is>
      </c>
    </row>
    <row r="2945">
      <c r="B2945" s="0" t="inlineStr">
        <is>
          <t xml:space="preserve">N0024419F0224</t>
        </is>
      </c>
      <c r="C2945" s="0" t="inlineStr">
        <is>
          <t xml:space="preserve">broad_maritime</t>
        </is>
      </c>
      <c r="D2945" s="4">
        <v>0.3245</v>
      </c>
      <c r="E2945" s="0" t="inlineStr">
        <is>
          <t xml:space="preserve">PACIFIC MARITIME INDUSTRIES CORP.</t>
        </is>
      </c>
      <c r="F2945" s="0" t="inlineStr">
        <is>
          <t xml:space="preserve">psc:2090</t>
        </is>
      </c>
    </row>
    <row r="2946">
      <c r="B2946" s="0" t="inlineStr">
        <is>
          <t xml:space="preserve">N3220518P4015</t>
        </is>
      </c>
      <c r="C2946" s="0" t="inlineStr">
        <is>
          <t xml:space="preserve">broad_maritime</t>
        </is>
      </c>
      <c r="D2946" s="4">
        <v>0.324192</v>
      </c>
      <c r="E2946" s="0" t="inlineStr">
        <is>
          <t xml:space="preserve">CIRCOR NAVAL SOLUTIONS LLC</t>
        </is>
      </c>
      <c r="F2946" s="0" t="inlineStr">
        <is>
          <t xml:space="preserve">psc:2090</t>
        </is>
      </c>
    </row>
    <row r="2947">
      <c r="B2947" s="0" t="inlineStr">
        <is>
          <t xml:space="preserve">N5523622F9950</t>
        </is>
      </c>
      <c r="C2947" s="0" t="inlineStr">
        <is>
          <t xml:space="preserve">broad_maritime</t>
        </is>
      </c>
      <c r="D2947" s="4">
        <v>0.32418910999999995</v>
      </c>
      <c r="E2947" s="0" t="inlineStr">
        <is>
          <t xml:space="preserve">HII FLEET SUPPORT GROUP LLC</t>
        </is>
      </c>
      <c r="F2947" s="0" t="inlineStr">
        <is>
          <t xml:space="preserve">psc:1905</t>
        </is>
      </c>
    </row>
    <row r="2948">
      <c r="B2948" s="0" t="inlineStr">
        <is>
          <t xml:space="preserve">N6883622P0249</t>
        </is>
      </c>
      <c r="C2948" s="0" t="inlineStr">
        <is>
          <t xml:space="preserve">broad_maritime</t>
        </is>
      </c>
      <c r="D2948" s="4">
        <v>0.323885</v>
      </c>
      <c r="E2948" s="0" t="inlineStr">
        <is>
          <t xml:space="preserve">BECKER, DIANE</t>
        </is>
      </c>
      <c r="F2948" s="0" t="inlineStr">
        <is>
          <t xml:space="preserve">psc:2090</t>
        </is>
      </c>
    </row>
    <row r="2949">
      <c r="B2949" s="0" t="inlineStr">
        <is>
          <t xml:space="preserve">N0010422PNC22</t>
        </is>
      </c>
      <c r="C2949" s="0" t="inlineStr">
        <is>
          <t xml:space="preserve">broad_maritime</t>
        </is>
      </c>
      <c r="D2949" s="4">
        <v>0.32383999999999996</v>
      </c>
      <c r="E2949" s="0" t="inlineStr">
        <is>
          <t xml:space="preserve">MARINE POLYMERS, INC</t>
        </is>
      </c>
      <c r="F2949" s="0" t="inlineStr">
        <is>
          <t xml:space="preserve">psc:2090</t>
        </is>
      </c>
    </row>
    <row r="2950">
      <c r="B2950" s="0" t="inlineStr">
        <is>
          <t xml:space="preserve">0014</t>
        </is>
      </c>
      <c r="C2950" s="0" t="inlineStr">
        <is>
          <t xml:space="preserve">usv_core</t>
        </is>
      </c>
      <c r="D2950" s="4">
        <v>0.32343978999999995</v>
      </c>
      <c r="E2950" s="0" t="inlineStr">
        <is>
          <t xml:space="preserve">G 2 SOFTWARE SYSTEMS, INC.</t>
        </is>
      </c>
      <c r="F2950" s="0" t="inlineStr">
        <is>
          <t xml:space="preserve">keyword</t>
        </is>
      </c>
    </row>
    <row r="2951">
      <c r="B2951" s="0" t="inlineStr">
        <is>
          <t xml:space="preserve">N3220521F0624</t>
        </is>
      </c>
      <c r="C2951" s="0" t="inlineStr">
        <is>
          <t xml:space="preserve">broad_maritime</t>
        </is>
      </c>
      <c r="D2951" s="4">
        <v>0.32121837999999997</v>
      </c>
      <c r="E2951" s="0" t="inlineStr">
        <is>
          <t xml:space="preserve">ROLLS-ROYCE SOLUTIONS AMERICA INC</t>
        </is>
      </c>
      <c r="F2951" s="0" t="inlineStr">
        <is>
          <t xml:space="preserve">psc:2090</t>
        </is>
      </c>
    </row>
    <row r="2952">
      <c r="B2952" s="0" t="inlineStr">
        <is>
          <t xml:space="preserve">N6817122F0252</t>
        </is>
      </c>
      <c r="C2952" s="0" t="inlineStr">
        <is>
          <t xml:space="preserve">broad_maritime</t>
        </is>
      </c>
      <c r="D2952" s="4">
        <v>0.32087184999999996</v>
      </c>
      <c r="E2952" s="0" t="inlineStr">
        <is>
          <t xml:space="preserve">ROLLS-ROYCE SOLUTIONS AMERICA INC</t>
        </is>
      </c>
      <c r="F2952" s="0" t="inlineStr">
        <is>
          <t xml:space="preserve">psc:2090</t>
        </is>
      </c>
    </row>
    <row r="2953">
      <c r="B2953" s="0" t="inlineStr">
        <is>
          <t xml:space="preserve">N3220525P2064</t>
        </is>
      </c>
      <c r="C2953" s="0" t="inlineStr">
        <is>
          <t xml:space="preserve">broad_maritime</t>
        </is>
      </c>
      <c r="D2953" s="4">
        <v>0.32071</v>
      </c>
      <c r="E2953" s="0" t="inlineStr">
        <is>
          <t xml:space="preserve">ROLLS-ROYCE MARINE NORTH AMERICA INC.</t>
        </is>
      </c>
      <c r="F2953" s="0" t="inlineStr">
        <is>
          <t xml:space="preserve">psc:2090</t>
        </is>
      </c>
    </row>
    <row r="2954">
      <c r="B2954" s="0" t="inlineStr">
        <is>
          <t xml:space="preserve">N0040625CS021</t>
        </is>
      </c>
      <c r="C2954" s="0" t="inlineStr">
        <is>
          <t xml:space="preserve">broad_maritime</t>
        </is>
      </c>
      <c r="D2954" s="4">
        <v>0.319142</v>
      </c>
      <c r="E2954" s="0" t="inlineStr">
        <is>
          <t xml:space="preserve">WACO PRODUCTS, INC</t>
        </is>
      </c>
      <c r="F2954" s="0" t="inlineStr">
        <is>
          <t xml:space="preserve">psc:2090</t>
        </is>
      </c>
    </row>
    <row r="2955">
      <c r="B2955" s="0" t="inlineStr">
        <is>
          <t xml:space="preserve">N6449817F4007</t>
        </is>
      </c>
      <c r="C2955" s="0" t="inlineStr">
        <is>
          <t xml:space="preserve">broad_maritime</t>
        </is>
      </c>
      <c r="D2955" s="4">
        <v>0.3185</v>
      </c>
      <c r="E2955" s="0" t="inlineStr">
        <is>
          <t xml:space="preserve">FENDER CARE LIMITED</t>
        </is>
      </c>
      <c r="F2955" s="0" t="inlineStr">
        <is>
          <t xml:space="preserve">psc:2090</t>
        </is>
      </c>
    </row>
    <row r="2956">
      <c r="B2956" s="0" t="inlineStr">
        <is>
          <t xml:space="preserve">N3220517P4011</t>
        </is>
      </c>
      <c r="C2956" s="0" t="inlineStr">
        <is>
          <t xml:space="preserve">broad_maritime</t>
        </is>
      </c>
      <c r="D2956" s="4">
        <v>0.31757665</v>
      </c>
      <c r="E2956" s="0" t="inlineStr">
        <is>
          <t xml:space="preserve">FASSMER SERVICE AMERICA LLC</t>
        </is>
      </c>
      <c r="F2956" s="0" t="inlineStr">
        <is>
          <t xml:space="preserve">psc:2090</t>
        </is>
      </c>
    </row>
    <row r="2957">
      <c r="B2957" s="0" t="inlineStr">
        <is>
          <t xml:space="preserve">N6133120F0001</t>
        </is>
      </c>
      <c r="C2957" s="0" t="inlineStr">
        <is>
          <t xml:space="preserve">broad_maritime</t>
        </is>
      </c>
      <c r="D2957" s="4">
        <v>0.31675716</v>
      </c>
      <c r="E2957" s="0" t="inlineStr">
        <is>
          <t xml:space="preserve">ATLANTIC DIVING SUPPLY, INC.</t>
        </is>
      </c>
      <c r="F2957" s="0" t="inlineStr">
        <is>
          <t xml:space="preserve">psc:2090</t>
        </is>
      </c>
    </row>
    <row r="2958">
      <c r="B2958" s="0" t="inlineStr">
        <is>
          <t xml:space="preserve">N0010426PJA42</t>
        </is>
      </c>
      <c r="C2958" s="0" t="inlineStr">
        <is>
          <t xml:space="preserve">small_craft</t>
        </is>
      </c>
      <c r="D2958" s="4">
        <v>0.3164109</v>
      </c>
      <c r="E2958" s="0" t="inlineStr">
        <is>
          <t xml:space="preserve">EVAC NORTH AMERICA INC</t>
        </is>
      </c>
      <c r="F2958" s="0" t="inlineStr">
        <is>
          <t xml:space="preserve">naics:336612</t>
        </is>
      </c>
    </row>
    <row r="2959">
      <c r="B2959" s="0" t="inlineStr">
        <is>
          <t xml:space="preserve">N3220525P2326</t>
        </is>
      </c>
      <c r="C2959" s="0" t="inlineStr">
        <is>
          <t xml:space="preserve">broad_maritime</t>
        </is>
      </c>
      <c r="D2959" s="4">
        <v>0.3162312</v>
      </c>
      <c r="E2959" s="0" t="inlineStr">
        <is>
          <t xml:space="preserve">MAZZELLA LIFTING TECHNOLOGIES, INC.</t>
        </is>
      </c>
      <c r="F2959" s="0" t="inlineStr">
        <is>
          <t xml:space="preserve">psc:2090</t>
        </is>
      </c>
    </row>
    <row r="2960">
      <c r="B2960" s="0" t="inlineStr">
        <is>
          <t xml:space="preserve">N0002421F22Q2</t>
        </is>
      </c>
      <c r="C2960" s="0" t="inlineStr">
        <is>
          <t xml:space="preserve">small_craft</t>
        </is>
      </c>
      <c r="D2960" s="4">
        <v>0.31489606</v>
      </c>
      <c r="E2960" s="0" t="inlineStr">
        <is>
          <t xml:space="preserve">MODUTECH MARINE, INC.</t>
        </is>
      </c>
      <c r="F2960" s="0" t="inlineStr">
        <is>
          <t xml:space="preserve">naics:336612; psc:1940</t>
        </is>
      </c>
    </row>
    <row r="2961">
      <c r="B2961" s="0" t="inlineStr">
        <is>
          <t xml:space="preserve">0004</t>
        </is>
      </c>
      <c r="C2961" s="0" t="inlineStr">
        <is>
          <t xml:space="preserve">broad_maritime</t>
        </is>
      </c>
      <c r="D2961" s="4">
        <v>0.31473791999999995</v>
      </c>
      <c r="E2961" s="0" t="inlineStr">
        <is>
          <t xml:space="preserve">J &amp; N METAL PRODUCTS, LLC</t>
        </is>
      </c>
      <c r="F2961" s="0" t="inlineStr">
        <is>
          <t xml:space="preserve">psc:1905</t>
        </is>
      </c>
    </row>
    <row r="2962">
      <c r="B2962" s="0" t="inlineStr">
        <is>
          <t xml:space="preserve">N6133117F0146</t>
        </is>
      </c>
      <c r="C2962" s="0" t="inlineStr">
        <is>
          <t xml:space="preserve">broad_maritime</t>
        </is>
      </c>
      <c r="D2962" s="4">
        <v>0.31446621999999996</v>
      </c>
      <c r="E2962" s="0" t="inlineStr">
        <is>
          <t xml:space="preserve">ATLANTIC DIVING SUPPLY, INC.</t>
        </is>
      </c>
      <c r="F2962" s="0" t="inlineStr">
        <is>
          <t xml:space="preserve">psc:2090</t>
        </is>
      </c>
    </row>
    <row r="2963">
      <c r="B2963" s="0" t="inlineStr">
        <is>
          <t xml:space="preserve">N6660417F1837</t>
        </is>
      </c>
      <c r="C2963" s="0" t="inlineStr">
        <is>
          <t xml:space="preserve">broad_maritime</t>
        </is>
      </c>
      <c r="D2963" s="4">
        <v>0.31422</v>
      </c>
      <c r="E2963" s="0" t="inlineStr">
        <is>
          <t xml:space="preserve">LOCKHEED MARTIN SIPPICAN, INC.</t>
        </is>
      </c>
      <c r="F2963" s="0" t="inlineStr">
        <is>
          <t xml:space="preserve">psc:2090</t>
        </is>
      </c>
    </row>
    <row r="2964">
      <c r="B2964" s="0" t="inlineStr">
        <is>
          <t xml:space="preserve">N0024421F0552</t>
        </is>
      </c>
      <c r="C2964" s="0" t="inlineStr">
        <is>
          <t xml:space="preserve">broad_maritime</t>
        </is>
      </c>
      <c r="D2964" s="4">
        <v>0.31396999999999997</v>
      </c>
      <c r="E2964" s="0" t="inlineStr">
        <is>
          <t xml:space="preserve">MARINE &amp; RESTAURANT FABRICATORS, INC.</t>
        </is>
      </c>
      <c r="F2964" s="0" t="inlineStr">
        <is>
          <t xml:space="preserve">psc:2090</t>
        </is>
      </c>
    </row>
    <row r="2965">
      <c r="B2965" s="0" t="inlineStr">
        <is>
          <t xml:space="preserve">N6230619P0014</t>
        </is>
      </c>
      <c r="C2965" s="0" t="inlineStr">
        <is>
          <t xml:space="preserve">usv_core</t>
        </is>
      </c>
      <c r="D2965" s="4">
        <v>0.31396909999999995</v>
      </c>
      <c r="E2965" s="0" t="inlineStr">
        <is>
          <t xml:space="preserve">THE UNIVERSITY OF SOUTHERN MISSISSIPPI</t>
        </is>
      </c>
      <c r="F2965" s="0" t="inlineStr">
        <is>
          <t xml:space="preserve">keyword</t>
        </is>
      </c>
    </row>
    <row r="2966">
      <c r="B2966" s="0" t="inlineStr">
        <is>
          <t xml:space="preserve">N0018923P0577</t>
        </is>
      </c>
      <c r="C2966" s="0" t="inlineStr">
        <is>
          <t xml:space="preserve">broad_maritime</t>
        </is>
      </c>
      <c r="D2966" s="4">
        <v>0.31346399999999996</v>
      </c>
      <c r="E2966" s="0" t="inlineStr">
        <is>
          <t xml:space="preserve">SPEC-BUILT SYSTEMS, INC.</t>
        </is>
      </c>
      <c r="F2966" s="0" t="inlineStr">
        <is>
          <t xml:space="preserve">psc:2090</t>
        </is>
      </c>
    </row>
    <row r="2967">
      <c r="B2967" s="0" t="inlineStr">
        <is>
          <t xml:space="preserve">N5523624F9983</t>
        </is>
      </c>
      <c r="C2967" s="0" t="inlineStr">
        <is>
          <t xml:space="preserve">broad_maritime</t>
        </is>
      </c>
      <c r="D2967" s="4">
        <v>0.31302963</v>
      </c>
      <c r="E2967" s="0" t="inlineStr">
        <is>
          <t xml:space="preserve">HII FLEET SUPPORT GROUP LLC</t>
        </is>
      </c>
      <c r="F2967" s="0" t="inlineStr">
        <is>
          <t xml:space="preserve">psc:1905</t>
        </is>
      </c>
    </row>
    <row r="2968">
      <c r="B2968" s="0" t="inlineStr">
        <is>
          <t xml:space="preserve">N3220515P4278</t>
        </is>
      </c>
      <c r="C2968" s="0" t="inlineStr">
        <is>
          <t xml:space="preserve">broad_maritime</t>
        </is>
      </c>
      <c r="D2968" s="4">
        <v>0.31170936</v>
      </c>
      <c r="E2968" s="0" t="inlineStr">
        <is>
          <t xml:space="preserve">FINCANTIERI MARINE SYSTEMS NORTH AMERICA, INC.</t>
        </is>
      </c>
      <c r="F2968" s="0" t="inlineStr">
        <is>
          <t xml:space="preserve">psc:2090</t>
        </is>
      </c>
    </row>
    <row r="2969">
      <c r="B2969" s="0" t="inlineStr">
        <is>
          <t xml:space="preserve">N0002415F2204</t>
        </is>
      </c>
      <c r="C2969" s="0" t="inlineStr">
        <is>
          <t xml:space="preserve">small_craft</t>
        </is>
      </c>
      <c r="D2969" s="4">
        <v>0.3114975</v>
      </c>
      <c r="E2969" s="0" t="inlineStr">
        <is>
          <t xml:space="preserve">GRAVOIS ALUMINUM BOATS LLC</t>
        </is>
      </c>
      <c r="F2969" s="0" t="inlineStr">
        <is>
          <t xml:space="preserve">psc:1940</t>
        </is>
      </c>
    </row>
    <row r="2970">
      <c r="B2970" s="0" t="inlineStr">
        <is>
          <t xml:space="preserve">N3220524P2093</t>
        </is>
      </c>
      <c r="C2970" s="0" t="inlineStr">
        <is>
          <t xml:space="preserve">broad_maritime</t>
        </is>
      </c>
      <c r="D2970" s="4">
        <v>0.311</v>
      </c>
      <c r="E2970" s="0" t="inlineStr">
        <is>
          <t xml:space="preserve">SCHOELLHORN - ALBRECHT MACHINE CO INC</t>
        </is>
      </c>
      <c r="F2970" s="0" t="inlineStr">
        <is>
          <t xml:space="preserve">psc:2090</t>
        </is>
      </c>
    </row>
    <row r="2971">
      <c r="B2971" s="0" t="inlineStr">
        <is>
          <t xml:space="preserve">N0024421F0548</t>
        </is>
      </c>
      <c r="C2971" s="0" t="inlineStr">
        <is>
          <t xml:space="preserve">broad_maritime</t>
        </is>
      </c>
      <c r="D2971" s="4">
        <v>0.31004499999999996</v>
      </c>
      <c r="E2971" s="0" t="inlineStr">
        <is>
          <t xml:space="preserve">MARINE &amp; RESTAURANT FABRICATORS, INC.</t>
        </is>
      </c>
      <c r="F2971" s="0" t="inlineStr">
        <is>
          <t xml:space="preserve">psc:2090</t>
        </is>
      </c>
    </row>
    <row r="2972">
      <c r="B2972" s="0" t="inlineStr">
        <is>
          <t xml:space="preserve">N3220515P4376</t>
        </is>
      </c>
      <c r="C2972" s="0" t="inlineStr">
        <is>
          <t xml:space="preserve">other_small</t>
        </is>
      </c>
      <c r="D2972" s="4">
        <v>0.3096</v>
      </c>
      <c r="E2972" s="0" t="inlineStr">
        <is>
          <t xml:space="preserve">QUALITY REFRIGERATION COMPANY, INC.</t>
        </is>
      </c>
      <c r="F2972" s="0" t="inlineStr">
        <is>
          <t xml:space="preserve">psc:1990</t>
        </is>
      </c>
    </row>
    <row r="2973">
      <c r="B2973" s="0" t="inlineStr">
        <is>
          <t xml:space="preserve">N3220521F1827</t>
        </is>
      </c>
      <c r="C2973" s="0" t="inlineStr">
        <is>
          <t xml:space="preserve">broad_maritime</t>
        </is>
      </c>
      <c r="D2973" s="4">
        <v>0.309521</v>
      </c>
      <c r="E2973" s="0" t="inlineStr">
        <is>
          <t xml:space="preserve">NORTHROP GRUMMAN SYSTEMS CORPORATION</t>
        </is>
      </c>
      <c r="F2973" s="0" t="inlineStr">
        <is>
          <t xml:space="preserve">psc:2090</t>
        </is>
      </c>
    </row>
    <row r="2974">
      <c r="B2974" s="0" t="inlineStr">
        <is>
          <t xml:space="preserve">0090</t>
        </is>
      </c>
      <c r="C2974" s="0" t="inlineStr">
        <is>
          <t xml:space="preserve">broad_maritime</t>
        </is>
      </c>
      <c r="D2974" s="4">
        <v>0.30912919</v>
      </c>
      <c r="E2974" s="0" t="inlineStr">
        <is>
          <t xml:space="preserve">ROCKWELL AUTOMATION INC</t>
        </is>
      </c>
      <c r="F2974" s="0" t="inlineStr">
        <is>
          <t xml:space="preserve">psc:2090</t>
        </is>
      </c>
    </row>
    <row r="2975">
      <c r="B2975" s="0" t="inlineStr">
        <is>
          <t xml:space="preserve">N0040625C0004</t>
        </is>
      </c>
      <c r="C2975" s="0" t="inlineStr">
        <is>
          <t xml:space="preserve">broad_maritime</t>
        </is>
      </c>
      <c r="D2975" s="4">
        <v>0.30826855</v>
      </c>
      <c r="E2975" s="0" t="inlineStr">
        <is>
          <t xml:space="preserve">KONGSBERG MARITIME INC</t>
        </is>
      </c>
      <c r="F2975" s="0" t="inlineStr">
        <is>
          <t xml:space="preserve">psc:2090</t>
        </is>
      </c>
    </row>
    <row r="2976">
      <c r="B2976" s="0" t="inlineStr">
        <is>
          <t xml:space="preserve">N0040624C0010</t>
        </is>
      </c>
      <c r="C2976" s="0" t="inlineStr">
        <is>
          <t xml:space="preserve">broad_maritime</t>
        </is>
      </c>
      <c r="D2976" s="4">
        <v>0.30777251</v>
      </c>
      <c r="E2976" s="0" t="inlineStr">
        <is>
          <t xml:space="preserve">AANTILIA LLC</t>
        </is>
      </c>
      <c r="F2976" s="0" t="inlineStr">
        <is>
          <t xml:space="preserve">psc:2090</t>
        </is>
      </c>
    </row>
    <row r="2977">
      <c r="B2977" s="0" t="inlineStr">
        <is>
          <t xml:space="preserve">N0010422PXC04</t>
        </is>
      </c>
      <c r="C2977" s="0" t="inlineStr">
        <is>
          <t xml:space="preserve">small_craft</t>
        </is>
      </c>
      <c r="D2977" s="4">
        <v>0.30721593999999997</v>
      </c>
      <c r="E2977" s="0" t="inlineStr">
        <is>
          <t xml:space="preserve">WING INFLATABLES INC</t>
        </is>
      </c>
      <c r="F2977" s="0" t="inlineStr">
        <is>
          <t xml:space="preserve">naics:336612; psc:1940</t>
        </is>
      </c>
    </row>
    <row r="2978">
      <c r="B2978" s="0" t="inlineStr">
        <is>
          <t xml:space="preserve">N0040622F0142</t>
        </is>
      </c>
      <c r="C2978" s="0" t="inlineStr">
        <is>
          <t xml:space="preserve">broad_maritime</t>
        </is>
      </c>
      <c r="D2978" s="4">
        <v>0.30716742999999996</v>
      </c>
      <c r="E2978" s="0" t="inlineStr">
        <is>
          <t xml:space="preserve">DEFENSE MARITIME SOLUTIONS, INC.</t>
        </is>
      </c>
      <c r="F2978" s="0" t="inlineStr">
        <is>
          <t xml:space="preserve">psc:2090</t>
        </is>
      </c>
    </row>
    <row r="2979">
      <c r="B2979" s="0" t="inlineStr">
        <is>
          <t xml:space="preserve">N3220519P4352</t>
        </is>
      </c>
      <c r="C2979" s="0" t="inlineStr">
        <is>
          <t xml:space="preserve">broad_maritime</t>
        </is>
      </c>
      <c r="D2979" s="4">
        <v>0.3068234</v>
      </c>
      <c r="E2979" s="0" t="inlineStr">
        <is>
          <t xml:space="preserve">VOLAIRE ENERGY LLC</t>
        </is>
      </c>
      <c r="F2979" s="0" t="inlineStr">
        <is>
          <t xml:space="preserve">psc:2090</t>
        </is>
      </c>
    </row>
    <row r="2980">
      <c r="B2980" s="0" t="inlineStr">
        <is>
          <t xml:space="preserve">N0010424PQC77</t>
        </is>
      </c>
      <c r="C2980" s="0" t="inlineStr">
        <is>
          <t xml:space="preserve">small_craft</t>
        </is>
      </c>
      <c r="D2980" s="4">
        <v>0.30627075</v>
      </c>
      <c r="E2980" s="0" t="inlineStr">
        <is>
          <t xml:space="preserve">RAYTHEON COMPANY</t>
        </is>
      </c>
      <c r="F2980" s="0" t="inlineStr">
        <is>
          <t xml:space="preserve">naics:336612</t>
        </is>
      </c>
    </row>
    <row r="2981">
      <c r="B2981" s="0" t="inlineStr">
        <is>
          <t xml:space="preserve">N0040624C0021</t>
        </is>
      </c>
      <c r="C2981" s="0" t="inlineStr">
        <is>
          <t xml:space="preserve">broad_maritime</t>
        </is>
      </c>
      <c r="D2981" s="4">
        <v>0.30598594</v>
      </c>
      <c r="E2981" s="0" t="inlineStr">
        <is>
          <t xml:space="preserve">GEA MECHANICAL EQUIPMENT US, INC.</t>
        </is>
      </c>
      <c r="F2981" s="0" t="inlineStr">
        <is>
          <t xml:space="preserve">psc:2090</t>
        </is>
      </c>
    </row>
    <row r="2982">
      <c r="B2982" s="0" t="inlineStr">
        <is>
          <t xml:space="preserve">N0010416CFA30</t>
        </is>
      </c>
      <c r="C2982" s="0" t="inlineStr">
        <is>
          <t xml:space="preserve">small_craft</t>
        </is>
      </c>
      <c r="D2982" s="4">
        <v>0.30531688</v>
      </c>
      <c r="E2982" s="0" t="inlineStr">
        <is>
          <t xml:space="preserve">COGITIC CORPORATION</t>
        </is>
      </c>
      <c r="F2982" s="0" t="inlineStr">
        <is>
          <t xml:space="preserve">naics:336612</t>
        </is>
      </c>
    </row>
    <row r="2983">
      <c r="B2983" s="0" t="inlineStr">
        <is>
          <t xml:space="preserve">N0018925P0248</t>
        </is>
      </c>
      <c r="C2983" s="0" t="inlineStr">
        <is>
          <t xml:space="preserve">broad_maritime</t>
        </is>
      </c>
      <c r="D2983" s="4">
        <v>0.30530187999999997</v>
      </c>
      <c r="E2983" s="0" t="inlineStr">
        <is>
          <t xml:space="preserve">GE ENERGY POWER CONVERSION USA INC.</t>
        </is>
      </c>
      <c r="F2983" s="0" t="inlineStr">
        <is>
          <t xml:space="preserve">psc:2090</t>
        </is>
      </c>
    </row>
    <row r="2984">
      <c r="B2984" s="0" t="inlineStr">
        <is>
          <t xml:space="preserve">N0002416C2234</t>
        </is>
      </c>
      <c r="C2984" s="0" t="inlineStr">
        <is>
          <t xml:space="preserve">small_craft</t>
        </is>
      </c>
      <c r="D2984" s="4">
        <v>0.30520296</v>
      </c>
      <c r="E2984" s="0" t="inlineStr">
        <is>
          <t xml:space="preserve">WILLARD MARINE, INC.</t>
        </is>
      </c>
      <c r="F2984" s="0" t="inlineStr">
        <is>
          <t xml:space="preserve">naics:336612; psc:1940</t>
        </is>
      </c>
    </row>
    <row r="2985">
      <c r="B2985" s="0" t="inlineStr">
        <is>
          <t xml:space="preserve">N3220517P4023</t>
        </is>
      </c>
      <c r="C2985" s="0" t="inlineStr">
        <is>
          <t xml:space="preserve">broad_maritime</t>
        </is>
      </c>
      <c r="D2985" s="4">
        <v>0.30509361999999995</v>
      </c>
      <c r="E2985" s="0" t="inlineStr">
        <is>
          <t xml:space="preserve">COLTEC INDUSTRIES INC.</t>
        </is>
      </c>
      <c r="F2985" s="0" t="inlineStr">
        <is>
          <t xml:space="preserve">psc:2090</t>
        </is>
      </c>
    </row>
    <row r="2986">
      <c r="B2986" s="0" t="inlineStr">
        <is>
          <t xml:space="preserve">N0010424PNA41</t>
        </is>
      </c>
      <c r="C2986" s="0" t="inlineStr">
        <is>
          <t xml:space="preserve">small_craft</t>
        </is>
      </c>
      <c r="D2986" s="4">
        <v>0.30458799999999997</v>
      </c>
      <c r="E2986" s="0" t="inlineStr">
        <is>
          <t xml:space="preserve">FRONTGRADE TECHNOLOGIES INC.</t>
        </is>
      </c>
      <c r="F2986" s="0" t="inlineStr">
        <is>
          <t xml:space="preserve">naics:336612</t>
        </is>
      </c>
    </row>
    <row r="2987">
      <c r="B2987" s="0" t="inlineStr">
        <is>
          <t xml:space="preserve">N0010421PDD50</t>
        </is>
      </c>
      <c r="C2987" s="0" t="inlineStr">
        <is>
          <t xml:space="preserve">small_craft</t>
        </is>
      </c>
      <c r="D2987" s="4">
        <v>0.30417943999999997</v>
      </c>
      <c r="E2987" s="0" t="inlineStr">
        <is>
          <t xml:space="preserve">AMERICAN METAL BEARING CO</t>
        </is>
      </c>
      <c r="F2987" s="0" t="inlineStr">
        <is>
          <t xml:space="preserve">naics:336612</t>
        </is>
      </c>
    </row>
    <row r="2988">
      <c r="B2988" s="0" t="inlineStr">
        <is>
          <t xml:space="preserve">N0024422F0507</t>
        </is>
      </c>
      <c r="C2988" s="0" t="inlineStr">
        <is>
          <t xml:space="preserve">broad_maritime</t>
        </is>
      </c>
      <c r="D2988" s="4">
        <v>0.30339085</v>
      </c>
      <c r="E2988" s="0" t="inlineStr">
        <is>
          <t xml:space="preserve">JPL HABITABILITY, INC.</t>
        </is>
      </c>
      <c r="F2988" s="0" t="inlineStr">
        <is>
          <t xml:space="preserve">psc:2090</t>
        </is>
      </c>
    </row>
    <row r="2989">
      <c r="B2989" s="0" t="inlineStr">
        <is>
          <t xml:space="preserve">N6449818F4128</t>
        </is>
      </c>
      <c r="C2989" s="0" t="inlineStr">
        <is>
          <t xml:space="preserve">broad_maritime</t>
        </is>
      </c>
      <c r="D2989" s="4">
        <v>0.30236599999999997</v>
      </c>
      <c r="E2989" s="0" t="inlineStr">
        <is>
          <t xml:space="preserve">LAUREL TECHNOLOGIES PARTNERSHIP</t>
        </is>
      </c>
      <c r="F2989" s="0" t="inlineStr">
        <is>
          <t xml:space="preserve">psc:2090</t>
        </is>
      </c>
    </row>
    <row r="2990">
      <c r="B2990" s="0" t="inlineStr">
        <is>
          <t xml:space="preserve">0002</t>
        </is>
      </c>
      <c r="C2990" s="0" t="inlineStr">
        <is>
          <t xml:space="preserve">broad_maritime</t>
        </is>
      </c>
      <c r="D2990" s="4">
        <v>0.30115936</v>
      </c>
      <c r="E2990" s="0" t="inlineStr">
        <is>
          <t xml:space="preserve">ATLANTIC DIVING SUPPLY, INC.</t>
        </is>
      </c>
      <c r="F2990" s="0" t="inlineStr">
        <is>
          <t xml:space="preserve">psc:2090</t>
        </is>
      </c>
    </row>
    <row r="2991">
      <c r="B2991" s="0" t="inlineStr">
        <is>
          <t xml:space="preserve">N6133118F0184</t>
        </is>
      </c>
      <c r="C2991" s="0" t="inlineStr">
        <is>
          <t xml:space="preserve">broad_maritime</t>
        </is>
      </c>
      <c r="D2991" s="4">
        <v>0.300241</v>
      </c>
      <c r="E2991" s="0" t="inlineStr">
        <is>
          <t xml:space="preserve">ATLANTIC DIVING SUPPLY, INC.</t>
        </is>
      </c>
      <c r="F2991" s="0" t="inlineStr">
        <is>
          <t xml:space="preserve">psc:2090</t>
        </is>
      </c>
    </row>
    <row r="2992">
      <c r="B2992" s="0" t="inlineStr">
        <is>
          <t xml:space="preserve">N6817123F0525</t>
        </is>
      </c>
      <c r="C2992" s="0" t="inlineStr">
        <is>
          <t xml:space="preserve">broad_maritime</t>
        </is>
      </c>
      <c r="D2992" s="4">
        <v>0.30004727000000003</v>
      </c>
      <c r="E2992" s="0" t="inlineStr">
        <is>
          <t xml:space="preserve">FINCANTIERI MARINE SYSTEMS NORTH AMERICA, INC.</t>
        </is>
      </c>
      <c r="F2992" s="0" t="inlineStr">
        <is>
          <t xml:space="preserve">psc:2090</t>
        </is>
      </c>
    </row>
    <row r="2993">
      <c r="B2993" s="0" t="inlineStr">
        <is>
          <t xml:space="preserve">N0002425C2312</t>
        </is>
      </c>
      <c r="C2993" s="0" t="inlineStr">
        <is>
          <t xml:space="preserve">broad_maritime</t>
        </is>
      </c>
      <c r="D2993" s="4">
        <v>0.2998444</v>
      </c>
      <c r="E2993" s="0" t="inlineStr">
        <is>
          <t xml:space="preserve">BOLLINGER MISSISSIPPI SHIPBUILDING, LLC</t>
        </is>
      </c>
      <c r="F2993" s="0" t="inlineStr">
        <is>
          <t xml:space="preserve">psc:1905</t>
        </is>
      </c>
    </row>
    <row r="2994">
      <c r="B2994" s="0" t="inlineStr">
        <is>
          <t xml:space="preserve">N3220515P1292</t>
        </is>
      </c>
      <c r="C2994" s="0" t="inlineStr">
        <is>
          <t xml:space="preserve">broad_maritime</t>
        </is>
      </c>
      <c r="D2994" s="4">
        <v>0.29919999999999997</v>
      </c>
      <c r="E2994" s="0" t="inlineStr">
        <is>
          <t xml:space="preserve">TECHNOLOGY DYNAMICS, INC.</t>
        </is>
      </c>
      <c r="F2994" s="0" t="inlineStr">
        <is>
          <t xml:space="preserve">psc:2090</t>
        </is>
      </c>
    </row>
    <row r="2995">
      <c r="B2995" s="0" t="inlineStr">
        <is>
          <t xml:space="preserve">N6133124F0122</t>
        </is>
      </c>
      <c r="C2995" s="0" t="inlineStr">
        <is>
          <t xml:space="preserve">broad_maritime</t>
        </is>
      </c>
      <c r="D2995" s="4">
        <v>0.29901374999999997</v>
      </c>
      <c r="E2995" s="0" t="inlineStr">
        <is>
          <t xml:space="preserve">ATLANTIC DIVING SUPPLY, INC.</t>
        </is>
      </c>
      <c r="F2995" s="0" t="inlineStr">
        <is>
          <t xml:space="preserve">psc:2090</t>
        </is>
      </c>
    </row>
    <row r="2996">
      <c r="B2996" s="0" t="inlineStr">
        <is>
          <t xml:space="preserve">N0010423PCC67</t>
        </is>
      </c>
      <c r="C2996" s="0" t="inlineStr">
        <is>
          <t xml:space="preserve">small_craft</t>
        </is>
      </c>
      <c r="D2996" s="4">
        <v>0.297798</v>
      </c>
      <c r="E2996" s="0" t="inlineStr">
        <is>
          <t xml:space="preserve">L3HARRIS TECHNOLOGIES, INC</t>
        </is>
      </c>
      <c r="F2996" s="0" t="inlineStr">
        <is>
          <t xml:space="preserve">naics:336612</t>
        </is>
      </c>
    </row>
    <row r="2997">
      <c r="B2997" s="0" t="inlineStr">
        <is>
          <t xml:space="preserve">N0010426PYB66</t>
        </is>
      </c>
      <c r="C2997" s="0" t="inlineStr">
        <is>
          <t xml:space="preserve">small_craft</t>
        </is>
      </c>
      <c r="D2997" s="4">
        <v>0.2968092</v>
      </c>
      <c r="E2997" s="0" t="inlineStr">
        <is>
          <t xml:space="preserve">LOCKHEED MARTIN CORPORATION</t>
        </is>
      </c>
      <c r="F2997" s="0" t="inlineStr">
        <is>
          <t xml:space="preserve">naics:336612</t>
        </is>
      </c>
    </row>
    <row r="2998">
      <c r="B2998" s="0" t="inlineStr">
        <is>
          <t xml:space="preserve">N3220517P4425</t>
        </is>
      </c>
      <c r="C2998" s="0" t="inlineStr">
        <is>
          <t xml:space="preserve">broad_maritime</t>
        </is>
      </c>
      <c r="D2998" s="4">
        <v>0.2957625</v>
      </c>
      <c r="E2998" s="0" t="inlineStr">
        <is>
          <t xml:space="preserve">DE NORA WATER TECHNOLOGIES TEXAS, LLC</t>
        </is>
      </c>
      <c r="F2998" s="0" t="inlineStr">
        <is>
          <t xml:space="preserve">psc:2090</t>
        </is>
      </c>
    </row>
    <row r="2999">
      <c r="B2999" s="0" t="inlineStr">
        <is>
          <t xml:space="preserve">N3220517P4017</t>
        </is>
      </c>
      <c r="C2999" s="0" t="inlineStr">
        <is>
          <t xml:space="preserve">broad_maritime</t>
        </is>
      </c>
      <c r="D2999" s="4">
        <v>0.29488</v>
      </c>
      <c r="E2999" s="0" t="inlineStr">
        <is>
          <t xml:space="preserve">MOTOR-SERVICES HUGO STAMP, INC</t>
        </is>
      </c>
      <c r="F2999" s="0" t="inlineStr">
        <is>
          <t xml:space="preserve">psc:2090</t>
        </is>
      </c>
    </row>
    <row r="3000">
      <c r="B3000" s="0" t="inlineStr">
        <is>
          <t xml:space="preserve">N0010421PXD29</t>
        </is>
      </c>
      <c r="C3000" s="0" t="inlineStr">
        <is>
          <t xml:space="preserve">small_craft</t>
        </is>
      </c>
      <c r="D3000" s="4">
        <v>0.294308</v>
      </c>
      <c r="E3000" s="0" t="inlineStr">
        <is>
          <t xml:space="preserve">ROLLS-ROYCE MARINE NORTH AMERICA INC.</t>
        </is>
      </c>
      <c r="F3000" s="0" t="inlineStr">
        <is>
          <t xml:space="preserve">naics:336612</t>
        </is>
      </c>
    </row>
    <row r="3001">
      <c r="B3001" s="0" t="inlineStr">
        <is>
          <t xml:space="preserve">N6133114C0016</t>
        </is>
      </c>
      <c r="C3001" s="0" t="inlineStr">
        <is>
          <t xml:space="preserve">small_craft</t>
        </is>
      </c>
      <c r="D3001" s="4">
        <v>0.2938017</v>
      </c>
      <c r="E3001" s="0" t="inlineStr">
        <is>
          <t xml:space="preserve">HII UNMANNED SYSTEMS, INC.</t>
        </is>
      </c>
      <c r="F3001" s="0" t="inlineStr">
        <is>
          <t xml:space="preserve">psc:1940</t>
        </is>
      </c>
    </row>
    <row r="3002">
      <c r="B3002" s="0" t="inlineStr">
        <is>
          <t xml:space="preserve">N3220518P4019</t>
        </is>
      </c>
      <c r="C3002" s="0" t="inlineStr">
        <is>
          <t xml:space="preserve">broad_maritime</t>
        </is>
      </c>
      <c r="D3002" s="4">
        <v>0.29352965999999997</v>
      </c>
      <c r="E3002" s="0" t="inlineStr">
        <is>
          <t xml:space="preserve">BHAYANA BROTHERS LLC</t>
        </is>
      </c>
      <c r="F3002" s="0" t="inlineStr">
        <is>
          <t xml:space="preserve">psc:2090</t>
        </is>
      </c>
    </row>
    <row r="3003">
      <c r="B3003" s="0" t="inlineStr">
        <is>
          <t xml:space="preserve">N0002418F4245</t>
        </is>
      </c>
      <c r="C3003" s="0" t="inlineStr">
        <is>
          <t xml:space="preserve">broad_maritime</t>
        </is>
      </c>
      <c r="D3003" s="4">
        <v>0.292746</v>
      </c>
      <c r="E3003" s="0" t="inlineStr">
        <is>
          <t xml:space="preserve">VSE CORPORATION</t>
        </is>
      </c>
      <c r="F3003" s="0" t="inlineStr">
        <is>
          <t xml:space="preserve">psc:2090</t>
        </is>
      </c>
    </row>
    <row r="3004">
      <c r="B3004" s="0" t="inlineStr">
        <is>
          <t xml:space="preserve">N5005425FP002</t>
        </is>
      </c>
      <c r="C3004" s="0" t="inlineStr">
        <is>
          <t xml:space="preserve">broad_maritime</t>
        </is>
      </c>
      <c r="D3004" s="4">
        <v>0.292504</v>
      </c>
      <c r="E3004" s="0" t="inlineStr">
        <is>
          <t xml:space="preserve">METRO MACHINE CORP.</t>
        </is>
      </c>
      <c r="F3004" s="0" t="inlineStr">
        <is>
          <t xml:space="preserve">psc:1905</t>
        </is>
      </c>
    </row>
    <row r="3005">
      <c r="B3005" s="0" t="inlineStr">
        <is>
          <t xml:space="preserve">N3220524P2186</t>
        </is>
      </c>
      <c r="C3005" s="0" t="inlineStr">
        <is>
          <t xml:space="preserve">broad_maritime</t>
        </is>
      </c>
      <c r="D3005" s="4">
        <v>0.29133712</v>
      </c>
      <c r="E3005" s="0" t="inlineStr">
        <is>
          <t xml:space="preserve">TECNICO CORPORATION</t>
        </is>
      </c>
      <c r="F3005" s="0" t="inlineStr">
        <is>
          <t xml:space="preserve">psc:2090</t>
        </is>
      </c>
    </row>
    <row r="3006">
      <c r="B3006" s="0" t="inlineStr">
        <is>
          <t xml:space="preserve">0005</t>
        </is>
      </c>
      <c r="C3006" s="0" t="inlineStr">
        <is>
          <t xml:space="preserve">other_small</t>
        </is>
      </c>
      <c r="D3006" s="4">
        <v>0.291064</v>
      </c>
      <c r="E3006" s="0" t="inlineStr">
        <is>
          <t xml:space="preserve">LOCKHEED MARTIN CORPORATION</t>
        </is>
      </c>
      <c r="F3006" s="0" t="inlineStr">
        <is>
          <t xml:space="preserve">psc:1990</t>
        </is>
      </c>
    </row>
    <row r="3007">
      <c r="B3007" s="0" t="inlineStr">
        <is>
          <t xml:space="preserve">0021</t>
        </is>
      </c>
      <c r="C3007" s="0" t="inlineStr">
        <is>
          <t xml:space="preserve">broad_maritime</t>
        </is>
      </c>
      <c r="D3007" s="4">
        <v>0.29078175</v>
      </c>
      <c r="E3007" s="0" t="inlineStr">
        <is>
          <t xml:space="preserve">HII UNMANNED SYSTEMS, INC</t>
        </is>
      </c>
      <c r="F3007" s="0" t="inlineStr">
        <is>
          <t xml:space="preserve">psc:2090</t>
        </is>
      </c>
    </row>
    <row r="3008">
      <c r="B3008" s="0" t="inlineStr">
        <is>
          <t xml:space="preserve">N6230617F0086</t>
        </is>
      </c>
      <c r="C3008" s="0" t="inlineStr">
        <is>
          <t xml:space="preserve">broad_maritime</t>
        </is>
      </c>
      <c r="D3008" s="4">
        <v>0.29071749999999996</v>
      </c>
      <c r="E3008" s="0" t="inlineStr">
        <is>
          <t xml:space="preserve">HII UNMANNED SYSTEMS, INC</t>
        </is>
      </c>
      <c r="F3008" s="0" t="inlineStr">
        <is>
          <t xml:space="preserve">psc:2090</t>
        </is>
      </c>
    </row>
    <row r="3009">
      <c r="B3009" s="0" t="inlineStr">
        <is>
          <t xml:space="preserve">N3220520F0249</t>
        </is>
      </c>
      <c r="C3009" s="0" t="inlineStr">
        <is>
          <t xml:space="preserve">broad_maritime</t>
        </is>
      </c>
      <c r="D3009" s="4">
        <v>0.29048799999999997</v>
      </c>
      <c r="E3009" s="0" t="inlineStr">
        <is>
          <t xml:space="preserve">CIRCOR NAVAL SOLUTIONS LLC</t>
        </is>
      </c>
      <c r="F3009" s="0" t="inlineStr">
        <is>
          <t xml:space="preserve">psc:2090</t>
        </is>
      </c>
    </row>
    <row r="3010">
      <c r="B3010" s="0" t="inlineStr">
        <is>
          <t xml:space="preserve">N0040625CS034</t>
        </is>
      </c>
      <c r="C3010" s="0" t="inlineStr">
        <is>
          <t xml:space="preserve">broad_maritime</t>
        </is>
      </c>
      <c r="D3010" s="4">
        <v>0.28915778000000003</v>
      </c>
      <c r="E3010" s="0" t="inlineStr">
        <is>
          <t xml:space="preserve">JERED LLC</t>
        </is>
      </c>
      <c r="F3010" s="0" t="inlineStr">
        <is>
          <t xml:space="preserve">psc:2090</t>
        </is>
      </c>
    </row>
    <row r="3011">
      <c r="B3011" s="0" t="inlineStr">
        <is>
          <t xml:space="preserve">N0002420F22G2</t>
        </is>
      </c>
      <c r="C3011" s="0" t="inlineStr">
        <is>
          <t xml:space="preserve">small_craft</t>
        </is>
      </c>
      <c r="D3011" s="4">
        <v>0.28867854</v>
      </c>
      <c r="E3011" s="0" t="inlineStr">
        <is>
          <t xml:space="preserve">METALCRAFT MARINE US, INC.</t>
        </is>
      </c>
      <c r="F3011" s="0" t="inlineStr">
        <is>
          <t xml:space="preserve">naics:336612; psc:1940</t>
        </is>
      </c>
    </row>
    <row r="3012">
      <c r="B3012" s="0" t="inlineStr">
        <is>
          <t xml:space="preserve">N0010426PUA32</t>
        </is>
      </c>
      <c r="C3012" s="0" t="inlineStr">
        <is>
          <t xml:space="preserve">small_craft</t>
        </is>
      </c>
      <c r="D3012" s="4">
        <v>0.28838128</v>
      </c>
      <c r="E3012" s="0" t="inlineStr">
        <is>
          <t xml:space="preserve">W R SYSTEMS LTD</t>
        </is>
      </c>
      <c r="F3012" s="0" t="inlineStr">
        <is>
          <t xml:space="preserve">naics:336612</t>
        </is>
      </c>
    </row>
    <row r="3013">
      <c r="B3013" s="0" t="inlineStr">
        <is>
          <t xml:space="preserve">0003</t>
        </is>
      </c>
      <c r="C3013" s="0" t="inlineStr">
        <is>
          <t xml:space="preserve">small_craft</t>
        </is>
      </c>
      <c r="D3013" s="4">
        <v>0.28806264</v>
      </c>
      <c r="E3013" s="0" t="inlineStr">
        <is>
          <t xml:space="preserve">WORKSKIFF, INC.</t>
        </is>
      </c>
      <c r="F3013" s="0" t="inlineStr">
        <is>
          <t xml:space="preserve">naics:336612; psc:1940</t>
        </is>
      </c>
    </row>
    <row r="3014">
      <c r="B3014" s="0" t="inlineStr">
        <is>
          <t xml:space="preserve">N0010424PXA01</t>
        </is>
      </c>
      <c r="C3014" s="0" t="inlineStr">
        <is>
          <t xml:space="preserve">broad_maritime</t>
        </is>
      </c>
      <c r="D3014" s="4">
        <v>0.28764</v>
      </c>
      <c r="E3014" s="0" t="inlineStr">
        <is>
          <t xml:space="preserve">WING INFLATABLES INC</t>
        </is>
      </c>
      <c r="F3014" s="0" t="inlineStr">
        <is>
          <t xml:space="preserve">psc:2090</t>
        </is>
      </c>
    </row>
    <row r="3015">
      <c r="B3015" s="0" t="inlineStr">
        <is>
          <t xml:space="preserve">N3220521P2284</t>
        </is>
      </c>
      <c r="C3015" s="0" t="inlineStr">
        <is>
          <t xml:space="preserve">broad_maritime</t>
        </is>
      </c>
      <c r="D3015" s="4">
        <v>0.28693003999999994</v>
      </c>
      <c r="E3015" s="0" t="inlineStr">
        <is>
          <t xml:space="preserve">FAIRBANKS MORSE, LLC</t>
        </is>
      </c>
      <c r="F3015" s="0" t="inlineStr">
        <is>
          <t xml:space="preserve">psc:2090</t>
        </is>
      </c>
    </row>
    <row r="3016">
      <c r="B3016" s="0" t="inlineStr">
        <is>
          <t xml:space="preserve">N3220524P2048</t>
        </is>
      </c>
      <c r="C3016" s="0" t="inlineStr">
        <is>
          <t xml:space="preserve">broad_maritime</t>
        </is>
      </c>
      <c r="D3016" s="4">
        <v>0.28676199999999996</v>
      </c>
      <c r="E3016" s="0" t="inlineStr">
        <is>
          <t xml:space="preserve">SIMPLEX AMERICAS LLC</t>
        </is>
      </c>
      <c r="F3016" s="0" t="inlineStr">
        <is>
          <t xml:space="preserve">psc:2090</t>
        </is>
      </c>
    </row>
    <row r="3017">
      <c r="B3017" s="0" t="inlineStr">
        <is>
          <t xml:space="preserve">N3220520P0305</t>
        </is>
      </c>
      <c r="C3017" s="0" t="inlineStr">
        <is>
          <t xml:space="preserve">broad_maritime</t>
        </is>
      </c>
      <c r="D3017" s="4">
        <v>0.28622815999999995</v>
      </c>
      <c r="E3017" s="0" t="inlineStr">
        <is>
          <t xml:space="preserve">ZF MARINE PROPULSION SYSTEMS MIRAMAR LLC</t>
        </is>
      </c>
      <c r="F3017" s="0" t="inlineStr">
        <is>
          <t xml:space="preserve">psc:2090</t>
        </is>
      </c>
    </row>
    <row r="3018">
      <c r="B3018" s="0" t="inlineStr">
        <is>
          <t xml:space="preserve">N3220524P0298</t>
        </is>
      </c>
      <c r="C3018" s="0" t="inlineStr">
        <is>
          <t xml:space="preserve">broad_maritime</t>
        </is>
      </c>
      <c r="D3018" s="4">
        <v>0.286045</v>
      </c>
      <c r="E3018" s="0" t="inlineStr">
        <is>
          <t xml:space="preserve">SIMPLEX AMERICAS LLC</t>
        </is>
      </c>
      <c r="F3018" s="0" t="inlineStr">
        <is>
          <t xml:space="preserve">psc:2090</t>
        </is>
      </c>
    </row>
    <row r="3019">
      <c r="B3019" s="0" t="inlineStr">
        <is>
          <t xml:space="preserve">N3220515P3528</t>
        </is>
      </c>
      <c r="C3019" s="0" t="inlineStr">
        <is>
          <t xml:space="preserve">broad_maritime</t>
        </is>
      </c>
      <c r="D3019" s="4">
        <v>0.28544462</v>
      </c>
      <c r="E3019" s="0" t="inlineStr">
        <is>
          <t xml:space="preserve">COLTEC INDUSTRIES INC.</t>
        </is>
      </c>
      <c r="F3019" s="0" t="inlineStr">
        <is>
          <t xml:space="preserve">psc:2090</t>
        </is>
      </c>
    </row>
    <row r="3020">
      <c r="B3020" s="0" t="inlineStr">
        <is>
          <t xml:space="preserve">N3220522P0064</t>
        </is>
      </c>
      <c r="C3020" s="0" t="inlineStr">
        <is>
          <t xml:space="preserve">broad_maritime</t>
        </is>
      </c>
      <c r="D3020" s="4">
        <v>0.28490015999999996</v>
      </c>
      <c r="E3020" s="0" t="inlineStr">
        <is>
          <t xml:space="preserve">KONGSBERG MARITIME INC</t>
        </is>
      </c>
      <c r="F3020" s="0" t="inlineStr">
        <is>
          <t xml:space="preserve">psc:2090</t>
        </is>
      </c>
    </row>
    <row r="3021">
      <c r="B3021" s="0" t="inlineStr">
        <is>
          <t xml:space="preserve">N0010421PCE56</t>
        </is>
      </c>
      <c r="C3021" s="0" t="inlineStr">
        <is>
          <t xml:space="preserve">small_craft</t>
        </is>
      </c>
      <c r="D3021" s="4">
        <v>0.2842</v>
      </c>
      <c r="E3021" s="0" t="inlineStr">
        <is>
          <t xml:space="preserve">KINGSBURY INC.</t>
        </is>
      </c>
      <c r="F3021" s="0" t="inlineStr">
        <is>
          <t xml:space="preserve">naics:336612</t>
        </is>
      </c>
    </row>
    <row r="3022">
      <c r="B3022" s="0" t="inlineStr">
        <is>
          <t xml:space="preserve">N3220522P0169</t>
        </is>
      </c>
      <c r="C3022" s="0" t="inlineStr">
        <is>
          <t xml:space="preserve">broad_maritime</t>
        </is>
      </c>
      <c r="D3022" s="4">
        <v>0.28418699999999997</v>
      </c>
      <c r="E3022" s="0" t="inlineStr">
        <is>
          <t xml:space="preserve">APPLETON MARINE INC</t>
        </is>
      </c>
      <c r="F3022" s="0" t="inlineStr">
        <is>
          <t xml:space="preserve">psc:2090</t>
        </is>
      </c>
    </row>
    <row r="3023">
      <c r="B3023" s="0" t="inlineStr">
        <is>
          <t xml:space="preserve">N6449817F4154</t>
        </is>
      </c>
      <c r="C3023" s="0" t="inlineStr">
        <is>
          <t xml:space="preserve">broad_maritime</t>
        </is>
      </c>
      <c r="D3023" s="4">
        <v>0.28401899999999997</v>
      </c>
      <c r="E3023" s="0" t="inlineStr">
        <is>
          <t xml:space="preserve">NAG, LLC</t>
        </is>
      </c>
      <c r="F3023" s="0" t="inlineStr">
        <is>
          <t xml:space="preserve">psc:2090</t>
        </is>
      </c>
    </row>
    <row r="3024">
      <c r="B3024" s="0" t="inlineStr">
        <is>
          <t xml:space="preserve">N3220516P4408</t>
        </is>
      </c>
      <c r="C3024" s="0" t="inlineStr">
        <is>
          <t xml:space="preserve">broad_maritime</t>
        </is>
      </c>
      <c r="D3024" s="4">
        <v>0.28399472</v>
      </c>
      <c r="E3024" s="0" t="inlineStr">
        <is>
          <t xml:space="preserve">FROMM ELECTRIC SUPPLY OF READING, PENNA., LLC</t>
        </is>
      </c>
      <c r="F3024" s="0" t="inlineStr">
        <is>
          <t xml:space="preserve">psc:2090</t>
        </is>
      </c>
    </row>
    <row r="3025">
      <c r="B3025" s="0" t="inlineStr">
        <is>
          <t xml:space="preserve">N5005425P0390</t>
        </is>
      </c>
      <c r="C3025" s="0" t="inlineStr">
        <is>
          <t xml:space="preserve">broad_maritime</t>
        </is>
      </c>
      <c r="D3025" s="4">
        <v>0.28256465000000003</v>
      </c>
      <c r="E3025" s="0" t="inlineStr">
        <is>
          <t xml:space="preserve">JERED LLC</t>
        </is>
      </c>
      <c r="F3025" s="0" t="inlineStr">
        <is>
          <t xml:space="preserve">psc:2090</t>
        </is>
      </c>
    </row>
    <row r="3026">
      <c r="B3026" s="0" t="inlineStr">
        <is>
          <t xml:space="preserve">0015</t>
        </is>
      </c>
      <c r="C3026" s="0" t="inlineStr">
        <is>
          <t xml:space="preserve">broad_maritime</t>
        </is>
      </c>
      <c r="D3026" s="4">
        <v>0.28248731</v>
      </c>
      <c r="E3026" s="0" t="inlineStr">
        <is>
          <t xml:space="preserve">LEIDOS, INC.</t>
        </is>
      </c>
      <c r="F3026" s="0" t="inlineStr">
        <is>
          <t xml:space="preserve">psc:2090</t>
        </is>
      </c>
    </row>
    <row r="3027">
      <c r="B3027" s="0" t="inlineStr">
        <is>
          <t xml:space="preserve">M0026322P0060</t>
        </is>
      </c>
      <c r="C3027" s="0" t="inlineStr">
        <is>
          <t xml:space="preserve">small_craft</t>
        </is>
      </c>
      <c r="D3027" s="4">
        <v>0.2822014</v>
      </c>
      <c r="E3027" s="0" t="inlineStr">
        <is>
          <t xml:space="preserve">GRAVOIS ALUMINUM BOATS LLC</t>
        </is>
      </c>
      <c r="F3027" s="0" t="inlineStr">
        <is>
          <t xml:space="preserve">naics:336612; psc:1940</t>
        </is>
      </c>
    </row>
    <row r="3028">
      <c r="B3028" s="0" t="inlineStr">
        <is>
          <t xml:space="preserve">N3220523P2338</t>
        </is>
      </c>
      <c r="C3028" s="0" t="inlineStr">
        <is>
          <t xml:space="preserve">broad_maritime</t>
        </is>
      </c>
      <c r="D3028" s="4">
        <v>0.2816075</v>
      </c>
      <c r="E3028" s="0" t="inlineStr">
        <is>
          <t xml:space="preserve">S I T CORPORATION</t>
        </is>
      </c>
      <c r="F3028" s="0" t="inlineStr">
        <is>
          <t xml:space="preserve">psc:2090</t>
        </is>
      </c>
    </row>
    <row r="3029">
      <c r="B3029" s="0" t="inlineStr">
        <is>
          <t xml:space="preserve">N0040625PS416</t>
        </is>
      </c>
      <c r="C3029" s="0" t="inlineStr">
        <is>
          <t xml:space="preserve">broad_maritime</t>
        </is>
      </c>
      <c r="D3029" s="4">
        <v>0.28082999999999997</v>
      </c>
      <c r="E3029" s="0" t="inlineStr">
        <is>
          <t xml:space="preserve">17 MACHINERY LLC</t>
        </is>
      </c>
      <c r="F3029" s="0" t="inlineStr">
        <is>
          <t xml:space="preserve">psc:2090</t>
        </is>
      </c>
    </row>
    <row r="3030">
      <c r="B3030" s="0" t="inlineStr">
        <is>
          <t xml:space="preserve">N3220522P0100</t>
        </is>
      </c>
      <c r="C3030" s="0" t="inlineStr">
        <is>
          <t xml:space="preserve">broad_maritime</t>
        </is>
      </c>
      <c r="D3030" s="4">
        <v>0.280644</v>
      </c>
      <c r="E3030" s="0" t="inlineStr">
        <is>
          <t xml:space="preserve">AMERICAN VULKAN CORPORATION</t>
        </is>
      </c>
      <c r="F3030" s="0" t="inlineStr">
        <is>
          <t xml:space="preserve">psc:2090</t>
        </is>
      </c>
    </row>
    <row r="3031">
      <c r="B3031" s="0" t="inlineStr">
        <is>
          <t xml:space="preserve">N0040623C0020</t>
        </is>
      </c>
      <c r="C3031" s="0" t="inlineStr">
        <is>
          <t xml:space="preserve">broad_maritime</t>
        </is>
      </c>
      <c r="D3031" s="4">
        <v>0.280475</v>
      </c>
      <c r="E3031" s="0" t="inlineStr">
        <is>
          <t xml:space="preserve">NIDAZ LLC</t>
        </is>
      </c>
      <c r="F3031" s="0" t="inlineStr">
        <is>
          <t xml:space="preserve">psc:2090</t>
        </is>
      </c>
    </row>
    <row r="3032">
      <c r="B3032" s="0" t="inlineStr">
        <is>
          <t xml:space="preserve">N0010423PNE21</t>
        </is>
      </c>
      <c r="C3032" s="0" t="inlineStr">
        <is>
          <t xml:space="preserve">small_craft</t>
        </is>
      </c>
      <c r="D3032" s="4">
        <v>0.27999999999999997</v>
      </c>
      <c r="E3032" s="0" t="inlineStr">
        <is>
          <t xml:space="preserve">L3HARRIS MARITIME SERVICES INC</t>
        </is>
      </c>
      <c r="F3032" s="0" t="inlineStr">
        <is>
          <t xml:space="preserve">naics:336612</t>
        </is>
      </c>
    </row>
    <row r="3033">
      <c r="B3033" s="0" t="inlineStr">
        <is>
          <t xml:space="preserve">N3220516P4330</t>
        </is>
      </c>
      <c r="C3033" s="0" t="inlineStr">
        <is>
          <t xml:space="preserve">broad_maritime</t>
        </is>
      </c>
      <c r="D3033" s="4">
        <v>0.2799292</v>
      </c>
      <c r="E3033" s="0" t="inlineStr">
        <is>
          <t xml:space="preserve">JO-KELL INC.</t>
        </is>
      </c>
      <c r="F3033" s="0" t="inlineStr">
        <is>
          <t xml:space="preserve">psc:2090</t>
        </is>
      </c>
    </row>
    <row r="3034">
      <c r="B3034" s="0" t="inlineStr">
        <is>
          <t xml:space="preserve">N0018926FL058</t>
        </is>
      </c>
      <c r="C3034" s="0" t="inlineStr">
        <is>
          <t xml:space="preserve">broad_maritime</t>
        </is>
      </c>
      <c r="D3034" s="4">
        <v>0.27990423999999997</v>
      </c>
      <c r="E3034" s="0" t="inlineStr">
        <is>
          <t xml:space="preserve">JAL ENTERPRISES, INC.</t>
        </is>
      </c>
      <c r="F3034" s="0" t="inlineStr">
        <is>
          <t xml:space="preserve">psc:2090</t>
        </is>
      </c>
    </row>
    <row r="3035">
      <c r="B3035" s="0" t="inlineStr">
        <is>
          <t xml:space="preserve">N5523625P0033</t>
        </is>
      </c>
      <c r="C3035" s="0" t="inlineStr">
        <is>
          <t xml:space="preserve">broad_maritime</t>
        </is>
      </c>
      <c r="D3035" s="4">
        <v>0.27937265999999994</v>
      </c>
      <c r="E3035" s="0" t="inlineStr">
        <is>
          <t xml:space="preserve">BATH IRON WORKS CORPORATION</t>
        </is>
      </c>
      <c r="F3035" s="0" t="inlineStr">
        <is>
          <t xml:space="preserve">psc:2090</t>
        </is>
      </c>
    </row>
    <row r="3036">
      <c r="B3036" s="0" t="inlineStr">
        <is>
          <t xml:space="preserve">N6600120P6444</t>
        </is>
      </c>
      <c r="C3036" s="0" t="inlineStr">
        <is>
          <t xml:space="preserve">small_craft</t>
        </is>
      </c>
      <c r="D3036" s="4">
        <v>0.27893842999999996</v>
      </c>
      <c r="E3036" s="0" t="inlineStr">
        <is>
          <t xml:space="preserve">VETPOWERED, LLC</t>
        </is>
      </c>
      <c r="F3036" s="0" t="inlineStr">
        <is>
          <t xml:space="preserve">naics:336612</t>
        </is>
      </c>
    </row>
    <row r="3037">
      <c r="B3037" s="0" t="inlineStr">
        <is>
          <t xml:space="preserve">N0040625CS018</t>
        </is>
      </c>
      <c r="C3037" s="0" t="inlineStr">
        <is>
          <t xml:space="preserve">broad_maritime</t>
        </is>
      </c>
      <c r="D3037" s="4">
        <v>0.278625</v>
      </c>
      <c r="E3037" s="0" t="inlineStr">
        <is>
          <t xml:space="preserve">KONGSBERG MARITIME INC</t>
        </is>
      </c>
      <c r="F3037" s="0" t="inlineStr">
        <is>
          <t xml:space="preserve">psc:2090</t>
        </is>
      </c>
    </row>
    <row r="3038">
      <c r="B3038" s="0" t="inlineStr">
        <is>
          <t xml:space="preserve">N3220516P4336</t>
        </is>
      </c>
      <c r="C3038" s="0" t="inlineStr">
        <is>
          <t xml:space="preserve">broad_maritime</t>
        </is>
      </c>
      <c r="D3038" s="4">
        <v>0.2783171</v>
      </c>
      <c r="E3038" s="0" t="inlineStr">
        <is>
          <t xml:space="preserve">COLTEC INDUSTRIES INC.</t>
        </is>
      </c>
      <c r="F3038" s="0" t="inlineStr">
        <is>
          <t xml:space="preserve">psc:2090</t>
        </is>
      </c>
    </row>
    <row r="3039">
      <c r="B3039" s="0" t="inlineStr">
        <is>
          <t xml:space="preserve">N3220519P4028</t>
        </is>
      </c>
      <c r="C3039" s="0" t="inlineStr">
        <is>
          <t xml:space="preserve">broad_maritime</t>
        </is>
      </c>
      <c r="D3039" s="4">
        <v>0.27818112</v>
      </c>
      <c r="E3039" s="0" t="inlineStr">
        <is>
          <t xml:space="preserve">AMERICAN VULKAN CORPORATION</t>
        </is>
      </c>
      <c r="F3039" s="0" t="inlineStr">
        <is>
          <t xml:space="preserve">psc:2090</t>
        </is>
      </c>
    </row>
    <row r="3040">
      <c r="B3040" s="0" t="inlineStr">
        <is>
          <t xml:space="preserve">N3220514P1309</t>
        </is>
      </c>
      <c r="C3040" s="0" t="inlineStr">
        <is>
          <t xml:space="preserve">broad_maritime</t>
        </is>
      </c>
      <c r="D3040" s="4">
        <v>0.27812041</v>
      </c>
      <c r="E3040" s="0" t="inlineStr">
        <is>
          <t xml:space="preserve">ROLLS-ROYCE MARINE NORTH AMERICA INC.</t>
        </is>
      </c>
      <c r="F3040" s="0" t="inlineStr">
        <is>
          <t xml:space="preserve">psc:2090</t>
        </is>
      </c>
    </row>
    <row r="3041">
      <c r="B3041" s="0" t="inlineStr">
        <is>
          <t xml:space="preserve">N4044210P4006</t>
        </is>
      </c>
      <c r="C3041" s="0" t="inlineStr">
        <is>
          <t xml:space="preserve">broad_maritime</t>
        </is>
      </c>
      <c r="D3041" s="4">
        <v>0.27705865</v>
      </c>
      <c r="E3041" s="0" t="inlineStr">
        <is>
          <t xml:space="preserve">EXCELL TECHNOLOGIES INTERNATIONAL CORPORATION</t>
        </is>
      </c>
      <c r="F3041" s="0" t="inlineStr">
        <is>
          <t xml:space="preserve">psc:2090</t>
        </is>
      </c>
    </row>
    <row r="3042">
      <c r="B3042" s="0" t="inlineStr">
        <is>
          <t xml:space="preserve">N0018918PG117</t>
        </is>
      </c>
      <c r="C3042" s="0" t="inlineStr">
        <is>
          <t xml:space="preserve">small_craft</t>
        </is>
      </c>
      <c r="D3042" s="4">
        <v>0.275821</v>
      </c>
      <c r="E3042" s="0" t="inlineStr">
        <is>
          <t xml:space="preserve">MARITIME SOLUTIONS INC</t>
        </is>
      </c>
      <c r="F3042" s="0" t="inlineStr">
        <is>
          <t xml:space="preserve">naics:336612</t>
        </is>
      </c>
    </row>
    <row r="3043">
      <c r="B3043" s="0" t="inlineStr">
        <is>
          <t xml:space="preserve">N3220523P0009</t>
        </is>
      </c>
      <c r="C3043" s="0" t="inlineStr">
        <is>
          <t xml:space="preserve">broad_maritime</t>
        </is>
      </c>
      <c r="D3043" s="4">
        <v>0.27499450999999997</v>
      </c>
      <c r="E3043" s="0" t="inlineStr">
        <is>
          <t xml:space="preserve">LEE ENGINEERING SUPPLY COMPANY, INC.</t>
        </is>
      </c>
      <c r="F3043" s="0" t="inlineStr">
        <is>
          <t xml:space="preserve">psc:2090</t>
        </is>
      </c>
    </row>
    <row r="3044">
      <c r="B3044" s="0" t="inlineStr">
        <is>
          <t xml:space="preserve">0153</t>
        </is>
      </c>
      <c r="C3044" s="0" t="inlineStr">
        <is>
          <t xml:space="preserve">broad_maritime</t>
        </is>
      </c>
      <c r="D3044" s="4">
        <v>0.274725</v>
      </c>
      <c r="E3044" s="0" t="inlineStr">
        <is>
          <t xml:space="preserve">MARINE &amp; RESTAURANT FABRICATORS, INC.</t>
        </is>
      </c>
      <c r="F3044" s="0" t="inlineStr">
        <is>
          <t xml:space="preserve">psc:2090</t>
        </is>
      </c>
    </row>
    <row r="3045">
      <c r="B3045" s="0" t="inlineStr">
        <is>
          <t xml:space="preserve">N0010422FY705</t>
        </is>
      </c>
      <c r="C3045" s="0" t="inlineStr">
        <is>
          <t xml:space="preserve">small_craft</t>
        </is>
      </c>
      <c r="D3045" s="4">
        <v>0.27405108</v>
      </c>
      <c r="E3045" s="0" t="inlineStr">
        <is>
          <t xml:space="preserve">L3 TECHNOLOGIES, INC.</t>
        </is>
      </c>
      <c r="F3045" s="0" t="inlineStr">
        <is>
          <t xml:space="preserve">naics:336612</t>
        </is>
      </c>
    </row>
    <row r="3046">
      <c r="B3046" s="0" t="inlineStr">
        <is>
          <t xml:space="preserve">N0024424F0444</t>
        </is>
      </c>
      <c r="C3046" s="0" t="inlineStr">
        <is>
          <t xml:space="preserve">broad_maritime</t>
        </is>
      </c>
      <c r="D3046" s="4">
        <v>0.272918</v>
      </c>
      <c r="E3046" s="0" t="inlineStr">
        <is>
          <t xml:space="preserve">JPL HABITABILITY, INC.</t>
        </is>
      </c>
      <c r="F3046" s="0" t="inlineStr">
        <is>
          <t xml:space="preserve">psc:2090</t>
        </is>
      </c>
    </row>
    <row r="3047">
      <c r="B3047" s="0" t="inlineStr">
        <is>
          <t xml:space="preserve">N0010425PNB78</t>
        </is>
      </c>
      <c r="C3047" s="0" t="inlineStr">
        <is>
          <t xml:space="preserve">small_craft</t>
        </is>
      </c>
      <c r="D3047" s="4">
        <v>0.272874</v>
      </c>
      <c r="E3047" s="0" t="inlineStr">
        <is>
          <t xml:space="preserve">SARGENT AEROSPACE &amp; DEFENSE, LLC</t>
        </is>
      </c>
      <c r="F3047" s="0" t="inlineStr">
        <is>
          <t xml:space="preserve">naics:336612</t>
        </is>
      </c>
    </row>
    <row r="3048">
      <c r="B3048" s="0" t="inlineStr">
        <is>
          <t xml:space="preserve">N0010421PCF42</t>
        </is>
      </c>
      <c r="C3048" s="0" t="inlineStr">
        <is>
          <t xml:space="preserve">small_craft</t>
        </is>
      </c>
      <c r="D3048" s="4">
        <v>0.271812</v>
      </c>
      <c r="E3048" s="0" t="inlineStr">
        <is>
          <t xml:space="preserve">VERICOR POWER SYSTEMS LLC</t>
        </is>
      </c>
      <c r="F3048" s="0" t="inlineStr">
        <is>
          <t xml:space="preserve">naics:336612</t>
        </is>
      </c>
    </row>
    <row r="3049">
      <c r="B3049" s="0" t="inlineStr">
        <is>
          <t xml:space="preserve">N3220526P5024</t>
        </is>
      </c>
      <c r="C3049" s="0" t="inlineStr">
        <is>
          <t xml:space="preserve">broad_maritime</t>
        </is>
      </c>
      <c r="D3049" s="4">
        <v>0.27178532</v>
      </c>
      <c r="E3049" s="0" t="inlineStr">
        <is>
          <t xml:space="preserve">TRYCON ENTERPRISES, L.L.C.</t>
        </is>
      </c>
      <c r="F3049" s="0" t="inlineStr">
        <is>
          <t xml:space="preserve">psc:2090</t>
        </is>
      </c>
    </row>
    <row r="3050">
      <c r="B3050" s="0" t="inlineStr">
        <is>
          <t xml:space="preserve">N3220515P3522</t>
        </is>
      </c>
      <c r="C3050" s="0" t="inlineStr">
        <is>
          <t xml:space="preserve">broad_maritime</t>
        </is>
      </c>
      <c r="D3050" s="4">
        <v>0.27118958</v>
      </c>
      <c r="E3050" s="0" t="inlineStr">
        <is>
          <t xml:space="preserve">COLTEC INDUSTRIES INC.</t>
        </is>
      </c>
      <c r="F3050" s="0" t="inlineStr">
        <is>
          <t xml:space="preserve">psc:2090</t>
        </is>
      </c>
    </row>
    <row r="3051">
      <c r="B3051" s="0" t="inlineStr">
        <is>
          <t xml:space="preserve">0072</t>
        </is>
      </c>
      <c r="C3051" s="0" t="inlineStr">
        <is>
          <t xml:space="preserve">broad_maritime</t>
        </is>
      </c>
      <c r="D3051" s="4">
        <v>0.27077334000000003</v>
      </c>
      <c r="E3051" s="0" t="inlineStr">
        <is>
          <t xml:space="preserve">ROCKWELL AUTOMATION INC</t>
        </is>
      </c>
      <c r="F3051" s="0" t="inlineStr">
        <is>
          <t xml:space="preserve">psc:2090</t>
        </is>
      </c>
    </row>
    <row r="3052">
      <c r="B3052" s="0" t="inlineStr">
        <is>
          <t xml:space="preserve">N0010421PNB56</t>
        </is>
      </c>
      <c r="C3052" s="0" t="inlineStr">
        <is>
          <t xml:space="preserve">small_craft</t>
        </is>
      </c>
      <c r="D3052" s="4">
        <v>0.270314</v>
      </c>
      <c r="E3052" s="0" t="inlineStr">
        <is>
          <t xml:space="preserve">L3 TECHNOLOGIES, INC.</t>
        </is>
      </c>
      <c r="F3052" s="0" t="inlineStr">
        <is>
          <t xml:space="preserve">naics:336612</t>
        </is>
      </c>
    </row>
    <row r="3053">
      <c r="B3053" s="0" t="inlineStr">
        <is>
          <t xml:space="preserve">N5523623F9980</t>
        </is>
      </c>
      <c r="C3053" s="0" t="inlineStr">
        <is>
          <t xml:space="preserve">broad_maritime</t>
        </is>
      </c>
      <c r="D3053" s="4">
        <v>0.2702708</v>
      </c>
      <c r="E3053" s="0" t="inlineStr">
        <is>
          <t xml:space="preserve">HII FLEET SUPPORT GROUP LLC</t>
        </is>
      </c>
      <c r="F3053" s="0" t="inlineStr">
        <is>
          <t xml:space="preserve">psc:1905</t>
        </is>
      </c>
    </row>
    <row r="3054">
      <c r="B3054" s="0" t="inlineStr">
        <is>
          <t xml:space="preserve">N3220519P6206</t>
        </is>
      </c>
      <c r="C3054" s="0" t="inlineStr">
        <is>
          <t xml:space="preserve">broad_maritime</t>
        </is>
      </c>
      <c r="D3054" s="4">
        <v>0.270055</v>
      </c>
      <c r="E3054" s="0" t="inlineStr">
        <is>
          <t xml:space="preserve">IMECO INC</t>
        </is>
      </c>
      <c r="F3054" s="0" t="inlineStr">
        <is>
          <t xml:space="preserve">psc:2090</t>
        </is>
      </c>
    </row>
    <row r="3055">
      <c r="B3055" s="0" t="inlineStr">
        <is>
          <t xml:space="preserve">N0002418F8311</t>
        </is>
      </c>
      <c r="C3055" s="0" t="inlineStr">
        <is>
          <t xml:space="preserve">usv_core</t>
        </is>
      </c>
      <c r="D3055" s="4">
        <v>0.26999999999999996</v>
      </c>
      <c r="E3055" s="0" t="inlineStr">
        <is>
          <t xml:space="preserve">THE PENNSYLVANIA STATE UNIVERSITY</t>
        </is>
      </c>
      <c r="F3055" s="0" t="inlineStr">
        <is>
          <t xml:space="preserve">keyword</t>
        </is>
      </c>
    </row>
    <row r="3056">
      <c r="B3056" s="0" t="inlineStr">
        <is>
          <t xml:space="preserve">N3220517P4041</t>
        </is>
      </c>
      <c r="C3056" s="0" t="inlineStr">
        <is>
          <t xml:space="preserve">broad_maritime</t>
        </is>
      </c>
      <c r="D3056" s="4">
        <v>0.26949999999999996</v>
      </c>
      <c r="E3056" s="0" t="inlineStr">
        <is>
          <t xml:space="preserve">TRYCON ENTERPRISES, L.L.C.</t>
        </is>
      </c>
      <c r="F3056" s="0" t="inlineStr">
        <is>
          <t xml:space="preserve">psc:2090</t>
        </is>
      </c>
    </row>
    <row r="3057">
      <c r="B3057" s="0" t="inlineStr">
        <is>
          <t xml:space="preserve">0160</t>
        </is>
      </c>
      <c r="C3057" s="0" t="inlineStr">
        <is>
          <t xml:space="preserve">broad_maritime</t>
        </is>
      </c>
      <c r="D3057" s="4">
        <v>0.26918425</v>
      </c>
      <c r="E3057" s="0" t="inlineStr">
        <is>
          <t xml:space="preserve">PACIFIC MARITIME INDUSTRIES CORP.</t>
        </is>
      </c>
      <c r="F3057" s="0" t="inlineStr">
        <is>
          <t xml:space="preserve">psc:2090</t>
        </is>
      </c>
    </row>
    <row r="3058">
      <c r="B3058" s="0" t="inlineStr">
        <is>
          <t xml:space="preserve">N0010421PNC51</t>
        </is>
      </c>
      <c r="C3058" s="0" t="inlineStr">
        <is>
          <t xml:space="preserve">small_craft</t>
        </is>
      </c>
      <c r="D3058" s="4">
        <v>0.26903821</v>
      </c>
      <c r="E3058" s="0" t="inlineStr">
        <is>
          <t xml:space="preserve">RADIO DESIGN GROUP, INC.</t>
        </is>
      </c>
      <c r="F3058" s="0" t="inlineStr">
        <is>
          <t xml:space="preserve">naics:336612</t>
        </is>
      </c>
    </row>
    <row r="3059">
      <c r="B3059" s="0" t="inlineStr">
        <is>
          <t xml:space="preserve">N5523622F9955</t>
        </is>
      </c>
      <c r="C3059" s="0" t="inlineStr">
        <is>
          <t xml:space="preserve">broad_maritime</t>
        </is>
      </c>
      <c r="D3059" s="4">
        <v>0.26897847999999996</v>
      </c>
      <c r="E3059" s="0" t="inlineStr">
        <is>
          <t xml:space="preserve">HII FLEET SUPPORT GROUP LLC</t>
        </is>
      </c>
      <c r="F3059" s="0" t="inlineStr">
        <is>
          <t xml:space="preserve">psc:1905</t>
        </is>
      </c>
    </row>
    <row r="3060">
      <c r="B3060" s="0" t="inlineStr">
        <is>
          <t xml:space="preserve">0002</t>
        </is>
      </c>
      <c r="C3060" s="0" t="inlineStr">
        <is>
          <t xml:space="preserve">broad_maritime</t>
        </is>
      </c>
      <c r="D3060" s="4">
        <v>0.26669396</v>
      </c>
      <c r="E3060" s="0" t="inlineStr">
        <is>
          <t xml:space="preserve">KNUDSEN SYSTEMS INC.</t>
        </is>
      </c>
      <c r="F3060" s="0" t="inlineStr">
        <is>
          <t xml:space="preserve">psc:2090</t>
        </is>
      </c>
    </row>
    <row r="3061">
      <c r="B3061" s="0" t="inlineStr">
        <is>
          <t xml:space="preserve">N3220516P4358</t>
        </is>
      </c>
      <c r="C3061" s="0" t="inlineStr">
        <is>
          <t xml:space="preserve">broad_maritime</t>
        </is>
      </c>
      <c r="D3061" s="4">
        <v>0.26645199999999997</v>
      </c>
      <c r="E3061" s="0" t="inlineStr">
        <is>
          <t xml:space="preserve">APPLETON MARINE INC</t>
        </is>
      </c>
      <c r="F3061" s="0" t="inlineStr">
        <is>
          <t xml:space="preserve">psc:2090</t>
        </is>
      </c>
    </row>
    <row r="3062">
      <c r="B3062" s="0" t="inlineStr">
        <is>
          <t xml:space="preserve">N3220519P4392</t>
        </is>
      </c>
      <c r="C3062" s="0" t="inlineStr">
        <is>
          <t xml:space="preserve">broad_maritime</t>
        </is>
      </c>
      <c r="D3062" s="4">
        <v>0.26589296</v>
      </c>
      <c r="E3062" s="0" t="inlineStr">
        <is>
          <t xml:space="preserve">TELEDYNE INSTRUMENTS, INC.</t>
        </is>
      </c>
      <c r="F3062" s="0" t="inlineStr">
        <is>
          <t xml:space="preserve">psc:2090</t>
        </is>
      </c>
    </row>
    <row r="3063">
      <c r="B3063" s="0" t="inlineStr">
        <is>
          <t xml:space="preserve">N3220520P0106</t>
        </is>
      </c>
      <c r="C3063" s="0" t="inlineStr">
        <is>
          <t xml:space="preserve">broad_maritime</t>
        </is>
      </c>
      <c r="D3063" s="4">
        <v>0.265219</v>
      </c>
      <c r="E3063" s="0" t="inlineStr">
        <is>
          <t xml:space="preserve">AUSTAL USA, LLC</t>
        </is>
      </c>
      <c r="F3063" s="0" t="inlineStr">
        <is>
          <t xml:space="preserve">psc:2090</t>
        </is>
      </c>
    </row>
    <row r="3064">
      <c r="B3064" s="0" t="inlineStr">
        <is>
          <t xml:space="preserve">N0003918F1500</t>
        </is>
      </c>
      <c r="C3064" s="0" t="inlineStr">
        <is>
          <t xml:space="preserve">broad_maritime</t>
        </is>
      </c>
      <c r="D3064" s="4">
        <v>0.26441061</v>
      </c>
      <c r="E3064" s="0" t="inlineStr">
        <is>
          <t xml:space="preserve">LOCKHEED MARTIN CORPORATION</t>
        </is>
      </c>
      <c r="F3064" s="0" t="inlineStr">
        <is>
          <t xml:space="preserve">psc:2090</t>
        </is>
      </c>
    </row>
    <row r="3065">
      <c r="B3065" s="0" t="inlineStr">
        <is>
          <t xml:space="preserve">N3220518P4415</t>
        </is>
      </c>
      <c r="C3065" s="0" t="inlineStr">
        <is>
          <t xml:space="preserve">broad_maritime</t>
        </is>
      </c>
      <c r="D3065" s="4">
        <v>0.26425008</v>
      </c>
      <c r="E3065" s="0" t="inlineStr">
        <is>
          <t xml:space="preserve">ALFA LAVAL INC</t>
        </is>
      </c>
      <c r="F3065" s="0" t="inlineStr">
        <is>
          <t xml:space="preserve">psc:2090</t>
        </is>
      </c>
    </row>
    <row r="3066">
      <c r="B3066" s="0" t="inlineStr">
        <is>
          <t xml:space="preserve">N0016424FG053</t>
        </is>
      </c>
      <c r="C3066" s="0" t="inlineStr">
        <is>
          <t xml:space="preserve">broad_maritime</t>
        </is>
      </c>
      <c r="D3066" s="4">
        <v>0.26390456</v>
      </c>
      <c r="E3066" s="0" t="inlineStr">
        <is>
          <t xml:space="preserve">J &amp; N METAL PRODUCTS, LLC</t>
        </is>
      </c>
      <c r="F3066" s="0" t="inlineStr">
        <is>
          <t xml:space="preserve">psc:1905</t>
        </is>
      </c>
    </row>
    <row r="3067">
      <c r="B3067" s="0" t="inlineStr">
        <is>
          <t xml:space="preserve">N6817123F0085</t>
        </is>
      </c>
      <c r="C3067" s="0" t="inlineStr">
        <is>
          <t xml:space="preserve">broad_maritime</t>
        </is>
      </c>
      <c r="D3067" s="4">
        <v>0.26340153</v>
      </c>
      <c r="E3067" s="0" t="inlineStr">
        <is>
          <t xml:space="preserve">ROLLS-ROYCE SOLUTIONS AMERICA INC</t>
        </is>
      </c>
      <c r="F3067" s="0" t="inlineStr">
        <is>
          <t xml:space="preserve">psc:2090</t>
        </is>
      </c>
    </row>
    <row r="3068">
      <c r="B3068" s="0" t="inlineStr">
        <is>
          <t xml:space="preserve">N3220517P4003</t>
        </is>
      </c>
      <c r="C3068" s="0" t="inlineStr">
        <is>
          <t xml:space="preserve">broad_maritime</t>
        </is>
      </c>
      <c r="D3068" s="4">
        <v>0.26230176</v>
      </c>
      <c r="E3068" s="0" t="inlineStr">
        <is>
          <t xml:space="preserve">DEFENSE MARITIME SOLUTIONS, INC.</t>
        </is>
      </c>
      <c r="F3068" s="0" t="inlineStr">
        <is>
          <t xml:space="preserve">psc:2090</t>
        </is>
      </c>
    </row>
    <row r="3069">
      <c r="B3069" s="0" t="inlineStr">
        <is>
          <t xml:space="preserve">N0040624C0025</t>
        </is>
      </c>
      <c r="C3069" s="0" t="inlineStr">
        <is>
          <t xml:space="preserve">broad_maritime</t>
        </is>
      </c>
      <c r="D3069" s="4">
        <v>0.26193868</v>
      </c>
      <c r="E3069" s="0" t="inlineStr">
        <is>
          <t xml:space="preserve">AUSTAL USA, LLC</t>
        </is>
      </c>
      <c r="F3069" s="0" t="inlineStr">
        <is>
          <t xml:space="preserve">psc:2090</t>
        </is>
      </c>
    </row>
    <row r="3070">
      <c r="B3070" s="0" t="inlineStr">
        <is>
          <t xml:space="preserve">N3220518P4155</t>
        </is>
      </c>
      <c r="C3070" s="0" t="inlineStr">
        <is>
          <t xml:space="preserve">other_small</t>
        </is>
      </c>
      <c r="D3070" s="4">
        <v>0.261482</v>
      </c>
      <c r="E3070" s="0" t="inlineStr">
        <is>
          <t xml:space="preserve">AIR &amp; LIQUID SYSTEMS CORPORATION</t>
        </is>
      </c>
      <c r="F3070" s="0" t="inlineStr">
        <is>
          <t xml:space="preserve">psc:1990</t>
        </is>
      </c>
    </row>
    <row r="3071">
      <c r="B3071" s="0" t="inlineStr">
        <is>
          <t xml:space="preserve">N3220521F1169</t>
        </is>
      </c>
      <c r="C3071" s="0" t="inlineStr">
        <is>
          <t xml:space="preserve">broad_maritime</t>
        </is>
      </c>
      <c r="D3071" s="4">
        <v>0.26131881</v>
      </c>
      <c r="E3071" s="0" t="inlineStr">
        <is>
          <t xml:space="preserve">ROLLS-ROYCE SOLUTIONS AMERICA INC</t>
        </is>
      </c>
      <c r="F3071" s="0" t="inlineStr">
        <is>
          <t xml:space="preserve">psc:2090</t>
        </is>
      </c>
    </row>
    <row r="3072">
      <c r="B3072" s="0" t="inlineStr">
        <is>
          <t xml:space="preserve">N6449826P2055</t>
        </is>
      </c>
      <c r="C3072" s="0" t="inlineStr">
        <is>
          <t xml:space="preserve">broad_maritime</t>
        </is>
      </c>
      <c r="D3072" s="4">
        <v>0.26130432</v>
      </c>
      <c r="E3072" s="0" t="inlineStr">
        <is>
          <t xml:space="preserve">CARDINAL SCIENTIFIC, INC.</t>
        </is>
      </c>
      <c r="F3072" s="0" t="inlineStr">
        <is>
          <t xml:space="preserve">psc:2090</t>
        </is>
      </c>
    </row>
    <row r="3073">
      <c r="B3073" s="0" t="inlineStr">
        <is>
          <t xml:space="preserve">N3220515P1260</t>
        </is>
      </c>
      <c r="C3073" s="0" t="inlineStr">
        <is>
          <t xml:space="preserve">broad_maritime</t>
        </is>
      </c>
      <c r="D3073" s="4">
        <v>0.26101782999999995</v>
      </c>
      <c r="E3073" s="0" t="inlineStr">
        <is>
          <t xml:space="preserve">ROLLS-ROYCE MARINE NORTH AMERICA INC.</t>
        </is>
      </c>
      <c r="F3073" s="0" t="inlineStr">
        <is>
          <t xml:space="preserve">psc:2090</t>
        </is>
      </c>
    </row>
    <row r="3074">
      <c r="B3074" s="0" t="inlineStr">
        <is>
          <t xml:space="preserve">N3220515P5005</t>
        </is>
      </c>
      <c r="C3074" s="0" t="inlineStr">
        <is>
          <t xml:space="preserve">broad_maritime</t>
        </is>
      </c>
      <c r="D3074" s="4">
        <v>0.26098376</v>
      </c>
      <c r="E3074" s="0" t="inlineStr">
        <is>
          <t xml:space="preserve">COLD LLC</t>
        </is>
      </c>
      <c r="F3074" s="0" t="inlineStr">
        <is>
          <t xml:space="preserve">psc:2090</t>
        </is>
      </c>
    </row>
    <row r="3075">
      <c r="B3075" s="0" t="inlineStr">
        <is>
          <t xml:space="preserve">N3220516P4004</t>
        </is>
      </c>
      <c r="C3075" s="0" t="inlineStr">
        <is>
          <t xml:space="preserve">broad_maritime</t>
        </is>
      </c>
      <c r="D3075" s="4">
        <v>0.2606452</v>
      </c>
      <c r="E3075" s="0" t="inlineStr">
        <is>
          <t xml:space="preserve">DEFENSE MARITIME SOLUTIONS, INC.</t>
        </is>
      </c>
      <c r="F3075" s="0" t="inlineStr">
        <is>
          <t xml:space="preserve">psc:2090</t>
        </is>
      </c>
    </row>
    <row r="3076">
      <c r="B3076" s="0" t="inlineStr">
        <is>
          <t xml:space="preserve">0023</t>
        </is>
      </c>
      <c r="C3076" s="0" t="inlineStr">
        <is>
          <t xml:space="preserve">broad_maritime</t>
        </is>
      </c>
      <c r="D3076" s="4">
        <v>0.260388</v>
      </c>
      <c r="E3076" s="0" t="inlineStr">
        <is>
          <t xml:space="preserve">GOODRICH CORPORATION</t>
        </is>
      </c>
      <c r="F3076" s="0" t="inlineStr">
        <is>
          <t xml:space="preserve">psc:1905</t>
        </is>
      </c>
    </row>
    <row r="3077">
      <c r="B3077" s="0" t="inlineStr">
        <is>
          <t xml:space="preserve">0894</t>
        </is>
      </c>
      <c r="C3077" s="0" t="inlineStr">
        <is>
          <t xml:space="preserve">usv_core</t>
        </is>
      </c>
      <c r="D3077" s="4">
        <v>0.25983902999999997</v>
      </c>
      <c r="E3077" s="0" t="inlineStr">
        <is>
          <t xml:space="preserve">UNIVERSITY OF TEXAS AT AUSTIN</t>
        </is>
      </c>
      <c r="F3077" s="0" t="inlineStr">
        <is>
          <t xml:space="preserve">keyword</t>
        </is>
      </c>
    </row>
    <row r="3078">
      <c r="B3078" s="0" t="inlineStr">
        <is>
          <t xml:space="preserve">N5005422P0198</t>
        </is>
      </c>
      <c r="C3078" s="0" t="inlineStr">
        <is>
          <t xml:space="preserve">broad_maritime</t>
        </is>
      </c>
      <c r="D3078" s="4">
        <v>0.25979399999999997</v>
      </c>
      <c r="E3078" s="0" t="inlineStr">
        <is>
          <t xml:space="preserve">QED SYSTEMS, INC.</t>
        </is>
      </c>
      <c r="F3078" s="0" t="inlineStr">
        <is>
          <t xml:space="preserve">psc:2090</t>
        </is>
      </c>
    </row>
    <row r="3079">
      <c r="B3079" s="0" t="inlineStr">
        <is>
          <t xml:space="preserve">N5005419P1046</t>
        </is>
      </c>
      <c r="C3079" s="0" t="inlineStr">
        <is>
          <t xml:space="preserve">small_craft</t>
        </is>
      </c>
      <c r="D3079" s="4">
        <v>0.2597582</v>
      </c>
      <c r="E3079" s="0" t="inlineStr">
        <is>
          <t xml:space="preserve">LAKE SHORE SYSTEMS, INC.</t>
        </is>
      </c>
      <c r="F3079" s="0" t="inlineStr">
        <is>
          <t xml:space="preserve">naics:336612</t>
        </is>
      </c>
    </row>
    <row r="3080">
      <c r="B3080" s="0" t="inlineStr">
        <is>
          <t xml:space="preserve">N6817124F2020</t>
        </is>
      </c>
      <c r="C3080" s="0" t="inlineStr">
        <is>
          <t xml:space="preserve">broad_maritime</t>
        </is>
      </c>
      <c r="D3080" s="4">
        <v>0.25929628</v>
      </c>
      <c r="E3080" s="0" t="inlineStr">
        <is>
          <t xml:space="preserve">FINCANTIERI MARINE SYSTEMS NORTH AMERICA, INC.</t>
        </is>
      </c>
      <c r="F3080" s="0" t="inlineStr">
        <is>
          <t xml:space="preserve">psc:2090</t>
        </is>
      </c>
    </row>
    <row r="3081">
      <c r="B3081" s="0" t="inlineStr">
        <is>
          <t xml:space="preserve">N6817123F0523</t>
        </is>
      </c>
      <c r="C3081" s="0" t="inlineStr">
        <is>
          <t xml:space="preserve">broad_maritime</t>
        </is>
      </c>
      <c r="D3081" s="4">
        <v>0.25902416</v>
      </c>
      <c r="E3081" s="0" t="inlineStr">
        <is>
          <t xml:space="preserve">FINCANTIERI MARINE SYSTEMS NORTH AMERICA, INC.</t>
        </is>
      </c>
      <c r="F3081" s="0" t="inlineStr">
        <is>
          <t xml:space="preserve">psc:2090</t>
        </is>
      </c>
    </row>
    <row r="3082">
      <c r="B3082" s="0" t="inlineStr">
        <is>
          <t xml:space="preserve">N3220523P2281</t>
        </is>
      </c>
      <c r="C3082" s="0" t="inlineStr">
        <is>
          <t xml:space="preserve">broad_maritime</t>
        </is>
      </c>
      <c r="D3082" s="4">
        <v>0.25839999999999996</v>
      </c>
      <c r="E3082" s="0" t="inlineStr">
        <is>
          <t xml:space="preserve">WACO PRODUCTS, INC</t>
        </is>
      </c>
      <c r="F3082" s="0" t="inlineStr">
        <is>
          <t xml:space="preserve">psc:2090</t>
        </is>
      </c>
    </row>
    <row r="3083">
      <c r="B3083" s="0" t="inlineStr">
        <is>
          <t xml:space="preserve">0097</t>
        </is>
      </c>
      <c r="C3083" s="0" t="inlineStr">
        <is>
          <t xml:space="preserve">broad_maritime</t>
        </is>
      </c>
      <c r="D3083" s="4">
        <v>0.25705359</v>
      </c>
      <c r="E3083" s="0" t="inlineStr">
        <is>
          <t xml:space="preserve">ROCKWELL AUTOMATION INC</t>
        </is>
      </c>
      <c r="F3083" s="0" t="inlineStr">
        <is>
          <t xml:space="preserve">psc:2090</t>
        </is>
      </c>
    </row>
    <row r="3084">
      <c r="B3084" s="0" t="inlineStr">
        <is>
          <t xml:space="preserve">N0010421FCV03</t>
        </is>
      </c>
      <c r="C3084" s="0" t="inlineStr">
        <is>
          <t xml:space="preserve">small_craft</t>
        </is>
      </c>
      <c r="D3084" s="4">
        <v>0.2568</v>
      </c>
      <c r="E3084" s="0" t="inlineStr">
        <is>
          <t xml:space="preserve">WING INFLATABLES INC</t>
        </is>
      </c>
      <c r="F3084" s="0" t="inlineStr">
        <is>
          <t xml:space="preserve">naics:336612; psc:2090</t>
        </is>
      </c>
    </row>
    <row r="3085">
      <c r="B3085" s="0" t="inlineStr">
        <is>
          <t xml:space="preserve">N6133125F0142</t>
        </is>
      </c>
      <c r="C3085" s="0" t="inlineStr">
        <is>
          <t xml:space="preserve">broad_maritime</t>
        </is>
      </c>
      <c r="D3085" s="4">
        <v>0.2566729</v>
      </c>
      <c r="E3085" s="0" t="inlineStr">
        <is>
          <t xml:space="preserve">KONGSBERG DISCOVERY US, LLC</t>
        </is>
      </c>
      <c r="F3085" s="0" t="inlineStr">
        <is>
          <t xml:space="preserve">psc:2090</t>
        </is>
      </c>
    </row>
    <row r="3086">
      <c r="B3086" s="0" t="inlineStr">
        <is>
          <t xml:space="preserve">N0040623C0030</t>
        </is>
      </c>
      <c r="C3086" s="0" t="inlineStr">
        <is>
          <t xml:space="preserve">broad_maritime</t>
        </is>
      </c>
      <c r="D3086" s="4">
        <v>0.25624544</v>
      </c>
      <c r="E3086" s="0" t="inlineStr">
        <is>
          <t xml:space="preserve">17 MACHINERY LLC</t>
        </is>
      </c>
      <c r="F3086" s="0" t="inlineStr">
        <is>
          <t xml:space="preserve">psc:2090</t>
        </is>
      </c>
    </row>
    <row r="3087">
      <c r="B3087" s="0" t="inlineStr">
        <is>
          <t xml:space="preserve">N3943021C2201</t>
        </is>
      </c>
      <c r="C3087" s="0" t="inlineStr">
        <is>
          <t xml:space="preserve">broad_maritime</t>
        </is>
      </c>
      <c r="D3087" s="4">
        <v>0.25592730999999996</v>
      </c>
      <c r="E3087" s="0" t="inlineStr">
        <is>
          <t xml:space="preserve">METAL TRADES, LLC</t>
        </is>
      </c>
      <c r="F3087" s="0" t="inlineStr">
        <is>
          <t xml:space="preserve">psc:2090</t>
        </is>
      </c>
    </row>
    <row r="3088">
      <c r="B3088" s="0" t="inlineStr">
        <is>
          <t xml:space="preserve">N5005426F5026</t>
        </is>
      </c>
      <c r="C3088" s="0" t="inlineStr">
        <is>
          <t xml:space="preserve">broad_maritime</t>
        </is>
      </c>
      <c r="D3088" s="4">
        <v>0.25577099999999997</v>
      </c>
      <c r="E3088" s="0" t="inlineStr">
        <is>
          <t xml:space="preserve">SPEC-BUILT SYSTEMS, INC.</t>
        </is>
      </c>
      <c r="F3088" s="0" t="inlineStr">
        <is>
          <t xml:space="preserve">psc:2090</t>
        </is>
      </c>
    </row>
    <row r="3089">
      <c r="B3089" s="0" t="inlineStr">
        <is>
          <t xml:space="preserve">N3220513P1504</t>
        </is>
      </c>
      <c r="C3089" s="0" t="inlineStr">
        <is>
          <t xml:space="preserve">broad_maritime</t>
        </is>
      </c>
      <c r="D3089" s="4">
        <v>0.25565529</v>
      </c>
      <c r="E3089" s="0" t="inlineStr">
        <is>
          <t xml:space="preserve">COLTEC INDUSTRIES INC.</t>
        </is>
      </c>
      <c r="F3089" s="0" t="inlineStr">
        <is>
          <t xml:space="preserve">psc:2090</t>
        </is>
      </c>
    </row>
    <row r="3090">
      <c r="B3090" s="0" t="inlineStr">
        <is>
          <t xml:space="preserve">N0040624F0143</t>
        </is>
      </c>
      <c r="C3090" s="0" t="inlineStr">
        <is>
          <t xml:space="preserve">broad_maritime</t>
        </is>
      </c>
      <c r="D3090" s="4">
        <v>0.25563621999999997</v>
      </c>
      <c r="E3090" s="0" t="inlineStr">
        <is>
          <t xml:space="preserve">EVERLLENCE MIDDLE EAST AND AFRICA L.L.C</t>
        </is>
      </c>
      <c r="F3090" s="0" t="inlineStr">
        <is>
          <t xml:space="preserve">psc:2090</t>
        </is>
      </c>
    </row>
    <row r="3091">
      <c r="B3091" s="0" t="inlineStr">
        <is>
          <t xml:space="preserve">N0010423PFE47</t>
        </is>
      </c>
      <c r="C3091" s="0" t="inlineStr">
        <is>
          <t xml:space="preserve">small_craft</t>
        </is>
      </c>
      <c r="D3091" s="4">
        <v>0.25554</v>
      </c>
      <c r="E3091" s="0" t="inlineStr">
        <is>
          <t xml:space="preserve">DERBYSHIRE MACHINE &amp; TOOL CO</t>
        </is>
      </c>
      <c r="F3091" s="0" t="inlineStr">
        <is>
          <t xml:space="preserve">naics:336612</t>
        </is>
      </c>
    </row>
    <row r="3092">
      <c r="B3092" s="0" t="inlineStr">
        <is>
          <t xml:space="preserve">N3220515P3645</t>
        </is>
      </c>
      <c r="C3092" s="0" t="inlineStr">
        <is>
          <t xml:space="preserve">broad_maritime</t>
        </is>
      </c>
      <c r="D3092" s="4">
        <v>0.255382</v>
      </c>
      <c r="E3092" s="0" t="inlineStr">
        <is>
          <t xml:space="preserve">RED FOX ENVIRONMENTAL SERVICES INC</t>
        </is>
      </c>
      <c r="F3092" s="0" t="inlineStr">
        <is>
          <t xml:space="preserve">psc:2090</t>
        </is>
      </c>
    </row>
    <row r="3093">
      <c r="B3093" s="0" t="inlineStr">
        <is>
          <t xml:space="preserve">N3220522P2250</t>
        </is>
      </c>
      <c r="C3093" s="0" t="inlineStr">
        <is>
          <t xml:space="preserve">broad_maritime</t>
        </is>
      </c>
      <c r="D3093" s="4">
        <v>0.25504</v>
      </c>
      <c r="E3093" s="0" t="inlineStr">
        <is>
          <t xml:space="preserve">W. &amp; O. SUPPLY, INC.</t>
        </is>
      </c>
      <c r="F3093" s="0" t="inlineStr">
        <is>
          <t xml:space="preserve">psc:2090</t>
        </is>
      </c>
    </row>
    <row r="3094">
      <c r="B3094" s="0" t="inlineStr">
        <is>
          <t xml:space="preserve">GA01</t>
        </is>
      </c>
      <c r="C3094" s="0" t="inlineStr">
        <is>
          <t xml:space="preserve">broad_maritime</t>
        </is>
      </c>
      <c r="D3094" s="4">
        <v>0.25459699999999996</v>
      </c>
      <c r="E3094" s="0" t="inlineStr">
        <is>
          <t xml:space="preserve">ELECTRIC BOAT CORPORATION</t>
        </is>
      </c>
      <c r="F3094" s="0" t="inlineStr">
        <is>
          <t xml:space="preserve">psc:1905</t>
        </is>
      </c>
    </row>
    <row r="3095">
      <c r="B3095" s="0" t="inlineStr">
        <is>
          <t xml:space="preserve">N0040617P1479</t>
        </is>
      </c>
      <c r="C3095" s="0" t="inlineStr">
        <is>
          <t xml:space="preserve">broad_maritime</t>
        </is>
      </c>
      <c r="D3095" s="4">
        <v>0.25429399999999996</v>
      </c>
      <c r="E3095" s="0" t="inlineStr">
        <is>
          <t xml:space="preserve">ZETEC INC</t>
        </is>
      </c>
      <c r="F3095" s="0" t="inlineStr">
        <is>
          <t xml:space="preserve">psc:2090</t>
        </is>
      </c>
    </row>
    <row r="3096">
      <c r="B3096" s="0" t="inlineStr">
        <is>
          <t xml:space="preserve">N0002419F22A1</t>
        </is>
      </c>
      <c r="C3096" s="0" t="inlineStr">
        <is>
          <t xml:space="preserve">other_small</t>
        </is>
      </c>
      <c r="D3096" s="4">
        <v>0.254083</v>
      </c>
      <c r="E3096" s="0" t="inlineStr">
        <is>
          <t xml:space="preserve">NATIONAL STEEL AND SHIPBUILDING COMPANY</t>
        </is>
      </c>
      <c r="F3096" s="0" t="inlineStr">
        <is>
          <t xml:space="preserve">psc:1990</t>
        </is>
      </c>
    </row>
    <row r="3097">
      <c r="B3097" s="0" t="inlineStr">
        <is>
          <t xml:space="preserve">N6278918F0025</t>
        </is>
      </c>
      <c r="C3097" s="0" t="inlineStr">
        <is>
          <t xml:space="preserve">broad_maritime</t>
        </is>
      </c>
      <c r="D3097" s="4">
        <v>0.25332099999999996</v>
      </c>
      <c r="E3097" s="0" t="inlineStr">
        <is>
          <t xml:space="preserve">ELECTRIC BOAT CORPORATION</t>
        </is>
      </c>
      <c r="F3097" s="0" t="inlineStr">
        <is>
          <t xml:space="preserve">psc:1905</t>
        </is>
      </c>
    </row>
    <row r="3098">
      <c r="B3098" s="0" t="inlineStr">
        <is>
          <t xml:space="preserve">N3220518P6025</t>
        </is>
      </c>
      <c r="C3098" s="0" t="inlineStr">
        <is>
          <t xml:space="preserve">broad_maritime</t>
        </is>
      </c>
      <c r="D3098" s="4">
        <v>0.2526115</v>
      </c>
      <c r="E3098" s="0" t="inlineStr">
        <is>
          <t xml:space="preserve">PALMER JOHNSON POWER SYSTEMS LLC</t>
        </is>
      </c>
      <c r="F3098" s="0" t="inlineStr">
        <is>
          <t xml:space="preserve">psc:2090</t>
        </is>
      </c>
    </row>
    <row r="3099">
      <c r="B3099" s="0" t="inlineStr">
        <is>
          <t xml:space="preserve">N3220523F0732</t>
        </is>
      </c>
      <c r="C3099" s="0" t="inlineStr">
        <is>
          <t xml:space="preserve">broad_maritime</t>
        </is>
      </c>
      <c r="D3099" s="4">
        <v>0.25256039999999996</v>
      </c>
      <c r="E3099" s="0" t="inlineStr">
        <is>
          <t xml:space="preserve">STEELSTRAN INDUSTRIES, INC</t>
        </is>
      </c>
      <c r="F3099" s="0" t="inlineStr">
        <is>
          <t xml:space="preserve">psc:2090</t>
        </is>
      </c>
    </row>
    <row r="3100">
      <c r="B3100" s="0" t="inlineStr">
        <is>
          <t xml:space="preserve">N3220518P6074</t>
        </is>
      </c>
      <c r="C3100" s="0" t="inlineStr">
        <is>
          <t xml:space="preserve">broad_maritime</t>
        </is>
      </c>
      <c r="D3100" s="4">
        <v>0.25251</v>
      </c>
      <c r="E3100" s="0" t="inlineStr">
        <is>
          <t xml:space="preserve">JA MOODY LLC</t>
        </is>
      </c>
      <c r="F3100" s="0" t="inlineStr">
        <is>
          <t xml:space="preserve">psc:2090</t>
        </is>
      </c>
    </row>
    <row r="3101">
      <c r="B3101" s="0" t="inlineStr">
        <is>
          <t xml:space="preserve">N0040624F0140</t>
        </is>
      </c>
      <c r="C3101" s="0" t="inlineStr">
        <is>
          <t xml:space="preserve">broad_maritime</t>
        </is>
      </c>
      <c r="D3101" s="4">
        <v>0.25222029</v>
      </c>
      <c r="E3101" s="0" t="inlineStr">
        <is>
          <t xml:space="preserve">DEFENSE MARITIME SOLUTIONS, INC.</t>
        </is>
      </c>
      <c r="F3101" s="0" t="inlineStr">
        <is>
          <t xml:space="preserve">psc:2090</t>
        </is>
      </c>
    </row>
    <row r="3102">
      <c r="B3102" s="0" t="inlineStr">
        <is>
          <t xml:space="preserve">N0016726P1015</t>
        </is>
      </c>
      <c r="C3102" s="0" t="inlineStr">
        <is>
          <t xml:space="preserve">broad_maritime</t>
        </is>
      </c>
      <c r="D3102" s="4">
        <v>0.252208</v>
      </c>
      <c r="E3102" s="0" t="inlineStr">
        <is>
          <t xml:space="preserve">MARINE FENDERS INTERNATIONAL INC</t>
        </is>
      </c>
      <c r="F3102" s="0" t="inlineStr">
        <is>
          <t xml:space="preserve">psc:2090</t>
        </is>
      </c>
    </row>
    <row r="3103">
      <c r="B3103" s="0" t="inlineStr">
        <is>
          <t xml:space="preserve">N6449822F4112</t>
        </is>
      </c>
      <c r="C3103" s="0" t="inlineStr">
        <is>
          <t xml:space="preserve">broad_maritime</t>
        </is>
      </c>
      <c r="D3103" s="4">
        <v>0.252208</v>
      </c>
      <c r="E3103" s="0" t="inlineStr">
        <is>
          <t xml:space="preserve">LEIDOS, INC.</t>
        </is>
      </c>
      <c r="F3103" s="0" t="inlineStr">
        <is>
          <t xml:space="preserve">psc:2090</t>
        </is>
      </c>
    </row>
    <row r="3104">
      <c r="B3104" s="0" t="inlineStr">
        <is>
          <t xml:space="preserve">N4523A20P0304</t>
        </is>
      </c>
      <c r="C3104" s="0" t="inlineStr">
        <is>
          <t xml:space="preserve">broad_maritime</t>
        </is>
      </c>
      <c r="D3104" s="4">
        <v>0.25217</v>
      </c>
      <c r="E3104" s="0" t="inlineStr">
        <is>
          <t xml:space="preserve">JOHNSON CONTROLS BUILDING AUTOMATION SYSTEMS, LLC</t>
        </is>
      </c>
      <c r="F3104" s="0" t="inlineStr">
        <is>
          <t xml:space="preserve">psc:1905</t>
        </is>
      </c>
    </row>
    <row r="3105">
      <c r="B3105" s="0" t="inlineStr">
        <is>
          <t xml:space="preserve">0070</t>
        </is>
      </c>
      <c r="C3105" s="0" t="inlineStr">
        <is>
          <t xml:space="preserve">broad_maritime</t>
        </is>
      </c>
      <c r="D3105" s="4">
        <v>0.25157546999999997</v>
      </c>
      <c r="E3105" s="0" t="inlineStr">
        <is>
          <t xml:space="preserve">ROCKWELL AUTOMATION INC</t>
        </is>
      </c>
      <c r="F3105" s="0" t="inlineStr">
        <is>
          <t xml:space="preserve">psc:2090</t>
        </is>
      </c>
    </row>
    <row r="3106">
      <c r="B3106" s="0" t="inlineStr">
        <is>
          <t xml:space="preserve">N0010420PEA2B</t>
        </is>
      </c>
      <c r="C3106" s="0" t="inlineStr">
        <is>
          <t xml:space="preserve">small_craft</t>
        </is>
      </c>
      <c r="D3106" s="4">
        <v>0.250985</v>
      </c>
      <c r="E3106" s="0" t="inlineStr">
        <is>
          <t xml:space="preserve">ISA (WYOMING) CORP</t>
        </is>
      </c>
      <c r="F3106" s="0" t="inlineStr">
        <is>
          <t xml:space="preserve">naics:336612</t>
        </is>
      </c>
    </row>
    <row r="3107">
      <c r="B3107" s="0" t="inlineStr">
        <is>
          <t xml:space="preserve">N4034520P0110</t>
        </is>
      </c>
      <c r="C3107" s="0" t="inlineStr">
        <is>
          <t xml:space="preserve">broad_maritime</t>
        </is>
      </c>
      <c r="D3107" s="4">
        <v>0.25088751</v>
      </c>
      <c r="E3107" s="0" t="inlineStr">
        <is>
          <t xml:space="preserve">YOKOHAMA ENGINEERING WORKS, LTD.</t>
        </is>
      </c>
      <c r="F3107" s="0" t="inlineStr">
        <is>
          <t xml:space="preserve">psc:2090</t>
        </is>
      </c>
    </row>
    <row r="3108">
      <c r="B3108" s="0" t="inlineStr">
        <is>
          <t xml:space="preserve">N6893619F0424</t>
        </is>
      </c>
      <c r="C3108" s="0" t="inlineStr">
        <is>
          <t xml:space="preserve">small_craft</t>
        </is>
      </c>
      <c r="D3108" s="4">
        <v>0.25068996</v>
      </c>
      <c r="E3108" s="0" t="inlineStr">
        <is>
          <t xml:space="preserve">THE MOLDING COMPANY, INC.</t>
        </is>
      </c>
      <c r="F3108" s="0" t="inlineStr">
        <is>
          <t xml:space="preserve">naics:336612</t>
        </is>
      </c>
    </row>
    <row r="3109">
      <c r="B3109" s="0" t="inlineStr">
        <is>
          <t xml:space="preserve">N0002415C2215</t>
        </is>
      </c>
      <c r="C3109" s="0" t="inlineStr">
        <is>
          <t xml:space="preserve">small_craft</t>
        </is>
      </c>
      <c r="D3109" s="4">
        <v>0.25036579999999997</v>
      </c>
      <c r="E3109" s="0" t="inlineStr">
        <is>
          <t xml:space="preserve">ZODIAC OF NORTH AMERICA, INC.</t>
        </is>
      </c>
      <c r="F3109" s="0" t="inlineStr">
        <is>
          <t xml:space="preserve">naics:336612; psc:1940</t>
        </is>
      </c>
    </row>
    <row r="3110">
      <c r="B3110" s="0" t="inlineStr">
        <is>
          <t xml:space="preserve">N0001423P1005</t>
        </is>
      </c>
      <c r="C3110" s="0" t="inlineStr">
        <is>
          <t xml:space="preserve">usv_core</t>
        </is>
      </c>
      <c r="D3110" s="4">
        <v>0.25</v>
      </c>
      <c r="E3110" s="0" t="inlineStr">
        <is>
          <t xml:space="preserve">FLORIDA INSTITUTE FOR HUMAN &amp; MACHINE COGNITION INC</t>
        </is>
      </c>
      <c r="F3110" s="0" t="inlineStr">
        <is>
          <t xml:space="preserve">keyword</t>
        </is>
      </c>
    </row>
    <row r="3111">
      <c r="B3111" s="0" t="inlineStr">
        <is>
          <t xml:space="preserve">N0003924F1004</t>
        </is>
      </c>
      <c r="C3111" s="0" t="inlineStr">
        <is>
          <t xml:space="preserve">small_craft</t>
        </is>
      </c>
      <c r="D3111" s="4">
        <v>0.24934976999999997</v>
      </c>
      <c r="E3111" s="0" t="inlineStr">
        <is>
          <t xml:space="preserve">TELEDYNE BROWN ENGINEERING, INC.</t>
        </is>
      </c>
      <c r="F3111" s="0" t="inlineStr">
        <is>
          <t xml:space="preserve">psc:1940</t>
        </is>
      </c>
    </row>
    <row r="3112">
      <c r="B3112" s="0" t="inlineStr">
        <is>
          <t xml:space="preserve">N0016425PJ567</t>
        </is>
      </c>
      <c r="C3112" s="0" t="inlineStr">
        <is>
          <t xml:space="preserve">small_craft</t>
        </is>
      </c>
      <c r="D3112" s="4">
        <v>0.24932717999999998</v>
      </c>
      <c r="E3112" s="0" t="inlineStr">
        <is>
          <t xml:space="preserve">VATN SYSTEMS, INC.</t>
        </is>
      </c>
      <c r="F3112" s="0" t="inlineStr">
        <is>
          <t xml:space="preserve">naics:336612; psc:1940</t>
        </is>
      </c>
    </row>
    <row r="3113">
      <c r="B3113" s="0" t="inlineStr">
        <is>
          <t xml:space="preserve">N3220524P2203</t>
        </is>
      </c>
      <c r="C3113" s="0" t="inlineStr">
        <is>
          <t xml:space="preserve">broad_maritime</t>
        </is>
      </c>
      <c r="D3113" s="4">
        <v>0.24893160999999997</v>
      </c>
      <c r="E3113" s="0" t="inlineStr">
        <is>
          <t xml:space="preserve">SCHOTTEL, INC.</t>
        </is>
      </c>
      <c r="F3113" s="0" t="inlineStr">
        <is>
          <t xml:space="preserve">psc:2090</t>
        </is>
      </c>
    </row>
    <row r="3114">
      <c r="B3114" s="0" t="inlineStr">
        <is>
          <t xml:space="preserve">N0040625PS309</t>
        </is>
      </c>
      <c r="C3114" s="0" t="inlineStr">
        <is>
          <t xml:space="preserve">broad_maritime</t>
        </is>
      </c>
      <c r="D3114" s="4">
        <v>0.2488</v>
      </c>
      <c r="E3114" s="0" t="inlineStr">
        <is>
          <t xml:space="preserve">ATLANTIC COAST ELECTRIC SUPPLY, LLC</t>
        </is>
      </c>
      <c r="F3114" s="0" t="inlineStr">
        <is>
          <t xml:space="preserve">psc:2090</t>
        </is>
      </c>
    </row>
    <row r="3115">
      <c r="B3115" s="0" t="inlineStr">
        <is>
          <t xml:space="preserve">N0016718F0126</t>
        </is>
      </c>
      <c r="C3115" s="0" t="inlineStr">
        <is>
          <t xml:space="preserve">broad_maritime</t>
        </is>
      </c>
      <c r="D3115" s="4">
        <v>0.2488</v>
      </c>
      <c r="E3115" s="0" t="inlineStr">
        <is>
          <t xml:space="preserve">L.B.I., INC.</t>
        </is>
      </c>
      <c r="F3115" s="0" t="inlineStr">
        <is>
          <t xml:space="preserve">psc:2090</t>
        </is>
      </c>
    </row>
    <row r="3116">
      <c r="B3116" s="0" t="inlineStr">
        <is>
          <t xml:space="preserve">N0016424FG035</t>
        </is>
      </c>
      <c r="C3116" s="0" t="inlineStr">
        <is>
          <t xml:space="preserve">broad_maritime</t>
        </is>
      </c>
      <c r="D3116" s="4">
        <v>0.24831034</v>
      </c>
      <c r="E3116" s="0" t="inlineStr">
        <is>
          <t xml:space="preserve">J &amp; N METAL PRODUCTS, LLC</t>
        </is>
      </c>
      <c r="F3116" s="0" t="inlineStr">
        <is>
          <t xml:space="preserve">psc:1905</t>
        </is>
      </c>
    </row>
    <row r="3117">
      <c r="B3117" s="0" t="inlineStr">
        <is>
          <t xml:space="preserve">N0017321P1229</t>
        </is>
      </c>
      <c r="C3117" s="0" t="inlineStr">
        <is>
          <t xml:space="preserve">small_craft</t>
        </is>
      </c>
      <c r="D3117" s="4">
        <v>0.24814599999999998</v>
      </c>
      <c r="E3117" s="0" t="inlineStr">
        <is>
          <t xml:space="preserve">DEEP OCEAN ENGINEERING, INCORPORATED</t>
        </is>
      </c>
      <c r="F3117" s="0" t="inlineStr">
        <is>
          <t xml:space="preserve">naics:336612; psc:1990</t>
        </is>
      </c>
    </row>
    <row r="3118">
      <c r="B3118" s="0" t="inlineStr">
        <is>
          <t xml:space="preserve">N6449820F4273</t>
        </is>
      </c>
      <c r="C3118" s="0" t="inlineStr">
        <is>
          <t xml:space="preserve">broad_maritime</t>
        </is>
      </c>
      <c r="D3118" s="4">
        <v>0.24726399999999998</v>
      </c>
      <c r="E3118" s="0" t="inlineStr">
        <is>
          <t xml:space="preserve">LEIDOS, INC.</t>
        </is>
      </c>
      <c r="F3118" s="0" t="inlineStr">
        <is>
          <t xml:space="preserve">psc:2090</t>
        </is>
      </c>
    </row>
    <row r="3119">
      <c r="B3119" s="0" t="inlineStr">
        <is>
          <t xml:space="preserve">N0040623P0876</t>
        </is>
      </c>
      <c r="C3119" s="0" t="inlineStr">
        <is>
          <t xml:space="preserve">broad_maritime</t>
        </is>
      </c>
      <c r="D3119" s="4">
        <v>0.24711793999999998</v>
      </c>
      <c r="E3119" s="0" t="inlineStr">
        <is>
          <t xml:space="preserve">17 MACHINERY LLC</t>
        </is>
      </c>
      <c r="F3119" s="0" t="inlineStr">
        <is>
          <t xml:space="preserve">psc:2090</t>
        </is>
      </c>
    </row>
    <row r="3120">
      <c r="B3120" s="0" t="inlineStr">
        <is>
          <t xml:space="preserve">0007</t>
        </is>
      </c>
      <c r="C3120" s="0" t="inlineStr">
        <is>
          <t xml:space="preserve">broad_maritime</t>
        </is>
      </c>
      <c r="D3120" s="4">
        <v>0.24697999999999998</v>
      </c>
      <c r="E3120" s="0" t="inlineStr">
        <is>
          <t xml:space="preserve">KNUDSEN SYSTEMS INC.</t>
        </is>
      </c>
      <c r="F3120" s="0" t="inlineStr">
        <is>
          <t xml:space="preserve">psc:2090</t>
        </is>
      </c>
    </row>
    <row r="3121">
      <c r="B3121" s="0" t="inlineStr">
        <is>
          <t xml:space="preserve">N0040624P0115</t>
        </is>
      </c>
      <c r="C3121" s="0" t="inlineStr">
        <is>
          <t xml:space="preserve">broad_maritime</t>
        </is>
      </c>
      <c r="D3121" s="4">
        <v>0.24660115999999999</v>
      </c>
      <c r="E3121" s="0" t="inlineStr">
        <is>
          <t xml:space="preserve">17 MACHINERY LLC</t>
        </is>
      </c>
      <c r="F3121" s="0" t="inlineStr">
        <is>
          <t xml:space="preserve">psc:2090</t>
        </is>
      </c>
    </row>
    <row r="3122">
      <c r="B3122" s="0" t="inlineStr">
        <is>
          <t xml:space="preserve">N0040624P0409</t>
        </is>
      </c>
      <c r="C3122" s="0" t="inlineStr">
        <is>
          <t xml:space="preserve">broad_maritime</t>
        </is>
      </c>
      <c r="D3122" s="4">
        <v>0.24653999999999998</v>
      </c>
      <c r="E3122" s="0" t="inlineStr">
        <is>
          <t xml:space="preserve">SCHUYLER RUBBER COMPANY, INC.</t>
        </is>
      </c>
      <c r="F3122" s="0" t="inlineStr">
        <is>
          <t xml:space="preserve">psc:2090</t>
        </is>
      </c>
    </row>
    <row r="3123">
      <c r="B3123" s="0" t="inlineStr">
        <is>
          <t xml:space="preserve">N0010425PXB16</t>
        </is>
      </c>
      <c r="C3123" s="0" t="inlineStr">
        <is>
          <t xml:space="preserve">small_craft</t>
        </is>
      </c>
      <c r="D3123" s="4">
        <v>0.24633</v>
      </c>
      <c r="E3123" s="0" t="inlineStr">
        <is>
          <t xml:space="preserve">VIRGINIA ELECTRONIC SYSTEMS, INC.</t>
        </is>
      </c>
      <c r="F3123" s="0" t="inlineStr">
        <is>
          <t xml:space="preserve">psc:1940</t>
        </is>
      </c>
    </row>
    <row r="3124">
      <c r="B3124" s="0" t="inlineStr">
        <is>
          <t xml:space="preserve">N4523A21P0300</t>
        </is>
      </c>
      <c r="C3124" s="0" t="inlineStr">
        <is>
          <t xml:space="preserve">broad_maritime</t>
        </is>
      </c>
      <c r="D3124" s="4">
        <v>0.24628899999999998</v>
      </c>
      <c r="E3124" s="0" t="inlineStr">
        <is>
          <t xml:space="preserve">CURTISS-WRIGHT ELECTRO-MECHANICAL CORPORATION</t>
        </is>
      </c>
      <c r="F3124" s="0" t="inlineStr">
        <is>
          <t xml:space="preserve">psc:1905</t>
        </is>
      </c>
    </row>
    <row r="3125">
      <c r="B3125" s="0" t="inlineStr">
        <is>
          <t xml:space="preserve">N6817121P6072</t>
        </is>
      </c>
      <c r="C3125" s="0" t="inlineStr">
        <is>
          <t xml:space="preserve">broad_maritime</t>
        </is>
      </c>
      <c r="D3125" s="4">
        <v>0.24592558999999997</v>
      </c>
      <c r="E3125" s="0" t="inlineStr">
        <is>
          <t xml:space="preserve">SUMINISTROS Y MANTENIMIENTOS LAS SALINAS SL</t>
        </is>
      </c>
      <c r="F3125" s="0" t="inlineStr">
        <is>
          <t xml:space="preserve">psc:2090</t>
        </is>
      </c>
    </row>
    <row r="3126">
      <c r="B3126" s="0" t="inlineStr">
        <is>
          <t xml:space="preserve">N0010421PAD67</t>
        </is>
      </c>
      <c r="C3126" s="0" t="inlineStr">
        <is>
          <t xml:space="preserve">small_craft</t>
        </is>
      </c>
      <c r="D3126" s="4">
        <v>0.24572999999999998</v>
      </c>
      <c r="E3126" s="0" t="inlineStr">
        <is>
          <t xml:space="preserve">FLOWER HOLDINGS CORPORATION</t>
        </is>
      </c>
      <c r="F3126" s="0" t="inlineStr">
        <is>
          <t xml:space="preserve">naics:336612</t>
        </is>
      </c>
    </row>
    <row r="3127">
      <c r="B3127" s="0" t="inlineStr">
        <is>
          <t xml:space="preserve">N6449825P2173</t>
        </is>
      </c>
      <c r="C3127" s="0" t="inlineStr">
        <is>
          <t xml:space="preserve">broad_maritime</t>
        </is>
      </c>
      <c r="D3127" s="4">
        <v>0.24546148</v>
      </c>
      <c r="E3127" s="0" t="inlineStr">
        <is>
          <t xml:space="preserve">HEXAGON US FEDERAL, INC</t>
        </is>
      </c>
      <c r="F3127" s="0" t="inlineStr">
        <is>
          <t xml:space="preserve">psc:2090</t>
        </is>
      </c>
    </row>
    <row r="3128">
      <c r="B3128" s="0" t="inlineStr">
        <is>
          <t xml:space="preserve">N3220515P1390</t>
        </is>
      </c>
      <c r="C3128" s="0" t="inlineStr">
        <is>
          <t xml:space="preserve">broad_maritime</t>
        </is>
      </c>
      <c r="D3128" s="4">
        <v>0.24540599999999999</v>
      </c>
      <c r="E3128" s="0" t="inlineStr">
        <is>
          <t xml:space="preserve">AMERICAN VULKAN CORPORATION</t>
        </is>
      </c>
      <c r="F3128" s="0" t="inlineStr">
        <is>
          <t xml:space="preserve">psc:2090</t>
        </is>
      </c>
    </row>
    <row r="3129">
      <c r="B3129" s="0" t="inlineStr">
        <is>
          <t xml:space="preserve">N0040624P0871</t>
        </is>
      </c>
      <c r="C3129" s="0" t="inlineStr">
        <is>
          <t xml:space="preserve">broad_maritime</t>
        </is>
      </c>
      <c r="D3129" s="4">
        <v>0.24520419</v>
      </c>
      <c r="E3129" s="0" t="inlineStr">
        <is>
          <t xml:space="preserve">EMS DEVELOPMENT CORPORATION</t>
        </is>
      </c>
      <c r="F3129" s="0" t="inlineStr">
        <is>
          <t xml:space="preserve">psc:2090</t>
        </is>
      </c>
    </row>
    <row r="3130">
      <c r="B3130" s="0" t="inlineStr">
        <is>
          <t xml:space="preserve">N0010421PDE09</t>
        </is>
      </c>
      <c r="C3130" s="0" t="inlineStr">
        <is>
          <t xml:space="preserve">small_craft</t>
        </is>
      </c>
      <c r="D3130" s="4">
        <v>0.24495</v>
      </c>
      <c r="E3130" s="0" t="inlineStr">
        <is>
          <t xml:space="preserve">SECHAN ELECTRONICS INC</t>
        </is>
      </c>
      <c r="F3130" s="0" t="inlineStr">
        <is>
          <t xml:space="preserve">naics:336612</t>
        </is>
      </c>
    </row>
    <row r="3131">
      <c r="B3131" s="0" t="inlineStr">
        <is>
          <t xml:space="preserve">N3220524P2298</t>
        </is>
      </c>
      <c r="C3131" s="0" t="inlineStr">
        <is>
          <t xml:space="preserve">broad_maritime</t>
        </is>
      </c>
      <c r="D3131" s="4">
        <v>0.244381</v>
      </c>
      <c r="E3131" s="0" t="inlineStr">
        <is>
          <t xml:space="preserve">SHIP INTERIOR SYSTEMS, LLC</t>
        </is>
      </c>
      <c r="F3131" s="0" t="inlineStr">
        <is>
          <t xml:space="preserve">psc:2090</t>
        </is>
      </c>
    </row>
    <row r="3132">
      <c r="B3132" s="0" t="inlineStr">
        <is>
          <t xml:space="preserve">N0040625PS303</t>
        </is>
      </c>
      <c r="C3132" s="0" t="inlineStr">
        <is>
          <t xml:space="preserve">broad_maritime</t>
        </is>
      </c>
      <c r="D3132" s="4">
        <v>0.24402506</v>
      </c>
      <c r="E3132" s="0" t="inlineStr">
        <is>
          <t xml:space="preserve">JO-KELL INC.</t>
        </is>
      </c>
      <c r="F3132" s="0" t="inlineStr">
        <is>
          <t xml:space="preserve">psc:2090</t>
        </is>
      </c>
    </row>
    <row r="3133">
      <c r="B3133" s="0" t="inlineStr">
        <is>
          <t xml:space="preserve">N6883618P0432</t>
        </is>
      </c>
      <c r="C3133" s="0" t="inlineStr">
        <is>
          <t xml:space="preserve">broad_maritime</t>
        </is>
      </c>
      <c r="D3133" s="4">
        <v>0.2434283</v>
      </c>
      <c r="E3133" s="0" t="inlineStr">
        <is>
          <t xml:space="preserve">WACO PRODUCTS, INC</t>
        </is>
      </c>
      <c r="F3133" s="0" t="inlineStr">
        <is>
          <t xml:space="preserve">psc:2090</t>
        </is>
      </c>
    </row>
    <row r="3134">
      <c r="B3134" s="0" t="inlineStr">
        <is>
          <t xml:space="preserve">N6449819P5101</t>
        </is>
      </c>
      <c r="C3134" s="0" t="inlineStr">
        <is>
          <t xml:space="preserve">broad_maritime</t>
        </is>
      </c>
      <c r="D3134" s="4">
        <v>0.24322528</v>
      </c>
      <c r="E3134" s="0" t="inlineStr">
        <is>
          <t xml:space="preserve">PRISM MARITIME, INC.</t>
        </is>
      </c>
      <c r="F3134" s="0" t="inlineStr">
        <is>
          <t xml:space="preserve">psc:2090</t>
        </is>
      </c>
    </row>
    <row r="3135">
      <c r="B3135" s="0" t="inlineStr">
        <is>
          <t xml:space="preserve">N3220518P4429</t>
        </is>
      </c>
      <c r="C3135" s="0" t="inlineStr">
        <is>
          <t xml:space="preserve">broad_maritime</t>
        </is>
      </c>
      <c r="D3135" s="4">
        <v>0.243032</v>
      </c>
      <c r="E3135" s="0" t="inlineStr">
        <is>
          <t xml:space="preserve">APPLETON MARINE INC</t>
        </is>
      </c>
      <c r="F3135" s="0" t="inlineStr">
        <is>
          <t xml:space="preserve">psc:2090</t>
        </is>
      </c>
    </row>
    <row r="3136">
      <c r="B3136" s="0" t="inlineStr">
        <is>
          <t xml:space="preserve">N3220518P4025</t>
        </is>
      </c>
      <c r="C3136" s="0" t="inlineStr">
        <is>
          <t xml:space="preserve">broad_maritime</t>
        </is>
      </c>
      <c r="D3136" s="4">
        <v>0.242394</v>
      </c>
      <c r="E3136" s="0" t="inlineStr">
        <is>
          <t xml:space="preserve">MARINE PROPULSION INC</t>
        </is>
      </c>
      <c r="F3136" s="0" t="inlineStr">
        <is>
          <t xml:space="preserve">psc:2090</t>
        </is>
      </c>
    </row>
    <row r="3137">
      <c r="B3137" s="0" t="inlineStr">
        <is>
          <t xml:space="preserve">N0024424P0029</t>
        </is>
      </c>
      <c r="C3137" s="0" t="inlineStr">
        <is>
          <t xml:space="preserve">broad_maritime</t>
        </is>
      </c>
      <c r="D3137" s="4">
        <v>0.24182099999999998</v>
      </c>
      <c r="E3137" s="0" t="inlineStr">
        <is>
          <t xml:space="preserve">BLIND AND VISION IMPAIRED, VIRGINIA DEPARTMENT FOR THE</t>
        </is>
      </c>
      <c r="F3137" s="0" t="inlineStr">
        <is>
          <t xml:space="preserve">psc:2090</t>
        </is>
      </c>
    </row>
    <row r="3138">
      <c r="B3138" s="0" t="inlineStr">
        <is>
          <t xml:space="preserve">N4044209P3008</t>
        </is>
      </c>
      <c r="C3138" s="0" t="inlineStr">
        <is>
          <t xml:space="preserve">broad_maritime</t>
        </is>
      </c>
      <c r="D3138" s="4">
        <v>0.24162556</v>
      </c>
      <c r="E3138" s="0" t="inlineStr">
        <is>
          <t xml:space="preserve">EVOQUA WATER TECHNOLOGIES LLC</t>
        </is>
      </c>
      <c r="F3138" s="0" t="inlineStr">
        <is>
          <t xml:space="preserve">psc:2090</t>
        </is>
      </c>
    </row>
    <row r="3139">
      <c r="B3139" s="0" t="inlineStr">
        <is>
          <t xml:space="preserve">N3220517P4257</t>
        </is>
      </c>
      <c r="C3139" s="0" t="inlineStr">
        <is>
          <t xml:space="preserve">broad_maritime</t>
        </is>
      </c>
      <c r="D3139" s="4">
        <v>0.2415292</v>
      </c>
      <c r="E3139" s="0" t="inlineStr">
        <is>
          <t xml:space="preserve">DEFENSE MARITIME SOLUTIONS, INC.</t>
        </is>
      </c>
      <c r="F3139" s="0" t="inlineStr">
        <is>
          <t xml:space="preserve">psc:2090</t>
        </is>
      </c>
    </row>
    <row r="3140">
      <c r="B3140" s="0" t="inlineStr">
        <is>
          <t xml:space="preserve">N6449818F4084</t>
        </is>
      </c>
      <c r="C3140" s="0" t="inlineStr">
        <is>
          <t xml:space="preserve">broad_maritime</t>
        </is>
      </c>
      <c r="D3140" s="4">
        <v>0.24113815</v>
      </c>
      <c r="E3140" s="0" t="inlineStr">
        <is>
          <t xml:space="preserve">G. S. E. DYNAMICS, INC.</t>
        </is>
      </c>
      <c r="F3140" s="0" t="inlineStr">
        <is>
          <t xml:space="preserve">psc:1905</t>
        </is>
      </c>
    </row>
    <row r="3141">
      <c r="B3141" s="0" t="inlineStr">
        <is>
          <t xml:space="preserve">N3220523P2089</t>
        </is>
      </c>
      <c r="C3141" s="0" t="inlineStr">
        <is>
          <t xml:space="preserve">broad_maritime</t>
        </is>
      </c>
      <c r="D3141" s="4">
        <v>0.2410184</v>
      </c>
      <c r="E3141" s="0" t="inlineStr">
        <is>
          <t xml:space="preserve">LOUIS ALLIS LLC</t>
        </is>
      </c>
      <c r="F3141" s="0" t="inlineStr">
        <is>
          <t xml:space="preserve">psc:2090</t>
        </is>
      </c>
    </row>
    <row r="3142">
      <c r="B3142" s="0" t="inlineStr">
        <is>
          <t xml:space="preserve">N6449820P0062</t>
        </is>
      </c>
      <c r="C3142" s="0" t="inlineStr">
        <is>
          <t xml:space="preserve">broad_maritime</t>
        </is>
      </c>
      <c r="D3142" s="4">
        <v>0.24089999999999998</v>
      </c>
      <c r="E3142" s="0" t="inlineStr">
        <is>
          <t xml:space="preserve">NAG, LLC</t>
        </is>
      </c>
      <c r="F3142" s="0" t="inlineStr">
        <is>
          <t xml:space="preserve">psc:2090</t>
        </is>
      </c>
    </row>
    <row r="3143">
      <c r="B3143" s="0" t="inlineStr">
        <is>
          <t xml:space="preserve">0002</t>
        </is>
      </c>
      <c r="C3143" s="0" t="inlineStr">
        <is>
          <t xml:space="preserve">small_craft</t>
        </is>
      </c>
      <c r="D3143" s="4">
        <v>0.240667</v>
      </c>
      <c r="E3143" s="0" t="inlineStr">
        <is>
          <t xml:space="preserve">GRAVOIS ALUMINUM BOATS LLC</t>
        </is>
      </c>
      <c r="F3143" s="0" t="inlineStr">
        <is>
          <t xml:space="preserve">naics:336612</t>
        </is>
      </c>
    </row>
    <row r="3144">
      <c r="B3144" s="0" t="inlineStr">
        <is>
          <t xml:space="preserve">N0010418PFD20</t>
        </is>
      </c>
      <c r="C3144" s="0" t="inlineStr">
        <is>
          <t xml:space="preserve">small_craft</t>
        </is>
      </c>
      <c r="D3144" s="4">
        <v>0.2404</v>
      </c>
      <c r="E3144" s="0" t="inlineStr">
        <is>
          <t xml:space="preserve">ROLLS-ROYCE MARINE NORTH AMERICA INC.</t>
        </is>
      </c>
      <c r="F3144" s="0" t="inlineStr">
        <is>
          <t xml:space="preserve">naics:336612</t>
        </is>
      </c>
    </row>
    <row r="3145">
      <c r="B3145" s="0" t="inlineStr">
        <is>
          <t xml:space="preserve">N3220517P4046</t>
        </is>
      </c>
      <c r="C3145" s="0" t="inlineStr">
        <is>
          <t xml:space="preserve">broad_maritime</t>
        </is>
      </c>
      <c r="D3145" s="4">
        <v>0.240343</v>
      </c>
      <c r="E3145" s="0" t="inlineStr">
        <is>
          <t xml:space="preserve">CIRCOR NAVAL SOLUTIONS LLC</t>
        </is>
      </c>
      <c r="F3145" s="0" t="inlineStr">
        <is>
          <t xml:space="preserve">psc:2090</t>
        </is>
      </c>
    </row>
    <row r="3146">
      <c r="B3146" s="0" t="inlineStr">
        <is>
          <t xml:space="preserve">N0016422FG057</t>
        </is>
      </c>
      <c r="C3146" s="0" t="inlineStr">
        <is>
          <t xml:space="preserve">broad_maritime</t>
        </is>
      </c>
      <c r="D3146" s="4">
        <v>0.24010664</v>
      </c>
      <c r="E3146" s="0" t="inlineStr">
        <is>
          <t xml:space="preserve">J &amp; N METAL PRODUCTS, LLC</t>
        </is>
      </c>
      <c r="F3146" s="0" t="inlineStr">
        <is>
          <t xml:space="preserve">psc:1905</t>
        </is>
      </c>
    </row>
    <row r="3147">
      <c r="B3147" s="0" t="inlineStr">
        <is>
          <t xml:space="preserve">N5005424P0026</t>
        </is>
      </c>
      <c r="C3147" s="0" t="inlineStr">
        <is>
          <t xml:space="preserve">small_craft</t>
        </is>
      </c>
      <c r="D3147" s="4">
        <v>0.2400476</v>
      </c>
      <c r="E3147" s="0" t="inlineStr">
        <is>
          <t xml:space="preserve">COLONNA'S SHIP YARD, INCORPORATED</t>
        </is>
      </c>
      <c r="F3147" s="0" t="inlineStr">
        <is>
          <t xml:space="preserve">naics:336612</t>
        </is>
      </c>
    </row>
    <row r="3148">
      <c r="B3148" s="0" t="inlineStr">
        <is>
          <t xml:space="preserve">N6449823P5064</t>
        </is>
      </c>
      <c r="C3148" s="0" t="inlineStr">
        <is>
          <t xml:space="preserve">broad_maritime</t>
        </is>
      </c>
      <c r="D3148" s="4">
        <v>0.24003665999999999</v>
      </c>
      <c r="E3148" s="0" t="inlineStr">
        <is>
          <t xml:space="preserve">HEXAGON US FEDERAL, INC</t>
        </is>
      </c>
      <c r="F3148" s="0" t="inlineStr">
        <is>
          <t xml:space="preserve">psc:2090</t>
        </is>
      </c>
    </row>
    <row r="3149">
      <c r="B3149" s="0" t="inlineStr">
        <is>
          <t xml:space="preserve">N3220524P2143</t>
        </is>
      </c>
      <c r="C3149" s="0" t="inlineStr">
        <is>
          <t xml:space="preserve">small_craft</t>
        </is>
      </c>
      <c r="D3149" s="4">
        <v>0.24</v>
      </c>
      <c r="E3149" s="0" t="inlineStr">
        <is>
          <t xml:space="preserve">LIFERAFT SYSTEMS AUSTRALIA PTY LTD</t>
        </is>
      </c>
      <c r="F3149" s="0" t="inlineStr">
        <is>
          <t xml:space="preserve">naics:336612; psc:2090</t>
        </is>
      </c>
    </row>
    <row r="3150">
      <c r="B3150" s="0" t="inlineStr">
        <is>
          <t xml:space="preserve">N6817124F0087</t>
        </is>
      </c>
      <c r="C3150" s="0" t="inlineStr">
        <is>
          <t xml:space="preserve">broad_maritime</t>
        </is>
      </c>
      <c r="D3150" s="4">
        <v>0.24</v>
      </c>
      <c r="E3150" s="0" t="inlineStr">
        <is>
          <t xml:space="preserve">FINCANTIERI MARINE SYSTEMS NORTH AMERICA, INC.</t>
        </is>
      </c>
      <c r="F3150" s="0" t="inlineStr">
        <is>
          <t xml:space="preserve">psc:2090</t>
        </is>
      </c>
    </row>
    <row r="3151">
      <c r="B3151" s="0" t="inlineStr">
        <is>
          <t xml:space="preserve">N3220516C2302</t>
        </is>
      </c>
      <c r="C3151" s="0" t="inlineStr">
        <is>
          <t xml:space="preserve">broad_maritime</t>
        </is>
      </c>
      <c r="D3151" s="4">
        <v>0.23994648999999998</v>
      </c>
      <c r="E3151" s="0" t="inlineStr">
        <is>
          <t xml:space="preserve">INTEGRITY CORPORATION, INC.</t>
        </is>
      </c>
      <c r="F3151" s="0" t="inlineStr">
        <is>
          <t xml:space="preserve">psc:2090</t>
        </is>
      </c>
    </row>
    <row r="3152">
      <c r="B3152" s="0" t="inlineStr">
        <is>
          <t xml:space="preserve">N0003923F1018</t>
        </is>
      </c>
      <c r="C3152" s="0" t="inlineStr">
        <is>
          <t xml:space="preserve">small_craft</t>
        </is>
      </c>
      <c r="D3152" s="4">
        <v>0.23993481</v>
      </c>
      <c r="E3152" s="0" t="inlineStr">
        <is>
          <t xml:space="preserve">TELEDYNE BROWN ENGINEERING, INC.</t>
        </is>
      </c>
      <c r="F3152" s="0" t="inlineStr">
        <is>
          <t xml:space="preserve">psc:1940</t>
        </is>
      </c>
    </row>
    <row r="3153">
      <c r="B3153" s="0" t="inlineStr">
        <is>
          <t xml:space="preserve">N3220521P2615</t>
        </is>
      </c>
      <c r="C3153" s="0" t="inlineStr">
        <is>
          <t xml:space="preserve">broad_maritime</t>
        </is>
      </c>
      <c r="D3153" s="4">
        <v>0.23964426</v>
      </c>
      <c r="E3153" s="0" t="inlineStr">
        <is>
          <t xml:space="preserve">L3HARRIS TECHNOLOGIES, INC.</t>
        </is>
      </c>
      <c r="F3153" s="0" t="inlineStr">
        <is>
          <t xml:space="preserve">psc:2090</t>
        </is>
      </c>
    </row>
    <row r="3154">
      <c r="B3154" s="0" t="inlineStr">
        <is>
          <t xml:space="preserve">N3220524P2273</t>
        </is>
      </c>
      <c r="C3154" s="0" t="inlineStr">
        <is>
          <t xml:space="preserve">broad_maritime</t>
        </is>
      </c>
      <c r="D3154" s="4">
        <v>0.23944</v>
      </c>
      <c r="E3154" s="0" t="inlineStr">
        <is>
          <t xml:space="preserve">CENTRAL RADIO COMPANY, INC.</t>
        </is>
      </c>
      <c r="F3154" s="0" t="inlineStr">
        <is>
          <t xml:space="preserve">psc:2090</t>
        </is>
      </c>
    </row>
    <row r="3155">
      <c r="B3155" s="0" t="inlineStr">
        <is>
          <t xml:space="preserve">N0040617P1602</t>
        </is>
      </c>
      <c r="C3155" s="0" t="inlineStr">
        <is>
          <t xml:space="preserve">broad_maritime</t>
        </is>
      </c>
      <c r="D3155" s="4">
        <v>0.23870185</v>
      </c>
      <c r="E3155" s="0" t="inlineStr">
        <is>
          <t xml:space="preserve">JPL HABITABILITY, INC.</t>
        </is>
      </c>
      <c r="F3155" s="0" t="inlineStr">
        <is>
          <t xml:space="preserve">psc:2090</t>
        </is>
      </c>
    </row>
    <row r="3156">
      <c r="B3156" s="0" t="inlineStr">
        <is>
          <t xml:space="preserve">N3220518F0008</t>
        </is>
      </c>
      <c r="C3156" s="0" t="inlineStr">
        <is>
          <t xml:space="preserve">other_small</t>
        </is>
      </c>
      <c r="D3156" s="4">
        <v>0.2386835</v>
      </c>
      <c r="E3156" s="0" t="inlineStr">
        <is>
          <t xml:space="preserve">LAKE SHORE SYSTEMS, INC.</t>
        </is>
      </c>
      <c r="F3156" s="0" t="inlineStr">
        <is>
          <t xml:space="preserve">psc:1990</t>
        </is>
      </c>
    </row>
    <row r="3157">
      <c r="B3157" s="0" t="inlineStr">
        <is>
          <t xml:space="preserve">N0016725F0020</t>
        </is>
      </c>
      <c r="C3157" s="0" t="inlineStr">
        <is>
          <t xml:space="preserve">broad_maritime</t>
        </is>
      </c>
      <c r="D3157" s="4">
        <v>0.23856635999999998</v>
      </c>
      <c r="E3157" s="0" t="inlineStr">
        <is>
          <t xml:space="preserve">QED SYSTEMS, INC.</t>
        </is>
      </c>
      <c r="F3157" s="0" t="inlineStr">
        <is>
          <t xml:space="preserve">psc:1905</t>
        </is>
      </c>
    </row>
    <row r="3158">
      <c r="B3158" s="0" t="inlineStr">
        <is>
          <t xml:space="preserve">N3220516P4016</t>
        </is>
      </c>
      <c r="C3158" s="0" t="inlineStr">
        <is>
          <t xml:space="preserve">broad_maritime</t>
        </is>
      </c>
      <c r="D3158" s="4">
        <v>0.23848216</v>
      </c>
      <c r="E3158" s="0" t="inlineStr">
        <is>
          <t xml:space="preserve">BARNEY A CAGLE</t>
        </is>
      </c>
      <c r="F3158" s="0" t="inlineStr">
        <is>
          <t xml:space="preserve">psc:2090</t>
        </is>
      </c>
    </row>
    <row r="3159">
      <c r="B3159" s="0" t="inlineStr">
        <is>
          <t xml:space="preserve">N3220515P1003</t>
        </is>
      </c>
      <c r="C3159" s="0" t="inlineStr">
        <is>
          <t xml:space="preserve">broad_maritime</t>
        </is>
      </c>
      <c r="D3159" s="4">
        <v>0.23837999999999998</v>
      </c>
      <c r="E3159" s="0" t="inlineStr">
        <is>
          <t xml:space="preserve">DEFENSE MARITIME SOLUTIONS, INC.</t>
        </is>
      </c>
      <c r="F3159" s="0" t="inlineStr">
        <is>
          <t xml:space="preserve">psc:2090</t>
        </is>
      </c>
    </row>
    <row r="3160">
      <c r="B3160" s="0" t="inlineStr">
        <is>
          <t xml:space="preserve">N0040622F0055</t>
        </is>
      </c>
      <c r="C3160" s="0" t="inlineStr">
        <is>
          <t xml:space="preserve">broad_maritime</t>
        </is>
      </c>
      <c r="D3160" s="4">
        <v>0.23811907999999998</v>
      </c>
      <c r="E3160" s="0" t="inlineStr">
        <is>
          <t xml:space="preserve">FINCANTIERI MARINE SYSTEMS NORTH AMERICA, INC.</t>
        </is>
      </c>
      <c r="F3160" s="0" t="inlineStr">
        <is>
          <t xml:space="preserve">psc:2090</t>
        </is>
      </c>
    </row>
    <row r="3161">
      <c r="B3161" s="0" t="inlineStr">
        <is>
          <t xml:space="preserve">N3220516P7241</t>
        </is>
      </c>
      <c r="C3161" s="0" t="inlineStr">
        <is>
          <t xml:space="preserve">broad_maritime</t>
        </is>
      </c>
      <c r="D3161" s="4">
        <v>0.23789592999999998</v>
      </c>
      <c r="E3161" s="0" t="inlineStr">
        <is>
          <t xml:space="preserve">AQUA-CHEM, INC.</t>
        </is>
      </c>
      <c r="F3161" s="0" t="inlineStr">
        <is>
          <t xml:space="preserve">psc:2090</t>
        </is>
      </c>
    </row>
    <row r="3162">
      <c r="B3162" s="0" t="inlineStr">
        <is>
          <t xml:space="preserve">N3220521F1735</t>
        </is>
      </c>
      <c r="C3162" s="0" t="inlineStr">
        <is>
          <t xml:space="preserve">broad_maritime</t>
        </is>
      </c>
      <c r="D3162" s="4">
        <v>0.23782499999999998</v>
      </c>
      <c r="E3162" s="0" t="inlineStr">
        <is>
          <t xml:space="preserve">OCEAN PRODUCTS RESEARCH, INC.</t>
        </is>
      </c>
      <c r="F3162" s="0" t="inlineStr">
        <is>
          <t xml:space="preserve">psc:2090</t>
        </is>
      </c>
    </row>
    <row r="3163">
      <c r="B3163" s="0" t="inlineStr">
        <is>
          <t xml:space="preserve">N0010421PND09</t>
        </is>
      </c>
      <c r="C3163" s="0" t="inlineStr">
        <is>
          <t xml:space="preserve">small_craft</t>
        </is>
      </c>
      <c r="D3163" s="4">
        <v>0.237811</v>
      </c>
      <c r="E3163" s="0" t="inlineStr">
        <is>
          <t xml:space="preserve">ELECTRIC BOAT CORPORATION</t>
        </is>
      </c>
      <c r="F3163" s="0" t="inlineStr">
        <is>
          <t xml:space="preserve">naics:336612</t>
        </is>
      </c>
    </row>
    <row r="3164">
      <c r="B3164" s="0" t="inlineStr">
        <is>
          <t xml:space="preserve">N0018923P0591</t>
        </is>
      </c>
      <c r="C3164" s="0" t="inlineStr">
        <is>
          <t xml:space="preserve">broad_maritime</t>
        </is>
      </c>
      <c r="D3164" s="4">
        <v>0.23709999999999998</v>
      </c>
      <c r="E3164" s="0" t="inlineStr">
        <is>
          <t xml:space="preserve">PAMAS PARTIKELMESS- UND ANALYSESYSTEME GMBH</t>
        </is>
      </c>
      <c r="F3164" s="0" t="inlineStr">
        <is>
          <t xml:space="preserve">psc:2090</t>
        </is>
      </c>
    </row>
    <row r="3165">
      <c r="B3165" s="0" t="inlineStr">
        <is>
          <t xml:space="preserve">N0002422F4107</t>
        </is>
      </c>
      <c r="C3165" s="0" t="inlineStr">
        <is>
          <t xml:space="preserve">broad_maritime</t>
        </is>
      </c>
      <c r="D3165" s="4">
        <v>0.23660848999999998</v>
      </c>
      <c r="E3165" s="0" t="inlineStr">
        <is>
          <t xml:space="preserve">HEXAGON US FEDERAL, INC</t>
        </is>
      </c>
      <c r="F3165" s="0" t="inlineStr">
        <is>
          <t xml:space="preserve">psc:2090</t>
        </is>
      </c>
    </row>
    <row r="3166">
      <c r="B3166" s="0" t="inlineStr">
        <is>
          <t xml:space="preserve">N6264923P0140</t>
        </is>
      </c>
      <c r="C3166" s="0" t="inlineStr">
        <is>
          <t xml:space="preserve">broad_maritime</t>
        </is>
      </c>
      <c r="D3166" s="4">
        <v>0.23660126999999997</v>
      </c>
      <c r="E3166" s="0" t="inlineStr">
        <is>
          <t xml:space="preserve">HOSHI KEIKINZOKU KOGYO K.K.</t>
        </is>
      </c>
      <c r="F3166" s="0" t="inlineStr">
        <is>
          <t xml:space="preserve">psc:2090</t>
        </is>
      </c>
    </row>
    <row r="3167">
      <c r="B3167" s="0" t="inlineStr">
        <is>
          <t xml:space="preserve">0009</t>
        </is>
      </c>
      <c r="C3167" s="0" t="inlineStr">
        <is>
          <t xml:space="preserve">broad_maritime</t>
        </is>
      </c>
      <c r="D3167" s="4">
        <v>0.23635299999999998</v>
      </c>
      <c r="E3167" s="0" t="inlineStr">
        <is>
          <t xml:space="preserve">PACIFIC MARITIME INDUSTRIES CORP.</t>
        </is>
      </c>
      <c r="F3167" s="0" t="inlineStr">
        <is>
          <t xml:space="preserve">psc:2090</t>
        </is>
      </c>
    </row>
    <row r="3168">
      <c r="B3168" s="0" t="inlineStr">
        <is>
          <t xml:space="preserve">N0040622F0047</t>
        </is>
      </c>
      <c r="C3168" s="0" t="inlineStr">
        <is>
          <t xml:space="preserve">broad_maritime</t>
        </is>
      </c>
      <c r="D3168" s="4">
        <v>0.23629683999999998</v>
      </c>
      <c r="E3168" s="0" t="inlineStr">
        <is>
          <t xml:space="preserve">ROLLS-ROYCE SOLUTIONS AMERICA INC</t>
        </is>
      </c>
      <c r="F3168" s="0" t="inlineStr">
        <is>
          <t xml:space="preserve">psc:2090</t>
        </is>
      </c>
    </row>
    <row r="3169">
      <c r="B3169" s="0" t="inlineStr">
        <is>
          <t xml:space="preserve">N6449821F4086</t>
        </is>
      </c>
      <c r="C3169" s="0" t="inlineStr">
        <is>
          <t xml:space="preserve">broad_maritime</t>
        </is>
      </c>
      <c r="D3169" s="4">
        <v>0.23612371</v>
      </c>
      <c r="E3169" s="0" t="inlineStr">
        <is>
          <t xml:space="preserve">NAG, LLC</t>
        </is>
      </c>
      <c r="F3169" s="0" t="inlineStr">
        <is>
          <t xml:space="preserve">psc:2090</t>
        </is>
      </c>
    </row>
    <row r="3170">
      <c r="B3170" s="0" t="inlineStr">
        <is>
          <t xml:space="preserve">N0024423F0460</t>
        </is>
      </c>
      <c r="C3170" s="0" t="inlineStr">
        <is>
          <t xml:space="preserve">broad_maritime</t>
        </is>
      </c>
      <c r="D3170" s="4">
        <v>0.23603</v>
      </c>
      <c r="E3170" s="0" t="inlineStr">
        <is>
          <t xml:space="preserve">MARINE &amp; RESTAURANT FABRICATORS, INC.</t>
        </is>
      </c>
      <c r="F3170" s="0" t="inlineStr">
        <is>
          <t xml:space="preserve">psc:2090</t>
        </is>
      </c>
    </row>
    <row r="3171">
      <c r="B3171" s="0" t="inlineStr">
        <is>
          <t xml:space="preserve">N3220517P4926</t>
        </is>
      </c>
      <c r="C3171" s="0" t="inlineStr">
        <is>
          <t xml:space="preserve">broad_maritime</t>
        </is>
      </c>
      <c r="D3171" s="4">
        <v>0.23600374</v>
      </c>
      <c r="E3171" s="0" t="inlineStr">
        <is>
          <t xml:space="preserve">LAKE SHORE SYSTEMS, INC.</t>
        </is>
      </c>
      <c r="F3171" s="0" t="inlineStr">
        <is>
          <t xml:space="preserve">psc:2090</t>
        </is>
      </c>
    </row>
    <row r="3172">
      <c r="B3172" s="0" t="inlineStr">
        <is>
          <t xml:space="preserve">N3220521P2666</t>
        </is>
      </c>
      <c r="C3172" s="0" t="inlineStr">
        <is>
          <t xml:space="preserve">broad_maritime</t>
        </is>
      </c>
      <c r="D3172" s="4">
        <v>0.236</v>
      </c>
      <c r="E3172" s="0" t="inlineStr">
        <is>
          <t xml:space="preserve">LIFERAFT SYSTEMS AUSTRALIA PTY LTD</t>
        </is>
      </c>
      <c r="F3172" s="0" t="inlineStr">
        <is>
          <t xml:space="preserve">psc:2090</t>
        </is>
      </c>
    </row>
    <row r="3173">
      <c r="B3173" s="0" t="inlineStr">
        <is>
          <t xml:space="preserve">N0010421PFA01</t>
        </is>
      </c>
      <c r="C3173" s="0" t="inlineStr">
        <is>
          <t xml:space="preserve">small_craft</t>
        </is>
      </c>
      <c r="D3173" s="4">
        <v>0.235005</v>
      </c>
      <c r="E3173" s="0" t="inlineStr">
        <is>
          <t xml:space="preserve">U.S.A. SPARES INC.</t>
        </is>
      </c>
      <c r="F3173" s="0" t="inlineStr">
        <is>
          <t xml:space="preserve">naics:336612</t>
        </is>
      </c>
    </row>
    <row r="3174">
      <c r="B3174" s="0" t="inlineStr">
        <is>
          <t xml:space="preserve">N0010419PFE96</t>
        </is>
      </c>
      <c r="C3174" s="0" t="inlineStr">
        <is>
          <t xml:space="preserve">small_craft</t>
        </is>
      </c>
      <c r="D3174" s="4">
        <v>0.235005</v>
      </c>
      <c r="E3174" s="0" t="inlineStr">
        <is>
          <t xml:space="preserve">U.S.A. SPARES INC.</t>
        </is>
      </c>
      <c r="F3174" s="0" t="inlineStr">
        <is>
          <t xml:space="preserve">naics:336612</t>
        </is>
      </c>
    </row>
    <row r="3175">
      <c r="B3175" s="0" t="inlineStr">
        <is>
          <t xml:space="preserve">N6893619F0072</t>
        </is>
      </c>
      <c r="C3175" s="0" t="inlineStr">
        <is>
          <t xml:space="preserve">broad_maritime</t>
        </is>
      </c>
      <c r="D3175" s="4">
        <v>0.23472092</v>
      </c>
      <c r="E3175" s="0" t="inlineStr">
        <is>
          <t xml:space="preserve">THE MOLDING COMPANY, INC.</t>
        </is>
      </c>
      <c r="F3175" s="0" t="inlineStr">
        <is>
          <t xml:space="preserve">psc:2090</t>
        </is>
      </c>
    </row>
    <row r="3176">
      <c r="B3176" s="0" t="inlineStr">
        <is>
          <t xml:space="preserve">N6133117F0134</t>
        </is>
      </c>
      <c r="C3176" s="0" t="inlineStr">
        <is>
          <t xml:space="preserve">broad_maritime</t>
        </is>
      </c>
      <c r="D3176" s="4">
        <v>0.234278</v>
      </c>
      <c r="E3176" s="0" t="inlineStr">
        <is>
          <t xml:space="preserve">NAG, LLC</t>
        </is>
      </c>
      <c r="F3176" s="0" t="inlineStr">
        <is>
          <t xml:space="preserve">psc:2090</t>
        </is>
      </c>
    </row>
    <row r="3177">
      <c r="B3177" s="0" t="inlineStr">
        <is>
          <t xml:space="preserve">N0010421PDE39</t>
        </is>
      </c>
      <c r="C3177" s="0" t="inlineStr">
        <is>
          <t xml:space="preserve">small_craft</t>
        </is>
      </c>
      <c r="D3177" s="4">
        <v>0.23406151999999997</v>
      </c>
      <c r="E3177" s="0" t="inlineStr">
        <is>
          <t xml:space="preserve">DEFENSE MARITIME SOLUTIONS, INC.</t>
        </is>
      </c>
      <c r="F3177" s="0" t="inlineStr">
        <is>
          <t xml:space="preserve">naics:336612</t>
        </is>
      </c>
    </row>
    <row r="3178">
      <c r="B3178" s="0" t="inlineStr">
        <is>
          <t xml:space="preserve">N0002415F2206</t>
        </is>
      </c>
      <c r="C3178" s="0" t="inlineStr">
        <is>
          <t xml:space="preserve">small_craft</t>
        </is>
      </c>
      <c r="D3178" s="4">
        <v>0.232974</v>
      </c>
      <c r="E3178" s="0" t="inlineStr">
        <is>
          <t xml:space="preserve">BRUNSWICK COMMERCIAL &amp; GOVERNMENT PRODUCTS, INC.</t>
        </is>
      </c>
      <c r="F3178" s="0" t="inlineStr">
        <is>
          <t xml:space="preserve">naics:336612; psc:1940</t>
        </is>
      </c>
    </row>
    <row r="3179">
      <c r="B3179" s="0" t="inlineStr">
        <is>
          <t xml:space="preserve">N0010423PBS51</t>
        </is>
      </c>
      <c r="C3179" s="0" t="inlineStr">
        <is>
          <t xml:space="preserve">broad_maritime</t>
        </is>
      </c>
      <c r="D3179" s="4">
        <v>0.23260299999999998</v>
      </c>
      <c r="E3179" s="0" t="inlineStr">
        <is>
          <t xml:space="preserve">TURNBULL LLC</t>
        </is>
      </c>
      <c r="F3179" s="0" t="inlineStr">
        <is>
          <t xml:space="preserve">psc:2090</t>
        </is>
      </c>
    </row>
    <row r="3180">
      <c r="B3180" s="0" t="inlineStr">
        <is>
          <t xml:space="preserve">N6449819FFF45</t>
        </is>
      </c>
      <c r="C3180" s="0" t="inlineStr">
        <is>
          <t xml:space="preserve">broad_maritime</t>
        </is>
      </c>
      <c r="D3180" s="4">
        <v>0.23142223999999997</v>
      </c>
      <c r="E3180" s="0" t="inlineStr">
        <is>
          <t xml:space="preserve">NAG, LLC</t>
        </is>
      </c>
      <c r="F3180" s="0" t="inlineStr">
        <is>
          <t xml:space="preserve">psc:2090</t>
        </is>
      </c>
    </row>
    <row r="3181">
      <c r="B3181" s="0" t="inlineStr">
        <is>
          <t xml:space="preserve">N6600123P6454</t>
        </is>
      </c>
      <c r="C3181" s="0" t="inlineStr">
        <is>
          <t xml:space="preserve">usv_core</t>
        </is>
      </c>
      <c r="D3181" s="4">
        <v>0.231367</v>
      </c>
      <c r="E3181" s="0" t="inlineStr">
        <is>
          <t xml:space="preserve">OCEAN POWER TECHNOLOGIES, INC.</t>
        </is>
      </c>
      <c r="F3181" s="0" t="inlineStr">
        <is>
          <t xml:space="preserve">keyword; psc:1990</t>
        </is>
      </c>
    </row>
    <row r="3182">
      <c r="B3182" s="0" t="inlineStr">
        <is>
          <t xml:space="preserve">N6449818F4022</t>
        </is>
      </c>
      <c r="C3182" s="0" t="inlineStr">
        <is>
          <t xml:space="preserve">broad_maritime</t>
        </is>
      </c>
      <c r="D3182" s="4">
        <v>0.23113739</v>
      </c>
      <c r="E3182" s="0" t="inlineStr">
        <is>
          <t xml:space="preserve">NAG, LLC</t>
        </is>
      </c>
      <c r="F3182" s="0" t="inlineStr">
        <is>
          <t xml:space="preserve">psc:2090</t>
        </is>
      </c>
    </row>
    <row r="3183">
      <c r="B3183" s="0" t="inlineStr">
        <is>
          <t xml:space="preserve">N6449825P5012</t>
        </is>
      </c>
      <c r="C3183" s="0" t="inlineStr">
        <is>
          <t xml:space="preserve">broad_maritime</t>
        </is>
      </c>
      <c r="D3183" s="4">
        <v>0.23099489999999998</v>
      </c>
      <c r="E3183" s="0" t="inlineStr">
        <is>
          <t xml:space="preserve">CARDINAL SCIENTIFIC, INC.</t>
        </is>
      </c>
      <c r="F3183" s="0" t="inlineStr">
        <is>
          <t xml:space="preserve">psc:2090</t>
        </is>
      </c>
    </row>
    <row r="3184">
      <c r="B3184" s="0" t="inlineStr">
        <is>
          <t xml:space="preserve">N0010421PDC70</t>
        </is>
      </c>
      <c r="C3184" s="0" t="inlineStr">
        <is>
          <t xml:space="preserve">small_craft</t>
        </is>
      </c>
      <c r="D3184" s="4">
        <v>0.2307</v>
      </c>
      <c r="E3184" s="0" t="inlineStr">
        <is>
          <t xml:space="preserve">KIHOMAC INC</t>
        </is>
      </c>
      <c r="F3184" s="0" t="inlineStr">
        <is>
          <t xml:space="preserve">naics:336612</t>
        </is>
      </c>
    </row>
    <row r="3185">
      <c r="B3185" s="0" t="inlineStr">
        <is>
          <t xml:space="preserve">N3220522P2017</t>
        </is>
      </c>
      <c r="C3185" s="0" t="inlineStr">
        <is>
          <t xml:space="preserve">broad_maritime</t>
        </is>
      </c>
      <c r="D3185" s="4">
        <v>0.23032214999999998</v>
      </c>
      <c r="E3185" s="0" t="inlineStr">
        <is>
          <t xml:space="preserve">LAKE SHORE SYSTEMS, INC.</t>
        </is>
      </c>
      <c r="F3185" s="0" t="inlineStr">
        <is>
          <t xml:space="preserve">psc:2090</t>
        </is>
      </c>
    </row>
    <row r="3186">
      <c r="B3186" s="0" t="inlineStr">
        <is>
          <t xml:space="preserve">N4044316P0170</t>
        </is>
      </c>
      <c r="C3186" s="0" t="inlineStr">
        <is>
          <t xml:space="preserve">broad_maritime</t>
        </is>
      </c>
      <c r="D3186" s="4">
        <v>0.22987844</v>
      </c>
      <c r="E3186" s="0" t="inlineStr">
        <is>
          <t xml:space="preserve">COLTEC INDUSTRIES INC.</t>
        </is>
      </c>
      <c r="F3186" s="0" t="inlineStr">
        <is>
          <t xml:space="preserve">psc:2090</t>
        </is>
      </c>
    </row>
    <row r="3187">
      <c r="B3187" s="0" t="inlineStr">
        <is>
          <t xml:space="preserve">N0010423PCB28</t>
        </is>
      </c>
      <c r="C3187" s="0" t="inlineStr">
        <is>
          <t xml:space="preserve">small_craft</t>
        </is>
      </c>
      <c r="D3187" s="4">
        <v>0.22966199999999998</v>
      </c>
      <c r="E3187" s="0" t="inlineStr">
        <is>
          <t xml:space="preserve">L3HARRIS TECHNOLOGIES, INC</t>
        </is>
      </c>
      <c r="F3187" s="0" t="inlineStr">
        <is>
          <t xml:space="preserve">naics:336612</t>
        </is>
      </c>
    </row>
    <row r="3188">
      <c r="B3188" s="0" t="inlineStr">
        <is>
          <t xml:space="preserve">N4044319P0007</t>
        </is>
      </c>
      <c r="C3188" s="0" t="inlineStr">
        <is>
          <t xml:space="preserve">broad_maritime</t>
        </is>
      </c>
      <c r="D3188" s="4">
        <v>0.22955199999999998</v>
      </c>
      <c r="E3188" s="0" t="inlineStr">
        <is>
          <t xml:space="preserve">HYSPAN PRECISION PRODUCTS, INC.</t>
        </is>
      </c>
      <c r="F3188" s="0" t="inlineStr">
        <is>
          <t xml:space="preserve">psc:2090</t>
        </is>
      </c>
    </row>
    <row r="3189">
      <c r="B3189" s="0" t="inlineStr">
        <is>
          <t xml:space="preserve">N6449820F5031</t>
        </is>
      </c>
      <c r="C3189" s="0" t="inlineStr">
        <is>
          <t xml:space="preserve">broad_maritime</t>
        </is>
      </c>
      <c r="D3189" s="4">
        <v>0.22952199999999998</v>
      </c>
      <c r="E3189" s="0" t="inlineStr">
        <is>
          <t xml:space="preserve">LAUREL TECHNOLOGIES PARTNERSHIP</t>
        </is>
      </c>
      <c r="F3189" s="0" t="inlineStr">
        <is>
          <t xml:space="preserve">psc:2090</t>
        </is>
      </c>
    </row>
    <row r="3190">
      <c r="B3190" s="0" t="inlineStr">
        <is>
          <t xml:space="preserve">N3220516P4010</t>
        </is>
      </c>
      <c r="C3190" s="0" t="inlineStr">
        <is>
          <t xml:space="preserve">broad_maritime</t>
        </is>
      </c>
      <c r="D3190" s="4">
        <v>0.22931982</v>
      </c>
      <c r="E3190" s="0" t="inlineStr">
        <is>
          <t xml:space="preserve">COLTEC INDUSTRIES INC.</t>
        </is>
      </c>
      <c r="F3190" s="0" t="inlineStr">
        <is>
          <t xml:space="preserve">psc:2090</t>
        </is>
      </c>
    </row>
    <row r="3191">
      <c r="B3191" s="0" t="inlineStr">
        <is>
          <t xml:space="preserve">N0040624P0181</t>
        </is>
      </c>
      <c r="C3191" s="0" t="inlineStr">
        <is>
          <t xml:space="preserve">broad_maritime</t>
        </is>
      </c>
      <c r="D3191" s="4">
        <v>0.22904</v>
      </c>
      <c r="E3191" s="0" t="inlineStr">
        <is>
          <t xml:space="preserve">PIER SIDE SUPPLY INC</t>
        </is>
      </c>
      <c r="F3191" s="0" t="inlineStr">
        <is>
          <t xml:space="preserve">psc:2090</t>
        </is>
      </c>
    </row>
    <row r="3192">
      <c r="B3192" s="0" t="inlineStr">
        <is>
          <t xml:space="preserve">N0010424PNC77</t>
        </is>
      </c>
      <c r="C3192" s="0" t="inlineStr">
        <is>
          <t xml:space="preserve">small_craft</t>
        </is>
      </c>
      <c r="D3192" s="4">
        <v>0.228596</v>
      </c>
      <c r="E3192" s="0" t="inlineStr">
        <is>
          <t xml:space="preserve">L3 TECHNOLOGIES, INC.</t>
        </is>
      </c>
      <c r="F3192" s="0" t="inlineStr">
        <is>
          <t xml:space="preserve">naics:336612</t>
        </is>
      </c>
    </row>
    <row r="3193">
      <c r="B3193" s="0" t="inlineStr">
        <is>
          <t xml:space="preserve">N6817123F0030</t>
        </is>
      </c>
      <c r="C3193" s="0" t="inlineStr">
        <is>
          <t xml:space="preserve">broad_maritime</t>
        </is>
      </c>
      <c r="D3193" s="4">
        <v>0.22834292999999997</v>
      </c>
      <c r="E3193" s="0" t="inlineStr">
        <is>
          <t xml:space="preserve">ROLLS-ROYCE SOLUTIONS AMERICA INC</t>
        </is>
      </c>
      <c r="F3193" s="0" t="inlineStr">
        <is>
          <t xml:space="preserve">psc:2090</t>
        </is>
      </c>
    </row>
    <row r="3194">
      <c r="B3194" s="0" t="inlineStr">
        <is>
          <t xml:space="preserve">N0016419FG005</t>
        </is>
      </c>
      <c r="C3194" s="0" t="inlineStr">
        <is>
          <t xml:space="preserve">broad_maritime</t>
        </is>
      </c>
      <c r="D3194" s="4">
        <v>0.22830767999999999</v>
      </c>
      <c r="E3194" s="0" t="inlineStr">
        <is>
          <t xml:space="preserve">J &amp; N METAL PRODUCTS, LLC</t>
        </is>
      </c>
      <c r="F3194" s="0" t="inlineStr">
        <is>
          <t xml:space="preserve">psc:1905</t>
        </is>
      </c>
    </row>
    <row r="3195">
      <c r="B3195" s="0" t="inlineStr">
        <is>
          <t xml:space="preserve">N0018922P0783</t>
        </is>
      </c>
      <c r="C3195" s="0" t="inlineStr">
        <is>
          <t xml:space="preserve">broad_maritime</t>
        </is>
      </c>
      <c r="D3195" s="4">
        <v>0.22824999999999998</v>
      </c>
      <c r="E3195" s="0" t="inlineStr">
        <is>
          <t xml:space="preserve">DS IMPORTS LLC</t>
        </is>
      </c>
      <c r="F3195" s="0" t="inlineStr">
        <is>
          <t xml:space="preserve">psc:2090</t>
        </is>
      </c>
    </row>
    <row r="3196">
      <c r="B3196" s="0" t="inlineStr">
        <is>
          <t xml:space="preserve">N0003924F1035</t>
        </is>
      </c>
      <c r="C3196" s="0" t="inlineStr">
        <is>
          <t xml:space="preserve">small_craft</t>
        </is>
      </c>
      <c r="D3196" s="4">
        <v>0.22807944</v>
      </c>
      <c r="E3196" s="0" t="inlineStr">
        <is>
          <t xml:space="preserve">TELEDYNE BROWN ENGINEERING, INC.</t>
        </is>
      </c>
      <c r="F3196" s="0" t="inlineStr">
        <is>
          <t xml:space="preserve">psc:1940</t>
        </is>
      </c>
    </row>
    <row r="3197">
      <c r="B3197" s="0" t="inlineStr">
        <is>
          <t xml:space="preserve">0053</t>
        </is>
      </c>
      <c r="C3197" s="0" t="inlineStr">
        <is>
          <t xml:space="preserve">broad_maritime</t>
        </is>
      </c>
      <c r="D3197" s="4">
        <v>0.22785204</v>
      </c>
      <c r="E3197" s="0" t="inlineStr">
        <is>
          <t xml:space="preserve">ROCKWELL AUTOMATION INC</t>
        </is>
      </c>
      <c r="F3197" s="0" t="inlineStr">
        <is>
          <t xml:space="preserve">psc:2090</t>
        </is>
      </c>
    </row>
    <row r="3198">
      <c r="B3198" s="0" t="inlineStr">
        <is>
          <t xml:space="preserve">N3220522F2647</t>
        </is>
      </c>
      <c r="C3198" s="0" t="inlineStr">
        <is>
          <t xml:space="preserve">broad_maritime</t>
        </is>
      </c>
      <c r="D3198" s="4">
        <v>0.22761710999999998</v>
      </c>
      <c r="E3198" s="0" t="inlineStr">
        <is>
          <t xml:space="preserve">CIRCOR NAVAL SOLUTIONS LLC</t>
        </is>
      </c>
      <c r="F3198" s="0" t="inlineStr">
        <is>
          <t xml:space="preserve">psc:2090</t>
        </is>
      </c>
    </row>
    <row r="3199">
      <c r="B3199" s="0" t="inlineStr">
        <is>
          <t xml:space="preserve">N3220521P2024</t>
        </is>
      </c>
      <c r="C3199" s="0" t="inlineStr">
        <is>
          <t xml:space="preserve">broad_maritime</t>
        </is>
      </c>
      <c r="D3199" s="4">
        <v>0.22689273999999998</v>
      </c>
      <c r="E3199" s="0" t="inlineStr">
        <is>
          <t xml:space="preserve">DEFENSE MARITIME SOLUTIONS, INC.</t>
        </is>
      </c>
      <c r="F3199" s="0" t="inlineStr">
        <is>
          <t xml:space="preserve">psc:2090</t>
        </is>
      </c>
    </row>
    <row r="3200">
      <c r="B3200" s="0" t="inlineStr">
        <is>
          <t xml:space="preserve">N5523623P0046</t>
        </is>
      </c>
      <c r="C3200" s="0" t="inlineStr">
        <is>
          <t xml:space="preserve">broad_maritime</t>
        </is>
      </c>
      <c r="D3200" s="4">
        <v>0.2268</v>
      </c>
      <c r="E3200" s="0" t="inlineStr">
        <is>
          <t xml:space="preserve">QUALITY PACIFIC MANUFACTURING INC.</t>
        </is>
      </c>
      <c r="F3200" s="0" t="inlineStr">
        <is>
          <t xml:space="preserve">psc:2090</t>
        </is>
      </c>
    </row>
    <row r="3201">
      <c r="B3201" s="0" t="inlineStr">
        <is>
          <t xml:space="preserve">N3220522P2187</t>
        </is>
      </c>
      <c r="C3201" s="0" t="inlineStr">
        <is>
          <t xml:space="preserve">broad_maritime</t>
        </is>
      </c>
      <c r="D3201" s="4">
        <v>0.22617199999999998</v>
      </c>
      <c r="E3201" s="0" t="inlineStr">
        <is>
          <t xml:space="preserve">WACO PRODUCTS, INC</t>
        </is>
      </c>
      <c r="F3201" s="0" t="inlineStr">
        <is>
          <t xml:space="preserve">psc:2090</t>
        </is>
      </c>
    </row>
    <row r="3202">
      <c r="B3202" s="0" t="inlineStr">
        <is>
          <t xml:space="preserve">N3220517P4402</t>
        </is>
      </c>
      <c r="C3202" s="0" t="inlineStr">
        <is>
          <t xml:space="preserve">broad_maritime</t>
        </is>
      </c>
      <c r="D3202" s="4">
        <v>0.22588999999999998</v>
      </c>
      <c r="E3202" s="0" t="inlineStr">
        <is>
          <t xml:space="preserve">PROPULSION SYSTEMS, INC.</t>
        </is>
      </c>
      <c r="F3202" s="0" t="inlineStr">
        <is>
          <t xml:space="preserve">psc:2090</t>
        </is>
      </c>
    </row>
    <row r="3203">
      <c r="B3203" s="0" t="inlineStr">
        <is>
          <t xml:space="preserve">N6600119P6065</t>
        </is>
      </c>
      <c r="C3203" s="0" t="inlineStr">
        <is>
          <t xml:space="preserve">broad_maritime</t>
        </is>
      </c>
      <c r="D3203" s="4">
        <v>0.225718</v>
      </c>
      <c r="E3203" s="0" t="inlineStr">
        <is>
          <t xml:space="preserve">TELEDYNE INSTRUMENTS, INC.</t>
        </is>
      </c>
      <c r="F3203" s="0" t="inlineStr">
        <is>
          <t xml:space="preserve">psc:2090</t>
        </is>
      </c>
    </row>
    <row r="3204">
      <c r="B3204" s="0" t="inlineStr">
        <is>
          <t xml:space="preserve">N3220523P2056</t>
        </is>
      </c>
      <c r="C3204" s="0" t="inlineStr">
        <is>
          <t xml:space="preserve">broad_maritime</t>
        </is>
      </c>
      <c r="D3204" s="4">
        <v>0.22566999999999998</v>
      </c>
      <c r="E3204" s="0" t="inlineStr">
        <is>
          <t xml:space="preserve">GEA MECHANICAL EQUIPMENT US, INC.</t>
        </is>
      </c>
      <c r="F3204" s="0" t="inlineStr">
        <is>
          <t xml:space="preserve">psc:2090</t>
        </is>
      </c>
    </row>
    <row r="3205">
      <c r="B3205" s="0" t="inlineStr">
        <is>
          <t xml:space="preserve">N3220521P2252</t>
        </is>
      </c>
      <c r="C3205" s="0" t="inlineStr">
        <is>
          <t xml:space="preserve">broad_maritime</t>
        </is>
      </c>
      <c r="D3205" s="4">
        <v>0.225274</v>
      </c>
      <c r="E3205" s="0" t="inlineStr">
        <is>
          <t xml:space="preserve">RENK CORP</t>
        </is>
      </c>
      <c r="F3205" s="0" t="inlineStr">
        <is>
          <t xml:space="preserve">psc:2090</t>
        </is>
      </c>
    </row>
    <row r="3206">
      <c r="B3206" s="0" t="inlineStr">
        <is>
          <t xml:space="preserve">N3220520P0302</t>
        </is>
      </c>
      <c r="C3206" s="0" t="inlineStr">
        <is>
          <t xml:space="preserve">broad_maritime</t>
        </is>
      </c>
      <c r="D3206" s="4">
        <v>0.22499999999999998</v>
      </c>
      <c r="E3206" s="0" t="inlineStr">
        <is>
          <t xml:space="preserve">PECK &amp; HALE, LLC</t>
        </is>
      </c>
      <c r="F3206" s="0" t="inlineStr">
        <is>
          <t xml:space="preserve">psc:2090</t>
        </is>
      </c>
    </row>
    <row r="3207">
      <c r="B3207" s="0" t="inlineStr">
        <is>
          <t xml:space="preserve">N0018920PQ045</t>
        </is>
      </c>
      <c r="C3207" s="0" t="inlineStr">
        <is>
          <t xml:space="preserve">broad_maritime</t>
        </is>
      </c>
      <c r="D3207" s="4">
        <v>0.22499999999999998</v>
      </c>
      <c r="E3207" s="0" t="inlineStr">
        <is>
          <t xml:space="preserve">KONGSBERG DISCOVERY US, LLC</t>
        </is>
      </c>
      <c r="F3207" s="0" t="inlineStr">
        <is>
          <t xml:space="preserve">psc:2090</t>
        </is>
      </c>
    </row>
    <row r="3208">
      <c r="B3208" s="0" t="inlineStr">
        <is>
          <t xml:space="preserve">N3220515P3534</t>
        </is>
      </c>
      <c r="C3208" s="0" t="inlineStr">
        <is>
          <t xml:space="preserve">broad_maritime</t>
        </is>
      </c>
      <c r="D3208" s="4">
        <v>0.22496579</v>
      </c>
      <c r="E3208" s="0" t="inlineStr">
        <is>
          <t xml:space="preserve">ECI DEFENSE GROUP, INC.</t>
        </is>
      </c>
      <c r="F3208" s="0" t="inlineStr">
        <is>
          <t xml:space="preserve">psc:2090</t>
        </is>
      </c>
    </row>
    <row r="3209">
      <c r="B3209" s="0" t="inlineStr">
        <is>
          <t xml:space="preserve">N6133119F0234</t>
        </is>
      </c>
      <c r="C3209" s="0" t="inlineStr">
        <is>
          <t xml:space="preserve">broad_maritime</t>
        </is>
      </c>
      <c r="D3209" s="4">
        <v>0.22422764999999997</v>
      </c>
      <c r="E3209" s="0" t="inlineStr">
        <is>
          <t xml:space="preserve">BOOZ ALLEN HAMILTON INC</t>
        </is>
      </c>
      <c r="F3209" s="0" t="inlineStr">
        <is>
          <t xml:space="preserve">psc:2090</t>
        </is>
      </c>
    </row>
    <row r="3210">
      <c r="B3210" s="0" t="inlineStr">
        <is>
          <t xml:space="preserve">N6600122P6444</t>
        </is>
      </c>
      <c r="C3210" s="0" t="inlineStr">
        <is>
          <t xml:space="preserve">broad_maritime</t>
        </is>
      </c>
      <c r="D3210" s="4">
        <v>0.22305</v>
      </c>
      <c r="E3210" s="0" t="inlineStr">
        <is>
          <t xml:space="preserve">MRV SYSTEMS, LLC</t>
        </is>
      </c>
      <c r="F3210" s="0" t="inlineStr">
        <is>
          <t xml:space="preserve">psc:2090</t>
        </is>
      </c>
    </row>
    <row r="3211">
      <c r="B3211" s="0" t="inlineStr">
        <is>
          <t xml:space="preserve">N3220522P0122</t>
        </is>
      </c>
      <c r="C3211" s="0" t="inlineStr">
        <is>
          <t xml:space="preserve">broad_maritime</t>
        </is>
      </c>
      <c r="D3211" s="4">
        <v>0.22303007999999996</v>
      </c>
      <c r="E3211" s="0" t="inlineStr">
        <is>
          <t xml:space="preserve">THE W.W. WILLIAMS COMPANY, LLC</t>
        </is>
      </c>
      <c r="F3211" s="0" t="inlineStr">
        <is>
          <t xml:space="preserve">psc:2090</t>
        </is>
      </c>
    </row>
    <row r="3212">
      <c r="B3212" s="0" t="inlineStr">
        <is>
          <t xml:space="preserve">N5523625P0016</t>
        </is>
      </c>
      <c r="C3212" s="0" t="inlineStr">
        <is>
          <t xml:space="preserve">broad_maritime</t>
        </is>
      </c>
      <c r="D3212" s="4">
        <v>0.22225944</v>
      </c>
      <c r="E3212" s="0" t="inlineStr">
        <is>
          <t xml:space="preserve">DEFENSE MARITIME SOLUTIONS, INC.</t>
        </is>
      </c>
      <c r="F3212" s="0" t="inlineStr">
        <is>
          <t xml:space="preserve">psc:2090</t>
        </is>
      </c>
    </row>
    <row r="3213">
      <c r="B3213" s="0" t="inlineStr">
        <is>
          <t xml:space="preserve">N5523625P0008</t>
        </is>
      </c>
      <c r="C3213" s="0" t="inlineStr">
        <is>
          <t xml:space="preserve">broad_maritime</t>
        </is>
      </c>
      <c r="D3213" s="4">
        <v>0.22225944</v>
      </c>
      <c r="E3213" s="0" t="inlineStr">
        <is>
          <t xml:space="preserve">DEFENSE MARITIME SOLUTIONS, INC.</t>
        </is>
      </c>
      <c r="F3213" s="0" t="inlineStr">
        <is>
          <t xml:space="preserve">psc:2090</t>
        </is>
      </c>
    </row>
    <row r="3214">
      <c r="B3214" s="0" t="inlineStr">
        <is>
          <t xml:space="preserve">N0010425PDB63</t>
        </is>
      </c>
      <c r="C3214" s="0" t="inlineStr">
        <is>
          <t xml:space="preserve">small_craft</t>
        </is>
      </c>
      <c r="D3214" s="4">
        <v>0.2220876</v>
      </c>
      <c r="E3214" s="0" t="inlineStr">
        <is>
          <t xml:space="preserve">FRONTGRADE TECHNOLOGIES INC.</t>
        </is>
      </c>
      <c r="F3214" s="0" t="inlineStr">
        <is>
          <t xml:space="preserve">naics:336612</t>
        </is>
      </c>
    </row>
    <row r="3215">
      <c r="B3215" s="0" t="inlineStr">
        <is>
          <t xml:space="preserve">N6660421FC837</t>
        </is>
      </c>
      <c r="C3215" s="0" t="inlineStr">
        <is>
          <t xml:space="preserve">small_craft</t>
        </is>
      </c>
      <c r="D3215" s="4">
        <v>0.22203972</v>
      </c>
      <c r="E3215" s="0" t="inlineStr">
        <is>
          <t xml:space="preserve">SERCO INC</t>
        </is>
      </c>
      <c r="F3215" s="0" t="inlineStr">
        <is>
          <t xml:space="preserve">psc:1940</t>
        </is>
      </c>
    </row>
    <row r="3216">
      <c r="B3216" s="0" t="inlineStr">
        <is>
          <t xml:space="preserve">N6824624P0071</t>
        </is>
      </c>
      <c r="C3216" s="0" t="inlineStr">
        <is>
          <t xml:space="preserve">broad_maritime</t>
        </is>
      </c>
      <c r="D3216" s="4">
        <v>0.22196912</v>
      </c>
      <c r="E3216" s="0" t="inlineStr">
        <is>
          <t xml:space="preserve">HOSHI KEIKINZOKU KOGYO K.K.</t>
        </is>
      </c>
      <c r="F3216" s="0" t="inlineStr">
        <is>
          <t xml:space="preserve">psc:2090</t>
        </is>
      </c>
    </row>
    <row r="3217">
      <c r="B3217" s="0" t="inlineStr">
        <is>
          <t xml:space="preserve">N6449823P5226</t>
        </is>
      </c>
      <c r="C3217" s="0" t="inlineStr">
        <is>
          <t xml:space="preserve">broad_maritime</t>
        </is>
      </c>
      <c r="D3217" s="4">
        <v>0.22175999999999998</v>
      </c>
      <c r="E3217" s="0" t="inlineStr">
        <is>
          <t xml:space="preserve">GENERAL MANUFACTURING LLC</t>
        </is>
      </c>
      <c r="F3217" s="0" t="inlineStr">
        <is>
          <t xml:space="preserve">psc:2090</t>
        </is>
      </c>
    </row>
    <row r="3218">
      <c r="B3218" s="0" t="inlineStr">
        <is>
          <t xml:space="preserve">N0016418FG025</t>
        </is>
      </c>
      <c r="C3218" s="0" t="inlineStr">
        <is>
          <t xml:space="preserve">broad_maritime</t>
        </is>
      </c>
      <c r="D3218" s="4">
        <v>0.22175711999999997</v>
      </c>
      <c r="E3218" s="0" t="inlineStr">
        <is>
          <t xml:space="preserve">J &amp; N METAL PRODUCTS, LLC</t>
        </is>
      </c>
      <c r="F3218" s="0" t="inlineStr">
        <is>
          <t xml:space="preserve">psc:1905</t>
        </is>
      </c>
    </row>
    <row r="3219">
      <c r="B3219" s="0" t="inlineStr">
        <is>
          <t xml:space="preserve">N0016418FG007</t>
        </is>
      </c>
      <c r="C3219" s="0" t="inlineStr">
        <is>
          <t xml:space="preserve">broad_maritime</t>
        </is>
      </c>
      <c r="D3219" s="4">
        <v>0.22175567999999998</v>
      </c>
      <c r="E3219" s="0" t="inlineStr">
        <is>
          <t xml:space="preserve">J &amp; N METAL PRODUCTS, LLC</t>
        </is>
      </c>
      <c r="F3219" s="0" t="inlineStr">
        <is>
          <t xml:space="preserve">psc:1905</t>
        </is>
      </c>
    </row>
    <row r="3220">
      <c r="B3220" s="0" t="inlineStr">
        <is>
          <t xml:space="preserve">N6824623P0140</t>
        </is>
      </c>
      <c r="C3220" s="0" t="inlineStr">
        <is>
          <t xml:space="preserve">small_craft</t>
        </is>
      </c>
      <c r="D3220" s="4">
        <v>0.2216</v>
      </c>
      <c r="E3220" s="0" t="inlineStr">
        <is>
          <t xml:space="preserve">OPS CORPORATION</t>
        </is>
      </c>
      <c r="F3220" s="0" t="inlineStr">
        <is>
          <t xml:space="preserve">naics:336612</t>
        </is>
      </c>
    </row>
    <row r="3221">
      <c r="B3221" s="0" t="inlineStr">
        <is>
          <t xml:space="preserve">N3220514P4231</t>
        </is>
      </c>
      <c r="C3221" s="0" t="inlineStr">
        <is>
          <t xml:space="preserve">broad_maritime</t>
        </is>
      </c>
      <c r="D3221" s="4">
        <v>0.22099190999999999</v>
      </c>
      <c r="E3221" s="0" t="inlineStr">
        <is>
          <t xml:space="preserve">TIMBERLINE TRACTOR &amp; MARINE INC</t>
        </is>
      </c>
      <c r="F3221" s="0" t="inlineStr">
        <is>
          <t xml:space="preserve">psc:2090</t>
        </is>
      </c>
    </row>
    <row r="3222">
      <c r="B3222" s="0" t="inlineStr">
        <is>
          <t xml:space="preserve">N3220517P4212</t>
        </is>
      </c>
      <c r="C3222" s="0" t="inlineStr">
        <is>
          <t xml:space="preserve">broad_maritime</t>
        </is>
      </c>
      <c r="D3222" s="4">
        <v>0.22053963</v>
      </c>
      <c r="E3222" s="0" t="inlineStr">
        <is>
          <t xml:space="preserve">MOTOR-SERVICES HUGO STAMP, INC</t>
        </is>
      </c>
      <c r="F3222" s="0" t="inlineStr">
        <is>
          <t xml:space="preserve">psc:2090</t>
        </is>
      </c>
    </row>
    <row r="3223">
      <c r="B3223" s="0" t="inlineStr">
        <is>
          <t xml:space="preserve">N6449820F4318</t>
        </is>
      </c>
      <c r="C3223" s="0" t="inlineStr">
        <is>
          <t xml:space="preserve">broad_maritime</t>
        </is>
      </c>
      <c r="D3223" s="4">
        <v>0.220041</v>
      </c>
      <c r="E3223" s="0" t="inlineStr">
        <is>
          <t xml:space="preserve">FLIGHTFAB, INC.</t>
        </is>
      </c>
      <c r="F3223" s="0" t="inlineStr">
        <is>
          <t xml:space="preserve">psc:2090</t>
        </is>
      </c>
    </row>
    <row r="3224">
      <c r="B3224" s="0" t="inlineStr">
        <is>
          <t xml:space="preserve">0001</t>
        </is>
      </c>
      <c r="C3224" s="0" t="inlineStr">
        <is>
          <t xml:space="preserve">broad_maritime</t>
        </is>
      </c>
      <c r="D3224" s="4">
        <v>0.22001199999999999</v>
      </c>
      <c r="E3224" s="0" t="inlineStr">
        <is>
          <t xml:space="preserve">PIPING SYSTEMS INTERNATIONAL INC</t>
        </is>
      </c>
      <c r="F3224" s="0" t="inlineStr">
        <is>
          <t xml:space="preserve">psc:2090</t>
        </is>
      </c>
    </row>
    <row r="3225">
      <c r="B3225" s="0" t="inlineStr">
        <is>
          <t xml:space="preserve">N0010423PXB03</t>
        </is>
      </c>
      <c r="C3225" s="0" t="inlineStr">
        <is>
          <t xml:space="preserve">broad_maritime</t>
        </is>
      </c>
      <c r="D3225" s="4">
        <v>0.21992201999999997</v>
      </c>
      <c r="E3225" s="0" t="inlineStr">
        <is>
          <t xml:space="preserve">WING INFLATABLES INC</t>
        </is>
      </c>
      <c r="F3225" s="0" t="inlineStr">
        <is>
          <t xml:space="preserve">psc:2090</t>
        </is>
      </c>
    </row>
    <row r="3226">
      <c r="B3226" s="0" t="inlineStr">
        <is>
          <t xml:space="preserve">N3220523P2048</t>
        </is>
      </c>
      <c r="C3226" s="0" t="inlineStr">
        <is>
          <t xml:space="preserve">broad_maritime</t>
        </is>
      </c>
      <c r="D3226" s="4">
        <v>0.21982031999999999</v>
      </c>
      <c r="E3226" s="0" t="inlineStr">
        <is>
          <t xml:space="preserve">THE ROWLAND COMPANY</t>
        </is>
      </c>
      <c r="F3226" s="0" t="inlineStr">
        <is>
          <t xml:space="preserve">psc:2090</t>
        </is>
      </c>
    </row>
    <row r="3227">
      <c r="B3227" s="0" t="inlineStr">
        <is>
          <t xml:space="preserve">N3220519P4532</t>
        </is>
      </c>
      <c r="C3227" s="0" t="inlineStr">
        <is>
          <t xml:space="preserve">broad_maritime</t>
        </is>
      </c>
      <c r="D3227" s="4">
        <v>0.21974396999999998</v>
      </c>
      <c r="E3227" s="0" t="inlineStr">
        <is>
          <t xml:space="preserve">DEFENSE MARITIME SOLUTIONS, INC.</t>
        </is>
      </c>
      <c r="F3227" s="0" t="inlineStr">
        <is>
          <t xml:space="preserve">psc:2090</t>
        </is>
      </c>
    </row>
    <row r="3228">
      <c r="B3228" s="0" t="inlineStr">
        <is>
          <t xml:space="preserve">N6230619P0030</t>
        </is>
      </c>
      <c r="C3228" s="0" t="inlineStr">
        <is>
          <t xml:space="preserve">broad_maritime</t>
        </is>
      </c>
      <c r="D3228" s="4">
        <v>0.21938</v>
      </c>
      <c r="E3228" s="0" t="inlineStr">
        <is>
          <t xml:space="preserve">TELEDYNE INSTRUMENTS, INC.</t>
        </is>
      </c>
      <c r="F3228" s="0" t="inlineStr">
        <is>
          <t xml:space="preserve">psc:2090</t>
        </is>
      </c>
    </row>
    <row r="3229">
      <c r="B3229" s="0" t="inlineStr">
        <is>
          <t xml:space="preserve">N0010425PNA41</t>
        </is>
      </c>
      <c r="C3229" s="0" t="inlineStr">
        <is>
          <t xml:space="preserve">small_craft</t>
        </is>
      </c>
      <c r="D3229" s="4">
        <v>0.21925999999999998</v>
      </c>
      <c r="E3229" s="0" t="inlineStr">
        <is>
          <t xml:space="preserve">U.S.A. SPARES INC.</t>
        </is>
      </c>
      <c r="F3229" s="0" t="inlineStr">
        <is>
          <t xml:space="preserve">naics:336612</t>
        </is>
      </c>
    </row>
    <row r="3230">
      <c r="B3230" s="0" t="inlineStr">
        <is>
          <t xml:space="preserve">N6449819F4010</t>
        </is>
      </c>
      <c r="C3230" s="0" t="inlineStr">
        <is>
          <t xml:space="preserve">broad_maritime</t>
        </is>
      </c>
      <c r="D3230" s="4">
        <v>0.21925399999999998</v>
      </c>
      <c r="E3230" s="0" t="inlineStr">
        <is>
          <t xml:space="preserve">FLIGHTFAB, INC.</t>
        </is>
      </c>
      <c r="F3230" s="0" t="inlineStr">
        <is>
          <t xml:space="preserve">psc:2090</t>
        </is>
      </c>
    </row>
    <row r="3231">
      <c r="B3231" s="0" t="inlineStr">
        <is>
          <t xml:space="preserve">N6449819F4009</t>
        </is>
      </c>
      <c r="C3231" s="0" t="inlineStr">
        <is>
          <t xml:space="preserve">broad_maritime</t>
        </is>
      </c>
      <c r="D3231" s="4">
        <v>0.21925399999999998</v>
      </c>
      <c r="E3231" s="0" t="inlineStr">
        <is>
          <t xml:space="preserve">FLIGHTFAB, INC.</t>
        </is>
      </c>
      <c r="F3231" s="0" t="inlineStr">
        <is>
          <t xml:space="preserve">psc:2090</t>
        </is>
      </c>
    </row>
    <row r="3232">
      <c r="B3232" s="0" t="inlineStr">
        <is>
          <t xml:space="preserve">N6279323F4T02</t>
        </is>
      </c>
      <c r="C3232" s="0" t="inlineStr">
        <is>
          <t xml:space="preserve">broad_maritime</t>
        </is>
      </c>
      <c r="D3232" s="4">
        <v>0.21892499999999998</v>
      </c>
      <c r="E3232" s="0" t="inlineStr">
        <is>
          <t xml:space="preserve">HUNTINGTON INGALLS INC</t>
        </is>
      </c>
      <c r="F3232" s="0" t="inlineStr">
        <is>
          <t xml:space="preserve">psc:1905</t>
        </is>
      </c>
    </row>
    <row r="3233">
      <c r="B3233" s="0" t="inlineStr">
        <is>
          <t xml:space="preserve">N3220517P4305</t>
        </is>
      </c>
      <c r="C3233" s="0" t="inlineStr">
        <is>
          <t xml:space="preserve">broad_maritime</t>
        </is>
      </c>
      <c r="D3233" s="4">
        <v>0.21871751999999997</v>
      </c>
      <c r="E3233" s="0" t="inlineStr">
        <is>
          <t xml:space="preserve">VALVE AUTOMATION AND CONTROL OF SAN DIEGO</t>
        </is>
      </c>
      <c r="F3233" s="0" t="inlineStr">
        <is>
          <t xml:space="preserve">psc:2090</t>
        </is>
      </c>
    </row>
    <row r="3234">
      <c r="B3234" s="0" t="inlineStr">
        <is>
          <t xml:space="preserve">N0040619P0089</t>
        </is>
      </c>
      <c r="C3234" s="0" t="inlineStr">
        <is>
          <t xml:space="preserve">broad_maritime</t>
        </is>
      </c>
      <c r="D3234" s="4">
        <v>0.21840827999999998</v>
      </c>
      <c r="E3234" s="0" t="inlineStr">
        <is>
          <t xml:space="preserve">C &amp; B TECHNOLOGY, LLC</t>
        </is>
      </c>
      <c r="F3234" s="0" t="inlineStr">
        <is>
          <t xml:space="preserve">psc:2090</t>
        </is>
      </c>
    </row>
    <row r="3235">
      <c r="B3235" s="0" t="inlineStr">
        <is>
          <t xml:space="preserve">N4044316P0237</t>
        </is>
      </c>
      <c r="C3235" s="0" t="inlineStr">
        <is>
          <t xml:space="preserve">broad_maritime</t>
        </is>
      </c>
      <c r="D3235" s="4">
        <v>0.21833</v>
      </c>
      <c r="E3235" s="0" t="inlineStr">
        <is>
          <t xml:space="preserve">DEFENSE MARITIME SOLUTIONS, INC.</t>
        </is>
      </c>
      <c r="F3235" s="0" t="inlineStr">
        <is>
          <t xml:space="preserve">psc:2090</t>
        </is>
      </c>
    </row>
    <row r="3236">
      <c r="B3236" s="0" t="inlineStr">
        <is>
          <t xml:space="preserve">N0040622P0730</t>
        </is>
      </c>
      <c r="C3236" s="0" t="inlineStr">
        <is>
          <t xml:space="preserve">broad_maritime</t>
        </is>
      </c>
      <c r="D3236" s="4">
        <v>0.21812851</v>
      </c>
      <c r="E3236" s="0" t="inlineStr">
        <is>
          <t xml:space="preserve">TORK SYSTEMS INC</t>
        </is>
      </c>
      <c r="F3236" s="0" t="inlineStr">
        <is>
          <t xml:space="preserve">psc:2090</t>
        </is>
      </c>
    </row>
    <row r="3237">
      <c r="B3237" s="0" t="inlineStr">
        <is>
          <t xml:space="preserve">N0010418PFG63</t>
        </is>
      </c>
      <c r="C3237" s="0" t="inlineStr">
        <is>
          <t xml:space="preserve">broad_maritime</t>
        </is>
      </c>
      <c r="D3237" s="4">
        <v>0.218127</v>
      </c>
      <c r="E3237" s="0" t="inlineStr">
        <is>
          <t xml:space="preserve">L3 TECHNOLOGIES, INC.</t>
        </is>
      </c>
      <c r="F3237" s="0" t="inlineStr">
        <is>
          <t xml:space="preserve">psc:2090</t>
        </is>
      </c>
    </row>
    <row r="3238">
      <c r="B3238" s="0" t="inlineStr">
        <is>
          <t xml:space="preserve">N5005423P0170</t>
        </is>
      </c>
      <c r="C3238" s="0" t="inlineStr">
        <is>
          <t xml:space="preserve">broad_maritime</t>
        </is>
      </c>
      <c r="D3238" s="4">
        <v>0.21811704</v>
      </c>
      <c r="E3238" s="0" t="inlineStr">
        <is>
          <t xml:space="preserve">THE SHERWIN-WILLIAMS COMPANY</t>
        </is>
      </c>
      <c r="F3238" s="0" t="inlineStr">
        <is>
          <t xml:space="preserve">psc:2090</t>
        </is>
      </c>
    </row>
    <row r="3239">
      <c r="B3239" s="0" t="inlineStr">
        <is>
          <t xml:space="preserve">N6449820F4415</t>
        </is>
      </c>
      <c r="C3239" s="0" t="inlineStr">
        <is>
          <t xml:space="preserve">broad_maritime</t>
        </is>
      </c>
      <c r="D3239" s="4">
        <v>0.21783</v>
      </c>
      <c r="E3239" s="0" t="inlineStr">
        <is>
          <t xml:space="preserve">NAG, LLC</t>
        </is>
      </c>
      <c r="F3239" s="0" t="inlineStr">
        <is>
          <t xml:space="preserve">psc:2090</t>
        </is>
      </c>
    </row>
    <row r="3240">
      <c r="B3240" s="0" t="inlineStr">
        <is>
          <t xml:space="preserve">N6264925PB090</t>
        </is>
      </c>
      <c r="C3240" s="0" t="inlineStr">
        <is>
          <t xml:space="preserve">broad_maritime</t>
        </is>
      </c>
      <c r="D3240" s="4">
        <v>0.21724765</v>
      </c>
      <c r="E3240" s="0" t="inlineStr">
        <is>
          <t xml:space="preserve">HOSHI KEIKINZOKU KOGYO K.K.</t>
        </is>
      </c>
      <c r="F3240" s="0" t="inlineStr">
        <is>
          <t xml:space="preserve">psc:2090</t>
        </is>
      </c>
    </row>
    <row r="3241">
      <c r="B3241" s="0" t="inlineStr">
        <is>
          <t xml:space="preserve">N3220518P6454</t>
        </is>
      </c>
      <c r="C3241" s="0" t="inlineStr">
        <is>
          <t xml:space="preserve">broad_maritime</t>
        </is>
      </c>
      <c r="D3241" s="4">
        <v>0.2171286</v>
      </c>
      <c r="E3241" s="0" t="inlineStr">
        <is>
          <t xml:space="preserve">PC VISION INC</t>
        </is>
      </c>
      <c r="F3241" s="0" t="inlineStr">
        <is>
          <t xml:space="preserve">psc:2090</t>
        </is>
      </c>
    </row>
    <row r="3242">
      <c r="B3242" s="0" t="inlineStr">
        <is>
          <t xml:space="preserve">N6554014P5261</t>
        </is>
      </c>
      <c r="C3242" s="0" t="inlineStr">
        <is>
          <t xml:space="preserve">broad_maritime</t>
        </is>
      </c>
      <c r="D3242" s="4">
        <v>0.21656</v>
      </c>
      <c r="E3242" s="0" t="inlineStr">
        <is>
          <t xml:space="preserve">RHOADS INDUSTRIES, INC.</t>
        </is>
      </c>
      <c r="F3242" s="0" t="inlineStr">
        <is>
          <t xml:space="preserve">psc:2090</t>
        </is>
      </c>
    </row>
    <row r="3243">
      <c r="B3243" s="0" t="inlineStr">
        <is>
          <t xml:space="preserve">0020</t>
        </is>
      </c>
      <c r="C3243" s="0" t="inlineStr">
        <is>
          <t xml:space="preserve">small_craft</t>
        </is>
      </c>
      <c r="D3243" s="4">
        <v>0.21651595</v>
      </c>
      <c r="E3243" s="0" t="inlineStr">
        <is>
          <t xml:space="preserve">SAUNDERS ENGINE &amp; EQUIPMENT CO INC</t>
        </is>
      </c>
      <c r="F3243" s="0" t="inlineStr">
        <is>
          <t xml:space="preserve">naics:336612</t>
        </is>
      </c>
    </row>
    <row r="3244">
      <c r="B3244" s="0" t="inlineStr">
        <is>
          <t xml:space="preserve">N4044617P0056</t>
        </is>
      </c>
      <c r="C3244" s="0" t="inlineStr">
        <is>
          <t xml:space="preserve">broad_maritime</t>
        </is>
      </c>
      <c r="D3244" s="4">
        <v>0.216362</v>
      </c>
      <c r="E3244" s="0" t="inlineStr">
        <is>
          <t xml:space="preserve">QUALITY REFRIGERATION COMPANY, INC.</t>
        </is>
      </c>
      <c r="F3244" s="0" t="inlineStr">
        <is>
          <t xml:space="preserve">psc:2090</t>
        </is>
      </c>
    </row>
    <row r="3245">
      <c r="B3245" s="0" t="inlineStr">
        <is>
          <t xml:space="preserve">N3220515P3414</t>
        </is>
      </c>
      <c r="C3245" s="0" t="inlineStr">
        <is>
          <t xml:space="preserve">broad_maritime</t>
        </is>
      </c>
      <c r="D3245" s="4">
        <v>0.21601236</v>
      </c>
      <c r="E3245" s="0" t="inlineStr">
        <is>
          <t xml:space="preserve">COLTEC INDUSTRIES INC.</t>
        </is>
      </c>
      <c r="F3245" s="0" t="inlineStr">
        <is>
          <t xml:space="preserve">psc:2090</t>
        </is>
      </c>
    </row>
    <row r="3246">
      <c r="B3246" s="0" t="inlineStr">
        <is>
          <t xml:space="preserve">N0010426PXA65</t>
        </is>
      </c>
      <c r="C3246" s="0" t="inlineStr">
        <is>
          <t xml:space="preserve">small_craft</t>
        </is>
      </c>
      <c r="D3246" s="4">
        <v>0.21590905999999999</v>
      </c>
      <c r="E3246" s="0" t="inlineStr">
        <is>
          <t xml:space="preserve">VIRGINIA ELECTRONIC SYSTEMS, INC.</t>
        </is>
      </c>
      <c r="F3246" s="0" t="inlineStr">
        <is>
          <t xml:space="preserve">naics:336612; psc:1940</t>
        </is>
      </c>
    </row>
    <row r="3247">
      <c r="B3247" s="0" t="inlineStr">
        <is>
          <t xml:space="preserve">N0040623P0672</t>
        </is>
      </c>
      <c r="C3247" s="0" t="inlineStr">
        <is>
          <t xml:space="preserve">broad_maritime</t>
        </is>
      </c>
      <c r="D3247" s="4">
        <v>0.21553151</v>
      </c>
      <c r="E3247" s="0" t="inlineStr">
        <is>
          <t xml:space="preserve">IMECO INC</t>
        </is>
      </c>
      <c r="F3247" s="0" t="inlineStr">
        <is>
          <t xml:space="preserve">psc:2090</t>
        </is>
      </c>
    </row>
    <row r="3248">
      <c r="B3248" s="0" t="inlineStr">
        <is>
          <t xml:space="preserve">N3220516C4000</t>
        </is>
      </c>
      <c r="C3248" s="0" t="inlineStr">
        <is>
          <t xml:space="preserve">broad_maritime</t>
        </is>
      </c>
      <c r="D3248" s="4">
        <v>0.21512823999999997</v>
      </c>
      <c r="E3248" s="0" t="inlineStr">
        <is>
          <t xml:space="preserve">COLTEC INDUSTRIES INC.</t>
        </is>
      </c>
      <c r="F3248" s="0" t="inlineStr">
        <is>
          <t xml:space="preserve">psc:2090</t>
        </is>
      </c>
    </row>
    <row r="3249">
      <c r="B3249" s="0" t="inlineStr">
        <is>
          <t xml:space="preserve">N5523623P0011</t>
        </is>
      </c>
      <c r="C3249" s="0" t="inlineStr">
        <is>
          <t xml:space="preserve">broad_maritime</t>
        </is>
      </c>
      <c r="D3249" s="4">
        <v>0.21506999999999998</v>
      </c>
      <c r="E3249" s="0" t="inlineStr">
        <is>
          <t xml:space="preserve">PIER SIDE SUPPLY INC</t>
        </is>
      </c>
      <c r="F3249" s="0" t="inlineStr">
        <is>
          <t xml:space="preserve">psc:2090</t>
        </is>
      </c>
    </row>
    <row r="3250">
      <c r="B3250" s="0" t="inlineStr">
        <is>
          <t xml:space="preserve">N3220521F2110</t>
        </is>
      </c>
      <c r="C3250" s="0" t="inlineStr">
        <is>
          <t xml:space="preserve">broad_maritime</t>
        </is>
      </c>
      <c r="D3250" s="4">
        <v>0.21466274999999999</v>
      </c>
      <c r="E3250" s="0" t="inlineStr">
        <is>
          <t xml:space="preserve">STEELSTRAN INDUSTRIES, INC</t>
        </is>
      </c>
      <c r="F3250" s="0" t="inlineStr">
        <is>
          <t xml:space="preserve">psc:2090</t>
        </is>
      </c>
    </row>
    <row r="3251">
      <c r="B3251" s="0" t="inlineStr">
        <is>
          <t xml:space="preserve">N3220515P3012</t>
        </is>
      </c>
      <c r="C3251" s="0" t="inlineStr">
        <is>
          <t xml:space="preserve">broad_maritime</t>
        </is>
      </c>
      <c r="D3251" s="4">
        <v>0.21411465999999998</v>
      </c>
      <c r="E3251" s="0" t="inlineStr">
        <is>
          <t xml:space="preserve">IMECO INC</t>
        </is>
      </c>
      <c r="F3251" s="0" t="inlineStr">
        <is>
          <t xml:space="preserve">psc:2090</t>
        </is>
      </c>
    </row>
    <row r="3252">
      <c r="B3252" s="0" t="inlineStr">
        <is>
          <t xml:space="preserve">0009</t>
        </is>
      </c>
      <c r="C3252" s="0" t="inlineStr">
        <is>
          <t xml:space="preserve">broad_maritime</t>
        </is>
      </c>
      <c r="D3252" s="4">
        <v>0.214026</v>
      </c>
      <c r="E3252" s="0" t="inlineStr">
        <is>
          <t xml:space="preserve">LOCKHEED MARTIN CORPORATION</t>
        </is>
      </c>
      <c r="F3252" s="0" t="inlineStr">
        <is>
          <t xml:space="preserve">psc:1905</t>
        </is>
      </c>
    </row>
    <row r="3253">
      <c r="B3253" s="0" t="inlineStr">
        <is>
          <t xml:space="preserve">N0010423FY703</t>
        </is>
      </c>
      <c r="C3253" s="0" t="inlineStr">
        <is>
          <t xml:space="preserve">small_craft</t>
        </is>
      </c>
      <c r="D3253" s="4">
        <v>0.213941</v>
      </c>
      <c r="E3253" s="0" t="inlineStr">
        <is>
          <t xml:space="preserve">L3 TECHNOLOGIES, INC.</t>
        </is>
      </c>
      <c r="F3253" s="0" t="inlineStr">
        <is>
          <t xml:space="preserve">naics:336612</t>
        </is>
      </c>
    </row>
    <row r="3254">
      <c r="B3254" s="0" t="inlineStr">
        <is>
          <t xml:space="preserve">N3220525P2071</t>
        </is>
      </c>
      <c r="C3254" s="0" t="inlineStr">
        <is>
          <t xml:space="preserve">broad_maritime</t>
        </is>
      </c>
      <c r="D3254" s="4">
        <v>0.21379257999999998</v>
      </c>
      <c r="E3254" s="0" t="inlineStr">
        <is>
          <t xml:space="preserve">ALLIED SYSTEMS COMPANY</t>
        </is>
      </c>
      <c r="F3254" s="0" t="inlineStr">
        <is>
          <t xml:space="preserve">psc:2090</t>
        </is>
      </c>
    </row>
    <row r="3255">
      <c r="B3255" s="0" t="inlineStr">
        <is>
          <t xml:space="preserve">N3220516P4210</t>
        </is>
      </c>
      <c r="C3255" s="0" t="inlineStr">
        <is>
          <t xml:space="preserve">broad_maritime</t>
        </is>
      </c>
      <c r="D3255" s="4">
        <v>0.21291570999999998</v>
      </c>
      <c r="E3255" s="0" t="inlineStr">
        <is>
          <t xml:space="preserve">CARTER MACHINERY COMPANY, INCORPORATED</t>
        </is>
      </c>
      <c r="F3255" s="0" t="inlineStr">
        <is>
          <t xml:space="preserve">psc:2090</t>
        </is>
      </c>
    </row>
    <row r="3256">
      <c r="B3256" s="0" t="inlineStr">
        <is>
          <t xml:space="preserve">N0025323P0022</t>
        </is>
      </c>
      <c r="C3256" s="0" t="inlineStr">
        <is>
          <t xml:space="preserve">other_small</t>
        </is>
      </c>
      <c r="D3256" s="4">
        <v>0.212643</v>
      </c>
      <c r="E3256" s="0" t="inlineStr">
        <is>
          <t xml:space="preserve">PLATYPUS MARINE INC</t>
        </is>
      </c>
      <c r="F3256" s="0" t="inlineStr">
        <is>
          <t xml:space="preserve">psc:1925</t>
        </is>
      </c>
    </row>
    <row r="3257">
      <c r="B3257" s="0" t="inlineStr">
        <is>
          <t xml:space="preserve">N5523623P0091</t>
        </is>
      </c>
      <c r="C3257" s="0" t="inlineStr">
        <is>
          <t xml:space="preserve">broad_maritime</t>
        </is>
      </c>
      <c r="D3257" s="4">
        <v>0.212411</v>
      </c>
      <c r="E3257" s="0" t="inlineStr">
        <is>
          <t xml:space="preserve">PIER SIDE SUPPLY INC</t>
        </is>
      </c>
      <c r="F3257" s="0" t="inlineStr">
        <is>
          <t xml:space="preserve">psc:2090</t>
        </is>
      </c>
    </row>
    <row r="3258">
      <c r="B3258" s="0" t="inlineStr">
        <is>
          <t xml:space="preserve">N0003918F1266</t>
        </is>
      </c>
      <c r="C3258" s="0" t="inlineStr">
        <is>
          <t xml:space="preserve">broad_maritime</t>
        </is>
      </c>
      <c r="D3258" s="4">
        <v>0.21238892</v>
      </c>
      <c r="E3258" s="0" t="inlineStr">
        <is>
          <t xml:space="preserve">LOCKHEED MARTIN CORPORATION</t>
        </is>
      </c>
      <c r="F3258" s="0" t="inlineStr">
        <is>
          <t xml:space="preserve">psc:2090</t>
        </is>
      </c>
    </row>
    <row r="3259">
      <c r="B3259" s="0" t="inlineStr">
        <is>
          <t xml:space="preserve">N3220522P0030</t>
        </is>
      </c>
      <c r="C3259" s="0" t="inlineStr">
        <is>
          <t xml:space="preserve">broad_maritime</t>
        </is>
      </c>
      <c r="D3259" s="4">
        <v>0.21198646999999998</v>
      </c>
      <c r="E3259" s="0" t="inlineStr">
        <is>
          <t xml:space="preserve">DEFENSE MARITIME SOLUTIONS, INC.</t>
        </is>
      </c>
      <c r="F3259" s="0" t="inlineStr">
        <is>
          <t xml:space="preserve">psc:2090</t>
        </is>
      </c>
    </row>
    <row r="3260">
      <c r="B3260" s="0" t="inlineStr">
        <is>
          <t xml:space="preserve">N5005423P0075</t>
        </is>
      </c>
      <c r="C3260" s="0" t="inlineStr">
        <is>
          <t xml:space="preserve">broad_maritime</t>
        </is>
      </c>
      <c r="D3260" s="4">
        <v>0.211805</v>
      </c>
      <c r="E3260" s="0" t="inlineStr">
        <is>
          <t xml:space="preserve">CORNELL-CARR CO., INC.</t>
        </is>
      </c>
      <c r="F3260" s="0" t="inlineStr">
        <is>
          <t xml:space="preserve">psc:2090</t>
        </is>
      </c>
    </row>
    <row r="3261">
      <c r="B3261" s="0" t="inlineStr">
        <is>
          <t xml:space="preserve">N3220515P1362</t>
        </is>
      </c>
      <c r="C3261" s="0" t="inlineStr">
        <is>
          <t xml:space="preserve">broad_maritime</t>
        </is>
      </c>
      <c r="D3261" s="4">
        <v>0.21148576</v>
      </c>
      <c r="E3261" s="0" t="inlineStr">
        <is>
          <t xml:space="preserve">ROLLS-ROYCE MARINE NORTH AMERICA INC.</t>
        </is>
      </c>
      <c r="F3261" s="0" t="inlineStr">
        <is>
          <t xml:space="preserve">psc:2090</t>
        </is>
      </c>
    </row>
    <row r="3262">
      <c r="B3262" s="0" t="inlineStr">
        <is>
          <t xml:space="preserve">N3220515P3687</t>
        </is>
      </c>
      <c r="C3262" s="0" t="inlineStr">
        <is>
          <t xml:space="preserve">broad_maritime</t>
        </is>
      </c>
      <c r="D3262" s="4">
        <v>0.2114264</v>
      </c>
      <c r="E3262" s="0" t="inlineStr">
        <is>
          <t xml:space="preserve">COLTEC INDUSTRIES INC.</t>
        </is>
      </c>
      <c r="F3262" s="0" t="inlineStr">
        <is>
          <t xml:space="preserve">psc:2090</t>
        </is>
      </c>
    </row>
    <row r="3263">
      <c r="B3263" s="0" t="inlineStr">
        <is>
          <t xml:space="preserve">N0024425F0038</t>
        </is>
      </c>
      <c r="C3263" s="0" t="inlineStr">
        <is>
          <t xml:space="preserve">broad_maritime</t>
        </is>
      </c>
      <c r="D3263" s="4">
        <v>0.21128999999999998</v>
      </c>
      <c r="E3263" s="0" t="inlineStr">
        <is>
          <t xml:space="preserve">MARINE &amp; RESTAURANT FABRICATORS, INC.</t>
        </is>
      </c>
      <c r="F3263" s="0" t="inlineStr">
        <is>
          <t xml:space="preserve">psc:2090</t>
        </is>
      </c>
    </row>
    <row r="3264">
      <c r="B3264" s="0" t="inlineStr">
        <is>
          <t xml:space="preserve">N6449818F4038</t>
        </is>
      </c>
      <c r="C3264" s="0" t="inlineStr">
        <is>
          <t xml:space="preserve">broad_maritime</t>
        </is>
      </c>
      <c r="D3264" s="4">
        <v>0.211</v>
      </c>
      <c r="E3264" s="0" t="inlineStr">
        <is>
          <t xml:space="preserve">FLIGHTFAB, INC.</t>
        </is>
      </c>
      <c r="F3264" s="0" t="inlineStr">
        <is>
          <t xml:space="preserve">psc:2090</t>
        </is>
      </c>
    </row>
    <row r="3265">
      <c r="B3265" s="0" t="inlineStr">
        <is>
          <t xml:space="preserve">N6449818F4027</t>
        </is>
      </c>
      <c r="C3265" s="0" t="inlineStr">
        <is>
          <t xml:space="preserve">broad_maritime</t>
        </is>
      </c>
      <c r="D3265" s="4">
        <v>0.211</v>
      </c>
      <c r="E3265" s="0" t="inlineStr">
        <is>
          <t xml:space="preserve">FLIGHTFAB, INC.</t>
        </is>
      </c>
      <c r="F3265" s="0" t="inlineStr">
        <is>
          <t xml:space="preserve">psc:2090</t>
        </is>
      </c>
    </row>
    <row r="3266">
      <c r="B3266" s="0" t="inlineStr">
        <is>
          <t xml:space="preserve">N0010425PYE23</t>
        </is>
      </c>
      <c r="C3266" s="0" t="inlineStr">
        <is>
          <t xml:space="preserve">small_craft</t>
        </is>
      </c>
      <c r="D3266" s="4">
        <v>0.21095999999999998</v>
      </c>
      <c r="E3266" s="0" t="inlineStr">
        <is>
          <t xml:space="preserve">MOOG INC</t>
        </is>
      </c>
      <c r="F3266" s="0" t="inlineStr">
        <is>
          <t xml:space="preserve">naics:336612</t>
        </is>
      </c>
    </row>
    <row r="3267">
      <c r="B3267" s="0" t="inlineStr">
        <is>
          <t xml:space="preserve">N0010419FK401</t>
        </is>
      </c>
      <c r="C3267" s="0" t="inlineStr">
        <is>
          <t xml:space="preserve">small_craft</t>
        </is>
      </c>
      <c r="D3267" s="4">
        <v>0.21090203999999999</v>
      </c>
      <c r="E3267" s="0" t="inlineStr">
        <is>
          <t xml:space="preserve">WING INFLATABLES INC</t>
        </is>
      </c>
      <c r="F3267" s="0" t="inlineStr">
        <is>
          <t xml:space="preserve">naics:336612; psc:1940</t>
        </is>
      </c>
    </row>
    <row r="3268">
      <c r="B3268" s="0" t="inlineStr">
        <is>
          <t xml:space="preserve">N0010425PZA36</t>
        </is>
      </c>
      <c r="C3268" s="0" t="inlineStr">
        <is>
          <t xml:space="preserve">small_craft</t>
        </is>
      </c>
      <c r="D3268" s="4">
        <v>0.21040499999999998</v>
      </c>
      <c r="E3268" s="0" t="inlineStr">
        <is>
          <t xml:space="preserve">SARGENT AEROSPACE &amp; DEFENSE, LLC</t>
        </is>
      </c>
      <c r="F3268" s="0" t="inlineStr">
        <is>
          <t xml:space="preserve">naics:336612</t>
        </is>
      </c>
    </row>
    <row r="3269">
      <c r="B3269" s="0" t="inlineStr">
        <is>
          <t xml:space="preserve">N0010417CBA79</t>
        </is>
      </c>
      <c r="C3269" s="0" t="inlineStr">
        <is>
          <t xml:space="preserve">broad_maritime</t>
        </is>
      </c>
      <c r="D3269" s="4">
        <v>0.21012255</v>
      </c>
      <c r="E3269" s="0" t="inlineStr">
        <is>
          <t xml:space="preserve">US JOINER LLC</t>
        </is>
      </c>
      <c r="F3269" s="0" t="inlineStr">
        <is>
          <t xml:space="preserve">psc:2090</t>
        </is>
      </c>
    </row>
    <row r="3270">
      <c r="B3270" s="0" t="inlineStr">
        <is>
          <t xml:space="preserve">0002</t>
        </is>
      </c>
      <c r="C3270" s="0" t="inlineStr">
        <is>
          <t xml:space="preserve">broad_maritime</t>
        </is>
      </c>
      <c r="D3270" s="4">
        <v>0.20999376</v>
      </c>
      <c r="E3270" s="0" t="inlineStr">
        <is>
          <t xml:space="preserve">J &amp; N METAL PRODUCTS, LLC</t>
        </is>
      </c>
      <c r="F3270" s="0" t="inlineStr">
        <is>
          <t xml:space="preserve">psc:1905</t>
        </is>
      </c>
    </row>
    <row r="3271">
      <c r="B3271" s="0" t="inlineStr">
        <is>
          <t xml:space="preserve">N3220521F0515</t>
        </is>
      </c>
      <c r="C3271" s="0" t="inlineStr">
        <is>
          <t xml:space="preserve">broad_maritime</t>
        </is>
      </c>
      <c r="D3271" s="4">
        <v>0.20879154</v>
      </c>
      <c r="E3271" s="0" t="inlineStr">
        <is>
          <t xml:space="preserve">ROLLS-ROYCE SOLUTIONS AMERICA INC</t>
        </is>
      </c>
      <c r="F3271" s="0" t="inlineStr">
        <is>
          <t xml:space="preserve">psc:2090</t>
        </is>
      </c>
    </row>
    <row r="3272">
      <c r="B3272" s="0" t="inlineStr">
        <is>
          <t xml:space="preserve">N0040621P0348</t>
        </is>
      </c>
      <c r="C3272" s="0" t="inlineStr">
        <is>
          <t xml:space="preserve">broad_maritime</t>
        </is>
      </c>
      <c r="D3272" s="4">
        <v>0.20851811999999997</v>
      </c>
      <c r="E3272" s="0" t="inlineStr">
        <is>
          <t xml:space="preserve">AANTILIA LLC</t>
        </is>
      </c>
      <c r="F3272" s="0" t="inlineStr">
        <is>
          <t xml:space="preserve">psc:2090</t>
        </is>
      </c>
    </row>
    <row r="3273">
      <c r="B3273" s="0" t="inlineStr">
        <is>
          <t xml:space="preserve">N3220520F2343</t>
        </is>
      </c>
      <c r="C3273" s="0" t="inlineStr">
        <is>
          <t xml:space="preserve">broad_maritime</t>
        </is>
      </c>
      <c r="D3273" s="4">
        <v>0.20845112999999998</v>
      </c>
      <c r="E3273" s="0" t="inlineStr">
        <is>
          <t xml:space="preserve">ROLLS-ROYCE SOLUTIONS AMERICA INC</t>
        </is>
      </c>
      <c r="F3273" s="0" t="inlineStr">
        <is>
          <t xml:space="preserve">psc:2090</t>
        </is>
      </c>
    </row>
    <row r="3274">
      <c r="B3274" s="0" t="inlineStr">
        <is>
          <t xml:space="preserve">N0024419F0179</t>
        </is>
      </c>
      <c r="C3274" s="0" t="inlineStr">
        <is>
          <t xml:space="preserve">broad_maritime</t>
        </is>
      </c>
      <c r="D3274" s="4">
        <v>0.207147</v>
      </c>
      <c r="E3274" s="0" t="inlineStr">
        <is>
          <t xml:space="preserve">JPL HABITABILITY, INC.</t>
        </is>
      </c>
      <c r="F3274" s="0" t="inlineStr">
        <is>
          <t xml:space="preserve">psc:2090</t>
        </is>
      </c>
    </row>
    <row r="3275">
      <c r="B3275" s="0" t="inlineStr">
        <is>
          <t xml:space="preserve">N0024420F0162</t>
        </is>
      </c>
      <c r="C3275" s="0" t="inlineStr">
        <is>
          <t xml:space="preserve">broad_maritime</t>
        </is>
      </c>
      <c r="D3275" s="4">
        <v>0.20702874999999998</v>
      </c>
      <c r="E3275" s="0" t="inlineStr">
        <is>
          <t xml:space="preserve">PACIFIC MARITIME INDUSTRIES CORP.</t>
        </is>
      </c>
      <c r="F3275" s="0" t="inlineStr">
        <is>
          <t xml:space="preserve">psc:2090</t>
        </is>
      </c>
    </row>
    <row r="3276">
      <c r="B3276" s="0" t="inlineStr">
        <is>
          <t xml:space="preserve">N3220521P2031</t>
        </is>
      </c>
      <c r="C3276" s="0" t="inlineStr">
        <is>
          <t xml:space="preserve">broad_maritime</t>
        </is>
      </c>
      <c r="D3276" s="4">
        <v>0.20650085999999998</v>
      </c>
      <c r="E3276" s="0" t="inlineStr">
        <is>
          <t xml:space="preserve">DEFENSE MARITIME SOLUTIONS, INC.</t>
        </is>
      </c>
      <c r="F3276" s="0" t="inlineStr">
        <is>
          <t xml:space="preserve">psc:2090</t>
        </is>
      </c>
    </row>
    <row r="3277">
      <c r="B3277" s="0" t="inlineStr">
        <is>
          <t xml:space="preserve">N4044212P1012</t>
        </is>
      </c>
      <c r="C3277" s="0" t="inlineStr">
        <is>
          <t xml:space="preserve">broad_maritime</t>
        </is>
      </c>
      <c r="D3277" s="4">
        <v>0.20579</v>
      </c>
      <c r="E3277" s="0" t="inlineStr">
        <is>
          <t xml:space="preserve">CLAYTON MANUFACTURING COMPANY</t>
        </is>
      </c>
      <c r="F3277" s="0" t="inlineStr">
        <is>
          <t xml:space="preserve">psc:2090</t>
        </is>
      </c>
    </row>
    <row r="3278">
      <c r="B3278" s="0" t="inlineStr">
        <is>
          <t xml:space="preserve">N3220520P4124</t>
        </is>
      </c>
      <c r="C3278" s="0" t="inlineStr">
        <is>
          <t xml:space="preserve">broad_maritime</t>
        </is>
      </c>
      <c r="D3278" s="4">
        <v>0.20576761</v>
      </c>
      <c r="E3278" s="0" t="inlineStr">
        <is>
          <t xml:space="preserve">FAIRBANKS MORSE, LLC</t>
        </is>
      </c>
      <c r="F3278" s="0" t="inlineStr">
        <is>
          <t xml:space="preserve">psc:2090</t>
        </is>
      </c>
    </row>
    <row r="3279">
      <c r="B3279" s="0" t="inlineStr">
        <is>
          <t xml:space="preserve">0084</t>
        </is>
      </c>
      <c r="C3279" s="0" t="inlineStr">
        <is>
          <t xml:space="preserve">broad_maritime</t>
        </is>
      </c>
      <c r="D3279" s="4">
        <v>0.20547738</v>
      </c>
      <c r="E3279" s="0" t="inlineStr">
        <is>
          <t xml:space="preserve">ROCKWELL AUTOMATION INC</t>
        </is>
      </c>
      <c r="F3279" s="0" t="inlineStr">
        <is>
          <t xml:space="preserve">psc:2090</t>
        </is>
      </c>
    </row>
    <row r="3280">
      <c r="B3280" s="0" t="inlineStr">
        <is>
          <t xml:space="preserve">N3220523F1204</t>
        </is>
      </c>
      <c r="C3280" s="0" t="inlineStr">
        <is>
          <t xml:space="preserve">broad_maritime</t>
        </is>
      </c>
      <c r="D3280" s="4">
        <v>0.20480057</v>
      </c>
      <c r="E3280" s="0" t="inlineStr">
        <is>
          <t xml:space="preserve">CIRCOR NAVAL SOLUTIONS LLC</t>
        </is>
      </c>
      <c r="F3280" s="0" t="inlineStr">
        <is>
          <t xml:space="preserve">psc:2090</t>
        </is>
      </c>
    </row>
    <row r="3281">
      <c r="B3281" s="0" t="inlineStr">
        <is>
          <t xml:space="preserve">N0024420F0057</t>
        </is>
      </c>
      <c r="C3281" s="0" t="inlineStr">
        <is>
          <t xml:space="preserve">broad_maritime</t>
        </is>
      </c>
      <c r="D3281" s="4">
        <v>0.204251</v>
      </c>
      <c r="E3281" s="0" t="inlineStr">
        <is>
          <t xml:space="preserve">MARINE &amp; RESTAURANT FABRICATORS, INC.</t>
        </is>
      </c>
      <c r="F3281" s="0" t="inlineStr">
        <is>
          <t xml:space="preserve">psc:2090</t>
        </is>
      </c>
    </row>
    <row r="3282">
      <c r="B3282" s="0" t="inlineStr">
        <is>
          <t xml:space="preserve">N5523621P0027</t>
        </is>
      </c>
      <c r="C3282" s="0" t="inlineStr">
        <is>
          <t xml:space="preserve">broad_maritime</t>
        </is>
      </c>
      <c r="D3282" s="4">
        <v>0.20411017999999997</v>
      </c>
      <c r="E3282" s="0" t="inlineStr">
        <is>
          <t xml:space="preserve">RSL FIBER SYSTEMS LLC</t>
        </is>
      </c>
      <c r="F3282" s="0" t="inlineStr">
        <is>
          <t xml:space="preserve">psc:2090</t>
        </is>
      </c>
    </row>
    <row r="3283">
      <c r="B3283" s="0" t="inlineStr">
        <is>
          <t xml:space="preserve">N6883622P0080</t>
        </is>
      </c>
      <c r="C3283" s="0" t="inlineStr">
        <is>
          <t xml:space="preserve">broad_maritime</t>
        </is>
      </c>
      <c r="D3283" s="4">
        <v>0.20392125</v>
      </c>
      <c r="E3283" s="0" t="inlineStr">
        <is>
          <t xml:space="preserve">APS PRESSURE SYSTEMS LLC</t>
        </is>
      </c>
      <c r="F3283" s="0" t="inlineStr">
        <is>
          <t xml:space="preserve">psc:2090</t>
        </is>
      </c>
    </row>
    <row r="3284">
      <c r="B3284" s="0" t="inlineStr">
        <is>
          <t xml:space="preserve">N3220518P4430</t>
        </is>
      </c>
      <c r="C3284" s="0" t="inlineStr">
        <is>
          <t xml:space="preserve">broad_maritime</t>
        </is>
      </c>
      <c r="D3284" s="4">
        <v>0.20388442999999998</v>
      </c>
      <c r="E3284" s="0" t="inlineStr">
        <is>
          <t xml:space="preserve">DEFENSE MARITIME SOLUTIONS, INC.</t>
        </is>
      </c>
      <c r="F3284" s="0" t="inlineStr">
        <is>
          <t xml:space="preserve">psc:2090</t>
        </is>
      </c>
    </row>
    <row r="3285">
      <c r="B3285" s="0" t="inlineStr">
        <is>
          <t xml:space="preserve">0045</t>
        </is>
      </c>
      <c r="C3285" s="0" t="inlineStr">
        <is>
          <t xml:space="preserve">broad_maritime</t>
        </is>
      </c>
      <c r="D3285" s="4">
        <v>0.2033042</v>
      </c>
      <c r="E3285" s="0" t="inlineStr">
        <is>
          <t xml:space="preserve">ELECTRIC BOAT CORPORATION</t>
        </is>
      </c>
      <c r="F3285" s="0" t="inlineStr">
        <is>
          <t xml:space="preserve">psc:1905</t>
        </is>
      </c>
    </row>
    <row r="3286">
      <c r="B3286" s="0" t="inlineStr">
        <is>
          <t xml:space="preserve">0128</t>
        </is>
      </c>
      <c r="C3286" s="0" t="inlineStr">
        <is>
          <t xml:space="preserve">broad_maritime</t>
        </is>
      </c>
      <c r="D3286" s="4">
        <v>0.20305499999999999</v>
      </c>
      <c r="E3286" s="0" t="inlineStr">
        <is>
          <t xml:space="preserve">MARINE &amp; RESTAURANT FABRICATORS, INC.</t>
        </is>
      </c>
      <c r="F3286" s="0" t="inlineStr">
        <is>
          <t xml:space="preserve">psc:2090</t>
        </is>
      </c>
    </row>
    <row r="3287">
      <c r="B3287" s="0" t="inlineStr">
        <is>
          <t xml:space="preserve">N3220522P0167</t>
        </is>
      </c>
      <c r="C3287" s="0" t="inlineStr">
        <is>
          <t xml:space="preserve">broad_maritime</t>
        </is>
      </c>
      <c r="D3287" s="4">
        <v>0.20281912</v>
      </c>
      <c r="E3287" s="0" t="inlineStr">
        <is>
          <t xml:space="preserve">THE HILLER COMPANIES LLC</t>
        </is>
      </c>
      <c r="F3287" s="0" t="inlineStr">
        <is>
          <t xml:space="preserve">psc:2090</t>
        </is>
      </c>
    </row>
    <row r="3288">
      <c r="B3288" s="0" t="inlineStr">
        <is>
          <t xml:space="preserve">N0010423PCB62</t>
        </is>
      </c>
      <c r="C3288" s="0" t="inlineStr">
        <is>
          <t xml:space="preserve">small_craft</t>
        </is>
      </c>
      <c r="D3288" s="4">
        <v>0.20263016</v>
      </c>
      <c r="E3288" s="0" t="inlineStr">
        <is>
          <t xml:space="preserve">DEFENSE MARITIME SOLUTIONS, INC.</t>
        </is>
      </c>
      <c r="F3288" s="0" t="inlineStr">
        <is>
          <t xml:space="preserve">naics:336612</t>
        </is>
      </c>
    </row>
    <row r="3289">
      <c r="B3289" s="0" t="inlineStr">
        <is>
          <t xml:space="preserve">N3220523P2303</t>
        </is>
      </c>
      <c r="C3289" s="0" t="inlineStr">
        <is>
          <t xml:space="preserve">broad_maritime</t>
        </is>
      </c>
      <c r="D3289" s="4">
        <v>0.20253</v>
      </c>
      <c r="E3289" s="0" t="inlineStr">
        <is>
          <t xml:space="preserve">RENK CORP</t>
        </is>
      </c>
      <c r="F3289" s="0" t="inlineStr">
        <is>
          <t xml:space="preserve">psc:2090</t>
        </is>
      </c>
    </row>
    <row r="3290">
      <c r="B3290" s="0" t="inlineStr">
        <is>
          <t xml:space="preserve">N5523624P0080</t>
        </is>
      </c>
      <c r="C3290" s="0" t="inlineStr">
        <is>
          <t xml:space="preserve">broad_maritime</t>
        </is>
      </c>
      <c r="D3290" s="4">
        <v>0.20223066</v>
      </c>
      <c r="E3290" s="0" t="inlineStr">
        <is>
          <t xml:space="preserve">AUSTAL USA, LLC</t>
        </is>
      </c>
      <c r="F3290" s="0" t="inlineStr">
        <is>
          <t xml:space="preserve">psc:1905</t>
        </is>
      </c>
    </row>
    <row r="3291">
      <c r="B3291" s="0" t="inlineStr">
        <is>
          <t xml:space="preserve">N0040626PS057</t>
        </is>
      </c>
      <c r="C3291" s="0" t="inlineStr">
        <is>
          <t xml:space="preserve">broad_maritime</t>
        </is>
      </c>
      <c r="D3291" s="4">
        <v>0.20184331</v>
      </c>
      <c r="E3291" s="0" t="inlineStr">
        <is>
          <t xml:space="preserve">GOZIAN INC</t>
        </is>
      </c>
      <c r="F3291" s="0" t="inlineStr">
        <is>
          <t xml:space="preserve">psc:2090</t>
        </is>
      </c>
    </row>
    <row r="3292">
      <c r="B3292" s="0" t="inlineStr">
        <is>
          <t xml:space="preserve">N3220518P4859</t>
        </is>
      </c>
      <c r="C3292" s="0" t="inlineStr">
        <is>
          <t xml:space="preserve">broad_maritime</t>
        </is>
      </c>
      <c r="D3292" s="4">
        <v>0.20157</v>
      </c>
      <c r="E3292" s="0" t="inlineStr">
        <is>
          <t xml:space="preserve">APPLETON MARINE INC</t>
        </is>
      </c>
      <c r="F3292" s="0" t="inlineStr">
        <is>
          <t xml:space="preserve">psc:2090</t>
        </is>
      </c>
    </row>
    <row r="3293">
      <c r="B3293" s="0" t="inlineStr">
        <is>
          <t xml:space="preserve">0013</t>
        </is>
      </c>
      <c r="C3293" s="0" t="inlineStr">
        <is>
          <t xml:space="preserve">broad_maritime</t>
        </is>
      </c>
      <c r="D3293" s="4">
        <v>0.20156728</v>
      </c>
      <c r="E3293" s="0" t="inlineStr">
        <is>
          <t xml:space="preserve">L3 TECHNOLOGIES, INC.</t>
        </is>
      </c>
      <c r="F3293" s="0" t="inlineStr">
        <is>
          <t xml:space="preserve">psc:2090</t>
        </is>
      </c>
    </row>
    <row r="3294">
      <c r="B3294" s="0" t="inlineStr">
        <is>
          <t xml:space="preserve">N6817117P6060</t>
        </is>
      </c>
      <c r="C3294" s="0" t="inlineStr">
        <is>
          <t xml:space="preserve">broad_maritime</t>
        </is>
      </c>
      <c r="D3294" s="4">
        <v>0.20155729</v>
      </c>
      <c r="E3294" s="0" t="inlineStr">
        <is>
          <t xml:space="preserve">SUMINISTROS Y MANTENIMIENTOS LAS SALINAS SL</t>
        </is>
      </c>
      <c r="F3294" s="0" t="inlineStr">
        <is>
          <t xml:space="preserve">psc:2090</t>
        </is>
      </c>
    </row>
    <row r="3295">
      <c r="B3295" s="0" t="inlineStr">
        <is>
          <t xml:space="preserve">0080</t>
        </is>
      </c>
      <c r="C3295" s="0" t="inlineStr">
        <is>
          <t xml:space="preserve">broad_maritime</t>
        </is>
      </c>
      <c r="D3295" s="4">
        <v>0.20141579999999998</v>
      </c>
      <c r="E3295" s="0" t="inlineStr">
        <is>
          <t xml:space="preserve">ROCKWELL AUTOMATION INC</t>
        </is>
      </c>
      <c r="F3295" s="0" t="inlineStr">
        <is>
          <t xml:space="preserve">psc:2090</t>
        </is>
      </c>
    </row>
    <row r="3296">
      <c r="B3296" s="0" t="inlineStr">
        <is>
          <t xml:space="preserve">N3220515P1258</t>
        </is>
      </c>
      <c r="C3296" s="0" t="inlineStr">
        <is>
          <t xml:space="preserve">broad_maritime</t>
        </is>
      </c>
      <c r="D3296" s="4">
        <v>0.20083933999999998</v>
      </c>
      <c r="E3296" s="0" t="inlineStr">
        <is>
          <t xml:space="preserve">ROLLS-ROYCE MARINE NORTH AMERICA INC.</t>
        </is>
      </c>
      <c r="F3296" s="0" t="inlineStr">
        <is>
          <t xml:space="preserve">psc:2090</t>
        </is>
      </c>
    </row>
    <row r="3297">
      <c r="B3297" s="0" t="inlineStr">
        <is>
          <t xml:space="preserve">N3220516P4000</t>
        </is>
      </c>
      <c r="C3297" s="0" t="inlineStr">
        <is>
          <t xml:space="preserve">small_craft</t>
        </is>
      </c>
      <c r="D3297" s="4">
        <v>0.20024499999999998</v>
      </c>
      <c r="E3297" s="0" t="inlineStr">
        <is>
          <t xml:space="preserve">WILLARD MARINE, INC.</t>
        </is>
      </c>
      <c r="F3297" s="0" t="inlineStr">
        <is>
          <t xml:space="preserve">naics:336612; psc:2090</t>
        </is>
      </c>
    </row>
    <row r="3298">
      <c r="B3298" s="0" t="inlineStr">
        <is>
          <t xml:space="preserve">0015</t>
        </is>
      </c>
      <c r="C3298" s="0" t="inlineStr">
        <is>
          <t xml:space="preserve">broad_maritime</t>
        </is>
      </c>
      <c r="D3298" s="4">
        <v>0.19994558999999998</v>
      </c>
      <c r="E3298" s="0" t="inlineStr">
        <is>
          <t xml:space="preserve">G. S. E. DYNAMICS, INC.</t>
        </is>
      </c>
      <c r="F3298" s="0" t="inlineStr">
        <is>
          <t xml:space="preserve">psc:2090</t>
        </is>
      </c>
    </row>
    <row r="3299">
      <c r="B3299" s="0" t="inlineStr">
        <is>
          <t xml:space="preserve">N0024421F0311</t>
        </is>
      </c>
      <c r="C3299" s="0" t="inlineStr">
        <is>
          <t xml:space="preserve">broad_maritime</t>
        </is>
      </c>
      <c r="D3299" s="4">
        <v>0.199905</v>
      </c>
      <c r="E3299" s="0" t="inlineStr">
        <is>
          <t xml:space="preserve">PACIFIC MARITIME INDUSTRIES CORP.</t>
        </is>
      </c>
      <c r="F3299" s="0" t="inlineStr">
        <is>
          <t xml:space="preserve">psc:2090</t>
        </is>
      </c>
    </row>
    <row r="3300">
      <c r="B3300" s="0" t="inlineStr">
        <is>
          <t xml:space="preserve">N6600120F0621</t>
        </is>
      </c>
      <c r="C3300" s="0" t="inlineStr">
        <is>
          <t xml:space="preserve">usv_core</t>
        </is>
      </c>
      <c r="D3300" s="4">
        <v>0.199767</v>
      </c>
      <c r="E3300" s="0" t="inlineStr">
        <is>
          <t xml:space="preserve">MONTEREY TECHNOLOGIES INC</t>
        </is>
      </c>
      <c r="F3300" s="0" t="inlineStr">
        <is>
          <t xml:space="preserve">keyword</t>
        </is>
      </c>
    </row>
    <row r="3301">
      <c r="B3301" s="0" t="inlineStr">
        <is>
          <t xml:space="preserve">N5523622P0140</t>
        </is>
      </c>
      <c r="C3301" s="0" t="inlineStr">
        <is>
          <t xml:space="preserve">broad_maritime</t>
        </is>
      </c>
      <c r="D3301" s="4">
        <v>0.199753</v>
      </c>
      <c r="E3301" s="0" t="inlineStr">
        <is>
          <t xml:space="preserve">LAKE SHORE SYSTEMS, INC.</t>
        </is>
      </c>
      <c r="F3301" s="0" t="inlineStr">
        <is>
          <t xml:space="preserve">psc:2090</t>
        </is>
      </c>
    </row>
    <row r="3302">
      <c r="B3302" s="0" t="inlineStr">
        <is>
          <t xml:space="preserve">N6817123F0052</t>
        </is>
      </c>
      <c r="C3302" s="0" t="inlineStr">
        <is>
          <t xml:space="preserve">broad_maritime</t>
        </is>
      </c>
      <c r="D3302" s="4">
        <v>0.19966756</v>
      </c>
      <c r="E3302" s="0" t="inlineStr">
        <is>
          <t xml:space="preserve">FINCANTIERI MARINE SYSTEMS NORTH AMERICA, INC.</t>
        </is>
      </c>
      <c r="F3302" s="0" t="inlineStr">
        <is>
          <t xml:space="preserve">psc:2090</t>
        </is>
      </c>
    </row>
    <row r="3303">
      <c r="B3303" s="0" t="inlineStr">
        <is>
          <t xml:space="preserve">N6449819P4028</t>
        </is>
      </c>
      <c r="C3303" s="0" t="inlineStr">
        <is>
          <t xml:space="preserve">broad_maritime</t>
        </is>
      </c>
      <c r="D3303" s="4">
        <v>0.1994</v>
      </c>
      <c r="E3303" s="0" t="inlineStr">
        <is>
          <t xml:space="preserve">BRANDYWINE COMMUNICATIONS</t>
        </is>
      </c>
      <c r="F3303" s="0" t="inlineStr">
        <is>
          <t xml:space="preserve">psc:2090</t>
        </is>
      </c>
    </row>
    <row r="3304">
      <c r="B3304" s="0" t="inlineStr">
        <is>
          <t xml:space="preserve">N5005420P0195</t>
        </is>
      </c>
      <c r="C3304" s="0" t="inlineStr">
        <is>
          <t xml:space="preserve">broad_maritime</t>
        </is>
      </c>
      <c r="D3304" s="4">
        <v>0.19930939</v>
      </c>
      <c r="E3304" s="0" t="inlineStr">
        <is>
          <t xml:space="preserve">THE ROWLAND COMPANY</t>
        </is>
      </c>
      <c r="F3304" s="0" t="inlineStr">
        <is>
          <t xml:space="preserve">psc:1905</t>
        </is>
      </c>
    </row>
    <row r="3305">
      <c r="B3305" s="0" t="inlineStr">
        <is>
          <t xml:space="preserve">N0040615P1933</t>
        </is>
      </c>
      <c r="C3305" s="0" t="inlineStr">
        <is>
          <t xml:space="preserve">broad_maritime</t>
        </is>
      </c>
      <c r="D3305" s="4">
        <v>0.19923426</v>
      </c>
      <c r="E3305" s="0" t="inlineStr">
        <is>
          <t xml:space="preserve">DEFENSE MARITIME SOLUTIONS, INC.</t>
        </is>
      </c>
      <c r="F3305" s="0" t="inlineStr">
        <is>
          <t xml:space="preserve">psc:2090</t>
        </is>
      </c>
    </row>
    <row r="3306">
      <c r="B3306" s="0" t="inlineStr">
        <is>
          <t xml:space="preserve">N0024420F0543</t>
        </is>
      </c>
      <c r="C3306" s="0" t="inlineStr">
        <is>
          <t xml:space="preserve">broad_maritime</t>
        </is>
      </c>
      <c r="D3306" s="4">
        <v>0.19913</v>
      </c>
      <c r="E3306" s="0" t="inlineStr">
        <is>
          <t xml:space="preserve">JPL HABITABILITY, INC.</t>
        </is>
      </c>
      <c r="F3306" s="0" t="inlineStr">
        <is>
          <t xml:space="preserve">psc:2090</t>
        </is>
      </c>
    </row>
    <row r="3307">
      <c r="B3307" s="0" t="inlineStr">
        <is>
          <t xml:space="preserve">N0002418F6200</t>
        </is>
      </c>
      <c r="C3307" s="0" t="inlineStr">
        <is>
          <t xml:space="preserve">broad_maritime</t>
        </is>
      </c>
      <c r="D3307" s="4">
        <v>0.199116</v>
      </c>
      <c r="E3307" s="0" t="inlineStr">
        <is>
          <t xml:space="preserve">ARGON ST, INC.</t>
        </is>
      </c>
      <c r="F3307" s="0" t="inlineStr">
        <is>
          <t xml:space="preserve">psc:1905</t>
        </is>
      </c>
    </row>
    <row r="3308">
      <c r="B3308" s="0" t="inlineStr">
        <is>
          <t xml:space="preserve">N5005423P0128</t>
        </is>
      </c>
      <c r="C3308" s="0" t="inlineStr">
        <is>
          <t xml:space="preserve">broad_maritime</t>
        </is>
      </c>
      <c r="D3308" s="4">
        <v>0.19908399999999998</v>
      </c>
      <c r="E3308" s="0" t="inlineStr">
        <is>
          <t xml:space="preserve">THE ENTWISTLE COMPANY LLC</t>
        </is>
      </c>
      <c r="F3308" s="0" t="inlineStr">
        <is>
          <t xml:space="preserve">psc:2090</t>
        </is>
      </c>
    </row>
    <row r="3309">
      <c r="B3309" s="0" t="inlineStr">
        <is>
          <t xml:space="preserve">N0024423F0386</t>
        </is>
      </c>
      <c r="C3309" s="0" t="inlineStr">
        <is>
          <t xml:space="preserve">broad_maritime</t>
        </is>
      </c>
      <c r="D3309" s="4">
        <v>0.19907899999999998</v>
      </c>
      <c r="E3309" s="0" t="inlineStr">
        <is>
          <t xml:space="preserve">JPL HABITABILITY, INC.</t>
        </is>
      </c>
      <c r="F3309" s="0" t="inlineStr">
        <is>
          <t xml:space="preserve">psc:2090</t>
        </is>
      </c>
    </row>
    <row r="3310">
      <c r="B3310" s="0" t="inlineStr">
        <is>
          <t xml:space="preserve">0005</t>
        </is>
      </c>
      <c r="C3310" s="0" t="inlineStr">
        <is>
          <t xml:space="preserve">broad_maritime</t>
        </is>
      </c>
      <c r="D3310" s="4">
        <v>0.199006</v>
      </c>
      <c r="E3310" s="0" t="inlineStr">
        <is>
          <t xml:space="preserve">LOCKHEED MARTIN SIPPICAN, INC.</t>
        </is>
      </c>
      <c r="F3310" s="0" t="inlineStr">
        <is>
          <t xml:space="preserve">psc:2090</t>
        </is>
      </c>
    </row>
    <row r="3311">
      <c r="B3311" s="0" t="inlineStr">
        <is>
          <t xml:space="preserve">N3220515P1002</t>
        </is>
      </c>
      <c r="C3311" s="0" t="inlineStr">
        <is>
          <t xml:space="preserve">small_craft</t>
        </is>
      </c>
      <c r="D3311" s="4">
        <v>0.19900099999999998</v>
      </c>
      <c r="E3311" s="0" t="inlineStr">
        <is>
          <t xml:space="preserve">WILLARD MARINE, INC.</t>
        </is>
      </c>
      <c r="F3311" s="0" t="inlineStr">
        <is>
          <t xml:space="preserve">naics:336612; psc:2090</t>
        </is>
      </c>
    </row>
    <row r="3312">
      <c r="B3312" s="0" t="inlineStr">
        <is>
          <t xml:space="preserve">N3220516P4359</t>
        </is>
      </c>
      <c r="C3312" s="0" t="inlineStr">
        <is>
          <t xml:space="preserve">broad_maritime</t>
        </is>
      </c>
      <c r="D3312" s="4">
        <v>0.19899999999999998</v>
      </c>
      <c r="E3312" s="0" t="inlineStr">
        <is>
          <t xml:space="preserve">MOTOR-SERVICES HUGO STAMP, INC</t>
        </is>
      </c>
      <c r="F3312" s="0" t="inlineStr">
        <is>
          <t xml:space="preserve">psc:2090</t>
        </is>
      </c>
    </row>
    <row r="3313">
      <c r="B3313" s="0" t="inlineStr">
        <is>
          <t xml:space="preserve">N0010425PFB90</t>
        </is>
      </c>
      <c r="C3313" s="0" t="inlineStr">
        <is>
          <t xml:space="preserve">small_craft</t>
        </is>
      </c>
      <c r="D3313" s="4">
        <v>0.198992</v>
      </c>
      <c r="E3313" s="0" t="inlineStr">
        <is>
          <t xml:space="preserve">DERBYSHIRE MACHINE &amp; TOOL CO</t>
        </is>
      </c>
      <c r="F3313" s="0" t="inlineStr">
        <is>
          <t xml:space="preserve">naics:336612</t>
        </is>
      </c>
    </row>
    <row r="3314">
      <c r="B3314" s="0" t="inlineStr">
        <is>
          <t xml:space="preserve">N0010424PFA92</t>
        </is>
      </c>
      <c r="C3314" s="0" t="inlineStr">
        <is>
          <t xml:space="preserve">small_craft</t>
        </is>
      </c>
      <c r="D3314" s="4">
        <v>0.19819984999999998</v>
      </c>
      <c r="E3314" s="0" t="inlineStr">
        <is>
          <t xml:space="preserve">NATSTAR DEFENSE INC</t>
        </is>
      </c>
      <c r="F3314" s="0" t="inlineStr">
        <is>
          <t xml:space="preserve">naics:336612</t>
        </is>
      </c>
    </row>
    <row r="3315">
      <c r="B3315" s="0" t="inlineStr">
        <is>
          <t xml:space="preserve">N3220523P0130</t>
        </is>
      </c>
      <c r="C3315" s="0" t="inlineStr">
        <is>
          <t xml:space="preserve">broad_maritime</t>
        </is>
      </c>
      <c r="D3315" s="4">
        <v>0.19792437999999998</v>
      </c>
      <c r="E3315" s="0" t="inlineStr">
        <is>
          <t xml:space="preserve">L3HARRIS TECHNOLOGIES, INC.</t>
        </is>
      </c>
      <c r="F3315" s="0" t="inlineStr">
        <is>
          <t xml:space="preserve">psc:2090</t>
        </is>
      </c>
    </row>
    <row r="3316">
      <c r="B3316" s="0" t="inlineStr">
        <is>
          <t xml:space="preserve">N0017323P1544</t>
        </is>
      </c>
      <c r="C3316" s="0" t="inlineStr">
        <is>
          <t xml:space="preserve">broad_maritime</t>
        </is>
      </c>
      <c r="D3316" s="4">
        <v>0.19771875</v>
      </c>
      <c r="E3316" s="0" t="inlineStr">
        <is>
          <t xml:space="preserve">C-LARS, LLC</t>
        </is>
      </c>
      <c r="F3316" s="0" t="inlineStr">
        <is>
          <t xml:space="preserve">psc:2090</t>
        </is>
      </c>
    </row>
    <row r="3317">
      <c r="B3317" s="0" t="inlineStr">
        <is>
          <t xml:space="preserve">0015</t>
        </is>
      </c>
      <c r="C3317" s="0" t="inlineStr">
        <is>
          <t xml:space="preserve">broad_maritime</t>
        </is>
      </c>
      <c r="D3317" s="4">
        <v>0.19748</v>
      </c>
      <c r="E3317" s="0" t="inlineStr">
        <is>
          <t xml:space="preserve">LAUREL TECHNOLOGIES PARTNERSHIP</t>
        </is>
      </c>
      <c r="F3317" s="0" t="inlineStr">
        <is>
          <t xml:space="preserve">psc:2090</t>
        </is>
      </c>
    </row>
    <row r="3318">
      <c r="B3318" s="0" t="inlineStr">
        <is>
          <t xml:space="preserve">N0018916PZ112</t>
        </is>
      </c>
      <c r="C3318" s="0" t="inlineStr">
        <is>
          <t xml:space="preserve">small_craft</t>
        </is>
      </c>
      <c r="D3318" s="4">
        <v>0.196961</v>
      </c>
      <c r="E3318" s="0" t="inlineStr">
        <is>
          <t xml:space="preserve">YSI INC</t>
        </is>
      </c>
      <c r="F3318" s="0" t="inlineStr">
        <is>
          <t xml:space="preserve">naics:336612; psc:1940</t>
        </is>
      </c>
    </row>
    <row r="3319">
      <c r="B3319" s="0" t="inlineStr">
        <is>
          <t xml:space="preserve">N6339415F0132</t>
        </is>
      </c>
      <c r="C3319" s="0" t="inlineStr">
        <is>
          <t xml:space="preserve">broad_maritime</t>
        </is>
      </c>
      <c r="D3319" s="4">
        <v>0.1968782</v>
      </c>
      <c r="E3319" s="0" t="inlineStr">
        <is>
          <t xml:space="preserve">SHIELD TECHNOLOGIES CORP</t>
        </is>
      </c>
      <c r="F3319" s="0" t="inlineStr">
        <is>
          <t xml:space="preserve">psc:2090</t>
        </is>
      </c>
    </row>
    <row r="3320">
      <c r="B3320" s="0" t="inlineStr">
        <is>
          <t xml:space="preserve">N3220519F8228</t>
        </is>
      </c>
      <c r="C3320" s="0" t="inlineStr">
        <is>
          <t xml:space="preserve">other_small</t>
        </is>
      </c>
      <c r="D3320" s="4">
        <v>0.19687674</v>
      </c>
      <c r="E3320" s="0" t="inlineStr">
        <is>
          <t xml:space="preserve">LAKE SHORE SYSTEMS, INC.</t>
        </is>
      </c>
      <c r="F3320" s="0" t="inlineStr">
        <is>
          <t xml:space="preserve">psc:1990</t>
        </is>
      </c>
    </row>
    <row r="3321">
      <c r="B3321" s="0" t="inlineStr">
        <is>
          <t xml:space="preserve">N3220515P1401</t>
        </is>
      </c>
      <c r="C3321" s="0" t="inlineStr">
        <is>
          <t xml:space="preserve">broad_maritime</t>
        </is>
      </c>
      <c r="D3321" s="4">
        <v>0.196578</v>
      </c>
      <c r="E3321" s="0" t="inlineStr">
        <is>
          <t xml:space="preserve">ROLLS-ROYCE MARINE NORTH AMERICA INC.</t>
        </is>
      </c>
      <c r="F3321" s="0" t="inlineStr">
        <is>
          <t xml:space="preserve">psc:2090</t>
        </is>
      </c>
    </row>
    <row r="3322">
      <c r="B3322" s="0" t="inlineStr">
        <is>
          <t xml:space="preserve">N0024420F0128</t>
        </is>
      </c>
      <c r="C3322" s="0" t="inlineStr">
        <is>
          <t xml:space="preserve">broad_maritime</t>
        </is>
      </c>
      <c r="D3322" s="4">
        <v>0.19626</v>
      </c>
      <c r="E3322" s="0" t="inlineStr">
        <is>
          <t xml:space="preserve">MARINE &amp; RESTAURANT FABRICATORS, INC.</t>
        </is>
      </c>
      <c r="F3322" s="0" t="inlineStr">
        <is>
          <t xml:space="preserve">psc:2090</t>
        </is>
      </c>
    </row>
    <row r="3323">
      <c r="B3323" s="0" t="inlineStr">
        <is>
          <t xml:space="preserve">N3220524P2173</t>
        </is>
      </c>
      <c r="C3323" s="0" t="inlineStr">
        <is>
          <t xml:space="preserve">broad_maritime</t>
        </is>
      </c>
      <c r="D3323" s="4">
        <v>0.196219</v>
      </c>
      <c r="E3323" s="0" t="inlineStr">
        <is>
          <t xml:space="preserve">APPLETON MARINE INC</t>
        </is>
      </c>
      <c r="F3323" s="0" t="inlineStr">
        <is>
          <t xml:space="preserve">psc:2090</t>
        </is>
      </c>
    </row>
    <row r="3324">
      <c r="B3324" s="0" t="inlineStr">
        <is>
          <t xml:space="preserve">N3220518P6064</t>
        </is>
      </c>
      <c r="C3324" s="0" t="inlineStr">
        <is>
          <t xml:space="preserve">broad_maritime</t>
        </is>
      </c>
      <c r="D3324" s="4">
        <v>0.196185</v>
      </c>
      <c r="E3324" s="0" t="inlineStr">
        <is>
          <t xml:space="preserve">CIRCOR NAVAL SOLUTIONS LLC</t>
        </is>
      </c>
      <c r="F3324" s="0" t="inlineStr">
        <is>
          <t xml:space="preserve">psc:2090</t>
        </is>
      </c>
    </row>
    <row r="3325">
      <c r="B3325" s="0" t="inlineStr">
        <is>
          <t xml:space="preserve">0136</t>
        </is>
      </c>
      <c r="C3325" s="0" t="inlineStr">
        <is>
          <t xml:space="preserve">broad_maritime</t>
        </is>
      </c>
      <c r="D3325" s="4">
        <v>0.196173</v>
      </c>
      <c r="E3325" s="0" t="inlineStr">
        <is>
          <t xml:space="preserve">PACIFIC MARITIME INDUSTRIES CORP.</t>
        </is>
      </c>
      <c r="F3325" s="0" t="inlineStr">
        <is>
          <t xml:space="preserve">psc:2090</t>
        </is>
      </c>
    </row>
    <row r="3326">
      <c r="B3326" s="0" t="inlineStr">
        <is>
          <t xml:space="preserve">N0024423F0411</t>
        </is>
      </c>
      <c r="C3326" s="0" t="inlineStr">
        <is>
          <t xml:space="preserve">broad_maritime</t>
        </is>
      </c>
      <c r="D3326" s="4">
        <v>0.1961</v>
      </c>
      <c r="E3326" s="0" t="inlineStr">
        <is>
          <t xml:space="preserve">PACIFIC MARITIME INDUSTRIES CORP.</t>
        </is>
      </c>
      <c r="F3326" s="0" t="inlineStr">
        <is>
          <t xml:space="preserve">psc:2090</t>
        </is>
      </c>
    </row>
    <row r="3327">
      <c r="B3327" s="0" t="inlineStr">
        <is>
          <t xml:space="preserve">N3220515P2223</t>
        </is>
      </c>
      <c r="C3327" s="0" t="inlineStr">
        <is>
          <t xml:space="preserve">broad_maritime</t>
        </is>
      </c>
      <c r="D3327" s="4">
        <v>0.19601823999999998</v>
      </c>
      <c r="E3327" s="0" t="inlineStr">
        <is>
          <t xml:space="preserve">DEFENSE MARITIME SOLUTIONS, INC.</t>
        </is>
      </c>
      <c r="F3327" s="0" t="inlineStr">
        <is>
          <t xml:space="preserve">psc:2090</t>
        </is>
      </c>
    </row>
    <row r="3328">
      <c r="B3328" s="0" t="inlineStr">
        <is>
          <t xml:space="preserve">N6449821P5321</t>
        </is>
      </c>
      <c r="C3328" s="0" t="inlineStr">
        <is>
          <t xml:space="preserve">broad_maritime</t>
        </is>
      </c>
      <c r="D3328" s="4">
        <v>0.19597754</v>
      </c>
      <c r="E3328" s="0" t="inlineStr">
        <is>
          <t xml:space="preserve">HEXAGON US FEDERAL, INC</t>
        </is>
      </c>
      <c r="F3328" s="0" t="inlineStr">
        <is>
          <t xml:space="preserve">psc:2090</t>
        </is>
      </c>
    </row>
    <row r="3329">
      <c r="B3329" s="0" t="inlineStr">
        <is>
          <t xml:space="preserve">N6893625F0057</t>
        </is>
      </c>
      <c r="C3329" s="0" t="inlineStr">
        <is>
          <t xml:space="preserve">small_craft</t>
        </is>
      </c>
      <c r="D3329" s="4">
        <v>0.19596249999999998</v>
      </c>
      <c r="E3329" s="0" t="inlineStr">
        <is>
          <t xml:space="preserve">THE MOLDING COMPANY, INC.</t>
        </is>
      </c>
      <c r="F3329" s="0" t="inlineStr">
        <is>
          <t xml:space="preserve">psc:1940</t>
        </is>
      </c>
    </row>
    <row r="3330">
      <c r="B3330" s="0" t="inlineStr">
        <is>
          <t xml:space="preserve">N0024420F0161</t>
        </is>
      </c>
      <c r="C3330" s="0" t="inlineStr">
        <is>
          <t xml:space="preserve">broad_maritime</t>
        </is>
      </c>
      <c r="D3330" s="4">
        <v>0.19581749999999998</v>
      </c>
      <c r="E3330" s="0" t="inlineStr">
        <is>
          <t xml:space="preserve">MARINE &amp; RESTAURANT FABRICATORS, INC.</t>
        </is>
      </c>
      <c r="F3330" s="0" t="inlineStr">
        <is>
          <t xml:space="preserve">psc:2090</t>
        </is>
      </c>
    </row>
    <row r="3331">
      <c r="B3331" s="0" t="inlineStr">
        <is>
          <t xml:space="preserve">N3220516P4325</t>
        </is>
      </c>
      <c r="C3331" s="0" t="inlineStr">
        <is>
          <t xml:space="preserve">broad_maritime</t>
        </is>
      </c>
      <c r="D3331" s="4">
        <v>0.19566</v>
      </c>
      <c r="E3331" s="0" t="inlineStr">
        <is>
          <t xml:space="preserve">MOTOR-SERVICES HUGO STAMP, INC</t>
        </is>
      </c>
      <c r="F3331" s="0" t="inlineStr">
        <is>
          <t xml:space="preserve">psc:2090</t>
        </is>
      </c>
    </row>
    <row r="3332">
      <c r="B3332" s="0" t="inlineStr">
        <is>
          <t xml:space="preserve">N6449820F4194</t>
        </is>
      </c>
      <c r="C3332" s="0" t="inlineStr">
        <is>
          <t xml:space="preserve">broad_maritime</t>
        </is>
      </c>
      <c r="D3332" s="4">
        <v>0.19513999999999998</v>
      </c>
      <c r="E3332" s="0" t="inlineStr">
        <is>
          <t xml:space="preserve">FLIGHTFAB, INC.</t>
        </is>
      </c>
      <c r="F3332" s="0" t="inlineStr">
        <is>
          <t xml:space="preserve">psc:2090</t>
        </is>
      </c>
    </row>
    <row r="3333">
      <c r="B3333" s="0" t="inlineStr">
        <is>
          <t xml:space="preserve">N5005422P0003</t>
        </is>
      </c>
      <c r="C3333" s="0" t="inlineStr">
        <is>
          <t xml:space="preserve">broad_maritime</t>
        </is>
      </c>
      <c r="D3333" s="4">
        <v>0.1948</v>
      </c>
      <c r="E3333" s="0" t="inlineStr">
        <is>
          <t xml:space="preserve">NORFOLK BEARINGS &amp; SUPPLY CO INC</t>
        </is>
      </c>
      <c r="F3333" s="0" t="inlineStr">
        <is>
          <t xml:space="preserve">psc:2090</t>
        </is>
      </c>
    </row>
    <row r="3334">
      <c r="B3334" s="0" t="inlineStr">
        <is>
          <t xml:space="preserve">N6817124F0010</t>
        </is>
      </c>
      <c r="C3334" s="0" t="inlineStr">
        <is>
          <t xml:space="preserve">broad_maritime</t>
        </is>
      </c>
      <c r="D3334" s="4">
        <v>0.19476364999999998</v>
      </c>
      <c r="E3334" s="0" t="inlineStr">
        <is>
          <t xml:space="preserve">FINCANTIERI MARINE SYSTEMS NORTH AMERICA, INC.</t>
        </is>
      </c>
      <c r="F3334" s="0" t="inlineStr">
        <is>
          <t xml:space="preserve">psc:2090</t>
        </is>
      </c>
    </row>
    <row r="3335">
      <c r="B3335" s="0" t="inlineStr">
        <is>
          <t xml:space="preserve">N0040623P0520</t>
        </is>
      </c>
      <c r="C3335" s="0" t="inlineStr">
        <is>
          <t xml:space="preserve">broad_maritime</t>
        </is>
      </c>
      <c r="D3335" s="4">
        <v>0.19472313</v>
      </c>
      <c r="E3335" s="0" t="inlineStr">
        <is>
          <t xml:space="preserve">IMECO INC</t>
        </is>
      </c>
      <c r="F3335" s="0" t="inlineStr">
        <is>
          <t xml:space="preserve">psc:2090</t>
        </is>
      </c>
    </row>
    <row r="3336">
      <c r="B3336" s="0" t="inlineStr">
        <is>
          <t xml:space="preserve">N0010422PNC09</t>
        </is>
      </c>
      <c r="C3336" s="0" t="inlineStr">
        <is>
          <t xml:space="preserve">small_craft</t>
        </is>
      </c>
      <c r="D3336" s="4">
        <v>0.19471201</v>
      </c>
      <c r="E3336" s="0" t="inlineStr">
        <is>
          <t xml:space="preserve">ELECTRIC BOAT CORPORATION</t>
        </is>
      </c>
      <c r="F3336" s="0" t="inlineStr">
        <is>
          <t xml:space="preserve">naics:336612</t>
        </is>
      </c>
    </row>
    <row r="3337">
      <c r="B3337" s="0" t="inlineStr">
        <is>
          <t xml:space="preserve">N5005422P0164</t>
        </is>
      </c>
      <c r="C3337" s="0" t="inlineStr">
        <is>
          <t xml:space="preserve">broad_maritime</t>
        </is>
      </c>
      <c r="D3337" s="4">
        <v>0.19453566</v>
      </c>
      <c r="E3337" s="0" t="inlineStr">
        <is>
          <t xml:space="preserve">THE SHERWIN-WILLIAMS COMPANY</t>
        </is>
      </c>
      <c r="F3337" s="0" t="inlineStr">
        <is>
          <t xml:space="preserve">psc:2090</t>
        </is>
      </c>
    </row>
    <row r="3338">
      <c r="B3338" s="0" t="inlineStr">
        <is>
          <t xml:space="preserve">N3220519P6839</t>
        </is>
      </c>
      <c r="C3338" s="0" t="inlineStr">
        <is>
          <t xml:space="preserve">broad_maritime</t>
        </is>
      </c>
      <c r="D3338" s="4">
        <v>0.194275</v>
      </c>
      <c r="E3338" s="0" t="inlineStr">
        <is>
          <t xml:space="preserve">THE SHERWIN-WILLIAMS COMPANY</t>
        </is>
      </c>
      <c r="F3338" s="0" t="inlineStr">
        <is>
          <t xml:space="preserve">psc:2090</t>
        </is>
      </c>
    </row>
    <row r="3339">
      <c r="B3339" s="0" t="inlineStr">
        <is>
          <t xml:space="preserve">N0010417CFA33</t>
        </is>
      </c>
      <c r="C3339" s="0" t="inlineStr">
        <is>
          <t xml:space="preserve">small_craft</t>
        </is>
      </c>
      <c r="D3339" s="4">
        <v>0.19419071999999998</v>
      </c>
      <c r="E3339" s="0" t="inlineStr">
        <is>
          <t xml:space="preserve">L3 TECHNOLOGIES, INC.</t>
        </is>
      </c>
      <c r="F3339" s="0" t="inlineStr">
        <is>
          <t xml:space="preserve">naics:336612</t>
        </is>
      </c>
    </row>
    <row r="3340">
      <c r="B3340" s="0" t="inlineStr">
        <is>
          <t xml:space="preserve">N0040625FS115</t>
        </is>
      </c>
      <c r="C3340" s="0" t="inlineStr">
        <is>
          <t xml:space="preserve">broad_maritime</t>
        </is>
      </c>
      <c r="D3340" s="4">
        <v>0.19414254999999997</v>
      </c>
      <c r="E3340" s="0" t="inlineStr">
        <is>
          <t xml:space="preserve">DEFENSE MARITIME SOLUTIONS, INC.</t>
        </is>
      </c>
      <c r="F3340" s="0" t="inlineStr">
        <is>
          <t xml:space="preserve">psc:2090</t>
        </is>
      </c>
    </row>
    <row r="3341">
      <c r="B3341" s="0" t="inlineStr">
        <is>
          <t xml:space="preserve">N3220519P6138</t>
        </is>
      </c>
      <c r="C3341" s="0" t="inlineStr">
        <is>
          <t xml:space="preserve">broad_maritime</t>
        </is>
      </c>
      <c r="D3341" s="4">
        <v>0.19394999999999998</v>
      </c>
      <c r="E3341" s="0" t="inlineStr">
        <is>
          <t xml:space="preserve">VALVE AUTOMATION AND CONTROL OF SAN DIEGO</t>
        </is>
      </c>
      <c r="F3341" s="0" t="inlineStr">
        <is>
          <t xml:space="preserve">psc:2090</t>
        </is>
      </c>
    </row>
    <row r="3342">
      <c r="B3342" s="0" t="inlineStr">
        <is>
          <t xml:space="preserve">N3220519P6543</t>
        </is>
      </c>
      <c r="C3342" s="0" t="inlineStr">
        <is>
          <t xml:space="preserve">broad_maritime</t>
        </is>
      </c>
      <c r="D3342" s="4">
        <v>0.193875</v>
      </c>
      <c r="E3342" s="0" t="inlineStr">
        <is>
          <t xml:space="preserve">FEDERAL RESOURCES SUPPLY COMPANY, LLC</t>
        </is>
      </c>
      <c r="F3342" s="0" t="inlineStr">
        <is>
          <t xml:space="preserve">psc:2090</t>
        </is>
      </c>
    </row>
    <row r="3343">
      <c r="B3343" s="0" t="inlineStr">
        <is>
          <t xml:space="preserve">N6278920F0011</t>
        </is>
      </c>
      <c r="C3343" s="0" t="inlineStr">
        <is>
          <t xml:space="preserve">broad_maritime</t>
        </is>
      </c>
      <c r="D3343" s="4">
        <v>0.193872</v>
      </c>
      <c r="E3343" s="0" t="inlineStr">
        <is>
          <t xml:space="preserve">ELECTRIC BOAT CORPORATION</t>
        </is>
      </c>
      <c r="F3343" s="0" t="inlineStr">
        <is>
          <t xml:space="preserve">psc:1905</t>
        </is>
      </c>
    </row>
    <row r="3344">
      <c r="B3344" s="0" t="inlineStr">
        <is>
          <t xml:space="preserve">L805</t>
        </is>
      </c>
      <c r="C3344" s="0" t="inlineStr">
        <is>
          <t xml:space="preserve">broad_maritime</t>
        </is>
      </c>
      <c r="D3344" s="4">
        <v>0.193487</v>
      </c>
      <c r="E3344" s="0" t="inlineStr">
        <is>
          <t xml:space="preserve">ELECTRIC BOAT CORPORATION</t>
        </is>
      </c>
      <c r="F3344" s="0" t="inlineStr">
        <is>
          <t xml:space="preserve">psc:1905</t>
        </is>
      </c>
    </row>
    <row r="3345">
      <c r="B3345" s="0" t="inlineStr">
        <is>
          <t xml:space="preserve">N0040621P0575</t>
        </is>
      </c>
      <c r="C3345" s="0" t="inlineStr">
        <is>
          <t xml:space="preserve">broad_maritime</t>
        </is>
      </c>
      <c r="D3345" s="4">
        <v>0.19319999999999998</v>
      </c>
      <c r="E3345" s="0" t="inlineStr">
        <is>
          <t xml:space="preserve">BRIGHT LIGHTS USA, INC</t>
        </is>
      </c>
      <c r="F3345" s="0" t="inlineStr">
        <is>
          <t xml:space="preserve">psc:2090</t>
        </is>
      </c>
    </row>
    <row r="3346">
      <c r="B3346" s="0" t="inlineStr">
        <is>
          <t xml:space="preserve">N3220520P2084</t>
        </is>
      </c>
      <c r="C3346" s="0" t="inlineStr">
        <is>
          <t xml:space="preserve">broad_maritime</t>
        </is>
      </c>
      <c r="D3346" s="4">
        <v>0.193125</v>
      </c>
      <c r="E3346" s="0" t="inlineStr">
        <is>
          <t xml:space="preserve">QUALITY REFRIGERATION COMPANY, INC.</t>
        </is>
      </c>
      <c r="F3346" s="0" t="inlineStr">
        <is>
          <t xml:space="preserve">psc:2090</t>
        </is>
      </c>
    </row>
    <row r="3347">
      <c r="B3347" s="0" t="inlineStr">
        <is>
          <t xml:space="preserve">N0024420P0290</t>
        </is>
      </c>
      <c r="C3347" s="0" t="inlineStr">
        <is>
          <t xml:space="preserve">broad_maritime</t>
        </is>
      </c>
      <c r="D3347" s="4">
        <v>0.19305599999999998</v>
      </c>
      <c r="E3347" s="0" t="inlineStr">
        <is>
          <t xml:space="preserve">COSPOLICH INC.</t>
        </is>
      </c>
      <c r="F3347" s="0" t="inlineStr">
        <is>
          <t xml:space="preserve">psc:2090</t>
        </is>
      </c>
    </row>
    <row r="3348">
      <c r="B3348" s="0" t="inlineStr">
        <is>
          <t xml:space="preserve">N6449817F4089</t>
        </is>
      </c>
      <c r="C3348" s="0" t="inlineStr">
        <is>
          <t xml:space="preserve">broad_maritime</t>
        </is>
      </c>
      <c r="D3348" s="4">
        <v>0.193</v>
      </c>
      <c r="E3348" s="0" t="inlineStr">
        <is>
          <t xml:space="preserve">FENDER CARE LIMITED</t>
        </is>
      </c>
      <c r="F3348" s="0" t="inlineStr">
        <is>
          <t xml:space="preserve">psc:2090</t>
        </is>
      </c>
    </row>
    <row r="3349">
      <c r="B3349" s="0" t="inlineStr">
        <is>
          <t xml:space="preserve">N0040623P0185</t>
        </is>
      </c>
      <c r="C3349" s="0" t="inlineStr">
        <is>
          <t xml:space="preserve">broad_maritime</t>
        </is>
      </c>
      <c r="D3349" s="4">
        <v>0.19283399999999998</v>
      </c>
      <c r="E3349" s="0" t="inlineStr">
        <is>
          <t xml:space="preserve">RENK CORP</t>
        </is>
      </c>
      <c r="F3349" s="0" t="inlineStr">
        <is>
          <t xml:space="preserve">psc:2090</t>
        </is>
      </c>
    </row>
    <row r="3350">
      <c r="B3350" s="0" t="inlineStr">
        <is>
          <t xml:space="preserve">N6883623P0143</t>
        </is>
      </c>
      <c r="C3350" s="0" t="inlineStr">
        <is>
          <t xml:space="preserve">broad_maritime</t>
        </is>
      </c>
      <c r="D3350" s="4">
        <v>0.19272020999999998</v>
      </c>
      <c r="E3350" s="0" t="inlineStr">
        <is>
          <t xml:space="preserve">J. H. NORTON COMPANY, INC.</t>
        </is>
      </c>
      <c r="F3350" s="0" t="inlineStr">
        <is>
          <t xml:space="preserve">psc:2090</t>
        </is>
      </c>
    </row>
    <row r="3351">
      <c r="B3351" s="0" t="inlineStr">
        <is>
          <t xml:space="preserve">N6449820P5380</t>
        </is>
      </c>
      <c r="C3351" s="0" t="inlineStr">
        <is>
          <t xml:space="preserve">broad_maritime</t>
        </is>
      </c>
      <c r="D3351" s="4">
        <v>0.19272</v>
      </c>
      <c r="E3351" s="0" t="inlineStr">
        <is>
          <t xml:space="preserve">NAG, LLC</t>
        </is>
      </c>
      <c r="F3351" s="0" t="inlineStr">
        <is>
          <t xml:space="preserve">psc:2090</t>
        </is>
      </c>
    </row>
    <row r="3352">
      <c r="B3352" s="0" t="inlineStr">
        <is>
          <t xml:space="preserve">0051</t>
        </is>
      </c>
      <c r="C3352" s="0" t="inlineStr">
        <is>
          <t xml:space="preserve">broad_maritime</t>
        </is>
      </c>
      <c r="D3352" s="4">
        <v>0.19262131999999998</v>
      </c>
      <c r="E3352" s="0" t="inlineStr">
        <is>
          <t xml:space="preserve">ROCKWELL AUTOMATION INC</t>
        </is>
      </c>
      <c r="F3352" s="0" t="inlineStr">
        <is>
          <t xml:space="preserve">psc:2090</t>
        </is>
      </c>
    </row>
    <row r="3353">
      <c r="B3353" s="0" t="inlineStr">
        <is>
          <t xml:space="preserve">N0003922F1013</t>
        </is>
      </c>
      <c r="C3353" s="0" t="inlineStr">
        <is>
          <t xml:space="preserve">small_craft</t>
        </is>
      </c>
      <c r="D3353" s="4">
        <v>0.19199597</v>
      </c>
      <c r="E3353" s="0" t="inlineStr">
        <is>
          <t xml:space="preserve">TELEDYNE BROWN ENGINEERING, INC.</t>
        </is>
      </c>
      <c r="F3353" s="0" t="inlineStr">
        <is>
          <t xml:space="preserve">psc:1940</t>
        </is>
      </c>
    </row>
    <row r="3354">
      <c r="B3354" s="0" t="inlineStr">
        <is>
          <t xml:space="preserve">N3220520P4129</t>
        </is>
      </c>
      <c r="C3354" s="0" t="inlineStr">
        <is>
          <t xml:space="preserve">broad_maritime</t>
        </is>
      </c>
      <c r="D3354" s="4">
        <v>0.191827</v>
      </c>
      <c r="E3354" s="0" t="inlineStr">
        <is>
          <t xml:space="preserve">QUALITY PACIFIC MANUFACTURING INC.</t>
        </is>
      </c>
      <c r="F3354" s="0" t="inlineStr">
        <is>
          <t xml:space="preserve">psc:2090</t>
        </is>
      </c>
    </row>
    <row r="3355">
      <c r="B3355" s="0" t="inlineStr">
        <is>
          <t xml:space="preserve">N5005425F4007</t>
        </is>
      </c>
      <c r="C3355" s="0" t="inlineStr">
        <is>
          <t xml:space="preserve">broad_maritime</t>
        </is>
      </c>
      <c r="D3355" s="4">
        <v>0.19177999999999998</v>
      </c>
      <c r="E3355" s="0" t="inlineStr">
        <is>
          <t xml:space="preserve">SPEC-BUILT SYSTEMS, INC.</t>
        </is>
      </c>
      <c r="F3355" s="0" t="inlineStr">
        <is>
          <t xml:space="preserve">psc:2090</t>
        </is>
      </c>
    </row>
    <row r="3356">
      <c r="B3356" s="0" t="inlineStr">
        <is>
          <t xml:space="preserve">N4044617P0142</t>
        </is>
      </c>
      <c r="C3356" s="0" t="inlineStr">
        <is>
          <t xml:space="preserve">broad_maritime</t>
        </is>
      </c>
      <c r="D3356" s="4">
        <v>0.19111113</v>
      </c>
      <c r="E3356" s="0" t="inlineStr">
        <is>
          <t xml:space="preserve">FAIRBANKS MORSE, LLC</t>
        </is>
      </c>
      <c r="F3356" s="0" t="inlineStr">
        <is>
          <t xml:space="preserve">psc:2090</t>
        </is>
      </c>
    </row>
    <row r="3357">
      <c r="B3357" s="0" t="inlineStr">
        <is>
          <t xml:space="preserve">N3220519P6509</t>
        </is>
      </c>
      <c r="C3357" s="0" t="inlineStr">
        <is>
          <t xml:space="preserve">broad_maritime</t>
        </is>
      </c>
      <c r="D3357" s="4">
        <v>0.19106695999999998</v>
      </c>
      <c r="E3357" s="0" t="inlineStr">
        <is>
          <t xml:space="preserve">LAKE SHORE SYSTEMS, INC.</t>
        </is>
      </c>
      <c r="F3357" s="0" t="inlineStr">
        <is>
          <t xml:space="preserve">psc:2090</t>
        </is>
      </c>
    </row>
    <row r="3358">
      <c r="B3358" s="0" t="inlineStr">
        <is>
          <t xml:space="preserve">N6230620P0011</t>
        </is>
      </c>
      <c r="C3358" s="0" t="inlineStr">
        <is>
          <t xml:space="preserve">broad_maritime</t>
        </is>
      </c>
      <c r="D3358" s="4">
        <v>0.19104529</v>
      </c>
      <c r="E3358" s="0" t="inlineStr">
        <is>
          <t xml:space="preserve">TELEDYNE INSTRUMENTS, INC.</t>
        </is>
      </c>
      <c r="F3358" s="0" t="inlineStr">
        <is>
          <t xml:space="preserve">psc:2090</t>
        </is>
      </c>
    </row>
    <row r="3359">
      <c r="B3359" s="0" t="inlineStr">
        <is>
          <t xml:space="preserve">N6449825P5021</t>
        </is>
      </c>
      <c r="C3359" s="0" t="inlineStr">
        <is>
          <t xml:space="preserve">broad_maritime</t>
        </is>
      </c>
      <c r="D3359" s="4">
        <v>0.191</v>
      </c>
      <c r="E3359" s="0" t="inlineStr">
        <is>
          <t xml:space="preserve">NAG, LLC</t>
        </is>
      </c>
      <c r="F3359" s="0" t="inlineStr">
        <is>
          <t xml:space="preserve">psc:2090</t>
        </is>
      </c>
    </row>
    <row r="3360">
      <c r="B3360" s="0" t="inlineStr">
        <is>
          <t xml:space="preserve">N4044315P0258</t>
        </is>
      </c>
      <c r="C3360" s="0" t="inlineStr">
        <is>
          <t xml:space="preserve">broad_maritime</t>
        </is>
      </c>
      <c r="D3360" s="4">
        <v>0.19082</v>
      </c>
      <c r="E3360" s="0" t="inlineStr">
        <is>
          <t xml:space="preserve">VALVE AUTOMATION AND CONTROL OF SAN DIEGO</t>
        </is>
      </c>
      <c r="F3360" s="0" t="inlineStr">
        <is>
          <t xml:space="preserve">psc:2090</t>
        </is>
      </c>
    </row>
    <row r="3361">
      <c r="B3361" s="0" t="inlineStr">
        <is>
          <t xml:space="preserve">N3220516P4504</t>
        </is>
      </c>
      <c r="C3361" s="0" t="inlineStr">
        <is>
          <t xml:space="preserve">other_small</t>
        </is>
      </c>
      <c r="D3361" s="4">
        <v>0.1905</v>
      </c>
      <c r="E3361" s="0" t="inlineStr">
        <is>
          <t xml:space="preserve">CDK MOBILE SYSTEMS INC</t>
        </is>
      </c>
      <c r="F3361" s="0" t="inlineStr">
        <is>
          <t xml:space="preserve">psc:1990</t>
        </is>
      </c>
    </row>
    <row r="3362">
      <c r="B3362" s="0" t="inlineStr">
        <is>
          <t xml:space="preserve">N0010424FY705</t>
        </is>
      </c>
      <c r="C3362" s="0" t="inlineStr">
        <is>
          <t xml:space="preserve">small_craft</t>
        </is>
      </c>
      <c r="D3362" s="4">
        <v>0.189823</v>
      </c>
      <c r="E3362" s="0" t="inlineStr">
        <is>
          <t xml:space="preserve">L3 TECHNOLOGIES, INC.</t>
        </is>
      </c>
      <c r="F3362" s="0" t="inlineStr">
        <is>
          <t xml:space="preserve">naics:336612</t>
        </is>
      </c>
    </row>
    <row r="3363">
      <c r="B3363" s="0" t="inlineStr">
        <is>
          <t xml:space="preserve">N0040625PS120</t>
        </is>
      </c>
      <c r="C3363" s="0" t="inlineStr">
        <is>
          <t xml:space="preserve">broad_maritime</t>
        </is>
      </c>
      <c r="D3363" s="4">
        <v>0.1896</v>
      </c>
      <c r="E3363" s="0" t="inlineStr">
        <is>
          <t xml:space="preserve">BAYOU METAL SUPPLY &amp; MANUFACTURING, L.L.C.</t>
        </is>
      </c>
      <c r="F3363" s="0" t="inlineStr">
        <is>
          <t xml:space="preserve">psc:2090</t>
        </is>
      </c>
    </row>
    <row r="3364">
      <c r="B3364" s="0" t="inlineStr">
        <is>
          <t xml:space="preserve">N6449817F4096</t>
        </is>
      </c>
      <c r="C3364" s="0" t="inlineStr">
        <is>
          <t xml:space="preserve">broad_maritime</t>
        </is>
      </c>
      <c r="D3364" s="4">
        <v>0.18936526999999997</v>
      </c>
      <c r="E3364" s="0" t="inlineStr">
        <is>
          <t xml:space="preserve">L3 TECHNOLOGIES, INC.</t>
        </is>
      </c>
      <c r="F3364" s="0" t="inlineStr">
        <is>
          <t xml:space="preserve">psc:2090</t>
        </is>
      </c>
    </row>
    <row r="3365">
      <c r="B3365" s="0" t="inlineStr">
        <is>
          <t xml:space="preserve">N6264922P0183</t>
        </is>
      </c>
      <c r="C3365" s="0" t="inlineStr">
        <is>
          <t xml:space="preserve">broad_maritime</t>
        </is>
      </c>
      <c r="D3365" s="4">
        <v>0.18933126</v>
      </c>
      <c r="E3365" s="0" t="inlineStr">
        <is>
          <t xml:space="preserve">MISCELLANEOUS FOREIGN AWARDEES</t>
        </is>
      </c>
      <c r="F3365" s="0" t="inlineStr">
        <is>
          <t xml:space="preserve">psc:2090</t>
        </is>
      </c>
    </row>
    <row r="3366">
      <c r="B3366" s="0" t="inlineStr">
        <is>
          <t xml:space="preserve">N0040624P0403</t>
        </is>
      </c>
      <c r="C3366" s="0" t="inlineStr">
        <is>
          <t xml:space="preserve">broad_maritime</t>
        </is>
      </c>
      <c r="D3366" s="4">
        <v>0.18917099999999998</v>
      </c>
      <c r="E3366" s="0" t="inlineStr">
        <is>
          <t xml:space="preserve">APPLETON MARINE INC</t>
        </is>
      </c>
      <c r="F3366" s="0" t="inlineStr">
        <is>
          <t xml:space="preserve">psc:2090</t>
        </is>
      </c>
    </row>
    <row r="3367">
      <c r="B3367" s="0" t="inlineStr">
        <is>
          <t xml:space="preserve">N0018924P0233</t>
        </is>
      </c>
      <c r="C3367" s="0" t="inlineStr">
        <is>
          <t xml:space="preserve">broad_maritime</t>
        </is>
      </c>
      <c r="D3367" s="4">
        <v>0.18906599999999998</v>
      </c>
      <c r="E3367" s="0" t="inlineStr">
        <is>
          <t xml:space="preserve">DAVIS INTERIORS, LTD.</t>
        </is>
      </c>
      <c r="F3367" s="0" t="inlineStr">
        <is>
          <t xml:space="preserve">psc:2090</t>
        </is>
      </c>
    </row>
    <row r="3368">
      <c r="B3368" s="0" t="inlineStr">
        <is>
          <t xml:space="preserve">N0010425PDB57</t>
        </is>
      </c>
      <c r="C3368" s="0" t="inlineStr">
        <is>
          <t xml:space="preserve">small_craft</t>
        </is>
      </c>
      <c r="D3368" s="4">
        <v>0.18897999999999998</v>
      </c>
      <c r="E3368" s="0" t="inlineStr">
        <is>
          <t xml:space="preserve">DAISY DATA DISPLAYS INC</t>
        </is>
      </c>
      <c r="F3368" s="0" t="inlineStr">
        <is>
          <t xml:space="preserve">naics:336612</t>
        </is>
      </c>
    </row>
    <row r="3369">
      <c r="B3369" s="0" t="inlineStr">
        <is>
          <t xml:space="preserve">N3220513C3008</t>
        </is>
      </c>
      <c r="C3369" s="0" t="inlineStr">
        <is>
          <t xml:space="preserve">broad_maritime</t>
        </is>
      </c>
      <c r="D3369" s="4">
        <v>0.18774</v>
      </c>
      <c r="E3369" s="0" t="inlineStr">
        <is>
          <t xml:space="preserve">ELECTRIC MOTOR AND CONTRACTING COMPANY</t>
        </is>
      </c>
      <c r="F3369" s="0" t="inlineStr">
        <is>
          <t xml:space="preserve">psc:2090</t>
        </is>
      </c>
    </row>
    <row r="3370">
      <c r="B3370" s="0" t="inlineStr">
        <is>
          <t xml:space="preserve">N6133117F0117</t>
        </is>
      </c>
      <c r="C3370" s="0" t="inlineStr">
        <is>
          <t xml:space="preserve">broad_maritime</t>
        </is>
      </c>
      <c r="D3370" s="4">
        <v>0.18754205999999998</v>
      </c>
      <c r="E3370" s="0" t="inlineStr">
        <is>
          <t xml:space="preserve">BOOZ ALLEN HAMILTON INC</t>
        </is>
      </c>
      <c r="F3370" s="0" t="inlineStr">
        <is>
          <t xml:space="preserve">psc:2090</t>
        </is>
      </c>
    </row>
    <row r="3371">
      <c r="B3371" s="0" t="inlineStr">
        <is>
          <t xml:space="preserve">N3220515P3559</t>
        </is>
      </c>
      <c r="C3371" s="0" t="inlineStr">
        <is>
          <t xml:space="preserve">broad_maritime</t>
        </is>
      </c>
      <c r="D3371" s="4">
        <v>0.18750599999999998</v>
      </c>
      <c r="E3371" s="0" t="inlineStr">
        <is>
          <t xml:space="preserve">FASSMER SERVICE AMERICA LLC</t>
        </is>
      </c>
      <c r="F3371" s="0" t="inlineStr">
        <is>
          <t xml:space="preserve">psc:2090</t>
        </is>
      </c>
    </row>
    <row r="3372">
      <c r="B3372" s="0" t="inlineStr">
        <is>
          <t xml:space="preserve">N0018920P0680</t>
        </is>
      </c>
      <c r="C3372" s="0" t="inlineStr">
        <is>
          <t xml:space="preserve">broad_maritime</t>
        </is>
      </c>
      <c r="D3372" s="4">
        <v>0.18748360999999997</v>
      </c>
      <c r="E3372" s="0" t="inlineStr">
        <is>
          <t xml:space="preserve">COASTAL OFFICE SYSTEMS &amp; SUPPLY INC</t>
        </is>
      </c>
      <c r="F3372" s="0" t="inlineStr">
        <is>
          <t xml:space="preserve">psc:2090</t>
        </is>
      </c>
    </row>
    <row r="3373">
      <c r="B3373" s="0" t="inlineStr">
        <is>
          <t xml:space="preserve">N3220516P4407</t>
        </is>
      </c>
      <c r="C3373" s="0" t="inlineStr">
        <is>
          <t xml:space="preserve">broad_maritime</t>
        </is>
      </c>
      <c r="D3373" s="4">
        <v>0.18713095999999999</v>
      </c>
      <c r="E3373" s="0" t="inlineStr">
        <is>
          <t xml:space="preserve">R &amp; R SYSTEM SOLUTIONS, LLC</t>
        </is>
      </c>
      <c r="F3373" s="0" t="inlineStr">
        <is>
          <t xml:space="preserve">psc:2090</t>
        </is>
      </c>
    </row>
    <row r="3374">
      <c r="B3374" s="0" t="inlineStr">
        <is>
          <t xml:space="preserve">N3220522F4357</t>
        </is>
      </c>
      <c r="C3374" s="0" t="inlineStr">
        <is>
          <t xml:space="preserve">broad_maritime</t>
        </is>
      </c>
      <c r="D3374" s="4">
        <v>0.18694349999999998</v>
      </c>
      <c r="E3374" s="0" t="inlineStr">
        <is>
          <t xml:space="preserve">OCEAN PRODUCTS RESEARCH, INC.</t>
        </is>
      </c>
      <c r="F3374" s="0" t="inlineStr">
        <is>
          <t xml:space="preserve">psc:2090</t>
        </is>
      </c>
    </row>
    <row r="3375">
      <c r="B3375" s="0" t="inlineStr">
        <is>
          <t xml:space="preserve">N3220518P4182</t>
        </is>
      </c>
      <c r="C3375" s="0" t="inlineStr">
        <is>
          <t xml:space="preserve">broad_maritime</t>
        </is>
      </c>
      <c r="D3375" s="4">
        <v>0.1868</v>
      </c>
      <c r="E3375" s="0" t="inlineStr">
        <is>
          <t xml:space="preserve">QUALITY REFRIGERATION COMPANY, INC.</t>
        </is>
      </c>
      <c r="F3375" s="0" t="inlineStr">
        <is>
          <t xml:space="preserve">psc:2090</t>
        </is>
      </c>
    </row>
    <row r="3376">
      <c r="B3376" s="0" t="inlineStr">
        <is>
          <t xml:space="preserve">N6660423F0351</t>
        </is>
      </c>
      <c r="C3376" s="0" t="inlineStr">
        <is>
          <t xml:space="preserve">broad_maritime</t>
        </is>
      </c>
      <c r="D3376" s="4">
        <v>0.1866464</v>
      </c>
      <c r="E3376" s="0" t="inlineStr">
        <is>
          <t xml:space="preserve">KPAUL PROPERTIES LLC</t>
        </is>
      </c>
      <c r="F3376" s="0" t="inlineStr">
        <is>
          <t xml:space="preserve">psc:2090</t>
        </is>
      </c>
    </row>
    <row r="3377">
      <c r="B3377" s="0" t="inlineStr">
        <is>
          <t xml:space="preserve">N0010423PBS06</t>
        </is>
      </c>
      <c r="C3377" s="0" t="inlineStr">
        <is>
          <t xml:space="preserve">small_craft</t>
        </is>
      </c>
      <c r="D3377" s="4">
        <v>0.18647999999999998</v>
      </c>
      <c r="E3377" s="0" t="inlineStr">
        <is>
          <t xml:space="preserve">IN SPECK CORP</t>
        </is>
      </c>
      <c r="F3377" s="0" t="inlineStr">
        <is>
          <t xml:space="preserve">naics:336612</t>
        </is>
      </c>
    </row>
    <row r="3378">
      <c r="B3378" s="0" t="inlineStr">
        <is>
          <t xml:space="preserve">N3220516P4200</t>
        </is>
      </c>
      <c r="C3378" s="0" t="inlineStr">
        <is>
          <t xml:space="preserve">broad_maritime</t>
        </is>
      </c>
      <c r="D3378" s="4">
        <v>0.1863362</v>
      </c>
      <c r="E3378" s="0" t="inlineStr">
        <is>
          <t xml:space="preserve">DEFENSE MARITIME SOLUTIONS, INC.</t>
        </is>
      </c>
      <c r="F3378" s="0" t="inlineStr">
        <is>
          <t xml:space="preserve">psc:2090</t>
        </is>
      </c>
    </row>
    <row r="3379">
      <c r="B3379" s="0" t="inlineStr">
        <is>
          <t xml:space="preserve">N0010423PLC34</t>
        </is>
      </c>
      <c r="C3379" s="0" t="inlineStr">
        <is>
          <t xml:space="preserve">small_craft</t>
        </is>
      </c>
      <c r="D3379" s="4">
        <v>0.1863</v>
      </c>
      <c r="E3379" s="0" t="inlineStr">
        <is>
          <t xml:space="preserve">JA MOODY LLC</t>
        </is>
      </c>
      <c r="F3379" s="0" t="inlineStr">
        <is>
          <t xml:space="preserve">naics:336612</t>
        </is>
      </c>
    </row>
    <row r="3380">
      <c r="B3380" s="0" t="inlineStr">
        <is>
          <t xml:space="preserve">N0040624F0040</t>
        </is>
      </c>
      <c r="C3380" s="0" t="inlineStr">
        <is>
          <t xml:space="preserve">broad_maritime</t>
        </is>
      </c>
      <c r="D3380" s="4">
        <v>0.18617229</v>
      </c>
      <c r="E3380" s="0" t="inlineStr">
        <is>
          <t xml:space="preserve">DEFENSE MARITIME SOLUTIONS, INC.</t>
        </is>
      </c>
      <c r="F3380" s="0" t="inlineStr">
        <is>
          <t xml:space="preserve">psc:2090</t>
        </is>
      </c>
    </row>
    <row r="3381">
      <c r="B3381" s="0" t="inlineStr">
        <is>
          <t xml:space="preserve">N0040616P1470</t>
        </is>
      </c>
      <c r="C3381" s="0" t="inlineStr">
        <is>
          <t xml:space="preserve">broad_maritime</t>
        </is>
      </c>
      <c r="D3381" s="4">
        <v>0.185826</v>
      </c>
      <c r="E3381" s="0" t="inlineStr">
        <is>
          <t xml:space="preserve">PACIFIC MARITIME INDUSTRIES CORP.</t>
        </is>
      </c>
      <c r="F3381" s="0" t="inlineStr">
        <is>
          <t xml:space="preserve">psc:2090</t>
        </is>
      </c>
    </row>
    <row r="3382">
      <c r="B3382" s="0" t="inlineStr">
        <is>
          <t xml:space="preserve">N6893619F0403</t>
        </is>
      </c>
      <c r="C3382" s="0" t="inlineStr">
        <is>
          <t xml:space="preserve">small_craft</t>
        </is>
      </c>
      <c r="D3382" s="4">
        <v>0.18574144</v>
      </c>
      <c r="E3382" s="0" t="inlineStr">
        <is>
          <t xml:space="preserve">CUSTOM ROTO-MOLD, INC.</t>
        </is>
      </c>
      <c r="F3382" s="0" t="inlineStr">
        <is>
          <t xml:space="preserve">naics:336612</t>
        </is>
      </c>
    </row>
    <row r="3383">
      <c r="B3383" s="0" t="inlineStr">
        <is>
          <t xml:space="preserve">N0010423PFE13</t>
        </is>
      </c>
      <c r="C3383" s="0" t="inlineStr">
        <is>
          <t xml:space="preserve">small_craft</t>
        </is>
      </c>
      <c r="D3383" s="4">
        <v>0.18542999999999998</v>
      </c>
      <c r="E3383" s="0" t="inlineStr">
        <is>
          <t xml:space="preserve">METALLOY INDUSTRIES, INC.</t>
        </is>
      </c>
      <c r="F3383" s="0" t="inlineStr">
        <is>
          <t xml:space="preserve">naics:336612</t>
        </is>
      </c>
    </row>
    <row r="3384">
      <c r="B3384" s="0" t="inlineStr">
        <is>
          <t xml:space="preserve">N0018920P0273</t>
        </is>
      </c>
      <c r="C3384" s="0" t="inlineStr">
        <is>
          <t xml:space="preserve">broad_maritime</t>
        </is>
      </c>
      <c r="D3384" s="4">
        <v>0.18527975</v>
      </c>
      <c r="E3384" s="0" t="inlineStr">
        <is>
          <t xml:space="preserve">DAVIS INTERIORS, LTD.</t>
        </is>
      </c>
      <c r="F3384" s="0" t="inlineStr">
        <is>
          <t xml:space="preserve">psc:2090</t>
        </is>
      </c>
    </row>
    <row r="3385">
      <c r="B3385" s="0" t="inlineStr">
        <is>
          <t xml:space="preserve">N0018923P0556</t>
        </is>
      </c>
      <c r="C3385" s="0" t="inlineStr">
        <is>
          <t xml:space="preserve">broad_maritime</t>
        </is>
      </c>
      <c r="D3385" s="4">
        <v>0.18475</v>
      </c>
      <c r="E3385" s="0" t="inlineStr">
        <is>
          <t xml:space="preserve">DAVIS INTERIORS, LTD.</t>
        </is>
      </c>
      <c r="F3385" s="0" t="inlineStr">
        <is>
          <t xml:space="preserve">psc:2090</t>
        </is>
      </c>
    </row>
    <row r="3386">
      <c r="B3386" s="0" t="inlineStr">
        <is>
          <t xml:space="preserve">N6600114P7579</t>
        </is>
      </c>
      <c r="C3386" s="0" t="inlineStr">
        <is>
          <t xml:space="preserve">small_craft</t>
        </is>
      </c>
      <c r="D3386" s="4">
        <v>0.18456999999999998</v>
      </c>
      <c r="E3386" s="0" t="inlineStr">
        <is>
          <t xml:space="preserve">LIQUID ROBOTICS FEDERAL, INC.</t>
        </is>
      </c>
      <c r="F3386" s="0" t="inlineStr">
        <is>
          <t xml:space="preserve">naics:336612; psc:1940</t>
        </is>
      </c>
    </row>
    <row r="3387">
      <c r="B3387" s="0" t="inlineStr">
        <is>
          <t xml:space="preserve">N0040624F0030</t>
        </is>
      </c>
      <c r="C3387" s="0" t="inlineStr">
        <is>
          <t xml:space="preserve">broad_maritime</t>
        </is>
      </c>
      <c r="D3387" s="4">
        <v>0.18437244</v>
      </c>
      <c r="E3387" s="0" t="inlineStr">
        <is>
          <t xml:space="preserve">DEFENSE MARITIME SOLUTIONS, INC.</t>
        </is>
      </c>
      <c r="F3387" s="0" t="inlineStr">
        <is>
          <t xml:space="preserve">psc:2090</t>
        </is>
      </c>
    </row>
    <row r="3388">
      <c r="B3388" s="0" t="inlineStr">
        <is>
          <t xml:space="preserve">N3220521P2125</t>
        </is>
      </c>
      <c r="C3388" s="0" t="inlineStr">
        <is>
          <t xml:space="preserve">broad_maritime</t>
        </is>
      </c>
      <c r="D3388" s="4">
        <v>0.184302</v>
      </c>
      <c r="E3388" s="0" t="inlineStr">
        <is>
          <t xml:space="preserve">RENK CORP</t>
        </is>
      </c>
      <c r="F3388" s="0" t="inlineStr">
        <is>
          <t xml:space="preserve">psc:2090</t>
        </is>
      </c>
    </row>
    <row r="3389">
      <c r="B3389" s="0" t="inlineStr">
        <is>
          <t xml:space="preserve">N0040623P0805</t>
        </is>
      </c>
      <c r="C3389" s="0" t="inlineStr">
        <is>
          <t xml:space="preserve">small_craft</t>
        </is>
      </c>
      <c r="D3389" s="4">
        <v>0.184256</v>
      </c>
      <c r="E3389" s="0" t="inlineStr">
        <is>
          <t xml:space="preserve">VANE BROTHERS MARINE SAFETY &amp; SERVICES, INC.</t>
        </is>
      </c>
      <c r="F3389" s="0" t="inlineStr">
        <is>
          <t xml:space="preserve">naics:336612</t>
        </is>
      </c>
    </row>
    <row r="3390">
      <c r="B3390" s="0" t="inlineStr">
        <is>
          <t xml:space="preserve">N0040618C0009</t>
        </is>
      </c>
      <c r="C3390" s="0" t="inlineStr">
        <is>
          <t xml:space="preserve">broad_maritime</t>
        </is>
      </c>
      <c r="D3390" s="4">
        <v>0.18420398</v>
      </c>
      <c r="E3390" s="0" t="inlineStr">
        <is>
          <t xml:space="preserve">JUNIPER ELBOW CO. INC.</t>
        </is>
      </c>
      <c r="F3390" s="0" t="inlineStr">
        <is>
          <t xml:space="preserve">psc:2090</t>
        </is>
      </c>
    </row>
    <row r="3391">
      <c r="B3391" s="0" t="inlineStr">
        <is>
          <t xml:space="preserve">N3220521P2271</t>
        </is>
      </c>
      <c r="C3391" s="0" t="inlineStr">
        <is>
          <t xml:space="preserve">broad_maritime</t>
        </is>
      </c>
      <c r="D3391" s="4">
        <v>0.183883</v>
      </c>
      <c r="E3391" s="0" t="inlineStr">
        <is>
          <t xml:space="preserve">IMECO INC</t>
        </is>
      </c>
      <c r="F3391" s="0" t="inlineStr">
        <is>
          <t xml:space="preserve">psc:2090</t>
        </is>
      </c>
    </row>
    <row r="3392">
      <c r="B3392" s="0" t="inlineStr">
        <is>
          <t xml:space="preserve">N3220517P4151</t>
        </is>
      </c>
      <c r="C3392" s="0" t="inlineStr">
        <is>
          <t xml:space="preserve">broad_maritime</t>
        </is>
      </c>
      <c r="D3392" s="4">
        <v>0.18353999999999998</v>
      </c>
      <c r="E3392" s="0" t="inlineStr">
        <is>
          <t xml:space="preserve">MILITARY AIRLIFT EXPERTS LLC (MILAIRX LLC)</t>
        </is>
      </c>
      <c r="F3392" s="0" t="inlineStr">
        <is>
          <t xml:space="preserve">psc:2090</t>
        </is>
      </c>
    </row>
    <row r="3393">
      <c r="B3393" s="0" t="inlineStr">
        <is>
          <t xml:space="preserve">N5005420P0145</t>
        </is>
      </c>
      <c r="C3393" s="0" t="inlineStr">
        <is>
          <t xml:space="preserve">broad_maritime</t>
        </is>
      </c>
      <c r="D3393" s="4">
        <v>0.183414</v>
      </c>
      <c r="E3393" s="0" t="inlineStr">
        <is>
          <t xml:space="preserve">KE MARINE INC</t>
        </is>
      </c>
      <c r="F3393" s="0" t="inlineStr">
        <is>
          <t xml:space="preserve">psc:1905</t>
        </is>
      </c>
    </row>
    <row r="3394">
      <c r="B3394" s="0" t="inlineStr">
        <is>
          <t xml:space="preserve">N3220516P4352</t>
        </is>
      </c>
      <c r="C3394" s="0" t="inlineStr">
        <is>
          <t xml:space="preserve">broad_maritime</t>
        </is>
      </c>
      <c r="D3394" s="4">
        <v>0.182244</v>
      </c>
      <c r="E3394" s="0" t="inlineStr">
        <is>
          <t xml:space="preserve">VALVE AUTOMATION AND CONTROL OF SAN DIEGO</t>
        </is>
      </c>
      <c r="F3394" s="0" t="inlineStr">
        <is>
          <t xml:space="preserve">psc:2090</t>
        </is>
      </c>
    </row>
    <row r="3395">
      <c r="B3395" s="0" t="inlineStr">
        <is>
          <t xml:space="preserve">N3220521P2101</t>
        </is>
      </c>
      <c r="C3395" s="0" t="inlineStr">
        <is>
          <t xml:space="preserve">broad_maritime</t>
        </is>
      </c>
      <c r="D3395" s="4">
        <v>0.18154779</v>
      </c>
      <c r="E3395" s="0" t="inlineStr">
        <is>
          <t xml:space="preserve">FAIRBANKS MORSE, LLC</t>
        </is>
      </c>
      <c r="F3395" s="0" t="inlineStr">
        <is>
          <t xml:space="preserve">psc:2090</t>
        </is>
      </c>
    </row>
    <row r="3396">
      <c r="B3396" s="0" t="inlineStr">
        <is>
          <t xml:space="preserve">N3220520F0527</t>
        </is>
      </c>
      <c r="C3396" s="0" t="inlineStr">
        <is>
          <t xml:space="preserve">other_small</t>
        </is>
      </c>
      <c r="D3396" s="4">
        <v>0.18149848</v>
      </c>
      <c r="E3396" s="0" t="inlineStr">
        <is>
          <t xml:space="preserve">LAKE SHORE SYSTEMS, INC.</t>
        </is>
      </c>
      <c r="F3396" s="0" t="inlineStr">
        <is>
          <t xml:space="preserve">psc:1990</t>
        </is>
      </c>
    </row>
    <row r="3397">
      <c r="B3397" s="0" t="inlineStr">
        <is>
          <t xml:space="preserve">N3220518P4542</t>
        </is>
      </c>
      <c r="C3397" s="0" t="inlineStr">
        <is>
          <t xml:space="preserve">broad_maritime</t>
        </is>
      </c>
      <c r="D3397" s="4">
        <v>0.181372</v>
      </c>
      <c r="E3397" s="0" t="inlineStr">
        <is>
          <t xml:space="preserve">ROYAL COMMUNICATIONS INTERNATIONAL, INC.</t>
        </is>
      </c>
      <c r="F3397" s="0" t="inlineStr">
        <is>
          <t xml:space="preserve">psc:2090</t>
        </is>
      </c>
    </row>
    <row r="3398">
      <c r="B3398" s="0" t="inlineStr">
        <is>
          <t xml:space="preserve">N0016720F0148</t>
        </is>
      </c>
      <c r="C3398" s="0" t="inlineStr">
        <is>
          <t xml:space="preserve">broad_maritime</t>
        </is>
      </c>
      <c r="D3398" s="4">
        <v>0.1813442</v>
      </c>
      <c r="E3398" s="0" t="inlineStr">
        <is>
          <t xml:space="preserve">ANCHOR INNOVATION, INC.</t>
        </is>
      </c>
      <c r="F3398" s="0" t="inlineStr">
        <is>
          <t xml:space="preserve">psc:1905</t>
        </is>
      </c>
    </row>
    <row r="3399">
      <c r="B3399" s="0" t="inlineStr">
        <is>
          <t xml:space="preserve">N6264924F0835</t>
        </is>
      </c>
      <c r="C3399" s="0" t="inlineStr">
        <is>
          <t xml:space="preserve">small_craft</t>
        </is>
      </c>
      <c r="D3399" s="4">
        <v>0.18131601</v>
      </c>
      <c r="E3399" s="0" t="inlineStr">
        <is>
          <t xml:space="preserve">MISCELLANEOUS FOREIGN AWARDEES</t>
        </is>
      </c>
      <c r="F3399" s="0" t="inlineStr">
        <is>
          <t xml:space="preserve">naics:336612</t>
        </is>
      </c>
    </row>
    <row r="3400">
      <c r="B3400" s="0" t="inlineStr">
        <is>
          <t xml:space="preserve">1002</t>
        </is>
      </c>
      <c r="C3400" s="0" t="inlineStr">
        <is>
          <t xml:space="preserve">small_craft</t>
        </is>
      </c>
      <c r="D3400" s="4">
        <v>0.181312</v>
      </c>
      <c r="E3400" s="0" t="inlineStr">
        <is>
          <t xml:space="preserve">WING INFLATABLES INC</t>
        </is>
      </c>
      <c r="F3400" s="0" t="inlineStr">
        <is>
          <t xml:space="preserve">naics:336612; psc:1940</t>
        </is>
      </c>
    </row>
    <row r="3401">
      <c r="B3401" s="0" t="inlineStr">
        <is>
          <t xml:space="preserve">N3220518P6019</t>
        </is>
      </c>
      <c r="C3401" s="0" t="inlineStr">
        <is>
          <t xml:space="preserve">broad_maritime</t>
        </is>
      </c>
      <c r="D3401" s="4">
        <v>0.18104678</v>
      </c>
      <c r="E3401" s="0" t="inlineStr">
        <is>
          <t xml:space="preserve">QUALITY REFRIGERATION COMPANY, INC.</t>
        </is>
      </c>
      <c r="F3401" s="0" t="inlineStr">
        <is>
          <t xml:space="preserve">psc:2090</t>
        </is>
      </c>
    </row>
    <row r="3402">
      <c r="B3402" s="0" t="inlineStr">
        <is>
          <t xml:space="preserve">N6449820P5385</t>
        </is>
      </c>
      <c r="C3402" s="0" t="inlineStr">
        <is>
          <t xml:space="preserve">broad_maritime</t>
        </is>
      </c>
      <c r="D3402" s="4">
        <v>0.180675</v>
      </c>
      <c r="E3402" s="0" t="inlineStr">
        <is>
          <t xml:space="preserve">NAG, LLC</t>
        </is>
      </c>
      <c r="F3402" s="0" t="inlineStr">
        <is>
          <t xml:space="preserve">psc:2090</t>
        </is>
      </c>
    </row>
    <row r="3403">
      <c r="B3403" s="0" t="inlineStr">
        <is>
          <t xml:space="preserve">N5005423P0219</t>
        </is>
      </c>
      <c r="C3403" s="0" t="inlineStr">
        <is>
          <t xml:space="preserve">broad_maritime</t>
        </is>
      </c>
      <c r="D3403" s="4">
        <v>0.180577</v>
      </c>
      <c r="E3403" s="0" t="inlineStr">
        <is>
          <t xml:space="preserve">CORNELL-CARR CO., INC.</t>
        </is>
      </c>
      <c r="F3403" s="0" t="inlineStr">
        <is>
          <t xml:space="preserve">psc:2090</t>
        </is>
      </c>
    </row>
    <row r="3404">
      <c r="B3404" s="0" t="inlineStr">
        <is>
          <t xml:space="preserve">N6230617P0015</t>
        </is>
      </c>
      <c r="C3404" s="0" t="inlineStr">
        <is>
          <t xml:space="preserve">usv_core</t>
        </is>
      </c>
      <c r="D3404" s="4">
        <v>0.18</v>
      </c>
      <c r="E3404" s="0" t="inlineStr">
        <is>
          <t xml:space="preserve">THE UNIVERSITY OF SOUTHERN MISSISSIPPI</t>
        </is>
      </c>
      <c r="F3404" s="0" t="inlineStr">
        <is>
          <t xml:space="preserve">keyword</t>
        </is>
      </c>
    </row>
    <row r="3405">
      <c r="B3405" s="0" t="inlineStr">
        <is>
          <t xml:space="preserve">N3220522P2197</t>
        </is>
      </c>
      <c r="C3405" s="0" t="inlineStr">
        <is>
          <t xml:space="preserve">broad_maritime</t>
        </is>
      </c>
      <c r="D3405" s="4">
        <v>0.17995</v>
      </c>
      <c r="E3405" s="0" t="inlineStr">
        <is>
          <t xml:space="preserve">WESTFLEX, INC.</t>
        </is>
      </c>
      <c r="F3405" s="0" t="inlineStr">
        <is>
          <t xml:space="preserve">psc:2090</t>
        </is>
      </c>
    </row>
    <row r="3406">
      <c r="B3406" s="0" t="inlineStr">
        <is>
          <t xml:space="preserve">N0010425PCB29</t>
        </is>
      </c>
      <c r="C3406" s="0" t="inlineStr">
        <is>
          <t xml:space="preserve">small_craft</t>
        </is>
      </c>
      <c r="D3406" s="4">
        <v>0.17994</v>
      </c>
      <c r="E3406" s="0" t="inlineStr">
        <is>
          <t xml:space="preserve">ABACO SYSTEMS, INC.</t>
        </is>
      </c>
      <c r="F3406" s="0" t="inlineStr">
        <is>
          <t xml:space="preserve">naics:336612</t>
        </is>
      </c>
    </row>
    <row r="3407">
      <c r="B3407" s="0" t="inlineStr">
        <is>
          <t xml:space="preserve">N3220516P4506</t>
        </is>
      </c>
      <c r="C3407" s="0" t="inlineStr">
        <is>
          <t xml:space="preserve">other_small</t>
        </is>
      </c>
      <c r="D3407" s="4">
        <v>0.17988804</v>
      </c>
      <c r="E3407" s="0" t="inlineStr">
        <is>
          <t xml:space="preserve">AUSTAL USA, LLC</t>
        </is>
      </c>
      <c r="F3407" s="0" t="inlineStr">
        <is>
          <t xml:space="preserve">psc:1990</t>
        </is>
      </c>
    </row>
    <row r="3408">
      <c r="B3408" s="0" t="inlineStr">
        <is>
          <t xml:space="preserve">N6264921P0262</t>
        </is>
      </c>
      <c r="C3408" s="0" t="inlineStr">
        <is>
          <t xml:space="preserve">broad_maritime</t>
        </is>
      </c>
      <c r="D3408" s="4">
        <v>0.17972939000000002</v>
      </c>
      <c r="E3408" s="0" t="inlineStr">
        <is>
          <t xml:space="preserve">NIHON KAIYO SANGYO CO.,LTD.</t>
        </is>
      </c>
      <c r="F3408" s="0" t="inlineStr">
        <is>
          <t xml:space="preserve">psc:2090</t>
        </is>
      </c>
    </row>
    <row r="3409">
      <c r="B3409" s="0" t="inlineStr">
        <is>
          <t xml:space="preserve">N0024424F0102</t>
        </is>
      </c>
      <c r="C3409" s="0" t="inlineStr">
        <is>
          <t xml:space="preserve">broad_maritime</t>
        </is>
      </c>
      <c r="D3409" s="4">
        <v>0.17967</v>
      </c>
      <c r="E3409" s="0" t="inlineStr">
        <is>
          <t xml:space="preserve">MARINE &amp; RESTAURANT FABRICATORS, INC.</t>
        </is>
      </c>
      <c r="F3409" s="0" t="inlineStr">
        <is>
          <t xml:space="preserve">psc:2090</t>
        </is>
      </c>
    </row>
    <row r="3410">
      <c r="B3410" s="0" t="inlineStr">
        <is>
          <t xml:space="preserve">N0040625F0041</t>
        </is>
      </c>
      <c r="C3410" s="0" t="inlineStr">
        <is>
          <t xml:space="preserve">broad_maritime</t>
        </is>
      </c>
      <c r="D3410" s="4">
        <v>0.17947953</v>
      </c>
      <c r="E3410" s="0" t="inlineStr">
        <is>
          <t xml:space="preserve">FAIRBANKS MORSE, LLC</t>
        </is>
      </c>
      <c r="F3410" s="0" t="inlineStr">
        <is>
          <t xml:space="preserve">psc:2090</t>
        </is>
      </c>
    </row>
    <row r="3411">
      <c r="B3411" s="0" t="inlineStr">
        <is>
          <t xml:space="preserve">N3220517F0508</t>
        </is>
      </c>
      <c r="C3411" s="0" t="inlineStr">
        <is>
          <t xml:space="preserve">broad_maritime</t>
        </is>
      </c>
      <c r="D3411" s="4">
        <v>0.17918339</v>
      </c>
      <c r="E3411" s="0" t="inlineStr">
        <is>
          <t xml:space="preserve">ROLLS-ROYCE SOLUTIONS AMERICA INC</t>
        </is>
      </c>
      <c r="F3411" s="0" t="inlineStr">
        <is>
          <t xml:space="preserve">psc:2090</t>
        </is>
      </c>
    </row>
    <row r="3412">
      <c r="B3412" s="0" t="inlineStr">
        <is>
          <t xml:space="preserve">N4523A21P0311</t>
        </is>
      </c>
      <c r="C3412" s="0" t="inlineStr">
        <is>
          <t xml:space="preserve">broad_maritime</t>
        </is>
      </c>
      <c r="D3412" s="4">
        <v>0.17900633</v>
      </c>
      <c r="E3412" s="0" t="inlineStr">
        <is>
          <t xml:space="preserve">CURTISS-WRIGHT ELECTRO-MECHANICAL CORPORATION</t>
        </is>
      </c>
      <c r="F3412" s="0" t="inlineStr">
        <is>
          <t xml:space="preserve">psc:1905</t>
        </is>
      </c>
    </row>
    <row r="3413">
      <c r="B3413" s="0" t="inlineStr">
        <is>
          <t xml:space="preserve">N3220520P0084</t>
        </is>
      </c>
      <c r="C3413" s="0" t="inlineStr">
        <is>
          <t xml:space="preserve">broad_maritime</t>
        </is>
      </c>
      <c r="D3413" s="4">
        <v>0.178885</v>
      </c>
      <c r="E3413" s="0" t="inlineStr">
        <is>
          <t xml:space="preserve">CORNELL-CARR CO., INC.</t>
        </is>
      </c>
      <c r="F3413" s="0" t="inlineStr">
        <is>
          <t xml:space="preserve">psc:2090</t>
        </is>
      </c>
    </row>
    <row r="3414">
      <c r="B3414" s="0" t="inlineStr">
        <is>
          <t xml:space="preserve">0023</t>
        </is>
      </c>
      <c r="C3414" s="0" t="inlineStr">
        <is>
          <t xml:space="preserve">broad_maritime</t>
        </is>
      </c>
      <c r="D3414" s="4">
        <v>0.17824009999999998</v>
      </c>
      <c r="E3414" s="0" t="inlineStr">
        <is>
          <t xml:space="preserve">PACIFIC MARITIME INDUSTRIES CORP.</t>
        </is>
      </c>
      <c r="F3414" s="0" t="inlineStr">
        <is>
          <t xml:space="preserve">psc:2090</t>
        </is>
      </c>
    </row>
    <row r="3415">
      <c r="B3415" s="0" t="inlineStr">
        <is>
          <t xml:space="preserve">N5523625P0010</t>
        </is>
      </c>
      <c r="C3415" s="0" t="inlineStr">
        <is>
          <t xml:space="preserve">broad_maritime</t>
        </is>
      </c>
      <c r="D3415" s="4">
        <v>0.178224</v>
      </c>
      <c r="E3415" s="0" t="inlineStr">
        <is>
          <t xml:space="preserve">JA MOODY LLC</t>
        </is>
      </c>
      <c r="F3415" s="0" t="inlineStr">
        <is>
          <t xml:space="preserve">psc:2090</t>
        </is>
      </c>
    </row>
    <row r="3416">
      <c r="B3416" s="0" t="inlineStr">
        <is>
          <t xml:space="preserve">N0024426FS026</t>
        </is>
      </c>
      <c r="C3416" s="0" t="inlineStr">
        <is>
          <t xml:space="preserve">broad_maritime</t>
        </is>
      </c>
      <c r="D3416" s="4">
        <v>0.17815999999999999</v>
      </c>
      <c r="E3416" s="0" t="inlineStr">
        <is>
          <t xml:space="preserve">MARINE &amp; RESTAURANT FABRICATORS, INC.</t>
        </is>
      </c>
      <c r="F3416" s="0" t="inlineStr">
        <is>
          <t xml:space="preserve">psc:2090</t>
        </is>
      </c>
    </row>
    <row r="3417">
      <c r="B3417" s="0" t="inlineStr">
        <is>
          <t xml:space="preserve">N0040624P0781</t>
        </is>
      </c>
      <c r="C3417" s="0" t="inlineStr">
        <is>
          <t xml:space="preserve">broad_maritime</t>
        </is>
      </c>
      <c r="D3417" s="4">
        <v>0.178024</v>
      </c>
      <c r="E3417" s="0" t="inlineStr">
        <is>
          <t xml:space="preserve">WESTEX GROUP, INC</t>
        </is>
      </c>
      <c r="F3417" s="0" t="inlineStr">
        <is>
          <t xml:space="preserve">psc:2090</t>
        </is>
      </c>
    </row>
    <row r="3418">
      <c r="B3418" s="0" t="inlineStr">
        <is>
          <t xml:space="preserve">N5005423P0245</t>
        </is>
      </c>
      <c r="C3418" s="0" t="inlineStr">
        <is>
          <t xml:space="preserve">broad_maritime</t>
        </is>
      </c>
      <c r="D3418" s="4">
        <v>0.17779448</v>
      </c>
      <c r="E3418" s="0" t="inlineStr">
        <is>
          <t xml:space="preserve">ADVANCED INTEGRATED TECHNOLOGIES, LLC</t>
        </is>
      </c>
      <c r="F3418" s="0" t="inlineStr">
        <is>
          <t xml:space="preserve">psc:2090</t>
        </is>
      </c>
    </row>
    <row r="3419">
      <c r="B3419" s="0" t="inlineStr">
        <is>
          <t xml:space="preserve">N3220524P2009</t>
        </is>
      </c>
      <c r="C3419" s="0" t="inlineStr">
        <is>
          <t xml:space="preserve">broad_maritime</t>
        </is>
      </c>
      <c r="D3419" s="4">
        <v>0.177624</v>
      </c>
      <c r="E3419" s="0" t="inlineStr">
        <is>
          <t xml:space="preserve">NIDAZ LLC</t>
        </is>
      </c>
      <c r="F3419" s="0" t="inlineStr">
        <is>
          <t xml:space="preserve">psc:2090</t>
        </is>
      </c>
    </row>
    <row r="3420">
      <c r="B3420" s="0" t="inlineStr">
        <is>
          <t xml:space="preserve">0007</t>
        </is>
      </c>
      <c r="C3420" s="0" t="inlineStr">
        <is>
          <t xml:space="preserve">other_small</t>
        </is>
      </c>
      <c r="D3420" s="4">
        <v>0.17757299999999998</v>
      </c>
      <c r="E3420" s="0" t="inlineStr">
        <is>
          <t xml:space="preserve">LOCKHEED MARTIN CORPORATION</t>
        </is>
      </c>
      <c r="F3420" s="0" t="inlineStr">
        <is>
          <t xml:space="preserve">psc:1990</t>
        </is>
      </c>
    </row>
    <row r="3421">
      <c r="B3421" s="0" t="inlineStr">
        <is>
          <t xml:space="preserve">N5523625F0389</t>
        </is>
      </c>
      <c r="C3421" s="0" t="inlineStr">
        <is>
          <t xml:space="preserve">broad_maritime</t>
        </is>
      </c>
      <c r="D3421" s="4">
        <v>0.17715871</v>
      </c>
      <c r="E3421" s="0" t="inlineStr">
        <is>
          <t xml:space="preserve">PROFESSIONAL CONTRACT SERVICES, INC.</t>
        </is>
      </c>
      <c r="F3421" s="0" t="inlineStr">
        <is>
          <t xml:space="preserve">psc:1905</t>
        </is>
      </c>
    </row>
    <row r="3422">
      <c r="B3422" s="0" t="inlineStr">
        <is>
          <t xml:space="preserve">M6261321P0025</t>
        </is>
      </c>
      <c r="C3422" s="0" t="inlineStr">
        <is>
          <t xml:space="preserve">broad_maritime</t>
        </is>
      </c>
      <c r="D3422" s="4">
        <v>0.177</v>
      </c>
      <c r="E3422" s="0" t="inlineStr">
        <is>
          <t xml:space="preserve">QUALITY PACIFIC MANUFACTURING INC.</t>
        </is>
      </c>
      <c r="F3422" s="0" t="inlineStr">
        <is>
          <t xml:space="preserve">psc:2090</t>
        </is>
      </c>
    </row>
    <row r="3423">
      <c r="B3423" s="0" t="inlineStr">
        <is>
          <t xml:space="preserve">N0040625PS353</t>
        </is>
      </c>
      <c r="C3423" s="0" t="inlineStr">
        <is>
          <t xml:space="preserve">broad_maritime</t>
        </is>
      </c>
      <c r="D3423" s="4">
        <v>0.17693799999999998</v>
      </c>
      <c r="E3423" s="0" t="inlineStr">
        <is>
          <t xml:space="preserve">APPLETON MARINE INC</t>
        </is>
      </c>
      <c r="F3423" s="0" t="inlineStr">
        <is>
          <t xml:space="preserve">psc:2090</t>
        </is>
      </c>
    </row>
    <row r="3424">
      <c r="B3424" s="0" t="inlineStr">
        <is>
          <t xml:space="preserve">N0016424FA046</t>
        </is>
      </c>
      <c r="C3424" s="0" t="inlineStr">
        <is>
          <t xml:space="preserve">broad_maritime</t>
        </is>
      </c>
      <c r="D3424" s="4">
        <v>0.176875</v>
      </c>
      <c r="E3424" s="0" t="inlineStr">
        <is>
          <t xml:space="preserve">LOUGHMILLER MACHINE, TOOL &amp; DESIGN</t>
        </is>
      </c>
      <c r="F3424" s="0" t="inlineStr">
        <is>
          <t xml:space="preserve">psc:2090</t>
        </is>
      </c>
    </row>
    <row r="3425">
      <c r="B3425" s="0" t="inlineStr">
        <is>
          <t xml:space="preserve">N3220516P4023</t>
        </is>
      </c>
      <c r="C3425" s="0" t="inlineStr">
        <is>
          <t xml:space="preserve">broad_maritime</t>
        </is>
      </c>
      <c r="D3425" s="4">
        <v>0.17684151999999997</v>
      </c>
      <c r="E3425" s="0" t="inlineStr">
        <is>
          <t xml:space="preserve">DEFENSE MARITIME SOLUTIONS, INC.</t>
        </is>
      </c>
      <c r="F3425" s="0" t="inlineStr">
        <is>
          <t xml:space="preserve">psc:2090</t>
        </is>
      </c>
    </row>
    <row r="3426">
      <c r="B3426" s="0" t="inlineStr">
        <is>
          <t xml:space="preserve">N0010424PXA04</t>
        </is>
      </c>
      <c r="C3426" s="0" t="inlineStr">
        <is>
          <t xml:space="preserve">small_craft</t>
        </is>
      </c>
      <c r="D3426" s="4">
        <v>0.17679999999999998</v>
      </c>
      <c r="E3426" s="0" t="inlineStr">
        <is>
          <t xml:space="preserve">VIRGINIA ELECTRONIC SYSTEMS, INC.</t>
        </is>
      </c>
      <c r="F3426" s="0" t="inlineStr">
        <is>
          <t xml:space="preserve">psc:1940</t>
        </is>
      </c>
    </row>
    <row r="3427">
      <c r="B3427" s="0" t="inlineStr">
        <is>
          <t xml:space="preserve">N0024420F0533</t>
        </is>
      </c>
      <c r="C3427" s="0" t="inlineStr">
        <is>
          <t xml:space="preserve">broad_maritime</t>
        </is>
      </c>
      <c r="D3427" s="4">
        <v>0.17679</v>
      </c>
      <c r="E3427" s="0" t="inlineStr">
        <is>
          <t xml:space="preserve">JPL HABITABILITY, INC.</t>
        </is>
      </c>
      <c r="F3427" s="0" t="inlineStr">
        <is>
          <t xml:space="preserve">psc:2090</t>
        </is>
      </c>
    </row>
    <row r="3428">
      <c r="B3428" s="0" t="inlineStr">
        <is>
          <t xml:space="preserve">0074</t>
        </is>
      </c>
      <c r="C3428" s="0" t="inlineStr">
        <is>
          <t xml:space="preserve">broad_maritime</t>
        </is>
      </c>
      <c r="D3428" s="4">
        <v>0.17605189000000002</v>
      </c>
      <c r="E3428" s="0" t="inlineStr">
        <is>
          <t xml:space="preserve">ROCKWELL AUTOMATION INC</t>
        </is>
      </c>
      <c r="F3428" s="0" t="inlineStr">
        <is>
          <t xml:space="preserve">psc:2090</t>
        </is>
      </c>
    </row>
    <row r="3429">
      <c r="B3429" s="0" t="inlineStr">
        <is>
          <t xml:space="preserve">N5005423P0025</t>
        </is>
      </c>
      <c r="C3429" s="0" t="inlineStr">
        <is>
          <t xml:space="preserve">broad_maritime</t>
        </is>
      </c>
      <c r="D3429" s="4">
        <v>0.175893</v>
      </c>
      <c r="E3429" s="0" t="inlineStr">
        <is>
          <t xml:space="preserve">THE ENTWISTLE COMPANY LLC</t>
        </is>
      </c>
      <c r="F3429" s="0" t="inlineStr">
        <is>
          <t xml:space="preserve">psc:2090</t>
        </is>
      </c>
    </row>
    <row r="3430">
      <c r="B3430" s="0" t="inlineStr">
        <is>
          <t xml:space="preserve">N3220515P2002</t>
        </is>
      </c>
      <c r="C3430" s="0" t="inlineStr">
        <is>
          <t xml:space="preserve">broad_maritime</t>
        </is>
      </c>
      <c r="D3430" s="4">
        <v>0.175785</v>
      </c>
      <c r="E3430" s="0" t="inlineStr">
        <is>
          <t xml:space="preserve">OHIO MACHINERY CO</t>
        </is>
      </c>
      <c r="F3430" s="0" t="inlineStr">
        <is>
          <t xml:space="preserve">psc:2090</t>
        </is>
      </c>
    </row>
    <row r="3431">
      <c r="B3431" s="0" t="inlineStr">
        <is>
          <t xml:space="preserve">N3220524P0181</t>
        </is>
      </c>
      <c r="C3431" s="0" t="inlineStr">
        <is>
          <t xml:space="preserve">broad_maritime</t>
        </is>
      </c>
      <c r="D3431" s="4">
        <v>0.175695</v>
      </c>
      <c r="E3431" s="0" t="inlineStr">
        <is>
          <t xml:space="preserve">SIMS PUMP VALVE CO, INC</t>
        </is>
      </c>
      <c r="F3431" s="0" t="inlineStr">
        <is>
          <t xml:space="preserve">psc:2090</t>
        </is>
      </c>
    </row>
    <row r="3432">
      <c r="B3432" s="0" t="inlineStr">
        <is>
          <t xml:space="preserve">0002</t>
        </is>
      </c>
      <c r="C3432" s="0" t="inlineStr">
        <is>
          <t xml:space="preserve">small_craft</t>
        </is>
      </c>
      <c r="D3432" s="4">
        <v>0.17569407999999997</v>
      </c>
      <c r="E3432" s="0" t="inlineStr">
        <is>
          <t xml:space="preserve">CUSTOM ROTO-MOLD, INC.</t>
        </is>
      </c>
      <c r="F3432" s="0" t="inlineStr">
        <is>
          <t xml:space="preserve">naics:336612</t>
        </is>
      </c>
    </row>
    <row r="3433">
      <c r="B3433" s="0" t="inlineStr">
        <is>
          <t xml:space="preserve">N6449825P5009</t>
        </is>
      </c>
      <c r="C3433" s="0" t="inlineStr">
        <is>
          <t xml:space="preserve">broad_maritime</t>
        </is>
      </c>
      <c r="D3433" s="4">
        <v>0.17567985999999997</v>
      </c>
      <c r="E3433" s="0" t="inlineStr">
        <is>
          <t xml:space="preserve">CARDINAL SCIENTIFIC, INC.</t>
        </is>
      </c>
      <c r="F3433" s="0" t="inlineStr">
        <is>
          <t xml:space="preserve">psc:2090</t>
        </is>
      </c>
    </row>
    <row r="3434">
      <c r="B3434" s="0" t="inlineStr">
        <is>
          <t xml:space="preserve">N0024420F0182</t>
        </is>
      </c>
      <c r="C3434" s="0" t="inlineStr">
        <is>
          <t xml:space="preserve">broad_maritime</t>
        </is>
      </c>
      <c r="D3434" s="4">
        <v>0.175266</v>
      </c>
      <c r="E3434" s="0" t="inlineStr">
        <is>
          <t xml:space="preserve">MARINE &amp; RESTAURANT FABRICATORS, INC.</t>
        </is>
      </c>
      <c r="F3434" s="0" t="inlineStr">
        <is>
          <t xml:space="preserve">psc:2090</t>
        </is>
      </c>
    </row>
    <row r="3435">
      <c r="B3435" s="0" t="inlineStr">
        <is>
          <t xml:space="preserve">N3220516P4344</t>
        </is>
      </c>
      <c r="C3435" s="0" t="inlineStr">
        <is>
          <t xml:space="preserve">broad_maritime</t>
        </is>
      </c>
      <c r="D3435" s="4">
        <v>0.175224</v>
      </c>
      <c r="E3435" s="0" t="inlineStr">
        <is>
          <t xml:space="preserve">SIMS PUMP VALVE CO, INC</t>
        </is>
      </c>
      <c r="F3435" s="0" t="inlineStr">
        <is>
          <t xml:space="preserve">psc:2090</t>
        </is>
      </c>
    </row>
    <row r="3436">
      <c r="B3436" s="0" t="inlineStr">
        <is>
          <t xml:space="preserve">N3220515P1399</t>
        </is>
      </c>
      <c r="C3436" s="0" t="inlineStr">
        <is>
          <t xml:space="preserve">broad_maritime</t>
        </is>
      </c>
      <c r="D3436" s="4">
        <v>0.17518</v>
      </c>
      <c r="E3436" s="0" t="inlineStr">
        <is>
          <t xml:space="preserve">TENCARVA MACHINERY COMPANY, LLC</t>
        </is>
      </c>
      <c r="F3436" s="0" t="inlineStr">
        <is>
          <t xml:space="preserve">psc:2090</t>
        </is>
      </c>
    </row>
    <row r="3437">
      <c r="B3437" s="0" t="inlineStr">
        <is>
          <t xml:space="preserve">N6449817F4090</t>
        </is>
      </c>
      <c r="C3437" s="0" t="inlineStr">
        <is>
          <t xml:space="preserve">broad_maritime</t>
        </is>
      </c>
      <c r="D3437" s="4">
        <v>0.175</v>
      </c>
      <c r="E3437" s="0" t="inlineStr">
        <is>
          <t xml:space="preserve">FENDER CARE LIMITED</t>
        </is>
      </c>
      <c r="F3437" s="0" t="inlineStr">
        <is>
          <t xml:space="preserve">psc:2090</t>
        </is>
      </c>
    </row>
    <row r="3438">
      <c r="B3438" s="0" t="inlineStr">
        <is>
          <t xml:space="preserve">N3220515P4005</t>
        </is>
      </c>
      <c r="C3438" s="0" t="inlineStr">
        <is>
          <t xml:space="preserve">broad_maritime</t>
        </is>
      </c>
      <c r="D3438" s="4">
        <v>0.17476888</v>
      </c>
      <c r="E3438" s="0" t="inlineStr">
        <is>
          <t xml:space="preserve">STEELSTRAN INDUSTRIES, INC</t>
        </is>
      </c>
      <c r="F3438" s="0" t="inlineStr">
        <is>
          <t xml:space="preserve">psc:2090</t>
        </is>
      </c>
    </row>
    <row r="3439">
      <c r="B3439" s="0" t="inlineStr">
        <is>
          <t xml:space="preserve">N6133125F0078</t>
        </is>
      </c>
      <c r="C3439" s="0" t="inlineStr">
        <is>
          <t xml:space="preserve">broad_maritime</t>
        </is>
      </c>
      <c r="D3439" s="4">
        <v>0.17451875</v>
      </c>
      <c r="E3439" s="0" t="inlineStr">
        <is>
          <t xml:space="preserve">NAVAL SYSTEMS, INC.</t>
        </is>
      </c>
      <c r="F3439" s="0" t="inlineStr">
        <is>
          <t xml:space="preserve">psc:2090</t>
        </is>
      </c>
    </row>
    <row r="3440">
      <c r="B3440" s="0" t="inlineStr">
        <is>
          <t xml:space="preserve">N3220521F0518</t>
        </is>
      </c>
      <c r="C3440" s="0" t="inlineStr">
        <is>
          <t xml:space="preserve">broad_maritime</t>
        </is>
      </c>
      <c r="D3440" s="4">
        <v>0.17449383</v>
      </c>
      <c r="E3440" s="0" t="inlineStr">
        <is>
          <t xml:space="preserve">CIRCOR NAVAL SOLUTIONS LLC</t>
        </is>
      </c>
      <c r="F3440" s="0" t="inlineStr">
        <is>
          <t xml:space="preserve">psc:2090</t>
        </is>
      </c>
    </row>
    <row r="3441">
      <c r="B3441" s="0" t="inlineStr">
        <is>
          <t xml:space="preserve">N3220520P2064</t>
        </is>
      </c>
      <c r="C3441" s="0" t="inlineStr">
        <is>
          <t xml:space="preserve">broad_maritime</t>
        </is>
      </c>
      <c r="D3441" s="4">
        <v>0.1743567</v>
      </c>
      <c r="E3441" s="0" t="inlineStr">
        <is>
          <t xml:space="preserve">DEFENSE MARITIME SOLUTIONS, INC.</t>
        </is>
      </c>
      <c r="F3441" s="0" t="inlineStr">
        <is>
          <t xml:space="preserve">psc:2090</t>
        </is>
      </c>
    </row>
    <row r="3442">
      <c r="B3442" s="0" t="inlineStr">
        <is>
          <t xml:space="preserve">N0024421F0099</t>
        </is>
      </c>
      <c r="C3442" s="0" t="inlineStr">
        <is>
          <t xml:space="preserve">broad_maritime</t>
        </is>
      </c>
      <c r="D3442" s="4">
        <v>0.17415999999999998</v>
      </c>
      <c r="E3442" s="0" t="inlineStr">
        <is>
          <t xml:space="preserve">MARINE &amp; RESTAURANT FABRICATORS, INC.</t>
        </is>
      </c>
      <c r="F3442" s="0" t="inlineStr">
        <is>
          <t xml:space="preserve">psc:2090</t>
        </is>
      </c>
    </row>
    <row r="3443">
      <c r="B3443" s="0" t="inlineStr">
        <is>
          <t xml:space="preserve">N5005423P0021</t>
        </is>
      </c>
      <c r="C3443" s="0" t="inlineStr">
        <is>
          <t xml:space="preserve">broad_maritime</t>
        </is>
      </c>
      <c r="D3443" s="4">
        <v>0.17415234</v>
      </c>
      <c r="E3443" s="0" t="inlineStr">
        <is>
          <t xml:space="preserve">THE SHERWIN-WILLIAMS COMPANY</t>
        </is>
      </c>
      <c r="F3443" s="0" t="inlineStr">
        <is>
          <t xml:space="preserve">psc:2090</t>
        </is>
      </c>
    </row>
    <row r="3444">
      <c r="B3444" s="0" t="inlineStr">
        <is>
          <t xml:space="preserve">N0040624P0078</t>
        </is>
      </c>
      <c r="C3444" s="0" t="inlineStr">
        <is>
          <t xml:space="preserve">broad_maritime</t>
        </is>
      </c>
      <c r="D3444" s="4">
        <v>0.17406544</v>
      </c>
      <c r="E3444" s="0" t="inlineStr">
        <is>
          <t xml:space="preserve">AANTILIA LLC</t>
        </is>
      </c>
      <c r="F3444" s="0" t="inlineStr">
        <is>
          <t xml:space="preserve">psc:2090</t>
        </is>
      </c>
    </row>
    <row r="3445">
      <c r="B3445" s="0" t="inlineStr">
        <is>
          <t xml:space="preserve">0203</t>
        </is>
      </c>
      <c r="C3445" s="0" t="inlineStr">
        <is>
          <t xml:space="preserve">broad_maritime</t>
        </is>
      </c>
      <c r="D3445" s="4">
        <v>0.17371999999999999</v>
      </c>
      <c r="E3445" s="0" t="inlineStr">
        <is>
          <t xml:space="preserve">PACIFIC MARITIME INDUSTRIES CORP.</t>
        </is>
      </c>
      <c r="F3445" s="0" t="inlineStr">
        <is>
          <t xml:space="preserve">psc:2090</t>
        </is>
      </c>
    </row>
    <row r="3446">
      <c r="B3446" s="0" t="inlineStr">
        <is>
          <t xml:space="preserve">N0018925F0728</t>
        </is>
      </c>
      <c r="C3446" s="0" t="inlineStr">
        <is>
          <t xml:space="preserve">broad_maritime</t>
        </is>
      </c>
      <c r="D3446" s="4">
        <v>0.17363907999999997</v>
      </c>
      <c r="E3446" s="0" t="inlineStr">
        <is>
          <t xml:space="preserve">JAL ENTERPRISES, INC.</t>
        </is>
      </c>
      <c r="F3446" s="0" t="inlineStr">
        <is>
          <t xml:space="preserve">psc:2090</t>
        </is>
      </c>
    </row>
    <row r="3447">
      <c r="B3447" s="0" t="inlineStr">
        <is>
          <t xml:space="preserve">N0010421PCF41</t>
        </is>
      </c>
      <c r="C3447" s="0" t="inlineStr">
        <is>
          <t xml:space="preserve">small_craft</t>
        </is>
      </c>
      <c r="D3447" s="4">
        <v>0.17357999999999998</v>
      </c>
      <c r="E3447" s="0" t="inlineStr">
        <is>
          <t xml:space="preserve">VERICOR POWER SYSTEMS LLC</t>
        </is>
      </c>
      <c r="F3447" s="0" t="inlineStr">
        <is>
          <t xml:space="preserve">naics:336612</t>
        </is>
      </c>
    </row>
    <row r="3448">
      <c r="B3448" s="0" t="inlineStr">
        <is>
          <t xml:space="preserve">N6817124F0085</t>
        </is>
      </c>
      <c r="C3448" s="0" t="inlineStr">
        <is>
          <t xml:space="preserve">broad_maritime</t>
        </is>
      </c>
      <c r="D3448" s="4">
        <v>0.17321879</v>
      </c>
      <c r="E3448" s="0" t="inlineStr">
        <is>
          <t xml:space="preserve">ROLLS-ROYCE SOLUTIONS AMERICA INC</t>
        </is>
      </c>
      <c r="F3448" s="0" t="inlineStr">
        <is>
          <t xml:space="preserve">psc:2090</t>
        </is>
      </c>
    </row>
    <row r="3449">
      <c r="B3449" s="0" t="inlineStr">
        <is>
          <t xml:space="preserve">N0010418FK400</t>
        </is>
      </c>
      <c r="C3449" s="0" t="inlineStr">
        <is>
          <t xml:space="preserve">small_craft</t>
        </is>
      </c>
      <c r="D3449" s="4">
        <v>0.17315444</v>
      </c>
      <c r="E3449" s="0" t="inlineStr">
        <is>
          <t xml:space="preserve">WING INFLATABLES INC</t>
        </is>
      </c>
      <c r="F3449" s="0" t="inlineStr">
        <is>
          <t xml:space="preserve">naics:336612; psc:1940</t>
        </is>
      </c>
    </row>
    <row r="3450">
      <c r="B3450" s="0" t="inlineStr">
        <is>
          <t xml:space="preserve">N3220515P1004</t>
        </is>
      </c>
      <c r="C3450" s="0" t="inlineStr">
        <is>
          <t xml:space="preserve">broad_maritime</t>
        </is>
      </c>
      <c r="D3450" s="4">
        <v>0.17315</v>
      </c>
      <c r="E3450" s="0" t="inlineStr">
        <is>
          <t xml:space="preserve">ALLIED SYSTEMS COMPANY</t>
        </is>
      </c>
      <c r="F3450" s="0" t="inlineStr">
        <is>
          <t xml:space="preserve">psc:2090</t>
        </is>
      </c>
    </row>
    <row r="3451">
      <c r="B3451" s="0" t="inlineStr">
        <is>
          <t xml:space="preserve">N0010422PSB22</t>
        </is>
      </c>
      <c r="C3451" s="0" t="inlineStr">
        <is>
          <t xml:space="preserve">small_craft</t>
        </is>
      </c>
      <c r="D3451" s="4">
        <v>0.173145</v>
      </c>
      <c r="E3451" s="0" t="inlineStr">
        <is>
          <t xml:space="preserve">UNITED STATES TECHNOLOGIES INC</t>
        </is>
      </c>
      <c r="F3451" s="0" t="inlineStr">
        <is>
          <t xml:space="preserve">naics:336612</t>
        </is>
      </c>
    </row>
    <row r="3452">
      <c r="B3452" s="0" t="inlineStr">
        <is>
          <t xml:space="preserve">N0010426PJA67</t>
        </is>
      </c>
      <c r="C3452" s="0" t="inlineStr">
        <is>
          <t xml:space="preserve">small_craft</t>
        </is>
      </c>
      <c r="D3452" s="4">
        <v>0.17302264</v>
      </c>
      <c r="E3452" s="0" t="inlineStr">
        <is>
          <t xml:space="preserve">DOVER PUMPS &amp; PROCESS SOLUTIONS SEGMENT INC</t>
        </is>
      </c>
      <c r="F3452" s="0" t="inlineStr">
        <is>
          <t xml:space="preserve">naics:336612</t>
        </is>
      </c>
    </row>
    <row r="3453">
      <c r="B3453" s="0" t="inlineStr">
        <is>
          <t xml:space="preserve">N4044323P0012</t>
        </is>
      </c>
      <c r="C3453" s="0" t="inlineStr">
        <is>
          <t xml:space="preserve">broad_maritime</t>
        </is>
      </c>
      <c r="D3453" s="4">
        <v>0.17296999999999998</v>
      </c>
      <c r="E3453" s="0" t="inlineStr">
        <is>
          <t xml:space="preserve">SIMS PUMP VALVE CO, INC</t>
        </is>
      </c>
      <c r="F3453" s="0" t="inlineStr">
        <is>
          <t xml:space="preserve">psc:2090</t>
        </is>
      </c>
    </row>
    <row r="3454">
      <c r="B3454" s="0" t="inlineStr">
        <is>
          <t xml:space="preserve">0006</t>
        </is>
      </c>
      <c r="C3454" s="0" t="inlineStr">
        <is>
          <t xml:space="preserve">broad_maritime</t>
        </is>
      </c>
      <c r="D3454" s="4">
        <v>0.172652</v>
      </c>
      <c r="E3454" s="0" t="inlineStr">
        <is>
          <t xml:space="preserve">JPL HABITABILITY, INC.</t>
        </is>
      </c>
      <c r="F3454" s="0" t="inlineStr">
        <is>
          <t xml:space="preserve">psc:2090</t>
        </is>
      </c>
    </row>
    <row r="3455">
      <c r="B3455" s="0" t="inlineStr">
        <is>
          <t xml:space="preserve">N0040624F0042</t>
        </is>
      </c>
      <c r="C3455" s="0" t="inlineStr">
        <is>
          <t xml:space="preserve">broad_maritime</t>
        </is>
      </c>
      <c r="D3455" s="4">
        <v>0.172198</v>
      </c>
      <c r="E3455" s="0" t="inlineStr">
        <is>
          <t xml:space="preserve">FINCANTIERI MARINE SYSTEMS NORTH AMERICA, INC.</t>
        </is>
      </c>
      <c r="F3455" s="0" t="inlineStr">
        <is>
          <t xml:space="preserve">psc:2090</t>
        </is>
      </c>
    </row>
    <row r="3456">
      <c r="B3456" s="0" t="inlineStr">
        <is>
          <t xml:space="preserve">N3220517P4410</t>
        </is>
      </c>
      <c r="C3456" s="0" t="inlineStr">
        <is>
          <t xml:space="preserve">broad_maritime</t>
        </is>
      </c>
      <c r="D3456" s="4">
        <v>0.17207925</v>
      </c>
      <c r="E3456" s="0" t="inlineStr">
        <is>
          <t xml:space="preserve">JO-KELL INC.</t>
        </is>
      </c>
      <c r="F3456" s="0" t="inlineStr">
        <is>
          <t xml:space="preserve">psc:2090</t>
        </is>
      </c>
    </row>
    <row r="3457">
      <c r="B3457" s="0" t="inlineStr">
        <is>
          <t xml:space="preserve">N0010422PXA58</t>
        </is>
      </c>
      <c r="C3457" s="0" t="inlineStr">
        <is>
          <t xml:space="preserve">small_craft</t>
        </is>
      </c>
      <c r="D3457" s="4">
        <v>0.17188799999999999</v>
      </c>
      <c r="E3457" s="0" t="inlineStr">
        <is>
          <t xml:space="preserve">WING INFLATABLES INC</t>
        </is>
      </c>
      <c r="F3457" s="0" t="inlineStr">
        <is>
          <t xml:space="preserve">naics:336612; psc:1940</t>
        </is>
      </c>
    </row>
    <row r="3458">
      <c r="B3458" s="0" t="inlineStr">
        <is>
          <t xml:space="preserve">N3220520P0018</t>
        </is>
      </c>
      <c r="C3458" s="0" t="inlineStr">
        <is>
          <t xml:space="preserve">broad_maritime</t>
        </is>
      </c>
      <c r="D3458" s="4">
        <v>0.171394</v>
      </c>
      <c r="E3458" s="0" t="inlineStr">
        <is>
          <t xml:space="preserve">TORK SYSTEMS INC</t>
        </is>
      </c>
      <c r="F3458" s="0" t="inlineStr">
        <is>
          <t xml:space="preserve">psc:2090</t>
        </is>
      </c>
    </row>
    <row r="3459">
      <c r="B3459" s="0" t="inlineStr">
        <is>
          <t xml:space="preserve">N3220519P4548</t>
        </is>
      </c>
      <c r="C3459" s="0" t="inlineStr">
        <is>
          <t xml:space="preserve">broad_maritime</t>
        </is>
      </c>
      <c r="D3459" s="4">
        <v>0.171394</v>
      </c>
      <c r="E3459" s="0" t="inlineStr">
        <is>
          <t xml:space="preserve">TORK SYSTEMS INC</t>
        </is>
      </c>
      <c r="F3459" s="0" t="inlineStr">
        <is>
          <t xml:space="preserve">psc:2090</t>
        </is>
      </c>
    </row>
    <row r="3460">
      <c r="B3460" s="0" t="inlineStr">
        <is>
          <t xml:space="preserve">N6230616PA004</t>
        </is>
      </c>
      <c r="C3460" s="0" t="inlineStr">
        <is>
          <t xml:space="preserve">broad_maritime</t>
        </is>
      </c>
      <c r="D3460" s="4">
        <v>0.171215</v>
      </c>
      <c r="E3460" s="0" t="inlineStr">
        <is>
          <t xml:space="preserve">WALLS MACHINE COMPANY, LLC</t>
        </is>
      </c>
      <c r="F3460" s="0" t="inlineStr">
        <is>
          <t xml:space="preserve">psc:2090</t>
        </is>
      </c>
    </row>
    <row r="3461">
      <c r="B3461" s="0" t="inlineStr">
        <is>
          <t xml:space="preserve">N3220516P4006</t>
        </is>
      </c>
      <c r="C3461" s="0" t="inlineStr">
        <is>
          <t xml:space="preserve">broad_maritime</t>
        </is>
      </c>
      <c r="D3461" s="4">
        <v>0.17117798</v>
      </c>
      <c r="E3461" s="0" t="inlineStr">
        <is>
          <t xml:space="preserve">ROLLS-ROYCE MARINE NORTH AMERICA INC.</t>
        </is>
      </c>
      <c r="F3461" s="0" t="inlineStr">
        <is>
          <t xml:space="preserve">psc:2090</t>
        </is>
      </c>
    </row>
    <row r="3462">
      <c r="B3462" s="0" t="inlineStr">
        <is>
          <t xml:space="preserve">N3220520F0071</t>
        </is>
      </c>
      <c r="C3462" s="0" t="inlineStr">
        <is>
          <t xml:space="preserve">broad_maritime</t>
        </is>
      </c>
      <c r="D3462" s="4">
        <v>0.17108642000000002</v>
      </c>
      <c r="E3462" s="0" t="inlineStr">
        <is>
          <t xml:space="preserve">AUSTAL USA, LLC</t>
        </is>
      </c>
      <c r="F3462" s="0" t="inlineStr">
        <is>
          <t xml:space="preserve">psc:2090</t>
        </is>
      </c>
    </row>
    <row r="3463">
      <c r="B3463" s="0" t="inlineStr">
        <is>
          <t xml:space="preserve">N3220517P4223</t>
        </is>
      </c>
      <c r="C3463" s="0" t="inlineStr">
        <is>
          <t xml:space="preserve">broad_maritime</t>
        </is>
      </c>
      <c r="D3463" s="4">
        <v>0.1710668</v>
      </c>
      <c r="E3463" s="0" t="inlineStr">
        <is>
          <t xml:space="preserve">BHAYANA BROTHERS LLC</t>
        </is>
      </c>
      <c r="F3463" s="0" t="inlineStr">
        <is>
          <t xml:space="preserve">psc:2090</t>
        </is>
      </c>
    </row>
    <row r="3464">
      <c r="B3464" s="0" t="inlineStr">
        <is>
          <t xml:space="preserve">0008</t>
        </is>
      </c>
      <c r="C3464" s="0" t="inlineStr">
        <is>
          <t xml:space="preserve">broad_maritime</t>
        </is>
      </c>
      <c r="D3464" s="4">
        <v>0.17106</v>
      </c>
      <c r="E3464" s="0" t="inlineStr">
        <is>
          <t xml:space="preserve">MARINE &amp; RESTAURANT FABRICATORS, INC.</t>
        </is>
      </c>
      <c r="F3464" s="0" t="inlineStr">
        <is>
          <t xml:space="preserve">psc:2090</t>
        </is>
      </c>
    </row>
    <row r="3465">
      <c r="B3465" s="0" t="inlineStr">
        <is>
          <t xml:space="preserve">N0010421PDD35</t>
        </is>
      </c>
      <c r="C3465" s="0" t="inlineStr">
        <is>
          <t xml:space="preserve">small_craft</t>
        </is>
      </c>
      <c r="D3465" s="4">
        <v>0.17099999999999999</v>
      </c>
      <c r="E3465" s="0" t="inlineStr">
        <is>
          <t xml:space="preserve">REX SYSTEMS INCORPORATED</t>
        </is>
      </c>
      <c r="F3465" s="0" t="inlineStr">
        <is>
          <t xml:space="preserve">naics:336612</t>
        </is>
      </c>
    </row>
    <row r="3466">
      <c r="B3466" s="0" t="inlineStr">
        <is>
          <t xml:space="preserve">N3220522P2232</t>
        </is>
      </c>
      <c r="C3466" s="0" t="inlineStr">
        <is>
          <t xml:space="preserve">small_craft</t>
        </is>
      </c>
      <c r="D3466" s="4">
        <v>0.170955</v>
      </c>
      <c r="E3466" s="0" t="inlineStr">
        <is>
          <t xml:space="preserve">FASSMER SERVICE AMERICA LLC</t>
        </is>
      </c>
      <c r="F3466" s="0" t="inlineStr">
        <is>
          <t xml:space="preserve">naics:336612; psc:2090</t>
        </is>
      </c>
    </row>
    <row r="3467">
      <c r="B3467" s="0" t="inlineStr">
        <is>
          <t xml:space="preserve">N0010424PNA43</t>
        </is>
      </c>
      <c r="C3467" s="0" t="inlineStr">
        <is>
          <t xml:space="preserve">broad_maritime</t>
        </is>
      </c>
      <c r="D3467" s="4">
        <v>0.17085</v>
      </c>
      <c r="E3467" s="0" t="inlineStr">
        <is>
          <t xml:space="preserve">MARINE POLYMERS, INC</t>
        </is>
      </c>
      <c r="F3467" s="0" t="inlineStr">
        <is>
          <t xml:space="preserve">psc:2090</t>
        </is>
      </c>
    </row>
    <row r="3468">
      <c r="B3468" s="0" t="inlineStr">
        <is>
          <t xml:space="preserve">N0002420F4119</t>
        </is>
      </c>
      <c r="C3468" s="0" t="inlineStr">
        <is>
          <t xml:space="preserve">broad_maritime</t>
        </is>
      </c>
      <c r="D3468" s="4">
        <v>0.1704229</v>
      </c>
      <c r="E3468" s="0" t="inlineStr">
        <is>
          <t xml:space="preserve">HEXAGON US FEDERAL, INC</t>
        </is>
      </c>
      <c r="F3468" s="0" t="inlineStr">
        <is>
          <t xml:space="preserve">psc:2090</t>
        </is>
      </c>
    </row>
    <row r="3469">
      <c r="B3469" s="0" t="inlineStr">
        <is>
          <t xml:space="preserve">N3220518P1082</t>
        </is>
      </c>
      <c r="C3469" s="0" t="inlineStr">
        <is>
          <t xml:space="preserve">broad_maritime</t>
        </is>
      </c>
      <c r="D3469" s="4">
        <v>0.170404</v>
      </c>
      <c r="E3469" s="0" t="inlineStr">
        <is>
          <t xml:space="preserve">CIRCOR NAVAL SOLUTIONS LLC</t>
        </is>
      </c>
      <c r="F3469" s="0" t="inlineStr">
        <is>
          <t xml:space="preserve">psc:2090</t>
        </is>
      </c>
    </row>
    <row r="3470">
      <c r="B3470" s="0" t="inlineStr">
        <is>
          <t xml:space="preserve">N3220519F1017</t>
        </is>
      </c>
      <c r="C3470" s="0" t="inlineStr">
        <is>
          <t xml:space="preserve">other_small</t>
        </is>
      </c>
      <c r="D3470" s="4">
        <v>0.17019929999999997</v>
      </c>
      <c r="E3470" s="0" t="inlineStr">
        <is>
          <t xml:space="preserve">LAKE SHORE SYSTEMS, INC.</t>
        </is>
      </c>
      <c r="F3470" s="0" t="inlineStr">
        <is>
          <t xml:space="preserve">psc:1990</t>
        </is>
      </c>
    </row>
    <row r="3471">
      <c r="B3471" s="0" t="inlineStr">
        <is>
          <t xml:space="preserve">N3220524P0336</t>
        </is>
      </c>
      <c r="C3471" s="0" t="inlineStr">
        <is>
          <t xml:space="preserve">broad_maritime</t>
        </is>
      </c>
      <c r="D3471" s="4">
        <v>0.1701</v>
      </c>
      <c r="E3471" s="0" t="inlineStr">
        <is>
          <t xml:space="preserve">WILSON WALTON INTERNATIONAL, INC.</t>
        </is>
      </c>
      <c r="F3471" s="0" t="inlineStr">
        <is>
          <t xml:space="preserve">psc:2090</t>
        </is>
      </c>
    </row>
    <row r="3472">
      <c r="B3472" s="0" t="inlineStr">
        <is>
          <t xml:space="preserve">N0040617P0207</t>
        </is>
      </c>
      <c r="C3472" s="0" t="inlineStr">
        <is>
          <t xml:space="preserve">small_craft</t>
        </is>
      </c>
      <c r="D3472" s="4">
        <v>0.16970242</v>
      </c>
      <c r="E3472" s="0" t="inlineStr">
        <is>
          <t xml:space="preserve">TIMKEN GEARS &amp; SERVICES INC.</t>
        </is>
      </c>
      <c r="F3472" s="0" t="inlineStr">
        <is>
          <t xml:space="preserve">naics:336612</t>
        </is>
      </c>
    </row>
    <row r="3473">
      <c r="B3473" s="0" t="inlineStr">
        <is>
          <t xml:space="preserve">N0040624P0324</t>
        </is>
      </c>
      <c r="C3473" s="0" t="inlineStr">
        <is>
          <t xml:space="preserve">broad_maritime</t>
        </is>
      </c>
      <c r="D3473" s="4">
        <v>0.16962407999999998</v>
      </c>
      <c r="E3473" s="0" t="inlineStr">
        <is>
          <t xml:space="preserve">EMS DEVELOPMENT CORPORATION</t>
        </is>
      </c>
      <c r="F3473" s="0" t="inlineStr">
        <is>
          <t xml:space="preserve">psc:2090</t>
        </is>
      </c>
    </row>
    <row r="3474">
      <c r="B3474" s="0" t="inlineStr">
        <is>
          <t xml:space="preserve">N6133114C0030</t>
        </is>
      </c>
      <c r="C3474" s="0" t="inlineStr">
        <is>
          <t xml:space="preserve">broad_maritime</t>
        </is>
      </c>
      <c r="D3474" s="4">
        <v>0.16931865999999998</v>
      </c>
      <c r="E3474" s="0" t="inlineStr">
        <is>
          <t xml:space="preserve">TFAB MANUFACTURING, LLC</t>
        </is>
      </c>
      <c r="F3474" s="0" t="inlineStr">
        <is>
          <t xml:space="preserve">psc:2090</t>
        </is>
      </c>
    </row>
    <row r="3475">
      <c r="B3475" s="0" t="inlineStr">
        <is>
          <t xml:space="preserve">0001</t>
        </is>
      </c>
      <c r="C3475" s="0" t="inlineStr">
        <is>
          <t xml:space="preserve">broad_maritime</t>
        </is>
      </c>
      <c r="D3475" s="4">
        <v>0.16893869</v>
      </c>
      <c r="E3475" s="0" t="inlineStr">
        <is>
          <t xml:space="preserve">KNUDSEN SYSTEMS INC.</t>
        </is>
      </c>
      <c r="F3475" s="0" t="inlineStr">
        <is>
          <t xml:space="preserve">psc:2090</t>
        </is>
      </c>
    </row>
    <row r="3476">
      <c r="B3476" s="0" t="inlineStr">
        <is>
          <t xml:space="preserve">N0010419PBN33</t>
        </is>
      </c>
      <c r="C3476" s="0" t="inlineStr">
        <is>
          <t xml:space="preserve">broad_maritime</t>
        </is>
      </c>
      <c r="D3476" s="4">
        <v>0.16892</v>
      </c>
      <c r="E3476" s="0" t="inlineStr">
        <is>
          <t xml:space="preserve">TURNBULL LLC</t>
        </is>
      </c>
      <c r="F3476" s="0" t="inlineStr">
        <is>
          <t xml:space="preserve">psc:2090</t>
        </is>
      </c>
    </row>
    <row r="3477">
      <c r="B3477" s="0" t="inlineStr">
        <is>
          <t xml:space="preserve">N3220516P4322</t>
        </is>
      </c>
      <c r="C3477" s="0" t="inlineStr">
        <is>
          <t xml:space="preserve">broad_maritime</t>
        </is>
      </c>
      <c r="D3477" s="4">
        <v>0.168795</v>
      </c>
      <c r="E3477" s="0" t="inlineStr">
        <is>
          <t xml:space="preserve">BPS SUPPLY GROUP</t>
        </is>
      </c>
      <c r="F3477" s="0" t="inlineStr">
        <is>
          <t xml:space="preserve">psc:2090</t>
        </is>
      </c>
    </row>
    <row r="3478">
      <c r="B3478" s="0" t="inlineStr">
        <is>
          <t xml:space="preserve">N6133124P0076</t>
        </is>
      </c>
      <c r="C3478" s="0" t="inlineStr">
        <is>
          <t xml:space="preserve">broad_maritime</t>
        </is>
      </c>
      <c r="D3478" s="4">
        <v>0.168704</v>
      </c>
      <c r="E3478" s="0" t="inlineStr">
        <is>
          <t xml:space="preserve">DACO HAND CONTROLLERS INC</t>
        </is>
      </c>
      <c r="F3478" s="0" t="inlineStr">
        <is>
          <t xml:space="preserve">psc:2090</t>
        </is>
      </c>
    </row>
    <row r="3479">
      <c r="B3479" s="0" t="inlineStr">
        <is>
          <t xml:space="preserve">N0040624P0458</t>
        </is>
      </c>
      <c r="C3479" s="0" t="inlineStr">
        <is>
          <t xml:space="preserve">broad_maritime</t>
        </is>
      </c>
      <c r="D3479" s="4">
        <v>0.168657</v>
      </c>
      <c r="E3479" s="0" t="inlineStr">
        <is>
          <t xml:space="preserve">RENK CORP</t>
        </is>
      </c>
      <c r="F3479" s="0" t="inlineStr">
        <is>
          <t xml:space="preserve">psc:2090</t>
        </is>
      </c>
    </row>
    <row r="3480">
      <c r="B3480" s="0" t="inlineStr">
        <is>
          <t xml:space="preserve">N3220515P3777</t>
        </is>
      </c>
      <c r="C3480" s="0" t="inlineStr">
        <is>
          <t xml:space="preserve">broad_maritime</t>
        </is>
      </c>
      <c r="D3480" s="4">
        <v>0.16861177</v>
      </c>
      <c r="E3480" s="0" t="inlineStr">
        <is>
          <t xml:space="preserve">DEIF INC</t>
        </is>
      </c>
      <c r="F3480" s="0" t="inlineStr">
        <is>
          <t xml:space="preserve">psc:2090</t>
        </is>
      </c>
    </row>
    <row r="3481">
      <c r="B3481" s="0" t="inlineStr">
        <is>
          <t xml:space="preserve">N0024418F0717</t>
        </is>
      </c>
      <c r="C3481" s="0" t="inlineStr">
        <is>
          <t xml:space="preserve">broad_maritime</t>
        </is>
      </c>
      <c r="D3481" s="4">
        <v>0.168325</v>
      </c>
      <c r="E3481" s="0" t="inlineStr">
        <is>
          <t xml:space="preserve">MARINE &amp; RESTAURANT FABRICATORS, INC.</t>
        </is>
      </c>
      <c r="F3481" s="0" t="inlineStr">
        <is>
          <t xml:space="preserve">psc:2090</t>
        </is>
      </c>
    </row>
    <row r="3482">
      <c r="B3482" s="0" t="inlineStr">
        <is>
          <t xml:space="preserve">N0010422PCA26</t>
        </is>
      </c>
      <c r="C3482" s="0" t="inlineStr">
        <is>
          <t xml:space="preserve">small_craft</t>
        </is>
      </c>
      <c r="D3482" s="4">
        <v>0.16766399999999998</v>
      </c>
      <c r="E3482" s="0" t="inlineStr">
        <is>
          <t xml:space="preserve">WHIPP &amp; BOURNE ASSOCIATES LLC</t>
        </is>
      </c>
      <c r="F3482" s="0" t="inlineStr">
        <is>
          <t xml:space="preserve">naics:336612</t>
        </is>
      </c>
    </row>
    <row r="3483">
      <c r="B3483" s="0" t="inlineStr">
        <is>
          <t xml:space="preserve">N5005420P0212</t>
        </is>
      </c>
      <c r="C3483" s="0" t="inlineStr">
        <is>
          <t xml:space="preserve">broad_maritime</t>
        </is>
      </c>
      <c r="D3483" s="4">
        <v>0.16755399999999998</v>
      </c>
      <c r="E3483" s="0" t="inlineStr">
        <is>
          <t xml:space="preserve">TRIDENT MARITIME SYSTEMS, INC.</t>
        </is>
      </c>
      <c r="F3483" s="0" t="inlineStr">
        <is>
          <t xml:space="preserve">psc:2090</t>
        </is>
      </c>
    </row>
    <row r="3484">
      <c r="B3484" s="0" t="inlineStr">
        <is>
          <t xml:space="preserve">N0010421PEQ35</t>
        </is>
      </c>
      <c r="C3484" s="0" t="inlineStr">
        <is>
          <t xml:space="preserve">small_craft</t>
        </is>
      </c>
      <c r="D3484" s="4">
        <v>0.16752</v>
      </c>
      <c r="E3484" s="0" t="inlineStr">
        <is>
          <t xml:space="preserve">ADIRONDACK ELECTRONICS INC</t>
        </is>
      </c>
      <c r="F3484" s="0" t="inlineStr">
        <is>
          <t xml:space="preserve">naics:336612</t>
        </is>
      </c>
    </row>
    <row r="3485">
      <c r="B3485" s="0" t="inlineStr">
        <is>
          <t xml:space="preserve">N5523619P0130</t>
        </is>
      </c>
      <c r="C3485" s="0" t="inlineStr">
        <is>
          <t xml:space="preserve">broad_maritime</t>
        </is>
      </c>
      <c r="D3485" s="4">
        <v>0.167508</v>
      </c>
      <c r="E3485" s="0" t="inlineStr">
        <is>
          <t xml:space="preserve">WACO PRODUCTS, INC</t>
        </is>
      </c>
      <c r="F3485" s="0" t="inlineStr">
        <is>
          <t xml:space="preserve">psc:2090</t>
        </is>
      </c>
    </row>
    <row r="3486">
      <c r="B3486" s="0" t="inlineStr">
        <is>
          <t xml:space="preserve">0002</t>
        </is>
      </c>
      <c r="C3486" s="0" t="inlineStr">
        <is>
          <t xml:space="preserve">broad_maritime</t>
        </is>
      </c>
      <c r="D3486" s="4">
        <v>0.16738599999999998</v>
      </c>
      <c r="E3486" s="0" t="inlineStr">
        <is>
          <t xml:space="preserve">AEF-PERFORMANCE LLC</t>
        </is>
      </c>
      <c r="F3486" s="0" t="inlineStr">
        <is>
          <t xml:space="preserve">psc:2090</t>
        </is>
      </c>
    </row>
    <row r="3487">
      <c r="B3487" s="0" t="inlineStr">
        <is>
          <t xml:space="preserve">N6230622P0002</t>
        </is>
      </c>
      <c r="C3487" s="0" t="inlineStr">
        <is>
          <t xml:space="preserve">broad_maritime</t>
        </is>
      </c>
      <c r="D3487" s="4">
        <v>0.1673738</v>
      </c>
      <c r="E3487" s="0" t="inlineStr">
        <is>
          <t xml:space="preserve">TELEDYNE INSTRUMENTS, INC.</t>
        </is>
      </c>
      <c r="F3487" s="0" t="inlineStr">
        <is>
          <t xml:space="preserve">psc:2090</t>
        </is>
      </c>
    </row>
    <row r="3488">
      <c r="B3488" s="0" t="inlineStr">
        <is>
          <t xml:space="preserve">N3220518P6712</t>
        </is>
      </c>
      <c r="C3488" s="0" t="inlineStr">
        <is>
          <t xml:space="preserve">broad_maritime</t>
        </is>
      </c>
      <c r="D3488" s="4">
        <v>0.167323</v>
      </c>
      <c r="E3488" s="0" t="inlineStr">
        <is>
          <t xml:space="preserve">NAG, LLC</t>
        </is>
      </c>
      <c r="F3488" s="0" t="inlineStr">
        <is>
          <t xml:space="preserve">psc:2090</t>
        </is>
      </c>
    </row>
    <row r="3489">
      <c r="B3489" s="0" t="inlineStr">
        <is>
          <t xml:space="preserve">N6893619F0481</t>
        </is>
      </c>
      <c r="C3489" s="0" t="inlineStr">
        <is>
          <t xml:space="preserve">small_craft</t>
        </is>
      </c>
      <c r="D3489" s="4">
        <v>0.16712664</v>
      </c>
      <c r="E3489" s="0" t="inlineStr">
        <is>
          <t xml:space="preserve">THE MOLDING COMPANY, INC.</t>
        </is>
      </c>
      <c r="F3489" s="0" t="inlineStr">
        <is>
          <t xml:space="preserve">naics:336612</t>
        </is>
      </c>
    </row>
    <row r="3490">
      <c r="B3490" s="0" t="inlineStr">
        <is>
          <t xml:space="preserve">N3220515P3725</t>
        </is>
      </c>
      <c r="C3490" s="0" t="inlineStr">
        <is>
          <t xml:space="preserve">broad_maritime</t>
        </is>
      </c>
      <c r="D3490" s="4">
        <v>0.16708967</v>
      </c>
      <c r="E3490" s="0" t="inlineStr">
        <is>
          <t xml:space="preserve">COLTEC INDUSTRIES INC.</t>
        </is>
      </c>
      <c r="F3490" s="0" t="inlineStr">
        <is>
          <t xml:space="preserve">psc:2090</t>
        </is>
      </c>
    </row>
    <row r="3491">
      <c r="B3491" s="0" t="inlineStr">
        <is>
          <t xml:space="preserve">N3220518P4317</t>
        </is>
      </c>
      <c r="C3491" s="0" t="inlineStr">
        <is>
          <t xml:space="preserve">broad_maritime</t>
        </is>
      </c>
      <c r="D3491" s="4">
        <v>0.16699999999999998</v>
      </c>
      <c r="E3491" s="0" t="inlineStr">
        <is>
          <t xml:space="preserve">MOTOR-SERVICES HUGO STAMP, INC</t>
        </is>
      </c>
      <c r="F3491" s="0" t="inlineStr">
        <is>
          <t xml:space="preserve">psc:2090</t>
        </is>
      </c>
    </row>
    <row r="3492">
      <c r="B3492" s="0" t="inlineStr">
        <is>
          <t xml:space="preserve">N0016726P1009</t>
        </is>
      </c>
      <c r="C3492" s="0" t="inlineStr">
        <is>
          <t xml:space="preserve">broad_maritime</t>
        </is>
      </c>
      <c r="D3492" s="4">
        <v>0.16696818</v>
      </c>
      <c r="E3492" s="0" t="inlineStr">
        <is>
          <t xml:space="preserve">PACMAR TECHNOLOGIES LLC</t>
        </is>
      </c>
      <c r="F3492" s="0" t="inlineStr">
        <is>
          <t xml:space="preserve">psc:2090</t>
        </is>
      </c>
    </row>
    <row r="3493">
      <c r="B3493" s="0" t="inlineStr">
        <is>
          <t xml:space="preserve">N0010422PNC78</t>
        </is>
      </c>
      <c r="C3493" s="0" t="inlineStr">
        <is>
          <t xml:space="preserve">broad_maritime</t>
        </is>
      </c>
      <c r="D3493" s="4">
        <v>0.16685</v>
      </c>
      <c r="E3493" s="0" t="inlineStr">
        <is>
          <t xml:space="preserve">ELECTRIC BOAT CORPORATION</t>
        </is>
      </c>
      <c r="F3493" s="0" t="inlineStr">
        <is>
          <t xml:space="preserve">psc:2090</t>
        </is>
      </c>
    </row>
    <row r="3494">
      <c r="B3494" s="0" t="inlineStr">
        <is>
          <t xml:space="preserve">N5005423P0023</t>
        </is>
      </c>
      <c r="C3494" s="0" t="inlineStr">
        <is>
          <t xml:space="preserve">broad_maritime</t>
        </is>
      </c>
      <c r="D3494" s="4">
        <v>0.16665233999999998</v>
      </c>
      <c r="E3494" s="0" t="inlineStr">
        <is>
          <t xml:space="preserve">THE SHERWIN-WILLIAMS COMPANY</t>
        </is>
      </c>
      <c r="F3494" s="0" t="inlineStr">
        <is>
          <t xml:space="preserve">psc:2090</t>
        </is>
      </c>
    </row>
    <row r="3495">
      <c r="B3495" s="0" t="inlineStr">
        <is>
          <t xml:space="preserve">N0010422PLD85</t>
        </is>
      </c>
      <c r="C3495" s="0" t="inlineStr">
        <is>
          <t xml:space="preserve">small_craft</t>
        </is>
      </c>
      <c r="D3495" s="4">
        <v>0.1666</v>
      </c>
      <c r="E3495" s="0" t="inlineStr">
        <is>
          <t xml:space="preserve">LOCKHEED MARTIN CORPORATION</t>
        </is>
      </c>
      <c r="F3495" s="0" t="inlineStr">
        <is>
          <t xml:space="preserve">naics:336612</t>
        </is>
      </c>
    </row>
    <row r="3496">
      <c r="B3496" s="0" t="inlineStr">
        <is>
          <t xml:space="preserve">N3220522F3617</t>
        </is>
      </c>
      <c r="C3496" s="0" t="inlineStr">
        <is>
          <t xml:space="preserve">broad_maritime</t>
        </is>
      </c>
      <c r="D3496" s="4">
        <v>0.1664</v>
      </c>
      <c r="E3496" s="0" t="inlineStr">
        <is>
          <t xml:space="preserve">MAZZELLA LIFTING TECHNOLOGIES, INC.</t>
        </is>
      </c>
      <c r="F3496" s="0" t="inlineStr">
        <is>
          <t xml:space="preserve">psc:2090</t>
        </is>
      </c>
    </row>
    <row r="3497">
      <c r="B3497" s="0" t="inlineStr">
        <is>
          <t xml:space="preserve">N4008522P0052</t>
        </is>
      </c>
      <c r="C3497" s="0" t="inlineStr">
        <is>
          <t xml:space="preserve">small_craft</t>
        </is>
      </c>
      <c r="D3497" s="4">
        <v>0.16621114999999997</v>
      </c>
      <c r="E3497" s="0" t="inlineStr">
        <is>
          <t xml:space="preserve">SEAFLOOR SYSTEMS, INC.</t>
        </is>
      </c>
      <c r="F3497" s="0" t="inlineStr">
        <is>
          <t xml:space="preserve">naics:336612; psc:1940</t>
        </is>
      </c>
    </row>
    <row r="3498">
      <c r="B3498" s="0" t="inlineStr">
        <is>
          <t xml:space="preserve">N3220515P3004</t>
        </is>
      </c>
      <c r="C3498" s="0" t="inlineStr">
        <is>
          <t xml:space="preserve">broad_maritime</t>
        </is>
      </c>
      <c r="D3498" s="4">
        <v>0.16618011</v>
      </c>
      <c r="E3498" s="0" t="inlineStr">
        <is>
          <t xml:space="preserve">M/V MARINE, INC.</t>
        </is>
      </c>
      <c r="F3498" s="0" t="inlineStr">
        <is>
          <t xml:space="preserve">psc:2090</t>
        </is>
      </c>
    </row>
    <row r="3499">
      <c r="B3499" s="0" t="inlineStr">
        <is>
          <t xml:space="preserve">N3220522F3824</t>
        </is>
      </c>
      <c r="C3499" s="0" t="inlineStr">
        <is>
          <t xml:space="preserve">broad_maritime</t>
        </is>
      </c>
      <c r="D3499" s="4">
        <v>0.16593428</v>
      </c>
      <c r="E3499" s="0" t="inlineStr">
        <is>
          <t xml:space="preserve">CIRCOR NAVAL SOLUTIONS LLC</t>
        </is>
      </c>
      <c r="F3499" s="0" t="inlineStr">
        <is>
          <t xml:space="preserve">psc:2090</t>
        </is>
      </c>
    </row>
    <row r="3500">
      <c r="B3500" s="0" t="inlineStr">
        <is>
          <t xml:space="preserve">N0010419PX004</t>
        </is>
      </c>
      <c r="C3500" s="0" t="inlineStr">
        <is>
          <t xml:space="preserve">broad_maritime</t>
        </is>
      </c>
      <c r="D3500" s="4">
        <v>0.1658</v>
      </c>
      <c r="E3500" s="0" t="inlineStr">
        <is>
          <t xml:space="preserve">FRONTGRADE TECHNOLOGIES INC.</t>
        </is>
      </c>
      <c r="F3500" s="0" t="inlineStr">
        <is>
          <t xml:space="preserve">psc:1905</t>
        </is>
      </c>
    </row>
    <row r="3501">
      <c r="B3501" s="0" t="inlineStr">
        <is>
          <t xml:space="preserve">N5005421P0019</t>
        </is>
      </c>
      <c r="C3501" s="0" t="inlineStr">
        <is>
          <t xml:space="preserve">broad_maritime</t>
        </is>
      </c>
      <c r="D3501" s="4">
        <v>0.16569245</v>
      </c>
      <c r="E3501" s="0" t="inlineStr">
        <is>
          <t xml:space="preserve">J J FASTENERS INC</t>
        </is>
      </c>
      <c r="F3501" s="0" t="inlineStr">
        <is>
          <t xml:space="preserve">psc:2090</t>
        </is>
      </c>
    </row>
    <row r="3502">
      <c r="B3502" s="0" t="inlineStr">
        <is>
          <t xml:space="preserve">N3220516P4337</t>
        </is>
      </c>
      <c r="C3502" s="0" t="inlineStr">
        <is>
          <t xml:space="preserve">broad_maritime</t>
        </is>
      </c>
      <c r="D3502" s="4">
        <v>0.16555499999999998</v>
      </c>
      <c r="E3502" s="0" t="inlineStr">
        <is>
          <t xml:space="preserve">NORTHROP GRUMMAN SYSTEMS CORPORATION</t>
        </is>
      </c>
      <c r="F3502" s="0" t="inlineStr">
        <is>
          <t xml:space="preserve">psc:2090</t>
        </is>
      </c>
    </row>
    <row r="3503">
      <c r="B3503" s="0" t="inlineStr">
        <is>
          <t xml:space="preserve">N6600124P6159</t>
        </is>
      </c>
      <c r="C3503" s="0" t="inlineStr">
        <is>
          <t xml:space="preserve">other_small</t>
        </is>
      </c>
      <c r="D3503" s="4">
        <v>0.165498</v>
      </c>
      <c r="E3503" s="0" t="inlineStr">
        <is>
          <t xml:space="preserve">L3 TECHNOLOGIES INC</t>
        </is>
      </c>
      <c r="F3503" s="0" t="inlineStr">
        <is>
          <t xml:space="preserve">psc:1990</t>
        </is>
      </c>
    </row>
    <row r="3504">
      <c r="B3504" s="0" t="inlineStr">
        <is>
          <t xml:space="preserve">0024</t>
        </is>
      </c>
      <c r="C3504" s="0" t="inlineStr">
        <is>
          <t xml:space="preserve">broad_maritime</t>
        </is>
      </c>
      <c r="D3504" s="4">
        <v>0.165322</v>
      </c>
      <c r="E3504" s="0" t="inlineStr">
        <is>
          <t xml:space="preserve">FLIGHTFAB, INC.</t>
        </is>
      </c>
      <c r="F3504" s="0" t="inlineStr">
        <is>
          <t xml:space="preserve">psc:2090</t>
        </is>
      </c>
    </row>
    <row r="3505">
      <c r="B3505" s="0" t="inlineStr">
        <is>
          <t xml:space="preserve">0020</t>
        </is>
      </c>
      <c r="C3505" s="0" t="inlineStr">
        <is>
          <t xml:space="preserve">broad_maritime</t>
        </is>
      </c>
      <c r="D3505" s="4">
        <v>0.16530605999999998</v>
      </c>
      <c r="E3505" s="0" t="inlineStr">
        <is>
          <t xml:space="preserve">G. S. E. DYNAMICS, INC.</t>
        </is>
      </c>
      <c r="F3505" s="0" t="inlineStr">
        <is>
          <t xml:space="preserve">psc:2090</t>
        </is>
      </c>
    </row>
    <row r="3506">
      <c r="B3506" s="0" t="inlineStr">
        <is>
          <t xml:space="preserve">0007</t>
        </is>
      </c>
      <c r="C3506" s="0" t="inlineStr">
        <is>
          <t xml:space="preserve">broad_maritime</t>
        </is>
      </c>
      <c r="D3506" s="4">
        <v>0.165247</v>
      </c>
      <c r="E3506" s="0" t="inlineStr">
        <is>
          <t xml:space="preserve">JPL HABITABILITY, INC.</t>
        </is>
      </c>
      <c r="F3506" s="0" t="inlineStr">
        <is>
          <t xml:space="preserve">psc:2090</t>
        </is>
      </c>
    </row>
    <row r="3507">
      <c r="B3507" s="0" t="inlineStr">
        <is>
          <t xml:space="preserve">N6264921P0343</t>
        </is>
      </c>
      <c r="C3507" s="0" t="inlineStr">
        <is>
          <t xml:space="preserve">broad_maritime</t>
        </is>
      </c>
      <c r="D3507" s="4">
        <v>0.16507431</v>
      </c>
      <c r="E3507" s="0" t="inlineStr">
        <is>
          <t xml:space="preserve">YOKOHAMA ENGINEERING WORKS, LTD.</t>
        </is>
      </c>
      <c r="F3507" s="0" t="inlineStr">
        <is>
          <t xml:space="preserve">psc:2090</t>
        </is>
      </c>
    </row>
    <row r="3508">
      <c r="B3508" s="0" t="inlineStr">
        <is>
          <t xml:space="preserve">N0040624P0267</t>
        </is>
      </c>
      <c r="C3508" s="0" t="inlineStr">
        <is>
          <t xml:space="preserve">broad_maritime</t>
        </is>
      </c>
      <c r="D3508" s="4">
        <v>0.16488535999999998</v>
      </c>
      <c r="E3508" s="0" t="inlineStr">
        <is>
          <t xml:space="preserve">THE ROWLAND COMPANY</t>
        </is>
      </c>
      <c r="F3508" s="0" t="inlineStr">
        <is>
          <t xml:space="preserve">psc:2090</t>
        </is>
      </c>
    </row>
    <row r="3509">
      <c r="B3509" s="0" t="inlineStr">
        <is>
          <t xml:space="preserve">N6449825P2170</t>
        </is>
      </c>
      <c r="C3509" s="0" t="inlineStr">
        <is>
          <t xml:space="preserve">broad_maritime</t>
        </is>
      </c>
      <c r="D3509" s="4">
        <v>0.16480499999999998</v>
      </c>
      <c r="E3509" s="0" t="inlineStr">
        <is>
          <t xml:space="preserve">TATE ANDALE, LLC</t>
        </is>
      </c>
      <c r="F3509" s="0" t="inlineStr">
        <is>
          <t xml:space="preserve">psc:2090</t>
        </is>
      </c>
    </row>
    <row r="3510">
      <c r="B3510" s="0" t="inlineStr">
        <is>
          <t xml:space="preserve">N3220516P4203</t>
        </is>
      </c>
      <c r="C3510" s="0" t="inlineStr">
        <is>
          <t xml:space="preserve">broad_maritime</t>
        </is>
      </c>
      <c r="D3510" s="4">
        <v>0.16472526999999998</v>
      </c>
      <c r="E3510" s="0" t="inlineStr">
        <is>
          <t xml:space="preserve">IMECO INC</t>
        </is>
      </c>
      <c r="F3510" s="0" t="inlineStr">
        <is>
          <t xml:space="preserve">psc:2090</t>
        </is>
      </c>
    </row>
    <row r="3511">
      <c r="B3511" s="0" t="inlineStr">
        <is>
          <t xml:space="preserve">N6133117F0058</t>
        </is>
      </c>
      <c r="C3511" s="0" t="inlineStr">
        <is>
          <t xml:space="preserve">broad_maritime</t>
        </is>
      </c>
      <c r="D3511" s="4">
        <v>0.1646382</v>
      </c>
      <c r="E3511" s="0" t="inlineStr">
        <is>
          <t xml:space="preserve">ATLANTIC DIVING SUPPLY, INC.</t>
        </is>
      </c>
      <c r="F3511" s="0" t="inlineStr">
        <is>
          <t xml:space="preserve">psc:2090</t>
        </is>
      </c>
    </row>
    <row r="3512">
      <c r="B3512" s="0" t="inlineStr">
        <is>
          <t xml:space="preserve">N0018923P0597</t>
        </is>
      </c>
      <c r="C3512" s="0" t="inlineStr">
        <is>
          <t xml:space="preserve">broad_maritime</t>
        </is>
      </c>
      <c r="D3512" s="4">
        <v>0.1646</v>
      </c>
      <c r="E3512" s="0" t="inlineStr">
        <is>
          <t xml:space="preserve">DAVIS INTERIORS, LTD.</t>
        </is>
      </c>
      <c r="F3512" s="0" t="inlineStr">
        <is>
          <t xml:space="preserve">psc:2090</t>
        </is>
      </c>
    </row>
    <row r="3513">
      <c r="B3513" s="0" t="inlineStr">
        <is>
          <t xml:space="preserve">N0018923P0706</t>
        </is>
      </c>
      <c r="C3513" s="0" t="inlineStr">
        <is>
          <t xml:space="preserve">broad_maritime</t>
        </is>
      </c>
      <c r="D3513" s="4">
        <v>0.16438</v>
      </c>
      <c r="E3513" s="0" t="inlineStr">
        <is>
          <t xml:space="preserve">DAVIS INTERIORS, LTD.</t>
        </is>
      </c>
      <c r="F3513" s="0" t="inlineStr">
        <is>
          <t xml:space="preserve">psc:2090</t>
        </is>
      </c>
    </row>
    <row r="3514">
      <c r="B3514" s="0" t="inlineStr">
        <is>
          <t xml:space="preserve">0002</t>
        </is>
      </c>
      <c r="C3514" s="0" t="inlineStr">
        <is>
          <t xml:space="preserve">broad_maritime</t>
        </is>
      </c>
      <c r="D3514" s="4">
        <v>0.16414199999999998</v>
      </c>
      <c r="E3514" s="0" t="inlineStr">
        <is>
          <t xml:space="preserve">ELECTRIC BOAT CORPORATION</t>
        </is>
      </c>
      <c r="F3514" s="0" t="inlineStr">
        <is>
          <t xml:space="preserve">psc:1905</t>
        </is>
      </c>
    </row>
    <row r="3515">
      <c r="B3515" s="0" t="inlineStr">
        <is>
          <t xml:space="preserve">N0040621P0382</t>
        </is>
      </c>
      <c r="C3515" s="0" t="inlineStr">
        <is>
          <t xml:space="preserve">small_craft</t>
        </is>
      </c>
      <c r="D3515" s="4">
        <v>0.164064</v>
      </c>
      <c r="E3515" s="0" t="inlineStr">
        <is>
          <t xml:space="preserve">KLB ENTERPRISES CORP</t>
        </is>
      </c>
      <c r="F3515" s="0" t="inlineStr">
        <is>
          <t xml:space="preserve">naics:336612</t>
        </is>
      </c>
    </row>
    <row r="3516">
      <c r="B3516" s="0" t="inlineStr">
        <is>
          <t xml:space="preserve">N3220516P7097</t>
        </is>
      </c>
      <c r="C3516" s="0" t="inlineStr">
        <is>
          <t xml:space="preserve">broad_maritime</t>
        </is>
      </c>
      <c r="D3516" s="4">
        <v>0.16404977999999998</v>
      </c>
      <c r="E3516" s="0" t="inlineStr">
        <is>
          <t xml:space="preserve">ROLLS-ROYCE MARINE NORTH AMERICA INC.</t>
        </is>
      </c>
      <c r="F3516" s="0" t="inlineStr">
        <is>
          <t xml:space="preserve">psc:2090</t>
        </is>
      </c>
    </row>
    <row r="3517">
      <c r="B3517" s="0" t="inlineStr">
        <is>
          <t xml:space="preserve">N3220517P4313</t>
        </is>
      </c>
      <c r="C3517" s="0" t="inlineStr">
        <is>
          <t xml:space="preserve">broad_maritime</t>
        </is>
      </c>
      <c r="D3517" s="4">
        <v>0.16399999999999998</v>
      </c>
      <c r="E3517" s="0" t="inlineStr">
        <is>
          <t xml:space="preserve">MOTOR-SERVICES HUGO STAMP, INC</t>
        </is>
      </c>
      <c r="F3517" s="0" t="inlineStr">
        <is>
          <t xml:space="preserve">psc:2090</t>
        </is>
      </c>
    </row>
    <row r="3518">
      <c r="B3518" s="0" t="inlineStr">
        <is>
          <t xml:space="preserve">N5523624P0062</t>
        </is>
      </c>
      <c r="C3518" s="0" t="inlineStr">
        <is>
          <t xml:space="preserve">broad_maritime</t>
        </is>
      </c>
      <c r="D3518" s="4">
        <v>0.16392295999999998</v>
      </c>
      <c r="E3518" s="0" t="inlineStr">
        <is>
          <t xml:space="preserve">DEFENSE MARITIME SOLUTIONS, INC.</t>
        </is>
      </c>
      <c r="F3518" s="0" t="inlineStr">
        <is>
          <t xml:space="preserve">psc:2090</t>
        </is>
      </c>
    </row>
    <row r="3519">
      <c r="B3519" s="0" t="inlineStr">
        <is>
          <t xml:space="preserve">N3220522F3235</t>
        </is>
      </c>
      <c r="C3519" s="0" t="inlineStr">
        <is>
          <t xml:space="preserve">broad_maritime</t>
        </is>
      </c>
      <c r="D3519" s="4">
        <v>0.163785</v>
      </c>
      <c r="E3519" s="0" t="inlineStr">
        <is>
          <t xml:space="preserve">NORTHROP GRUMMAN SYSTEMS CORPORATION</t>
        </is>
      </c>
      <c r="F3519" s="0" t="inlineStr">
        <is>
          <t xml:space="preserve">psc:2090</t>
        </is>
      </c>
    </row>
    <row r="3520">
      <c r="B3520" s="0" t="inlineStr">
        <is>
          <t xml:space="preserve">N0024418F0154</t>
        </is>
      </c>
      <c r="C3520" s="0" t="inlineStr">
        <is>
          <t xml:space="preserve">broad_maritime</t>
        </is>
      </c>
      <c r="D3520" s="4">
        <v>0.163349</v>
      </c>
      <c r="E3520" s="0" t="inlineStr">
        <is>
          <t xml:space="preserve">JPL HABITABILITY, INC.</t>
        </is>
      </c>
      <c r="F3520" s="0" t="inlineStr">
        <is>
          <t xml:space="preserve">psc:2090</t>
        </is>
      </c>
    </row>
    <row r="3521">
      <c r="B3521" s="0" t="inlineStr">
        <is>
          <t xml:space="preserve">N0010424PQE19</t>
        </is>
      </c>
      <c r="C3521" s="0" t="inlineStr">
        <is>
          <t xml:space="preserve">small_craft</t>
        </is>
      </c>
      <c r="D3521" s="4">
        <v>0.16313695</v>
      </c>
      <c r="E3521" s="0" t="inlineStr">
        <is>
          <t xml:space="preserve">TIMKEN CO</t>
        </is>
      </c>
      <c r="F3521" s="0" t="inlineStr">
        <is>
          <t xml:space="preserve">naics:336612</t>
        </is>
      </c>
    </row>
    <row r="3522">
      <c r="B3522" s="0" t="inlineStr">
        <is>
          <t xml:space="preserve">M6700115P0019</t>
        </is>
      </c>
      <c r="C3522" s="0" t="inlineStr">
        <is>
          <t xml:space="preserve">small_craft</t>
        </is>
      </c>
      <c r="D3522" s="4">
        <v>0.163</v>
      </c>
      <c r="E3522" s="0" t="inlineStr">
        <is>
          <t xml:space="preserve">US WORKBOATS, INC</t>
        </is>
      </c>
      <c r="F3522" s="0" t="inlineStr">
        <is>
          <t xml:space="preserve">naics:336612; psc:1940</t>
        </is>
      </c>
    </row>
    <row r="3523">
      <c r="B3523" s="0" t="inlineStr">
        <is>
          <t xml:space="preserve">N0010414CFA56</t>
        </is>
      </c>
      <c r="C3523" s="0" t="inlineStr">
        <is>
          <t xml:space="preserve">broad_maritime</t>
        </is>
      </c>
      <c r="D3523" s="4">
        <v>0.162968</v>
      </c>
      <c r="E3523" s="0" t="inlineStr">
        <is>
          <t xml:space="preserve">GARVEY PRECISION COMPONENTS LLC</t>
        </is>
      </c>
      <c r="F3523" s="0" t="inlineStr">
        <is>
          <t xml:space="preserve">psc:2090</t>
        </is>
      </c>
    </row>
    <row r="3524">
      <c r="B3524" s="0" t="inlineStr">
        <is>
          <t xml:space="preserve">N3220518P6003</t>
        </is>
      </c>
      <c r="C3524" s="0" t="inlineStr">
        <is>
          <t xml:space="preserve">broad_maritime</t>
        </is>
      </c>
      <c r="D3524" s="4">
        <v>0.1629</v>
      </c>
      <c r="E3524" s="0" t="inlineStr">
        <is>
          <t xml:space="preserve">MAZZELLA LIFTING TECHNOLOGIES, INC.</t>
        </is>
      </c>
      <c r="F3524" s="0" t="inlineStr">
        <is>
          <t xml:space="preserve">psc:2090</t>
        </is>
      </c>
    </row>
    <row r="3525">
      <c r="B3525" s="0" t="inlineStr">
        <is>
          <t xml:space="preserve">N6883616P1043</t>
        </is>
      </c>
      <c r="C3525" s="0" t="inlineStr">
        <is>
          <t xml:space="preserve">small_craft</t>
        </is>
      </c>
      <c r="D3525" s="4">
        <v>0.16289499999999998</v>
      </c>
      <c r="E3525" s="0" t="inlineStr">
        <is>
          <t xml:space="preserve">PARTTARGET INC.</t>
        </is>
      </c>
      <c r="F3525" s="0" t="inlineStr">
        <is>
          <t xml:space="preserve">psc:1940</t>
        </is>
      </c>
    </row>
    <row r="3526">
      <c r="B3526" s="0" t="inlineStr">
        <is>
          <t xml:space="preserve">N6133121P0118</t>
        </is>
      </c>
      <c r="C3526" s="0" t="inlineStr">
        <is>
          <t xml:space="preserve">broad_maritime</t>
        </is>
      </c>
      <c r="D3526" s="4">
        <v>0.162884</v>
      </c>
      <c r="E3526" s="0" t="inlineStr">
        <is>
          <t xml:space="preserve">NAG, LLC</t>
        </is>
      </c>
      <c r="F3526" s="0" t="inlineStr">
        <is>
          <t xml:space="preserve">psc:2090</t>
        </is>
      </c>
    </row>
    <row r="3527">
      <c r="B3527" s="0" t="inlineStr">
        <is>
          <t xml:space="preserve">N0040624P0533</t>
        </is>
      </c>
      <c r="C3527" s="0" t="inlineStr">
        <is>
          <t xml:space="preserve">broad_maritime</t>
        </is>
      </c>
      <c r="D3527" s="4">
        <v>0.16280999999999998</v>
      </c>
      <c r="E3527" s="0" t="inlineStr">
        <is>
          <t xml:space="preserve">CIRCOR NAVAL SOLUTIONS LLC</t>
        </is>
      </c>
      <c r="F3527" s="0" t="inlineStr">
        <is>
          <t xml:space="preserve">psc:2090</t>
        </is>
      </c>
    </row>
    <row r="3528">
      <c r="B3528" s="0" t="inlineStr">
        <is>
          <t xml:space="preserve">N0024424P0044</t>
        </is>
      </c>
      <c r="C3528" s="0" t="inlineStr">
        <is>
          <t xml:space="preserve">broad_maritime</t>
        </is>
      </c>
      <c r="D3528" s="4">
        <v>0.162652</v>
      </c>
      <c r="E3528" s="0" t="inlineStr">
        <is>
          <t xml:space="preserve">DS IMPORTS LLC</t>
        </is>
      </c>
      <c r="F3528" s="0" t="inlineStr">
        <is>
          <t xml:space="preserve">psc:2090</t>
        </is>
      </c>
    </row>
    <row r="3529">
      <c r="B3529" s="0" t="inlineStr">
        <is>
          <t xml:space="preserve">N3220516P4019</t>
        </is>
      </c>
      <c r="C3529" s="0" t="inlineStr">
        <is>
          <t xml:space="preserve">broad_maritime</t>
        </is>
      </c>
      <c r="D3529" s="4">
        <v>0.16252184</v>
      </c>
      <c r="E3529" s="0" t="inlineStr">
        <is>
          <t xml:space="preserve">THE ROWLAND COMPANY</t>
        </is>
      </c>
      <c r="F3529" s="0" t="inlineStr">
        <is>
          <t xml:space="preserve">psc:2090</t>
        </is>
      </c>
    </row>
    <row r="3530">
      <c r="B3530" s="0" t="inlineStr">
        <is>
          <t xml:space="preserve">0022</t>
        </is>
      </c>
      <c r="C3530" s="0" t="inlineStr">
        <is>
          <t xml:space="preserve">broad_maritime</t>
        </is>
      </c>
      <c r="D3530" s="4">
        <v>0.16212125</v>
      </c>
      <c r="E3530" s="0" t="inlineStr">
        <is>
          <t xml:space="preserve">G. S. E. DYNAMICS, INC.</t>
        </is>
      </c>
      <c r="F3530" s="0" t="inlineStr">
        <is>
          <t xml:space="preserve">psc:2090</t>
        </is>
      </c>
    </row>
    <row r="3531">
      <c r="B3531" s="0" t="inlineStr">
        <is>
          <t xml:space="preserve">N3220515P3643</t>
        </is>
      </c>
      <c r="C3531" s="0" t="inlineStr">
        <is>
          <t xml:space="preserve">broad_maritime</t>
        </is>
      </c>
      <c r="D3531" s="4">
        <v>0.1621115</v>
      </c>
      <c r="E3531" s="0" t="inlineStr">
        <is>
          <t xml:space="preserve">DEFENSE MARITIME SOLUTIONS, INC.</t>
        </is>
      </c>
      <c r="F3531" s="0" t="inlineStr">
        <is>
          <t xml:space="preserve">psc:2090</t>
        </is>
      </c>
    </row>
    <row r="3532">
      <c r="B3532" s="0" t="inlineStr">
        <is>
          <t xml:space="preserve">N0002418F22P4</t>
        </is>
      </c>
      <c r="C3532" s="0" t="inlineStr">
        <is>
          <t xml:space="preserve">small_craft</t>
        </is>
      </c>
      <c r="D3532" s="4">
        <v>0.161943</v>
      </c>
      <c r="E3532" s="0" t="inlineStr">
        <is>
          <t xml:space="preserve">GRAVOIS ALUMINUM BOATS LLC</t>
        </is>
      </c>
      <c r="F3532" s="0" t="inlineStr">
        <is>
          <t xml:space="preserve">naics:336612; psc:1940</t>
        </is>
      </c>
    </row>
    <row r="3533">
      <c r="B3533" s="0" t="inlineStr">
        <is>
          <t xml:space="preserve">N0040624P0367</t>
        </is>
      </c>
      <c r="C3533" s="0" t="inlineStr">
        <is>
          <t xml:space="preserve">broad_maritime</t>
        </is>
      </c>
      <c r="D3533" s="4">
        <v>0.161686</v>
      </c>
      <c r="E3533" s="0" t="inlineStr">
        <is>
          <t xml:space="preserve">ROLLS-ROYCE MARINE NORTH AMERICA INC.</t>
        </is>
      </c>
      <c r="F3533" s="0" t="inlineStr">
        <is>
          <t xml:space="preserve">psc:2090</t>
        </is>
      </c>
    </row>
    <row r="3534">
      <c r="B3534" s="0" t="inlineStr">
        <is>
          <t xml:space="preserve">N6133117F0118</t>
        </is>
      </c>
      <c r="C3534" s="0" t="inlineStr">
        <is>
          <t xml:space="preserve">broad_maritime</t>
        </is>
      </c>
      <c r="D3534" s="4">
        <v>0.16165439999999998</v>
      </c>
      <c r="E3534" s="0" t="inlineStr">
        <is>
          <t xml:space="preserve">ATLANTIC DIVING SUPPLY, INC.</t>
        </is>
      </c>
      <c r="F3534" s="0" t="inlineStr">
        <is>
          <t xml:space="preserve">psc:2090</t>
        </is>
      </c>
    </row>
    <row r="3535">
      <c r="B3535" s="0" t="inlineStr">
        <is>
          <t xml:space="preserve">N0018925F0267</t>
        </is>
      </c>
      <c r="C3535" s="0" t="inlineStr">
        <is>
          <t xml:space="preserve">broad_maritime</t>
        </is>
      </c>
      <c r="D3535" s="4">
        <v>0.16137639</v>
      </c>
      <c r="E3535" s="0" t="inlineStr">
        <is>
          <t xml:space="preserve">JAL ENTERPRISES, INC.</t>
        </is>
      </c>
      <c r="F3535" s="0" t="inlineStr">
        <is>
          <t xml:space="preserve">psc:2090</t>
        </is>
      </c>
    </row>
    <row r="3536">
      <c r="B3536" s="0" t="inlineStr">
        <is>
          <t xml:space="preserve">N3220520P2221</t>
        </is>
      </c>
      <c r="C3536" s="0" t="inlineStr">
        <is>
          <t xml:space="preserve">broad_maritime</t>
        </is>
      </c>
      <c r="D3536" s="4">
        <v>0.16108023</v>
      </c>
      <c r="E3536" s="0" t="inlineStr">
        <is>
          <t xml:space="preserve">DEFENSE MARITIME SOLUTIONS, INC.</t>
        </is>
      </c>
      <c r="F3536" s="0" t="inlineStr">
        <is>
          <t xml:space="preserve">psc:2090</t>
        </is>
      </c>
    </row>
    <row r="3537">
      <c r="B3537" s="0" t="inlineStr">
        <is>
          <t xml:space="preserve">0004</t>
        </is>
      </c>
      <c r="C3537" s="0" t="inlineStr">
        <is>
          <t xml:space="preserve">broad_maritime</t>
        </is>
      </c>
      <c r="D3537" s="4">
        <v>0.16098896</v>
      </c>
      <c r="E3537" s="0" t="inlineStr">
        <is>
          <t xml:space="preserve">ATLANTIC DIVING SUPPLY, INC.</t>
        </is>
      </c>
      <c r="F3537" s="0" t="inlineStr">
        <is>
          <t xml:space="preserve">psc:2090</t>
        </is>
      </c>
    </row>
    <row r="3538">
      <c r="B3538" s="0" t="inlineStr">
        <is>
          <t xml:space="preserve">N5523625P0028</t>
        </is>
      </c>
      <c r="C3538" s="0" t="inlineStr">
        <is>
          <t xml:space="preserve">broad_maritime</t>
        </is>
      </c>
      <c r="D3538" s="4">
        <v>0.160964</v>
      </c>
      <c r="E3538" s="0" t="inlineStr">
        <is>
          <t xml:space="preserve">TIMKEN GEARS &amp; SERVICES INC.</t>
        </is>
      </c>
      <c r="F3538" s="0" t="inlineStr">
        <is>
          <t xml:space="preserve">psc:2090</t>
        </is>
      </c>
    </row>
    <row r="3539">
      <c r="B3539" s="0" t="inlineStr">
        <is>
          <t xml:space="preserve">N0010422PJB16</t>
        </is>
      </c>
      <c r="C3539" s="0" t="inlineStr">
        <is>
          <t xml:space="preserve">small_craft</t>
        </is>
      </c>
      <c r="D3539" s="4">
        <v>0.1609186</v>
      </c>
      <c r="E3539" s="0" t="inlineStr">
        <is>
          <t xml:space="preserve">SPECIALTY SEALS &amp; ACCESSORIES, INC.</t>
        </is>
      </c>
      <c r="F3539" s="0" t="inlineStr">
        <is>
          <t xml:space="preserve">naics:336612</t>
        </is>
      </c>
    </row>
    <row r="3540">
      <c r="B3540" s="0" t="inlineStr">
        <is>
          <t xml:space="preserve">N0018915PZ476</t>
        </is>
      </c>
      <c r="C3540" s="0" t="inlineStr">
        <is>
          <t xml:space="preserve">small_craft</t>
        </is>
      </c>
      <c r="D3540" s="4">
        <v>0.1605005</v>
      </c>
      <c r="E3540" s="0" t="inlineStr">
        <is>
          <t xml:space="preserve">L3 TECHNOLOGIES INC</t>
        </is>
      </c>
      <c r="F3540" s="0" t="inlineStr">
        <is>
          <t xml:space="preserve">naics:336612; psc:1940</t>
        </is>
      </c>
    </row>
    <row r="3541">
      <c r="B3541" s="0" t="inlineStr">
        <is>
          <t xml:space="preserve">N5005425P0335</t>
        </is>
      </c>
      <c r="C3541" s="0" t="inlineStr">
        <is>
          <t xml:space="preserve">broad_maritime</t>
        </is>
      </c>
      <c r="D3541" s="4">
        <v>0.16042226</v>
      </c>
      <c r="E3541" s="0" t="inlineStr">
        <is>
          <t xml:space="preserve">JERED LLC</t>
        </is>
      </c>
      <c r="F3541" s="0" t="inlineStr">
        <is>
          <t xml:space="preserve">psc:2090</t>
        </is>
      </c>
    </row>
    <row r="3542">
      <c r="B3542" s="0" t="inlineStr">
        <is>
          <t xml:space="preserve">N0010423PBM13</t>
        </is>
      </c>
      <c r="C3542" s="0" t="inlineStr">
        <is>
          <t xml:space="preserve">broad_maritime</t>
        </is>
      </c>
      <c r="D3542" s="4">
        <v>0.159968</v>
      </c>
      <c r="E3542" s="0" t="inlineStr">
        <is>
          <t xml:space="preserve">TURNBULL LLC</t>
        </is>
      </c>
      <c r="F3542" s="0" t="inlineStr">
        <is>
          <t xml:space="preserve">psc:2090</t>
        </is>
      </c>
    </row>
    <row r="3543">
      <c r="B3543" s="0" t="inlineStr">
        <is>
          <t xml:space="preserve">N3220523P2360</t>
        </is>
      </c>
      <c r="C3543" s="0" t="inlineStr">
        <is>
          <t xml:space="preserve">broad_maritime</t>
        </is>
      </c>
      <c r="D3543" s="4">
        <v>0.15992672</v>
      </c>
      <c r="E3543" s="0" t="inlineStr">
        <is>
          <t xml:space="preserve">WALASHEK INDUSTRIAL &amp; MARINE, INC.</t>
        </is>
      </c>
      <c r="F3543" s="0" t="inlineStr">
        <is>
          <t xml:space="preserve">psc:2090</t>
        </is>
      </c>
    </row>
    <row r="3544">
      <c r="B3544" s="0" t="inlineStr">
        <is>
          <t xml:space="preserve">0056</t>
        </is>
      </c>
      <c r="C3544" s="0" t="inlineStr">
        <is>
          <t xml:space="preserve">broad_maritime</t>
        </is>
      </c>
      <c r="D3544" s="4">
        <v>0.15987099999999999</v>
      </c>
      <c r="E3544" s="0" t="inlineStr">
        <is>
          <t xml:space="preserve">ELECTRIC BOAT CORPORATION</t>
        </is>
      </c>
      <c r="F3544" s="0" t="inlineStr">
        <is>
          <t xml:space="preserve">psc:1905</t>
        </is>
      </c>
    </row>
    <row r="3545">
      <c r="B3545" s="0" t="inlineStr">
        <is>
          <t xml:space="preserve">N3220523P2263</t>
        </is>
      </c>
      <c r="C3545" s="0" t="inlineStr">
        <is>
          <t xml:space="preserve">broad_maritime</t>
        </is>
      </c>
      <c r="D3545" s="4">
        <v>0.15979399</v>
      </c>
      <c r="E3545" s="0" t="inlineStr">
        <is>
          <t xml:space="preserve">LAKE SHORE SYSTEMS, INC.</t>
        </is>
      </c>
      <c r="F3545" s="0" t="inlineStr">
        <is>
          <t xml:space="preserve">psc:2090</t>
        </is>
      </c>
    </row>
    <row r="3546">
      <c r="B3546" s="0" t="inlineStr">
        <is>
          <t xml:space="preserve">N6133119F0237</t>
        </is>
      </c>
      <c r="C3546" s="0" t="inlineStr">
        <is>
          <t xml:space="preserve">broad_maritime</t>
        </is>
      </c>
      <c r="D3546" s="4">
        <v>0.15971438</v>
      </c>
      <c r="E3546" s="0" t="inlineStr">
        <is>
          <t xml:space="preserve">ATLANTIC DIVING SUPPLY, INC.</t>
        </is>
      </c>
      <c r="F3546" s="0" t="inlineStr">
        <is>
          <t xml:space="preserve">psc:2090</t>
        </is>
      </c>
    </row>
    <row r="3547">
      <c r="B3547" s="0" t="inlineStr">
        <is>
          <t xml:space="preserve">N0040625P0069</t>
        </is>
      </c>
      <c r="C3547" s="0" t="inlineStr">
        <is>
          <t xml:space="preserve">broad_maritime</t>
        </is>
      </c>
      <c r="D3547" s="4">
        <v>0.159606</v>
      </c>
      <c r="E3547" s="0" t="inlineStr">
        <is>
          <t xml:space="preserve">ROLLS-ROYCE MARINE NORTH AMERICA INC.</t>
        </is>
      </c>
      <c r="F3547" s="0" t="inlineStr">
        <is>
          <t xml:space="preserve">psc:2090</t>
        </is>
      </c>
    </row>
    <row r="3548">
      <c r="B3548" s="0" t="inlineStr">
        <is>
          <t xml:space="preserve">N3220522P2742</t>
        </is>
      </c>
      <c r="C3548" s="0" t="inlineStr">
        <is>
          <t xml:space="preserve">broad_maritime</t>
        </is>
      </c>
      <c r="D3548" s="4">
        <v>0.15956951</v>
      </c>
      <c r="E3548" s="0" t="inlineStr">
        <is>
          <t xml:space="preserve">KONGSBERG MARITIME INC</t>
        </is>
      </c>
      <c r="F3548" s="0" t="inlineStr">
        <is>
          <t xml:space="preserve">psc:2090</t>
        </is>
      </c>
    </row>
    <row r="3549">
      <c r="B3549" s="0" t="inlineStr">
        <is>
          <t xml:space="preserve">N0010418PES05</t>
        </is>
      </c>
      <c r="C3549" s="0" t="inlineStr">
        <is>
          <t xml:space="preserve">broad_maritime</t>
        </is>
      </c>
      <c r="D3549" s="4">
        <v>0.15936</v>
      </c>
      <c r="E3549" s="0" t="inlineStr">
        <is>
          <t xml:space="preserve">TURNBULL LLC</t>
        </is>
      </c>
      <c r="F3549" s="0" t="inlineStr">
        <is>
          <t xml:space="preserve">psc:2090</t>
        </is>
      </c>
    </row>
    <row r="3550">
      <c r="B3550" s="0" t="inlineStr">
        <is>
          <t xml:space="preserve">N5005421P0071</t>
        </is>
      </c>
      <c r="C3550" s="0" t="inlineStr">
        <is>
          <t xml:space="preserve">small_craft</t>
        </is>
      </c>
      <c r="D3550" s="4">
        <v>0.15911279999999997</v>
      </c>
      <c r="E3550" s="0" t="inlineStr">
        <is>
          <t xml:space="preserve">DEFENSE MARITIME SOLUTIONS, INC.</t>
        </is>
      </c>
      <c r="F3550" s="0" t="inlineStr">
        <is>
          <t xml:space="preserve">naics:336612</t>
        </is>
      </c>
    </row>
    <row r="3551">
      <c r="B3551" s="0" t="inlineStr">
        <is>
          <t xml:space="preserve">N0024422F0026</t>
        </is>
      </c>
      <c r="C3551" s="0" t="inlineStr">
        <is>
          <t xml:space="preserve">broad_maritime</t>
        </is>
      </c>
      <c r="D3551" s="4">
        <v>0.159085</v>
      </c>
      <c r="E3551" s="0" t="inlineStr">
        <is>
          <t xml:space="preserve">PACIFIC MARITIME INDUSTRIES CORP.</t>
        </is>
      </c>
      <c r="F3551" s="0" t="inlineStr">
        <is>
          <t xml:space="preserve">psc:2090</t>
        </is>
      </c>
    </row>
    <row r="3552">
      <c r="B3552" s="0" t="inlineStr">
        <is>
          <t xml:space="preserve">N3220516P4405</t>
        </is>
      </c>
      <c r="C3552" s="0" t="inlineStr">
        <is>
          <t xml:space="preserve">broad_maritime</t>
        </is>
      </c>
      <c r="D3552" s="4">
        <v>0.159067</v>
      </c>
      <c r="E3552" s="0" t="inlineStr">
        <is>
          <t xml:space="preserve">KONGSBERG DISCOVERY US, LLC</t>
        </is>
      </c>
      <c r="F3552" s="0" t="inlineStr">
        <is>
          <t xml:space="preserve">psc:2090</t>
        </is>
      </c>
    </row>
    <row r="3553">
      <c r="B3553" s="0" t="inlineStr">
        <is>
          <t xml:space="preserve">N3220515P3365</t>
        </is>
      </c>
      <c r="C3553" s="0" t="inlineStr">
        <is>
          <t xml:space="preserve">broad_maritime</t>
        </is>
      </c>
      <c r="D3553" s="4">
        <v>0.15870984</v>
      </c>
      <c r="E3553" s="0" t="inlineStr">
        <is>
          <t xml:space="preserve">IAN-CONRAD BERGAN, LLC</t>
        </is>
      </c>
      <c r="F3553" s="0" t="inlineStr">
        <is>
          <t xml:space="preserve">psc:2090</t>
        </is>
      </c>
    </row>
    <row r="3554">
      <c r="B3554" s="0" t="inlineStr">
        <is>
          <t xml:space="preserve">N0040622P0756</t>
        </is>
      </c>
      <c r="C3554" s="0" t="inlineStr">
        <is>
          <t xml:space="preserve">broad_maritime</t>
        </is>
      </c>
      <c r="D3554" s="4">
        <v>0.15850999999999998</v>
      </c>
      <c r="E3554" s="0" t="inlineStr">
        <is>
          <t xml:space="preserve">BHAYANA BROTHERS LLC</t>
        </is>
      </c>
      <c r="F3554" s="0" t="inlineStr">
        <is>
          <t xml:space="preserve">psc:2090</t>
        </is>
      </c>
    </row>
    <row r="3555">
      <c r="B3555" s="0" t="inlineStr">
        <is>
          <t xml:space="preserve">N0010422PXA70</t>
        </is>
      </c>
      <c r="C3555" s="0" t="inlineStr">
        <is>
          <t xml:space="preserve">small_craft</t>
        </is>
      </c>
      <c r="D3555" s="4">
        <v>0.1584587</v>
      </c>
      <c r="E3555" s="0" t="inlineStr">
        <is>
          <t xml:space="preserve">WING INFLATABLES INC</t>
        </is>
      </c>
      <c r="F3555" s="0" t="inlineStr">
        <is>
          <t xml:space="preserve">naics:336612; psc:1940</t>
        </is>
      </c>
    </row>
    <row r="3556">
      <c r="B3556" s="0" t="inlineStr">
        <is>
          <t xml:space="preserve">N3220515P4280</t>
        </is>
      </c>
      <c r="C3556" s="0" t="inlineStr">
        <is>
          <t xml:space="preserve">other_small</t>
        </is>
      </c>
      <c r="D3556" s="4">
        <v>0.15835957</v>
      </c>
      <c r="E3556" s="0" t="inlineStr">
        <is>
          <t xml:space="preserve">NORTHROP GRUMMAN SYSTEMS CORPORATION</t>
        </is>
      </c>
      <c r="F3556" s="0" t="inlineStr">
        <is>
          <t xml:space="preserve">psc:1990</t>
        </is>
      </c>
    </row>
    <row r="3557">
      <c r="B3557" s="0" t="inlineStr">
        <is>
          <t xml:space="preserve">N3220520P2130</t>
        </is>
      </c>
      <c r="C3557" s="0" t="inlineStr">
        <is>
          <t xml:space="preserve">broad_maritime</t>
        </is>
      </c>
      <c r="D3557" s="4">
        <v>0.15818074999999998</v>
      </c>
      <c r="E3557" s="0" t="inlineStr">
        <is>
          <t xml:space="preserve">DONOVAN MARINE, INC.</t>
        </is>
      </c>
      <c r="F3557" s="0" t="inlineStr">
        <is>
          <t xml:space="preserve">psc:2090</t>
        </is>
      </c>
    </row>
    <row r="3558">
      <c r="B3558" s="0" t="inlineStr">
        <is>
          <t xml:space="preserve">N3220522P2033</t>
        </is>
      </c>
      <c r="C3558" s="0" t="inlineStr">
        <is>
          <t xml:space="preserve">broad_maritime</t>
        </is>
      </c>
      <c r="D3558" s="4">
        <v>0.15814999999999999</v>
      </c>
      <c r="E3558" s="0" t="inlineStr">
        <is>
          <t xml:space="preserve">FASSMER SERVICE AMERICA LLC</t>
        </is>
      </c>
      <c r="F3558" s="0" t="inlineStr">
        <is>
          <t xml:space="preserve">psc:2090</t>
        </is>
      </c>
    </row>
    <row r="3559">
      <c r="B3559" s="0" t="inlineStr">
        <is>
          <t xml:space="preserve">N3220522F3026</t>
        </is>
      </c>
      <c r="C3559" s="0" t="inlineStr">
        <is>
          <t xml:space="preserve">broad_maritime</t>
        </is>
      </c>
      <c r="D3559" s="4">
        <v>0.15802142</v>
      </c>
      <c r="E3559" s="0" t="inlineStr">
        <is>
          <t xml:space="preserve">CIRCOR NAVAL SOLUTIONS LLC</t>
        </is>
      </c>
      <c r="F3559" s="0" t="inlineStr">
        <is>
          <t xml:space="preserve">psc:2090</t>
        </is>
      </c>
    </row>
    <row r="3560">
      <c r="B3560" s="0" t="inlineStr">
        <is>
          <t xml:space="preserve">N3220522P2143</t>
        </is>
      </c>
      <c r="C3560" s="0" t="inlineStr">
        <is>
          <t xml:space="preserve">broad_maritime</t>
        </is>
      </c>
      <c r="D3560" s="4">
        <v>0.15775799999999998</v>
      </c>
      <c r="E3560" s="0" t="inlineStr">
        <is>
          <t xml:space="preserve">EATON CORPORATION</t>
        </is>
      </c>
      <c r="F3560" s="0" t="inlineStr">
        <is>
          <t xml:space="preserve">psc:2090</t>
        </is>
      </c>
    </row>
    <row r="3561">
      <c r="B3561" s="0" t="inlineStr">
        <is>
          <t xml:space="preserve">N0040623P0051</t>
        </is>
      </c>
      <c r="C3561" s="0" t="inlineStr">
        <is>
          <t xml:space="preserve">broad_maritime</t>
        </is>
      </c>
      <c r="D3561" s="4">
        <v>0.15774</v>
      </c>
      <c r="E3561" s="0" t="inlineStr">
        <is>
          <t xml:space="preserve">EATON CORPORATION</t>
        </is>
      </c>
      <c r="F3561" s="0" t="inlineStr">
        <is>
          <t xml:space="preserve">psc:2090</t>
        </is>
      </c>
    </row>
    <row r="3562">
      <c r="B3562" s="0" t="inlineStr">
        <is>
          <t xml:space="preserve">N3220518P2034</t>
        </is>
      </c>
      <c r="C3562" s="0" t="inlineStr">
        <is>
          <t xml:space="preserve">broad_maritime</t>
        </is>
      </c>
      <c r="D3562" s="4">
        <v>0.1577326</v>
      </c>
      <c r="E3562" s="0" t="inlineStr">
        <is>
          <t xml:space="preserve">DEFENSE MARITIME SOLUTIONS, INC.</t>
        </is>
      </c>
      <c r="F3562" s="0" t="inlineStr">
        <is>
          <t xml:space="preserve">psc:2090</t>
        </is>
      </c>
    </row>
    <row r="3563">
      <c r="B3563" s="0" t="inlineStr">
        <is>
          <t xml:space="preserve">N0018919P0263</t>
        </is>
      </c>
      <c r="C3563" s="0" t="inlineStr">
        <is>
          <t xml:space="preserve">small_craft</t>
        </is>
      </c>
      <c r="D3563" s="4">
        <v>0.15764726999999998</v>
      </c>
      <c r="E3563" s="0" t="inlineStr">
        <is>
          <t xml:space="preserve">WING INFLATABLES INC</t>
        </is>
      </c>
      <c r="F3563" s="0" t="inlineStr">
        <is>
          <t xml:space="preserve">naics:336612; psc:2090</t>
        </is>
      </c>
    </row>
    <row r="3564">
      <c r="B3564" s="0" t="inlineStr">
        <is>
          <t xml:space="preserve">N0016722P0172</t>
        </is>
      </c>
      <c r="C3564" s="0" t="inlineStr">
        <is>
          <t xml:space="preserve">other_small</t>
        </is>
      </c>
      <c r="D3564" s="4">
        <v>0.15761899999999998</v>
      </c>
      <c r="E3564" s="0" t="inlineStr">
        <is>
          <t xml:space="preserve">AIRTECH INTERNATIONAL INC</t>
        </is>
      </c>
      <c r="F3564" s="0" t="inlineStr">
        <is>
          <t xml:space="preserve">psc:1990</t>
        </is>
      </c>
    </row>
    <row r="3565">
      <c r="B3565" s="0" t="inlineStr">
        <is>
          <t xml:space="preserve">N6824623P0116</t>
        </is>
      </c>
      <c r="C3565" s="0" t="inlineStr">
        <is>
          <t xml:space="preserve">broad_maritime</t>
        </is>
      </c>
      <c r="D3565" s="4">
        <v>0.15761538</v>
      </c>
      <c r="E3565" s="0" t="inlineStr">
        <is>
          <t xml:space="preserve">VINE PLANT INC.</t>
        </is>
      </c>
      <c r="F3565" s="0" t="inlineStr">
        <is>
          <t xml:space="preserve">psc:2090</t>
        </is>
      </c>
    </row>
    <row r="3566">
      <c r="B3566" s="0" t="inlineStr">
        <is>
          <t xml:space="preserve">N6660425FT303</t>
        </is>
      </c>
      <c r="C3566" s="0" t="inlineStr">
        <is>
          <t xml:space="preserve">broad_maritime</t>
        </is>
      </c>
      <c r="D3566" s="4">
        <v>0.15750799999999998</v>
      </c>
      <c r="E3566" s="0" t="inlineStr">
        <is>
          <t xml:space="preserve">NIANTIC TOOL, INC.</t>
        </is>
      </c>
      <c r="F3566" s="0" t="inlineStr">
        <is>
          <t xml:space="preserve">psc:2090</t>
        </is>
      </c>
    </row>
    <row r="3567">
      <c r="B3567" s="0" t="inlineStr">
        <is>
          <t xml:space="preserve">N0040622F0191</t>
        </is>
      </c>
      <c r="C3567" s="0" t="inlineStr">
        <is>
          <t xml:space="preserve">broad_maritime</t>
        </is>
      </c>
      <c r="D3567" s="4">
        <v>0.15744692999999998</v>
      </c>
      <c r="E3567" s="0" t="inlineStr">
        <is>
          <t xml:space="preserve">DEFENSE MARITIME SOLUTIONS, INC.</t>
        </is>
      </c>
      <c r="F3567" s="0" t="inlineStr">
        <is>
          <t xml:space="preserve">psc:2090</t>
        </is>
      </c>
    </row>
    <row r="3568">
      <c r="B3568" s="0" t="inlineStr">
        <is>
          <t xml:space="preserve">N3220522P2008</t>
        </is>
      </c>
      <c r="C3568" s="0" t="inlineStr">
        <is>
          <t xml:space="preserve">broad_maritime</t>
        </is>
      </c>
      <c r="D3568" s="4">
        <v>0.15741912</v>
      </c>
      <c r="E3568" s="0" t="inlineStr">
        <is>
          <t xml:space="preserve">DEFENSE MARITIME SOLUTIONS, INC.</t>
        </is>
      </c>
      <c r="F3568" s="0" t="inlineStr">
        <is>
          <t xml:space="preserve">psc:2090</t>
        </is>
      </c>
    </row>
    <row r="3569">
      <c r="B3569" s="0" t="inlineStr">
        <is>
          <t xml:space="preserve">N3220517P4783</t>
        </is>
      </c>
      <c r="C3569" s="0" t="inlineStr">
        <is>
          <t xml:space="preserve">broad_maritime</t>
        </is>
      </c>
      <c r="D3569" s="4">
        <v>0.1571319</v>
      </c>
      <c r="E3569" s="0" t="inlineStr">
        <is>
          <t xml:space="preserve">IMECO INC</t>
        </is>
      </c>
      <c r="F3569" s="0" t="inlineStr">
        <is>
          <t xml:space="preserve">psc:2090</t>
        </is>
      </c>
    </row>
    <row r="3570">
      <c r="B3570" s="0" t="inlineStr">
        <is>
          <t xml:space="preserve">N3220515P3006</t>
        </is>
      </c>
      <c r="C3570" s="0" t="inlineStr">
        <is>
          <t xml:space="preserve">broad_maritime</t>
        </is>
      </c>
      <c r="D3570" s="4">
        <v>0.15699443</v>
      </c>
      <c r="E3570" s="0" t="inlineStr">
        <is>
          <t xml:space="preserve">IMECO INC</t>
        </is>
      </c>
      <c r="F3570" s="0" t="inlineStr">
        <is>
          <t xml:space="preserve">psc:2090</t>
        </is>
      </c>
    </row>
    <row r="3571">
      <c r="B3571" s="0" t="inlineStr">
        <is>
          <t xml:space="preserve">0054</t>
        </is>
      </c>
      <c r="C3571" s="0" t="inlineStr">
        <is>
          <t xml:space="preserve">broad_maritime</t>
        </is>
      </c>
      <c r="D3571" s="4">
        <v>0.15688045999999997</v>
      </c>
      <c r="E3571" s="0" t="inlineStr">
        <is>
          <t xml:space="preserve">ROCKWELL AUTOMATION INC</t>
        </is>
      </c>
      <c r="F3571" s="0" t="inlineStr">
        <is>
          <t xml:space="preserve">psc:2090</t>
        </is>
      </c>
    </row>
    <row r="3572">
      <c r="B3572" s="0" t="inlineStr">
        <is>
          <t xml:space="preserve">0008</t>
        </is>
      </c>
      <c r="C3572" s="0" t="inlineStr">
        <is>
          <t xml:space="preserve">broad_maritime</t>
        </is>
      </c>
      <c r="D3572" s="4">
        <v>0.156744</v>
      </c>
      <c r="E3572" s="0" t="inlineStr">
        <is>
          <t xml:space="preserve">PACIFIC MARITIME INDUSTRIES CORP.</t>
        </is>
      </c>
      <c r="F3572" s="0" t="inlineStr">
        <is>
          <t xml:space="preserve">psc:2090</t>
        </is>
      </c>
    </row>
    <row r="3573">
      <c r="B3573" s="0" t="inlineStr">
        <is>
          <t xml:space="preserve">N4044210P5039</t>
        </is>
      </c>
      <c r="C3573" s="0" t="inlineStr">
        <is>
          <t xml:space="preserve">broad_maritime</t>
        </is>
      </c>
      <c r="D3573" s="4">
        <v>0.15668764000000002</v>
      </c>
      <c r="E3573" s="0" t="inlineStr">
        <is>
          <t xml:space="preserve">FCX SYSTEMS INC</t>
        </is>
      </c>
      <c r="F3573" s="0" t="inlineStr">
        <is>
          <t xml:space="preserve">psc:2090</t>
        </is>
      </c>
    </row>
    <row r="3574">
      <c r="B3574" s="0" t="inlineStr">
        <is>
          <t xml:space="preserve">N0040625F0013</t>
        </is>
      </c>
      <c r="C3574" s="0" t="inlineStr">
        <is>
          <t xml:space="preserve">broad_maritime</t>
        </is>
      </c>
      <c r="D3574" s="4">
        <v>0.15640605999999999</v>
      </c>
      <c r="E3574" s="0" t="inlineStr">
        <is>
          <t xml:space="preserve">EVERLLENCE MIDDLE EAST AND AFRICA L.L.C</t>
        </is>
      </c>
      <c r="F3574" s="0" t="inlineStr">
        <is>
          <t xml:space="preserve">psc:2090</t>
        </is>
      </c>
    </row>
    <row r="3575">
      <c r="B3575" s="0" t="inlineStr">
        <is>
          <t xml:space="preserve">N3220517P4333</t>
        </is>
      </c>
      <c r="C3575" s="0" t="inlineStr">
        <is>
          <t xml:space="preserve">broad_maritime</t>
        </is>
      </c>
      <c r="D3575" s="4">
        <v>0.15624914999999998</v>
      </c>
      <c r="E3575" s="0" t="inlineStr">
        <is>
          <t xml:space="preserve">NORTHROP GRUMMAN SYSTEMS CORPORATION</t>
        </is>
      </c>
      <c r="F3575" s="0" t="inlineStr">
        <is>
          <t xml:space="preserve">psc:2090</t>
        </is>
      </c>
    </row>
    <row r="3576">
      <c r="B3576" s="0" t="inlineStr">
        <is>
          <t xml:space="preserve">N3220515P2229</t>
        </is>
      </c>
      <c r="C3576" s="0" t="inlineStr">
        <is>
          <t xml:space="preserve">broad_maritime</t>
        </is>
      </c>
      <c r="D3576" s="4">
        <v>0.15606299999999998</v>
      </c>
      <c r="E3576" s="0" t="inlineStr">
        <is>
          <t xml:space="preserve">SOIL MACHINE DYNAMICS</t>
        </is>
      </c>
      <c r="F3576" s="0" t="inlineStr">
        <is>
          <t xml:space="preserve">psc:2090</t>
        </is>
      </c>
    </row>
    <row r="3577">
      <c r="B3577" s="0" t="inlineStr">
        <is>
          <t xml:space="preserve">N3220523P2285</t>
        </is>
      </c>
      <c r="C3577" s="0" t="inlineStr">
        <is>
          <t xml:space="preserve">broad_maritime</t>
        </is>
      </c>
      <c r="D3577" s="4">
        <v>0.155892</v>
      </c>
      <c r="E3577" s="0" t="inlineStr">
        <is>
          <t xml:space="preserve">JA MOODY LLC</t>
        </is>
      </c>
      <c r="F3577" s="0" t="inlineStr">
        <is>
          <t xml:space="preserve">psc:2090</t>
        </is>
      </c>
    </row>
    <row r="3578">
      <c r="B3578" s="0" t="inlineStr">
        <is>
          <t xml:space="preserve">0211</t>
        </is>
      </c>
      <c r="C3578" s="0" t="inlineStr">
        <is>
          <t xml:space="preserve">broad_maritime</t>
        </is>
      </c>
      <c r="D3578" s="4">
        <v>0.155825</v>
      </c>
      <c r="E3578" s="0" t="inlineStr">
        <is>
          <t xml:space="preserve">PACIFIC MARITIME INDUSTRIES CORP.</t>
        </is>
      </c>
      <c r="F3578" s="0" t="inlineStr">
        <is>
          <t xml:space="preserve">psc:2090</t>
        </is>
      </c>
    </row>
    <row r="3579">
      <c r="B3579" s="0" t="inlineStr">
        <is>
          <t xml:space="preserve">N3220522F4046</t>
        </is>
      </c>
      <c r="C3579" s="0" t="inlineStr">
        <is>
          <t xml:space="preserve">broad_maritime</t>
        </is>
      </c>
      <c r="D3579" s="4">
        <v>0.15552</v>
      </c>
      <c r="E3579" s="0" t="inlineStr">
        <is>
          <t xml:space="preserve">MAZZELLA LIFTING TECHNOLOGIES, INC.</t>
        </is>
      </c>
      <c r="F3579" s="0" t="inlineStr">
        <is>
          <t xml:space="preserve">psc:2090</t>
        </is>
      </c>
    </row>
    <row r="3580">
      <c r="B3580" s="0" t="inlineStr">
        <is>
          <t xml:space="preserve">N4044324P0052</t>
        </is>
      </c>
      <c r="C3580" s="0" t="inlineStr">
        <is>
          <t xml:space="preserve">broad_maritime</t>
        </is>
      </c>
      <c r="D3580" s="4">
        <v>0.15500582</v>
      </c>
      <c r="E3580" s="0" t="inlineStr">
        <is>
          <t xml:space="preserve">PRO-LINE PROCUREMENT SERVICES LLC</t>
        </is>
      </c>
      <c r="F3580" s="0" t="inlineStr">
        <is>
          <t xml:space="preserve">psc:2090</t>
        </is>
      </c>
    </row>
    <row r="3581">
      <c r="B3581" s="0" t="inlineStr">
        <is>
          <t xml:space="preserve">N0010423PLC61</t>
        </is>
      </c>
      <c r="C3581" s="0" t="inlineStr">
        <is>
          <t xml:space="preserve">small_craft</t>
        </is>
      </c>
      <c r="D3581" s="4">
        <v>0.154974</v>
      </c>
      <c r="E3581" s="0" t="inlineStr">
        <is>
          <t xml:space="preserve">BAKER &amp; ASSOCIATES INC</t>
        </is>
      </c>
      <c r="F3581" s="0" t="inlineStr">
        <is>
          <t xml:space="preserve">naics:336612</t>
        </is>
      </c>
    </row>
    <row r="3582">
      <c r="B3582" s="0" t="inlineStr">
        <is>
          <t xml:space="preserve">N3220522P2113</t>
        </is>
      </c>
      <c r="C3582" s="0" t="inlineStr">
        <is>
          <t xml:space="preserve">broad_maritime</t>
        </is>
      </c>
      <c r="D3582" s="4">
        <v>0.15497070000000002</v>
      </c>
      <c r="E3582" s="0" t="inlineStr">
        <is>
          <t xml:space="preserve">PIONEER INDUSTRIES, LLC</t>
        </is>
      </c>
      <c r="F3582" s="0" t="inlineStr">
        <is>
          <t xml:space="preserve">psc:2090</t>
        </is>
      </c>
    </row>
    <row r="3583">
      <c r="B3583" s="0" t="inlineStr">
        <is>
          <t xml:space="preserve">N3220520P2242</t>
        </is>
      </c>
      <c r="C3583" s="0" t="inlineStr">
        <is>
          <t xml:space="preserve">broad_maritime</t>
        </is>
      </c>
      <c r="D3583" s="4">
        <v>0.15477464999999999</v>
      </c>
      <c r="E3583" s="0" t="inlineStr">
        <is>
          <t xml:space="preserve">KONGSBERG MARITIME INC</t>
        </is>
      </c>
      <c r="F3583" s="0" t="inlineStr">
        <is>
          <t xml:space="preserve">psc:2090</t>
        </is>
      </c>
    </row>
    <row r="3584">
      <c r="B3584" s="0" t="inlineStr">
        <is>
          <t xml:space="preserve">N5523623P0163</t>
        </is>
      </c>
      <c r="C3584" s="0" t="inlineStr">
        <is>
          <t xml:space="preserve">broad_maritime</t>
        </is>
      </c>
      <c r="D3584" s="4">
        <v>0.15464429999999998</v>
      </c>
      <c r="E3584" s="0" t="inlineStr">
        <is>
          <t xml:space="preserve">DEFENSE MARITIME SOLUTIONS, INC.</t>
        </is>
      </c>
      <c r="F3584" s="0" t="inlineStr">
        <is>
          <t xml:space="preserve">psc:2090</t>
        </is>
      </c>
    </row>
    <row r="3585">
      <c r="B3585" s="0" t="inlineStr">
        <is>
          <t xml:space="preserve">N0040624P0577</t>
        </is>
      </c>
      <c r="C3585" s="0" t="inlineStr">
        <is>
          <t xml:space="preserve">broad_maritime</t>
        </is>
      </c>
      <c r="D3585" s="4">
        <v>0.154527</v>
      </c>
      <c r="E3585" s="0" t="inlineStr">
        <is>
          <t xml:space="preserve">RENK CORP</t>
        </is>
      </c>
      <c r="F3585" s="0" t="inlineStr">
        <is>
          <t xml:space="preserve">psc:2090</t>
        </is>
      </c>
    </row>
    <row r="3586">
      <c r="B3586" s="0" t="inlineStr">
        <is>
          <t xml:space="preserve">N6449822F4141</t>
        </is>
      </c>
      <c r="C3586" s="0" t="inlineStr">
        <is>
          <t xml:space="preserve">broad_maritime</t>
        </is>
      </c>
      <c r="D3586" s="4">
        <v>0.154479</v>
      </c>
      <c r="E3586" s="0" t="inlineStr">
        <is>
          <t xml:space="preserve">NAG, LLC</t>
        </is>
      </c>
      <c r="F3586" s="0" t="inlineStr">
        <is>
          <t xml:space="preserve">psc:2090</t>
        </is>
      </c>
    </row>
    <row r="3587">
      <c r="B3587" s="0" t="inlineStr">
        <is>
          <t xml:space="preserve">N0040624P0282</t>
        </is>
      </c>
      <c r="C3587" s="0" t="inlineStr">
        <is>
          <t xml:space="preserve">broad_maritime</t>
        </is>
      </c>
      <c r="D3587" s="4">
        <v>0.154444</v>
      </c>
      <c r="E3587" s="0" t="inlineStr">
        <is>
          <t xml:space="preserve">SHANI WALLACE</t>
        </is>
      </c>
      <c r="F3587" s="0" t="inlineStr">
        <is>
          <t xml:space="preserve">psc:2090</t>
        </is>
      </c>
    </row>
    <row r="3588">
      <c r="B3588" s="0" t="inlineStr">
        <is>
          <t xml:space="preserve">N3220516P4401</t>
        </is>
      </c>
      <c r="C3588" s="0" t="inlineStr">
        <is>
          <t xml:space="preserve">small_craft</t>
        </is>
      </c>
      <c r="D3588" s="4">
        <v>0.15439999999999998</v>
      </c>
      <c r="E3588" s="0" t="inlineStr">
        <is>
          <t xml:space="preserve">J. W. MARINE EQUIPMENT, INC.</t>
        </is>
      </c>
      <c r="F3588" s="0" t="inlineStr">
        <is>
          <t xml:space="preserve">naics:336612; psc:2090</t>
        </is>
      </c>
    </row>
    <row r="3589">
      <c r="B3589" s="0" t="inlineStr">
        <is>
          <t xml:space="preserve">N6600119F0389</t>
        </is>
      </c>
      <c r="C3589" s="0" t="inlineStr">
        <is>
          <t xml:space="preserve">broad_maritime</t>
        </is>
      </c>
      <c r="D3589" s="4">
        <v>0.15409106</v>
      </c>
      <c r="E3589" s="0" t="inlineStr">
        <is>
          <t xml:space="preserve">KOAM ENGINEERING SYSTEMS, INC.</t>
        </is>
      </c>
      <c r="F3589" s="0" t="inlineStr">
        <is>
          <t xml:space="preserve">psc:1905</t>
        </is>
      </c>
    </row>
    <row r="3590">
      <c r="B3590" s="0" t="inlineStr">
        <is>
          <t xml:space="preserve">N3220518P4083</t>
        </is>
      </c>
      <c r="C3590" s="0" t="inlineStr">
        <is>
          <t xml:space="preserve">broad_maritime</t>
        </is>
      </c>
      <c r="D3590" s="4">
        <v>0.154082</v>
      </c>
      <c r="E3590" s="0" t="inlineStr">
        <is>
          <t xml:space="preserve">RENK CORP</t>
        </is>
      </c>
      <c r="F3590" s="0" t="inlineStr">
        <is>
          <t xml:space="preserve">psc:2090</t>
        </is>
      </c>
    </row>
    <row r="3591">
      <c r="B3591" s="0" t="inlineStr">
        <is>
          <t xml:space="preserve">N3220518P6104</t>
        </is>
      </c>
      <c r="C3591" s="0" t="inlineStr">
        <is>
          <t xml:space="preserve">broad_maritime</t>
        </is>
      </c>
      <c r="D3591" s="4">
        <v>0.15378656</v>
      </c>
      <c r="E3591" s="0" t="inlineStr">
        <is>
          <t xml:space="preserve">DEFENSE MARITIME SOLUTIONS, INC.</t>
        </is>
      </c>
      <c r="F3591" s="0" t="inlineStr">
        <is>
          <t xml:space="preserve">psc:2090</t>
        </is>
      </c>
    </row>
    <row r="3592">
      <c r="B3592" s="0" t="inlineStr">
        <is>
          <t xml:space="preserve">N3220520F1428</t>
        </is>
      </c>
      <c r="C3592" s="0" t="inlineStr">
        <is>
          <t xml:space="preserve">broad_maritime</t>
        </is>
      </c>
      <c r="D3592" s="4">
        <v>0.153576</v>
      </c>
      <c r="E3592" s="0" t="inlineStr">
        <is>
          <t xml:space="preserve">MAZZELLA LIFTING TECHNOLOGIES, INC.</t>
        </is>
      </c>
      <c r="F3592" s="0" t="inlineStr">
        <is>
          <t xml:space="preserve">psc:2090</t>
        </is>
      </c>
    </row>
    <row r="3593">
      <c r="B3593" s="0" t="inlineStr">
        <is>
          <t xml:space="preserve">N0024422F0352</t>
        </is>
      </c>
      <c r="C3593" s="0" t="inlineStr">
        <is>
          <t xml:space="preserve">broad_maritime</t>
        </is>
      </c>
      <c r="D3593" s="4">
        <v>0.15342999999999998</v>
      </c>
      <c r="E3593" s="0" t="inlineStr">
        <is>
          <t xml:space="preserve">MARINE &amp; RESTAURANT FABRICATORS, INC.</t>
        </is>
      </c>
      <c r="F3593" s="0" t="inlineStr">
        <is>
          <t xml:space="preserve">psc:2090</t>
        </is>
      </c>
    </row>
    <row r="3594">
      <c r="B3594" s="0" t="inlineStr">
        <is>
          <t xml:space="preserve">N3220520P2023</t>
        </is>
      </c>
      <c r="C3594" s="0" t="inlineStr">
        <is>
          <t xml:space="preserve">broad_maritime</t>
        </is>
      </c>
      <c r="D3594" s="4">
        <v>0.153148</v>
      </c>
      <c r="E3594" s="0" t="inlineStr">
        <is>
          <t xml:space="preserve">CURTISS-WRIGHT ELECTRO-MECHANICAL CORP</t>
        </is>
      </c>
      <c r="F3594" s="0" t="inlineStr">
        <is>
          <t xml:space="preserve">psc:2090</t>
        </is>
      </c>
    </row>
    <row r="3595">
      <c r="B3595" s="0" t="inlineStr">
        <is>
          <t xml:space="preserve">N3220525P5103</t>
        </is>
      </c>
      <c r="C3595" s="0" t="inlineStr">
        <is>
          <t xml:space="preserve">broad_maritime</t>
        </is>
      </c>
      <c r="D3595" s="4">
        <v>0.15305</v>
      </c>
      <c r="E3595" s="0" t="inlineStr">
        <is>
          <t xml:space="preserve">VANE BROTHERS MARINE SAFETY &amp; SERVICES, INC</t>
        </is>
      </c>
      <c r="F3595" s="0" t="inlineStr">
        <is>
          <t xml:space="preserve">psc:2090</t>
        </is>
      </c>
    </row>
    <row r="3596">
      <c r="B3596" s="0" t="inlineStr">
        <is>
          <t xml:space="preserve">N3220524P2005</t>
        </is>
      </c>
      <c r="C3596" s="0" t="inlineStr">
        <is>
          <t xml:space="preserve">broad_maritime</t>
        </is>
      </c>
      <c r="D3596" s="4">
        <v>0.15300999999999998</v>
      </c>
      <c r="E3596" s="0" t="inlineStr">
        <is>
          <t xml:space="preserve">CENTRAL RADIO COMPANY, INC.</t>
        </is>
      </c>
      <c r="F3596" s="0" t="inlineStr">
        <is>
          <t xml:space="preserve">psc:2090</t>
        </is>
      </c>
    </row>
    <row r="3597">
      <c r="B3597" s="0" t="inlineStr">
        <is>
          <t xml:space="preserve">N3220524P2033</t>
        </is>
      </c>
      <c r="C3597" s="0" t="inlineStr">
        <is>
          <t xml:space="preserve">broad_maritime</t>
        </is>
      </c>
      <c r="D3597" s="4">
        <v>0.152648</v>
      </c>
      <c r="E3597" s="0" t="inlineStr">
        <is>
          <t xml:space="preserve">AMERICAN VULKAN CORPORATION</t>
        </is>
      </c>
      <c r="F3597" s="0" t="inlineStr">
        <is>
          <t xml:space="preserve">psc:2090</t>
        </is>
      </c>
    </row>
    <row r="3598">
      <c r="B3598" s="0" t="inlineStr">
        <is>
          <t xml:space="preserve">N6279325P0013</t>
        </is>
      </c>
      <c r="C3598" s="0" t="inlineStr">
        <is>
          <t xml:space="preserve">broad_maritime</t>
        </is>
      </c>
      <c r="D3598" s="4">
        <v>0.15253098</v>
      </c>
      <c r="E3598" s="0" t="inlineStr">
        <is>
          <t xml:space="preserve">LOCKERS MANUFACTURING LLC</t>
        </is>
      </c>
      <c r="F3598" s="0" t="inlineStr">
        <is>
          <t xml:space="preserve">psc:2090</t>
        </is>
      </c>
    </row>
    <row r="3599">
      <c r="B3599" s="0" t="inlineStr">
        <is>
          <t xml:space="preserve">N5005421P0160</t>
        </is>
      </c>
      <c r="C3599" s="0" t="inlineStr">
        <is>
          <t xml:space="preserve">broad_maritime</t>
        </is>
      </c>
      <c r="D3599" s="4">
        <v>0.15239999999999998</v>
      </c>
      <c r="E3599" s="0" t="inlineStr">
        <is>
          <t xml:space="preserve">ACME PRODUCTS &amp; ENGINEERING INC</t>
        </is>
      </c>
      <c r="F3599" s="0" t="inlineStr">
        <is>
          <t xml:space="preserve">psc:1905</t>
        </is>
      </c>
    </row>
    <row r="3600">
      <c r="B3600" s="0" t="inlineStr">
        <is>
          <t xml:space="preserve">N3220519F6718</t>
        </is>
      </c>
      <c r="C3600" s="0" t="inlineStr">
        <is>
          <t xml:space="preserve">other_small</t>
        </is>
      </c>
      <c r="D3600" s="4">
        <v>0.15224272</v>
      </c>
      <c r="E3600" s="0" t="inlineStr">
        <is>
          <t xml:space="preserve">LAKE SHORE SYSTEMS, INC.</t>
        </is>
      </c>
      <c r="F3600" s="0" t="inlineStr">
        <is>
          <t xml:space="preserve">psc:1990</t>
        </is>
      </c>
    </row>
    <row r="3601">
      <c r="B3601" s="0" t="inlineStr">
        <is>
          <t xml:space="preserve">N0024418F0639</t>
        </is>
      </c>
      <c r="C3601" s="0" t="inlineStr">
        <is>
          <t xml:space="preserve">broad_maritime</t>
        </is>
      </c>
      <c r="D3601" s="4">
        <v>0.151705</v>
      </c>
      <c r="E3601" s="0" t="inlineStr">
        <is>
          <t xml:space="preserve">MARINE &amp; RESTAURANT FABRICATORS, INC.</t>
        </is>
      </c>
      <c r="F3601" s="0" t="inlineStr">
        <is>
          <t xml:space="preserve">psc:2090</t>
        </is>
      </c>
    </row>
    <row r="3602">
      <c r="B3602" s="0" t="inlineStr">
        <is>
          <t xml:space="preserve">0068</t>
        </is>
      </c>
      <c r="C3602" s="0" t="inlineStr">
        <is>
          <t xml:space="preserve">broad_maritime</t>
        </is>
      </c>
      <c r="D3602" s="4">
        <v>0.15159910999999998</v>
      </c>
      <c r="E3602" s="0" t="inlineStr">
        <is>
          <t xml:space="preserve">ROCKWELL AUTOMATION INC</t>
        </is>
      </c>
      <c r="F3602" s="0" t="inlineStr">
        <is>
          <t xml:space="preserve">psc:2090</t>
        </is>
      </c>
    </row>
    <row r="3603">
      <c r="B3603" s="0" t="inlineStr">
        <is>
          <t xml:space="preserve">N0003921F2130</t>
        </is>
      </c>
      <c r="C3603" s="0" t="inlineStr">
        <is>
          <t xml:space="preserve">small_craft</t>
        </is>
      </c>
      <c r="D3603" s="4">
        <v>0.15148999999999999</v>
      </c>
      <c r="E3603" s="0" t="inlineStr">
        <is>
          <t xml:space="preserve">HII UNMANNED SYSTEMS, INC</t>
        </is>
      </c>
      <c r="F3603" s="0" t="inlineStr">
        <is>
          <t xml:space="preserve">psc:1940</t>
        </is>
      </c>
    </row>
    <row r="3604">
      <c r="B3604" s="0" t="inlineStr">
        <is>
          <t xml:space="preserve">N3220521P2122</t>
        </is>
      </c>
      <c r="C3604" s="0" t="inlineStr">
        <is>
          <t xml:space="preserve">broad_maritime</t>
        </is>
      </c>
      <c r="D3604" s="4">
        <v>0.15137948</v>
      </c>
      <c r="E3604" s="0" t="inlineStr">
        <is>
          <t xml:space="preserve">DEFENSE MARITIME SOLUTIONS, INC.</t>
        </is>
      </c>
      <c r="F3604" s="0" t="inlineStr">
        <is>
          <t xml:space="preserve">psc:2090</t>
        </is>
      </c>
    </row>
    <row r="3605">
      <c r="B3605" s="0" t="inlineStr">
        <is>
          <t xml:space="preserve">N5005424P0217</t>
        </is>
      </c>
      <c r="C3605" s="0" t="inlineStr">
        <is>
          <t xml:space="preserve">small_craft</t>
        </is>
      </c>
      <c r="D3605" s="4">
        <v>0.15133</v>
      </c>
      <c r="E3605" s="0" t="inlineStr">
        <is>
          <t xml:space="preserve">WING INFLATABLES, INC.</t>
        </is>
      </c>
      <c r="F3605" s="0" t="inlineStr">
        <is>
          <t xml:space="preserve">psc:1940</t>
        </is>
      </c>
    </row>
    <row r="3606">
      <c r="B3606" s="0" t="inlineStr">
        <is>
          <t xml:space="preserve">N3220517P4156</t>
        </is>
      </c>
      <c r="C3606" s="0" t="inlineStr">
        <is>
          <t xml:space="preserve">other_small</t>
        </is>
      </c>
      <c r="D3606" s="4">
        <v>0.15089634</v>
      </c>
      <c r="E3606" s="0" t="inlineStr">
        <is>
          <t xml:space="preserve">KYODO SHIPPING &amp; TRADING CORP USA</t>
        </is>
      </c>
      <c r="F3606" s="0" t="inlineStr">
        <is>
          <t xml:space="preserve">psc:1990</t>
        </is>
      </c>
    </row>
    <row r="3607">
      <c r="B3607" s="0" t="inlineStr">
        <is>
          <t xml:space="preserve">N6883623P0236</t>
        </is>
      </c>
      <c r="C3607" s="0" t="inlineStr">
        <is>
          <t xml:space="preserve">broad_maritime</t>
        </is>
      </c>
      <c r="D3607" s="4">
        <v>0.15087899999999999</v>
      </c>
      <c r="E3607" s="0" t="inlineStr">
        <is>
          <t xml:space="preserve">DEFENSE MARITIME SOLUTIONS, INC.</t>
        </is>
      </c>
      <c r="F3607" s="0" t="inlineStr">
        <is>
          <t xml:space="preserve">psc:1905</t>
        </is>
      </c>
    </row>
    <row r="3608">
      <c r="B3608" s="0" t="inlineStr">
        <is>
          <t xml:space="preserve">N0024421F0445</t>
        </is>
      </c>
      <c r="C3608" s="0" t="inlineStr">
        <is>
          <t xml:space="preserve">broad_maritime</t>
        </is>
      </c>
      <c r="D3608" s="4">
        <v>0.150844</v>
      </c>
      <c r="E3608" s="0" t="inlineStr">
        <is>
          <t xml:space="preserve">PACIFIC MARITIME INDUSTRIES CORP.</t>
        </is>
      </c>
      <c r="F3608" s="0" t="inlineStr">
        <is>
          <t xml:space="preserve">psc:2090</t>
        </is>
      </c>
    </row>
    <row r="3609">
      <c r="B3609" s="0" t="inlineStr">
        <is>
          <t xml:space="preserve">N0040624P0855</t>
        </is>
      </c>
      <c r="C3609" s="0" t="inlineStr">
        <is>
          <t xml:space="preserve">broad_maritime</t>
        </is>
      </c>
      <c r="D3609" s="4">
        <v>0.150751</v>
      </c>
      <c r="E3609" s="0" t="inlineStr">
        <is>
          <t xml:space="preserve">SIMS PUMP VALVE CO, INC</t>
        </is>
      </c>
      <c r="F3609" s="0" t="inlineStr">
        <is>
          <t xml:space="preserve">psc:2090</t>
        </is>
      </c>
    </row>
    <row r="3610">
      <c r="B3610" s="0" t="inlineStr">
        <is>
          <t xml:space="preserve">N0010422PDB88</t>
        </is>
      </c>
      <c r="C3610" s="0" t="inlineStr">
        <is>
          <t xml:space="preserve">small_craft</t>
        </is>
      </c>
      <c r="D3610" s="4">
        <v>0.150565</v>
      </c>
      <c r="E3610" s="0" t="inlineStr">
        <is>
          <t xml:space="preserve">JUNIPER ELBOW CO. INC.</t>
        </is>
      </c>
      <c r="F3610" s="0" t="inlineStr">
        <is>
          <t xml:space="preserve">naics:336612</t>
        </is>
      </c>
    </row>
    <row r="3611">
      <c r="B3611" s="0" t="inlineStr">
        <is>
          <t xml:space="preserve">N0040623F0233</t>
        </is>
      </c>
      <c r="C3611" s="0" t="inlineStr">
        <is>
          <t xml:space="preserve">broad_maritime</t>
        </is>
      </c>
      <c r="D3611" s="4">
        <v>0.15013036</v>
      </c>
      <c r="E3611" s="0" t="inlineStr">
        <is>
          <t xml:space="preserve">GE ENERGY POWER CONVERSION USA INC.</t>
        </is>
      </c>
      <c r="F3611" s="0" t="inlineStr">
        <is>
          <t xml:space="preserve">psc:2090</t>
        </is>
      </c>
    </row>
    <row r="3612">
      <c r="B3612" s="0" t="inlineStr">
        <is>
          <t xml:space="preserve">N0002421F22G2</t>
        </is>
      </c>
      <c r="C3612" s="0" t="inlineStr">
        <is>
          <t xml:space="preserve">small_craft</t>
        </is>
      </c>
      <c r="D3612" s="4">
        <v>0.15009673</v>
      </c>
      <c r="E3612" s="0" t="inlineStr">
        <is>
          <t xml:space="preserve">METALCRAFT MARINE US, INC.</t>
        </is>
      </c>
      <c r="F3612" s="0" t="inlineStr">
        <is>
          <t xml:space="preserve">naics:336612; psc:1940</t>
        </is>
      </c>
    </row>
    <row r="3613">
      <c r="B3613" s="0" t="inlineStr">
        <is>
          <t xml:space="preserve">N0010422PLD87</t>
        </is>
      </c>
      <c r="C3613" s="0" t="inlineStr">
        <is>
          <t xml:space="preserve">small_craft</t>
        </is>
      </c>
      <c r="D3613" s="4">
        <v>0.15</v>
      </c>
      <c r="E3613" s="0" t="inlineStr">
        <is>
          <t xml:space="preserve">LOCKHEED MARTIN CORPORATION</t>
        </is>
      </c>
      <c r="F3613" s="0" t="inlineStr">
        <is>
          <t xml:space="preserve">naics:336612</t>
        </is>
      </c>
    </row>
    <row r="3614">
      <c r="B3614" s="0" t="inlineStr">
        <is>
          <t xml:space="preserve">N0002423C2214</t>
        </is>
      </c>
      <c r="C3614" s="0" t="inlineStr">
        <is>
          <t xml:space="preserve">small_craft</t>
        </is>
      </c>
      <c r="D3614" s="4">
        <v>0.15</v>
      </c>
      <c r="E3614" s="0" t="inlineStr">
        <is>
          <t xml:space="preserve">ZODIAC OF NORTH AMERICA, INC.</t>
        </is>
      </c>
      <c r="F3614" s="0" t="inlineStr">
        <is>
          <t xml:space="preserve">naics:336612; psc:1940</t>
        </is>
      </c>
    </row>
    <row r="3615">
      <c r="B3615" s="0" t="inlineStr">
        <is>
          <t xml:space="preserve">N3220515P3545</t>
        </is>
      </c>
      <c r="C3615" s="0" t="inlineStr">
        <is>
          <t xml:space="preserve">broad_maritime</t>
        </is>
      </c>
      <c r="D3615" s="4">
        <v>0.14999201</v>
      </c>
      <c r="E3615" s="0" t="inlineStr">
        <is>
          <t xml:space="preserve">TTS INC.</t>
        </is>
      </c>
      <c r="F3615" s="0" t="inlineStr">
        <is>
          <t xml:space="preserve">psc:2090</t>
        </is>
      </c>
    </row>
    <row r="3616">
      <c r="B3616" s="0" t="inlineStr">
        <is>
          <t xml:space="preserve">N3220515P3475</t>
        </is>
      </c>
      <c r="C3616" s="0" t="inlineStr">
        <is>
          <t xml:space="preserve">broad_maritime</t>
        </is>
      </c>
      <c r="D3616" s="4">
        <v>0.14999179</v>
      </c>
      <c r="E3616" s="0" t="inlineStr">
        <is>
          <t xml:space="preserve">MOTOR-SERVICES HUGO STAMP, INC</t>
        </is>
      </c>
      <c r="F3616" s="0" t="inlineStr">
        <is>
          <t xml:space="preserve">psc:2090</t>
        </is>
      </c>
    </row>
    <row r="3617">
      <c r="B3617" s="0" t="inlineStr">
        <is>
          <t xml:space="preserve">N3220516P4703</t>
        </is>
      </c>
      <c r="C3617" s="0" t="inlineStr">
        <is>
          <t xml:space="preserve">broad_maritime</t>
        </is>
      </c>
      <c r="D3617" s="4">
        <v>0.14994</v>
      </c>
      <c r="E3617" s="0" t="inlineStr">
        <is>
          <t xml:space="preserve">GLOBAL INCORPORATED</t>
        </is>
      </c>
      <c r="F3617" s="0" t="inlineStr">
        <is>
          <t xml:space="preserve">psc:2090</t>
        </is>
      </c>
    </row>
    <row r="3618">
      <c r="B3618" s="0" t="inlineStr">
        <is>
          <t xml:space="preserve">N3220517F7000</t>
        </is>
      </c>
      <c r="C3618" s="0" t="inlineStr">
        <is>
          <t xml:space="preserve">broad_maritime</t>
        </is>
      </c>
      <c r="D3618" s="4">
        <v>0.14991</v>
      </c>
      <c r="E3618" s="0" t="inlineStr">
        <is>
          <t xml:space="preserve">SEA BOX, INC.</t>
        </is>
      </c>
      <c r="F3618" s="0" t="inlineStr">
        <is>
          <t xml:space="preserve">psc:2090</t>
        </is>
      </c>
    </row>
    <row r="3619">
      <c r="B3619" s="0" t="inlineStr">
        <is>
          <t xml:space="preserve">N6449818P5143</t>
        </is>
      </c>
      <c r="C3619" s="0" t="inlineStr">
        <is>
          <t xml:space="preserve">broad_maritime</t>
        </is>
      </c>
      <c r="D3619" s="4">
        <v>0.14987799999999998</v>
      </c>
      <c r="E3619" s="0" t="inlineStr">
        <is>
          <t xml:space="preserve">ADMARTEC, INC</t>
        </is>
      </c>
      <c r="F3619" s="0" t="inlineStr">
        <is>
          <t xml:space="preserve">psc:2090</t>
        </is>
      </c>
    </row>
    <row r="3620">
      <c r="B3620" s="0" t="inlineStr">
        <is>
          <t xml:space="preserve">N6449816P5236</t>
        </is>
      </c>
      <c r="C3620" s="0" t="inlineStr">
        <is>
          <t xml:space="preserve">broad_maritime</t>
        </is>
      </c>
      <c r="D3620" s="4">
        <v>0.14981999999999998</v>
      </c>
      <c r="E3620" s="0" t="inlineStr">
        <is>
          <t xml:space="preserve">ADMARTEC, INC</t>
        </is>
      </c>
      <c r="F3620" s="0" t="inlineStr">
        <is>
          <t xml:space="preserve">psc:2090</t>
        </is>
      </c>
    </row>
    <row r="3621">
      <c r="B3621" s="0" t="inlineStr">
        <is>
          <t xml:space="preserve">N4044317P0155</t>
        </is>
      </c>
      <c r="C3621" s="0" t="inlineStr">
        <is>
          <t xml:space="preserve">broad_maritime</t>
        </is>
      </c>
      <c r="D3621" s="4">
        <v>0.14981624999999998</v>
      </c>
      <c r="E3621" s="0" t="inlineStr">
        <is>
          <t xml:space="preserve">TRIMAN INDUSTRIES INC</t>
        </is>
      </c>
      <c r="F3621" s="0" t="inlineStr">
        <is>
          <t xml:space="preserve">psc:2090</t>
        </is>
      </c>
    </row>
    <row r="3622">
      <c r="B3622" s="0" t="inlineStr">
        <is>
          <t xml:space="preserve">0102</t>
        </is>
      </c>
      <c r="C3622" s="0" t="inlineStr">
        <is>
          <t xml:space="preserve">broad_maritime</t>
        </is>
      </c>
      <c r="D3622" s="4">
        <v>0.14977356</v>
      </c>
      <c r="E3622" s="0" t="inlineStr">
        <is>
          <t xml:space="preserve">ROCKWELL AUTOMATION INC</t>
        </is>
      </c>
      <c r="F3622" s="0" t="inlineStr">
        <is>
          <t xml:space="preserve">psc:2090</t>
        </is>
      </c>
    </row>
    <row r="3623">
      <c r="B3623" s="0" t="inlineStr">
        <is>
          <t xml:space="preserve">N5005419P1016</t>
        </is>
      </c>
      <c r="C3623" s="0" t="inlineStr">
        <is>
          <t xml:space="preserve">broad_maritime</t>
        </is>
      </c>
      <c r="D3623" s="4">
        <v>0.14976525</v>
      </c>
      <c r="E3623" s="0" t="inlineStr">
        <is>
          <t xml:space="preserve">CALEY OCEAN SYSTEMS LIMITED</t>
        </is>
      </c>
      <c r="F3623" s="0" t="inlineStr">
        <is>
          <t xml:space="preserve">psc:2090</t>
        </is>
      </c>
    </row>
    <row r="3624">
      <c r="B3624" s="0" t="inlineStr">
        <is>
          <t xml:space="preserve">N3220515P3659</t>
        </is>
      </c>
      <c r="C3624" s="0" t="inlineStr">
        <is>
          <t xml:space="preserve">broad_maritime</t>
        </is>
      </c>
      <c r="D3624" s="4">
        <v>0.14966289000000002</v>
      </c>
      <c r="E3624" s="0" t="inlineStr">
        <is>
          <t xml:space="preserve">HYDRO TEC INC</t>
        </is>
      </c>
      <c r="F3624" s="0" t="inlineStr">
        <is>
          <t xml:space="preserve">psc:2090</t>
        </is>
      </c>
    </row>
    <row r="3625">
      <c r="B3625" s="0" t="inlineStr">
        <is>
          <t xml:space="preserve">N0010422CJA13</t>
        </is>
      </c>
      <c r="C3625" s="0" t="inlineStr">
        <is>
          <t xml:space="preserve">small_craft</t>
        </is>
      </c>
      <c r="D3625" s="4">
        <v>0.14965662</v>
      </c>
      <c r="E3625" s="0" t="inlineStr">
        <is>
          <t xml:space="preserve">ECI DEFENSE GROUP, INC.</t>
        </is>
      </c>
      <c r="F3625" s="0" t="inlineStr">
        <is>
          <t xml:space="preserve">naics:336612</t>
        </is>
      </c>
    </row>
    <row r="3626">
      <c r="B3626" s="0" t="inlineStr">
        <is>
          <t xml:space="preserve">N0010423PEF59</t>
        </is>
      </c>
      <c r="C3626" s="0" t="inlineStr">
        <is>
          <t xml:space="preserve">broad_maritime</t>
        </is>
      </c>
      <c r="D3626" s="4">
        <v>0.14962499999999998</v>
      </c>
      <c r="E3626" s="0" t="inlineStr">
        <is>
          <t xml:space="preserve">TURNBULL LLC</t>
        </is>
      </c>
      <c r="F3626" s="0" t="inlineStr">
        <is>
          <t xml:space="preserve">psc:2090</t>
        </is>
      </c>
    </row>
    <row r="3627">
      <c r="B3627" s="0" t="inlineStr">
        <is>
          <t xml:space="preserve">N4044616P0010</t>
        </is>
      </c>
      <c r="C3627" s="0" t="inlineStr">
        <is>
          <t xml:space="preserve">broad_maritime</t>
        </is>
      </c>
      <c r="D3627" s="4">
        <v>0.14945126</v>
      </c>
      <c r="E3627" s="0" t="inlineStr">
        <is>
          <t xml:space="preserve">COLTEC INDUSTRIES INC.</t>
        </is>
      </c>
      <c r="F3627" s="0" t="inlineStr">
        <is>
          <t xml:space="preserve">psc:2090</t>
        </is>
      </c>
    </row>
    <row r="3628">
      <c r="B3628" s="0" t="inlineStr">
        <is>
          <t xml:space="preserve">N6883625PS015</t>
        </is>
      </c>
      <c r="C3628" s="0" t="inlineStr">
        <is>
          <t xml:space="preserve">broad_maritime</t>
        </is>
      </c>
      <c r="D3628" s="4">
        <v>0.149427</v>
      </c>
      <c r="E3628" s="0" t="inlineStr">
        <is>
          <t xml:space="preserve">CORNELL-CARR CO., INC.</t>
        </is>
      </c>
      <c r="F3628" s="0" t="inlineStr">
        <is>
          <t xml:space="preserve">psc:2090</t>
        </is>
      </c>
    </row>
    <row r="3629">
      <c r="B3629" s="0" t="inlineStr">
        <is>
          <t xml:space="preserve">N3220515P1227</t>
        </is>
      </c>
      <c r="C3629" s="0" t="inlineStr">
        <is>
          <t xml:space="preserve">broad_maritime</t>
        </is>
      </c>
      <c r="D3629" s="4">
        <v>0.14933121</v>
      </c>
      <c r="E3629" s="0" t="inlineStr">
        <is>
          <t xml:space="preserve">COLTEC INDUSTRIES INC.</t>
        </is>
      </c>
      <c r="F3629" s="0" t="inlineStr">
        <is>
          <t xml:space="preserve">psc:2090</t>
        </is>
      </c>
    </row>
    <row r="3630">
      <c r="B3630" s="0" t="inlineStr">
        <is>
          <t xml:space="preserve">N4940013PB016</t>
        </is>
      </c>
      <c r="C3630" s="0" t="inlineStr">
        <is>
          <t xml:space="preserve">small_craft</t>
        </is>
      </c>
      <c r="D3630" s="4">
        <v>0.14921332</v>
      </c>
      <c r="E3630" s="0" t="inlineStr">
        <is>
          <t xml:space="preserve">AJM KOOHEJI GROUP BSC CLOSED</t>
        </is>
      </c>
      <c r="F3630" s="0" t="inlineStr">
        <is>
          <t xml:space="preserve">naics:336612</t>
        </is>
      </c>
    </row>
    <row r="3631">
      <c r="B3631" s="0" t="inlineStr">
        <is>
          <t xml:space="preserve">N5523619P0076</t>
        </is>
      </c>
      <c r="C3631" s="0" t="inlineStr">
        <is>
          <t xml:space="preserve">broad_maritime</t>
        </is>
      </c>
      <c r="D3631" s="4">
        <v>0.14916095999999998</v>
      </c>
      <c r="E3631" s="0" t="inlineStr">
        <is>
          <t xml:space="preserve">CALEY OCEAN SYSTEMS LIMITED</t>
        </is>
      </c>
      <c r="F3631" s="0" t="inlineStr">
        <is>
          <t xml:space="preserve">psc:2090</t>
        </is>
      </c>
    </row>
    <row r="3632">
      <c r="B3632" s="0" t="inlineStr">
        <is>
          <t xml:space="preserve">N6449818F4077</t>
        </is>
      </c>
      <c r="C3632" s="0" t="inlineStr">
        <is>
          <t xml:space="preserve">broad_maritime</t>
        </is>
      </c>
      <c r="D3632" s="4">
        <v>0.14912799999999998</v>
      </c>
      <c r="E3632" s="0" t="inlineStr">
        <is>
          <t xml:space="preserve">LAUREL TECHNOLOGIES PARTNERSHIP</t>
        </is>
      </c>
      <c r="F3632" s="0" t="inlineStr">
        <is>
          <t xml:space="preserve">psc:2090</t>
        </is>
      </c>
    </row>
    <row r="3633">
      <c r="B3633" s="0" t="inlineStr">
        <is>
          <t xml:space="preserve">N6449817FLB01</t>
        </is>
      </c>
      <c r="C3633" s="0" t="inlineStr">
        <is>
          <t xml:space="preserve">broad_maritime</t>
        </is>
      </c>
      <c r="D3633" s="4">
        <v>0.148995</v>
      </c>
      <c r="E3633" s="0" t="inlineStr">
        <is>
          <t xml:space="preserve">LAUREL TECHNOLOGIES PARTNERSHIP</t>
        </is>
      </c>
      <c r="F3633" s="0" t="inlineStr">
        <is>
          <t xml:space="preserve">psc:2090</t>
        </is>
      </c>
    </row>
    <row r="3634">
      <c r="B3634" s="0" t="inlineStr">
        <is>
          <t xml:space="preserve">N6449822P5361</t>
        </is>
      </c>
      <c r="C3634" s="0" t="inlineStr">
        <is>
          <t xml:space="preserve">broad_maritime</t>
        </is>
      </c>
      <c r="D3634" s="4">
        <v>0.148925</v>
      </c>
      <c r="E3634" s="0" t="inlineStr">
        <is>
          <t xml:space="preserve">ADMARTEC, INC</t>
        </is>
      </c>
      <c r="F3634" s="0" t="inlineStr">
        <is>
          <t xml:space="preserve">psc:2090</t>
        </is>
      </c>
    </row>
    <row r="3635">
      <c r="B3635" s="0" t="inlineStr">
        <is>
          <t xml:space="preserve">0050</t>
        </is>
      </c>
      <c r="C3635" s="0" t="inlineStr">
        <is>
          <t xml:space="preserve">broad_maritime</t>
        </is>
      </c>
      <c r="D3635" s="4">
        <v>0.14889835999999998</v>
      </c>
      <c r="E3635" s="0" t="inlineStr">
        <is>
          <t xml:space="preserve">ROCKWELL AUTOMATION INC</t>
        </is>
      </c>
      <c r="F3635" s="0" t="inlineStr">
        <is>
          <t xml:space="preserve">psc:2090</t>
        </is>
      </c>
    </row>
    <row r="3636">
      <c r="B3636" s="0" t="inlineStr">
        <is>
          <t xml:space="preserve">N3220519P6168</t>
        </is>
      </c>
      <c r="C3636" s="0" t="inlineStr">
        <is>
          <t xml:space="preserve">broad_maritime</t>
        </is>
      </c>
      <c r="D3636" s="4">
        <v>0.14875929999999998</v>
      </c>
      <c r="E3636" s="0" t="inlineStr">
        <is>
          <t xml:space="preserve">PHEX LLC</t>
        </is>
      </c>
      <c r="F3636" s="0" t="inlineStr">
        <is>
          <t xml:space="preserve">psc:2090</t>
        </is>
      </c>
    </row>
    <row r="3637">
      <c r="B3637" s="0" t="inlineStr">
        <is>
          <t xml:space="preserve">M6785415P1045</t>
        </is>
      </c>
      <c r="C3637" s="0" t="inlineStr">
        <is>
          <t xml:space="preserve">small_craft</t>
        </is>
      </c>
      <c r="D3637" s="4">
        <v>0.148728</v>
      </c>
      <c r="E3637" s="0" t="inlineStr">
        <is>
          <t xml:space="preserve">STIDD SYSTEMS, INC.</t>
        </is>
      </c>
      <c r="F3637" s="0" t="inlineStr">
        <is>
          <t xml:space="preserve">naics:336612; psc:1990</t>
        </is>
      </c>
    </row>
    <row r="3638">
      <c r="B3638" s="0" t="inlineStr">
        <is>
          <t xml:space="preserve">N6893616F0132</t>
        </is>
      </c>
      <c r="C3638" s="0" t="inlineStr">
        <is>
          <t xml:space="preserve">broad_maritime</t>
        </is>
      </c>
      <c r="D3638" s="4">
        <v>0.1487095</v>
      </c>
      <c r="E3638" s="0" t="inlineStr">
        <is>
          <t xml:space="preserve">THE MOLDING COMPANY, INC.</t>
        </is>
      </c>
      <c r="F3638" s="0" t="inlineStr">
        <is>
          <t xml:space="preserve">psc:2090</t>
        </is>
      </c>
    </row>
    <row r="3639">
      <c r="B3639" s="0" t="inlineStr">
        <is>
          <t xml:space="preserve">M6261320P0030</t>
        </is>
      </c>
      <c r="C3639" s="0" t="inlineStr">
        <is>
          <t xml:space="preserve">broad_maritime</t>
        </is>
      </c>
      <c r="D3639" s="4">
        <v>0.148672</v>
      </c>
      <c r="E3639" s="0" t="inlineStr">
        <is>
          <t xml:space="preserve">QUALITY PACIFIC MANUFACTURING INC.</t>
        </is>
      </c>
      <c r="F3639" s="0" t="inlineStr">
        <is>
          <t xml:space="preserve">psc:2090</t>
        </is>
      </c>
    </row>
    <row r="3640">
      <c r="B3640" s="0" t="inlineStr">
        <is>
          <t xml:space="preserve">N0010422PDB03</t>
        </is>
      </c>
      <c r="C3640" s="0" t="inlineStr">
        <is>
          <t xml:space="preserve">small_craft</t>
        </is>
      </c>
      <c r="D3640" s="4">
        <v>0.14845</v>
      </c>
      <c r="E3640" s="0" t="inlineStr">
        <is>
          <t xml:space="preserve">JUNIPER ELBOW CO. INC.</t>
        </is>
      </c>
      <c r="F3640" s="0" t="inlineStr">
        <is>
          <t xml:space="preserve">naics:336612</t>
        </is>
      </c>
    </row>
    <row r="3641">
      <c r="B3641" s="0" t="inlineStr">
        <is>
          <t xml:space="preserve">N3220518P6022</t>
        </is>
      </c>
      <c r="C3641" s="0" t="inlineStr">
        <is>
          <t xml:space="preserve">broad_maritime</t>
        </is>
      </c>
      <c r="D3641" s="4">
        <v>0.148422</v>
      </c>
      <c r="E3641" s="0" t="inlineStr">
        <is>
          <t xml:space="preserve">MARINE PROPULSION INC</t>
        </is>
      </c>
      <c r="F3641" s="0" t="inlineStr">
        <is>
          <t xml:space="preserve">psc:2090</t>
        </is>
      </c>
    </row>
    <row r="3642">
      <c r="B3642" s="0" t="inlineStr">
        <is>
          <t xml:space="preserve">N3220517P4213</t>
        </is>
      </c>
      <c r="C3642" s="0" t="inlineStr">
        <is>
          <t xml:space="preserve">broad_maritime</t>
        </is>
      </c>
      <c r="D3642" s="4">
        <v>0.14833325</v>
      </c>
      <c r="E3642" s="0" t="inlineStr">
        <is>
          <t xml:space="preserve">DEFENSE MARITIME SOLUTIONS, INC.</t>
        </is>
      </c>
      <c r="F3642" s="0" t="inlineStr">
        <is>
          <t xml:space="preserve">psc:2090</t>
        </is>
      </c>
    </row>
    <row r="3643">
      <c r="B3643" s="0" t="inlineStr">
        <is>
          <t xml:space="preserve">N0024420P0050</t>
        </is>
      </c>
      <c r="C3643" s="0" t="inlineStr">
        <is>
          <t xml:space="preserve">broad_maritime</t>
        </is>
      </c>
      <c r="D3643" s="4">
        <v>0.14821026999999998</v>
      </c>
      <c r="E3643" s="0" t="inlineStr">
        <is>
          <t xml:space="preserve">PEMCO-NAVAL ENGINEERING WORKS INC</t>
        </is>
      </c>
      <c r="F3643" s="0" t="inlineStr">
        <is>
          <t xml:space="preserve">psc:2090</t>
        </is>
      </c>
    </row>
    <row r="3644">
      <c r="B3644" s="0" t="inlineStr">
        <is>
          <t xml:space="preserve">N0010418PBC91</t>
        </is>
      </c>
      <c r="C3644" s="0" t="inlineStr">
        <is>
          <t xml:space="preserve">broad_maritime</t>
        </is>
      </c>
      <c r="D3644" s="4">
        <v>0.14805</v>
      </c>
      <c r="E3644" s="0" t="inlineStr">
        <is>
          <t xml:space="preserve">TURNBULL LLC</t>
        </is>
      </c>
      <c r="F3644" s="0" t="inlineStr">
        <is>
          <t xml:space="preserve">psc:2090</t>
        </is>
      </c>
    </row>
    <row r="3645">
      <c r="B3645" s="0" t="inlineStr">
        <is>
          <t xml:space="preserve">N3220517P4159</t>
        </is>
      </c>
      <c r="C3645" s="0" t="inlineStr">
        <is>
          <t xml:space="preserve">broad_maritime</t>
        </is>
      </c>
      <c r="D3645" s="4">
        <v>0.14801699999999998</v>
      </c>
      <c r="E3645" s="0" t="inlineStr">
        <is>
          <t xml:space="preserve">REAGENT WORLD, INC.</t>
        </is>
      </c>
      <c r="F3645" s="0" t="inlineStr">
        <is>
          <t xml:space="preserve">psc:2090</t>
        </is>
      </c>
    </row>
    <row r="3646">
      <c r="B3646" s="0" t="inlineStr">
        <is>
          <t xml:space="preserve">N0018925P0467</t>
        </is>
      </c>
      <c r="C3646" s="0" t="inlineStr">
        <is>
          <t xml:space="preserve">broad_maritime</t>
        </is>
      </c>
      <c r="D3646" s="4">
        <v>0.14792761999999998</v>
      </c>
      <c r="E3646" s="0" t="inlineStr">
        <is>
          <t xml:space="preserve">ATLANTIC DIVING SUPPLY, INC.</t>
        </is>
      </c>
      <c r="F3646" s="0" t="inlineStr">
        <is>
          <t xml:space="preserve">psc:2090</t>
        </is>
      </c>
    </row>
    <row r="3647">
      <c r="B3647" s="0" t="inlineStr">
        <is>
          <t xml:space="preserve">N5005425P0275</t>
        </is>
      </c>
      <c r="C3647" s="0" t="inlineStr">
        <is>
          <t xml:space="preserve">broad_maritime</t>
        </is>
      </c>
      <c r="D3647" s="4">
        <v>0.147927</v>
      </c>
      <c r="E3647" s="0" t="inlineStr">
        <is>
          <t xml:space="preserve">CORNELL-CARR CO., INC.</t>
        </is>
      </c>
      <c r="F3647" s="0" t="inlineStr">
        <is>
          <t xml:space="preserve">psc:2090</t>
        </is>
      </c>
    </row>
    <row r="3648">
      <c r="B3648" s="0" t="inlineStr">
        <is>
          <t xml:space="preserve">N6449817P5014</t>
        </is>
      </c>
      <c r="C3648" s="0" t="inlineStr">
        <is>
          <t xml:space="preserve">broad_maritime</t>
        </is>
      </c>
      <c r="D3648" s="4">
        <v>0.14792608999999998</v>
      </c>
      <c r="E3648" s="0" t="inlineStr">
        <is>
          <t xml:space="preserve">D. L. MARTIN CO.</t>
        </is>
      </c>
      <c r="F3648" s="0" t="inlineStr">
        <is>
          <t xml:space="preserve">psc:2090</t>
        </is>
      </c>
    </row>
    <row r="3649">
      <c r="B3649" s="0" t="inlineStr">
        <is>
          <t xml:space="preserve">N3220518P1129</t>
        </is>
      </c>
      <c r="C3649" s="0" t="inlineStr">
        <is>
          <t xml:space="preserve">broad_maritime</t>
        </is>
      </c>
      <c r="D3649" s="4">
        <v>0.14776124</v>
      </c>
      <c r="E3649" s="0" t="inlineStr">
        <is>
          <t xml:space="preserve">SIRIUS FEDERAL LLC</t>
        </is>
      </c>
      <c r="F3649" s="0" t="inlineStr">
        <is>
          <t xml:space="preserve">psc:2090</t>
        </is>
      </c>
    </row>
    <row r="3650">
      <c r="B3650" s="0" t="inlineStr">
        <is>
          <t xml:space="preserve">N3220518P4705</t>
        </is>
      </c>
      <c r="C3650" s="0" t="inlineStr">
        <is>
          <t xml:space="preserve">broad_maritime</t>
        </is>
      </c>
      <c r="D3650" s="4">
        <v>0.147756</v>
      </c>
      <c r="E3650" s="0" t="inlineStr">
        <is>
          <t xml:space="preserve">NAG, LLC</t>
        </is>
      </c>
      <c r="F3650" s="0" t="inlineStr">
        <is>
          <t xml:space="preserve">psc:2090</t>
        </is>
      </c>
    </row>
    <row r="3651">
      <c r="B3651" s="0" t="inlineStr">
        <is>
          <t xml:space="preserve">N0002423F4144</t>
        </is>
      </c>
      <c r="C3651" s="0" t="inlineStr">
        <is>
          <t xml:space="preserve">broad_maritime</t>
        </is>
      </c>
      <c r="D3651" s="4">
        <v>0.14771794</v>
      </c>
      <c r="E3651" s="0" t="inlineStr">
        <is>
          <t xml:space="preserve">HEXAGON US FEDERAL, INC</t>
        </is>
      </c>
      <c r="F3651" s="0" t="inlineStr">
        <is>
          <t xml:space="preserve">psc:2090</t>
        </is>
      </c>
    </row>
    <row r="3652">
      <c r="B3652" s="0" t="inlineStr">
        <is>
          <t xml:space="preserve">N5523622P0112</t>
        </is>
      </c>
      <c r="C3652" s="0" t="inlineStr">
        <is>
          <t xml:space="preserve">broad_maritime</t>
        </is>
      </c>
      <c r="D3652" s="4">
        <v>0.147678</v>
      </c>
      <c r="E3652" s="0" t="inlineStr">
        <is>
          <t xml:space="preserve">HYSPAN PRECISION PRODUCTS, INC.</t>
        </is>
      </c>
      <c r="F3652" s="0" t="inlineStr">
        <is>
          <t xml:space="preserve">psc:2090</t>
        </is>
      </c>
    </row>
    <row r="3653">
      <c r="B3653" s="0" t="inlineStr">
        <is>
          <t xml:space="preserve">N5523622P0052</t>
        </is>
      </c>
      <c r="C3653" s="0" t="inlineStr">
        <is>
          <t xml:space="preserve">broad_maritime</t>
        </is>
      </c>
      <c r="D3653" s="4">
        <v>0.14758749999999998</v>
      </c>
      <c r="E3653" s="0" t="inlineStr">
        <is>
          <t xml:space="preserve">SUPERIOR-LIDGERWOOD-MUNDY CORP</t>
        </is>
      </c>
      <c r="F3653" s="0" t="inlineStr">
        <is>
          <t xml:space="preserve">psc:2090</t>
        </is>
      </c>
    </row>
    <row r="3654">
      <c r="B3654" s="0" t="inlineStr">
        <is>
          <t xml:space="preserve">0002</t>
        </is>
      </c>
      <c r="C3654" s="0" t="inlineStr">
        <is>
          <t xml:space="preserve">broad_maritime</t>
        </is>
      </c>
      <c r="D3654" s="4">
        <v>0.14754879999999998</v>
      </c>
      <c r="E3654" s="0" t="inlineStr">
        <is>
          <t xml:space="preserve">PIPING SYSTEMS INTERNATIONAL INC</t>
        </is>
      </c>
      <c r="F3654" s="0" t="inlineStr">
        <is>
          <t xml:space="preserve">psc:2090</t>
        </is>
      </c>
    </row>
    <row r="3655">
      <c r="B3655" s="0" t="inlineStr">
        <is>
          <t xml:space="preserve">N4044617P0121</t>
        </is>
      </c>
      <c r="C3655" s="0" t="inlineStr">
        <is>
          <t xml:space="preserve">broad_maritime</t>
        </is>
      </c>
      <c r="D3655" s="4">
        <v>0.147286</v>
      </c>
      <c r="E3655" s="0" t="inlineStr">
        <is>
          <t xml:space="preserve">AMERICAN VULKAN CORPORATION</t>
        </is>
      </c>
      <c r="F3655" s="0" t="inlineStr">
        <is>
          <t xml:space="preserve">psc:2090</t>
        </is>
      </c>
    </row>
    <row r="3656">
      <c r="B3656" s="0" t="inlineStr">
        <is>
          <t xml:space="preserve">N3220521F1094</t>
        </is>
      </c>
      <c r="C3656" s="0" t="inlineStr">
        <is>
          <t xml:space="preserve">broad_maritime</t>
        </is>
      </c>
      <c r="D3656" s="4">
        <v>0.14721909</v>
      </c>
      <c r="E3656" s="0" t="inlineStr">
        <is>
          <t xml:space="preserve">ROLLS-ROYCE SOLUTIONS AMERICA INC</t>
        </is>
      </c>
      <c r="F3656" s="0" t="inlineStr">
        <is>
          <t xml:space="preserve">psc:2090</t>
        </is>
      </c>
    </row>
    <row r="3657">
      <c r="B3657" s="0" t="inlineStr">
        <is>
          <t xml:space="preserve">N3220516P7795</t>
        </is>
      </c>
      <c r="C3657" s="0" t="inlineStr">
        <is>
          <t xml:space="preserve">broad_maritime</t>
        </is>
      </c>
      <c r="D3657" s="4">
        <v>0.14715862</v>
      </c>
      <c r="E3657" s="0" t="inlineStr">
        <is>
          <t xml:space="preserve">DEFENSE MARITIME SOLUTIONS, INC.</t>
        </is>
      </c>
      <c r="F3657" s="0" t="inlineStr">
        <is>
          <t xml:space="preserve">psc:2090</t>
        </is>
      </c>
    </row>
    <row r="3658">
      <c r="B3658" s="0" t="inlineStr">
        <is>
          <t xml:space="preserve">N3220515P3718</t>
        </is>
      </c>
      <c r="C3658" s="0" t="inlineStr">
        <is>
          <t xml:space="preserve">broad_maritime</t>
        </is>
      </c>
      <c r="D3658" s="4">
        <v>0.147041</v>
      </c>
      <c r="E3658" s="0" t="inlineStr">
        <is>
          <t xml:space="preserve">HOSE-MCCANN TELEPHONE CO, INC</t>
        </is>
      </c>
      <c r="F3658" s="0" t="inlineStr">
        <is>
          <t xml:space="preserve">psc:2090</t>
        </is>
      </c>
    </row>
    <row r="3659">
      <c r="B3659" s="0" t="inlineStr">
        <is>
          <t xml:space="preserve">0001</t>
        </is>
      </c>
      <c r="C3659" s="0" t="inlineStr">
        <is>
          <t xml:space="preserve">broad_maritime</t>
        </is>
      </c>
      <c r="D3659" s="4">
        <v>0.14700417000000002</v>
      </c>
      <c r="E3659" s="0" t="inlineStr">
        <is>
          <t xml:space="preserve">PIPING SYSTEMS INTERNATIONAL INC</t>
        </is>
      </c>
      <c r="F3659" s="0" t="inlineStr">
        <is>
          <t xml:space="preserve">psc:2090</t>
        </is>
      </c>
    </row>
    <row r="3660">
      <c r="B3660" s="0" t="inlineStr">
        <is>
          <t xml:space="preserve">N3220518P4501</t>
        </is>
      </c>
      <c r="C3660" s="0" t="inlineStr">
        <is>
          <t xml:space="preserve">broad_maritime</t>
        </is>
      </c>
      <c r="D3660" s="4">
        <v>0.147</v>
      </c>
      <c r="E3660" s="0" t="inlineStr">
        <is>
          <t xml:space="preserve">MARINE EQUIPMENT AND ENGINEERING SOLUTIONS LLC</t>
        </is>
      </c>
      <c r="F3660" s="0" t="inlineStr">
        <is>
          <t xml:space="preserve">psc:2090</t>
        </is>
      </c>
    </row>
    <row r="3661">
      <c r="B3661" s="0" t="inlineStr">
        <is>
          <t xml:space="preserve">N3220525P2049</t>
        </is>
      </c>
      <c r="C3661" s="0" t="inlineStr">
        <is>
          <t xml:space="preserve">broad_maritime</t>
        </is>
      </c>
      <c r="D3661" s="4">
        <v>0.146919</v>
      </c>
      <c r="E3661" s="0" t="inlineStr">
        <is>
          <t xml:space="preserve">SEA BOX INC</t>
        </is>
      </c>
      <c r="F3661" s="0" t="inlineStr">
        <is>
          <t xml:space="preserve">psc:2090</t>
        </is>
      </c>
    </row>
    <row r="3662">
      <c r="B3662" s="0" t="inlineStr">
        <is>
          <t xml:space="preserve">N3220520P0170</t>
        </is>
      </c>
      <c r="C3662" s="0" t="inlineStr">
        <is>
          <t xml:space="preserve">broad_maritime</t>
        </is>
      </c>
      <c r="D3662" s="4">
        <v>0.146821</v>
      </c>
      <c r="E3662" s="0" t="inlineStr">
        <is>
          <t xml:space="preserve">EATON CORPORATION</t>
        </is>
      </c>
      <c r="F3662" s="0" t="inlineStr">
        <is>
          <t xml:space="preserve">psc:2090</t>
        </is>
      </c>
    </row>
    <row r="3663">
      <c r="B3663" s="0" t="inlineStr">
        <is>
          <t xml:space="preserve">N0024415P0458</t>
        </is>
      </c>
      <c r="C3663" s="0" t="inlineStr">
        <is>
          <t xml:space="preserve">broad_maritime</t>
        </is>
      </c>
      <c r="D3663" s="4">
        <v>0.14679</v>
      </c>
      <c r="E3663" s="0" t="inlineStr">
        <is>
          <t xml:space="preserve">ADVANTEC MANUFACTURING USA, INC.</t>
        </is>
      </c>
      <c r="F3663" s="0" t="inlineStr">
        <is>
          <t xml:space="preserve">psc:2090</t>
        </is>
      </c>
    </row>
    <row r="3664">
      <c r="B3664" s="0" t="inlineStr">
        <is>
          <t xml:space="preserve">N3220523P0005</t>
        </is>
      </c>
      <c r="C3664" s="0" t="inlineStr">
        <is>
          <t xml:space="preserve">broad_maritime</t>
        </is>
      </c>
      <c r="D3664" s="4">
        <v>0.14671</v>
      </c>
      <c r="E3664" s="0" t="inlineStr">
        <is>
          <t xml:space="preserve">VESTDAVIT, INC.</t>
        </is>
      </c>
      <c r="F3664" s="0" t="inlineStr">
        <is>
          <t xml:space="preserve">psc:2090</t>
        </is>
      </c>
    </row>
    <row r="3665">
      <c r="B3665" s="0" t="inlineStr">
        <is>
          <t xml:space="preserve">N6817124P0008</t>
        </is>
      </c>
      <c r="C3665" s="0" t="inlineStr">
        <is>
          <t xml:space="preserve">broad_maritime</t>
        </is>
      </c>
      <c r="D3665" s="4">
        <v>0.146652</v>
      </c>
      <c r="E3665" s="0" t="inlineStr">
        <is>
          <t xml:space="preserve">INTEGRATED PROCUREMENT TECHNOLOGIES</t>
        </is>
      </c>
      <c r="F3665" s="0" t="inlineStr">
        <is>
          <t xml:space="preserve">psc:2090</t>
        </is>
      </c>
    </row>
    <row r="3666">
      <c r="B3666" s="0" t="inlineStr">
        <is>
          <t xml:space="preserve">N6824624P0080</t>
        </is>
      </c>
      <c r="C3666" s="0" t="inlineStr">
        <is>
          <t xml:space="preserve">broad_maritime</t>
        </is>
      </c>
      <c r="D3666" s="4">
        <v>0.14659016</v>
      </c>
      <c r="E3666" s="0" t="inlineStr">
        <is>
          <t xml:space="preserve">OKINAWA MARINE SERVICE CO.,LTD.</t>
        </is>
      </c>
      <c r="F3666" s="0" t="inlineStr">
        <is>
          <t xml:space="preserve">psc:2090</t>
        </is>
      </c>
    </row>
    <row r="3667">
      <c r="B3667" s="0" t="inlineStr">
        <is>
          <t xml:space="preserve">N0025320P0093</t>
        </is>
      </c>
      <c r="C3667" s="0" t="inlineStr">
        <is>
          <t xml:space="preserve">broad_maritime</t>
        </is>
      </c>
      <c r="D3667" s="4">
        <v>0.14650832</v>
      </c>
      <c r="E3667" s="0" t="inlineStr">
        <is>
          <t xml:space="preserve">ABW TECHNOLOGIES, INC.</t>
        </is>
      </c>
      <c r="F3667" s="0" t="inlineStr">
        <is>
          <t xml:space="preserve">psc:2090</t>
        </is>
      </c>
    </row>
    <row r="3668">
      <c r="B3668" s="0" t="inlineStr">
        <is>
          <t xml:space="preserve">N0010421PEJ32</t>
        </is>
      </c>
      <c r="C3668" s="0" t="inlineStr">
        <is>
          <t xml:space="preserve">small_craft</t>
        </is>
      </c>
      <c r="D3668" s="4">
        <v>0.14649362</v>
      </c>
      <c r="E3668" s="0" t="inlineStr">
        <is>
          <t xml:space="preserve">HAN-BOONE INTERNATIONAL, INC.</t>
        </is>
      </c>
      <c r="F3668" s="0" t="inlineStr">
        <is>
          <t xml:space="preserve">naics:336612</t>
        </is>
      </c>
    </row>
    <row r="3669">
      <c r="B3669" s="0" t="inlineStr">
        <is>
          <t xml:space="preserve">N0010415PBS54</t>
        </is>
      </c>
      <c r="C3669" s="0" t="inlineStr">
        <is>
          <t xml:space="preserve">broad_maritime</t>
        </is>
      </c>
      <c r="D3669" s="4">
        <v>0.1464</v>
      </c>
      <c r="E3669" s="0" t="inlineStr">
        <is>
          <t xml:space="preserve">TURNBULL LLC</t>
        </is>
      </c>
      <c r="F3669" s="0" t="inlineStr">
        <is>
          <t xml:space="preserve">psc:2090</t>
        </is>
      </c>
    </row>
    <row r="3670">
      <c r="B3670" s="0" t="inlineStr">
        <is>
          <t xml:space="preserve">N6833515C0407</t>
        </is>
      </c>
      <c r="C3670" s="0" t="inlineStr">
        <is>
          <t xml:space="preserve">small_craft</t>
        </is>
      </c>
      <c r="D3670" s="4">
        <v>0.146384</v>
      </c>
      <c r="E3670" s="0" t="inlineStr">
        <is>
          <t xml:space="preserve">AIR CRUISERS COMPANY, LLC</t>
        </is>
      </c>
      <c r="F3670" s="0" t="inlineStr">
        <is>
          <t xml:space="preserve">naics:336612</t>
        </is>
      </c>
    </row>
    <row r="3671">
      <c r="B3671" s="0" t="inlineStr">
        <is>
          <t xml:space="preserve">N3220515P3845</t>
        </is>
      </c>
      <c r="C3671" s="0" t="inlineStr">
        <is>
          <t xml:space="preserve">broad_maritime</t>
        </is>
      </c>
      <c r="D3671" s="4">
        <v>0.14608</v>
      </c>
      <c r="E3671" s="0" t="inlineStr">
        <is>
          <t xml:space="preserve">MOTOR-SERVICES HUGO STAMP, INC</t>
        </is>
      </c>
      <c r="F3671" s="0" t="inlineStr">
        <is>
          <t xml:space="preserve">psc:2090</t>
        </is>
      </c>
    </row>
    <row r="3672">
      <c r="B3672" s="0" t="inlineStr">
        <is>
          <t xml:space="preserve">N3220517P2096</t>
        </is>
      </c>
      <c r="C3672" s="0" t="inlineStr">
        <is>
          <t xml:space="preserve">broad_maritime</t>
        </is>
      </c>
      <c r="D3672" s="4">
        <v>0.1460596</v>
      </c>
      <c r="E3672" s="0" t="inlineStr">
        <is>
          <t xml:space="preserve">FAIRLEAD INTEGRATED POWER AND CONTROLS, LLC</t>
        </is>
      </c>
      <c r="F3672" s="0" t="inlineStr">
        <is>
          <t xml:space="preserve">psc:2090</t>
        </is>
      </c>
    </row>
    <row r="3673">
      <c r="B3673" s="0" t="inlineStr">
        <is>
          <t xml:space="preserve">N6600117F0093</t>
        </is>
      </c>
      <c r="C3673" s="0" t="inlineStr">
        <is>
          <t xml:space="preserve">broad_maritime</t>
        </is>
      </c>
      <c r="D3673" s="4">
        <v>0.145985</v>
      </c>
      <c r="E3673" s="0" t="inlineStr">
        <is>
          <t xml:space="preserve">EASTWOOD MACHINE, LLC</t>
        </is>
      </c>
      <c r="F3673" s="0" t="inlineStr">
        <is>
          <t xml:space="preserve">psc:2090</t>
        </is>
      </c>
    </row>
    <row r="3674">
      <c r="B3674" s="0" t="inlineStr">
        <is>
          <t xml:space="preserve">N3220516P7137</t>
        </is>
      </c>
      <c r="C3674" s="0" t="inlineStr">
        <is>
          <t xml:space="preserve">broad_maritime</t>
        </is>
      </c>
      <c r="D3674" s="4">
        <v>0.14591157999999999</v>
      </c>
      <c r="E3674" s="0" t="inlineStr">
        <is>
          <t xml:space="preserve">TTS INC.</t>
        </is>
      </c>
      <c r="F3674" s="0" t="inlineStr">
        <is>
          <t xml:space="preserve">psc:2090</t>
        </is>
      </c>
    </row>
    <row r="3675">
      <c r="B3675" s="0" t="inlineStr">
        <is>
          <t xml:space="preserve">N3220518P4175</t>
        </is>
      </c>
      <c r="C3675" s="0" t="inlineStr">
        <is>
          <t xml:space="preserve">broad_maritime</t>
        </is>
      </c>
      <c r="D3675" s="4">
        <v>0.14586</v>
      </c>
      <c r="E3675" s="0" t="inlineStr">
        <is>
          <t xml:space="preserve">ROCKWELL COLLINS, INC.</t>
        </is>
      </c>
      <c r="F3675" s="0" t="inlineStr">
        <is>
          <t xml:space="preserve">psc:2090</t>
        </is>
      </c>
    </row>
    <row r="3676">
      <c r="B3676" s="0" t="inlineStr">
        <is>
          <t xml:space="preserve">0170</t>
        </is>
      </c>
      <c r="C3676" s="0" t="inlineStr">
        <is>
          <t xml:space="preserve">broad_maritime</t>
        </is>
      </c>
      <c r="D3676" s="4">
        <v>0.14578</v>
      </c>
      <c r="E3676" s="0" t="inlineStr">
        <is>
          <t xml:space="preserve">PACIFIC MARITIME INDUSTRIES CORP.</t>
        </is>
      </c>
      <c r="F3676" s="0" t="inlineStr">
        <is>
          <t xml:space="preserve">psc:2090</t>
        </is>
      </c>
    </row>
    <row r="3677">
      <c r="B3677" s="0" t="inlineStr">
        <is>
          <t xml:space="preserve">N3220519F7207</t>
        </is>
      </c>
      <c r="C3677" s="0" t="inlineStr">
        <is>
          <t xml:space="preserve">broad_maritime</t>
        </is>
      </c>
      <c r="D3677" s="4">
        <v>0.14575</v>
      </c>
      <c r="E3677" s="0" t="inlineStr">
        <is>
          <t xml:space="preserve">AOS SERVICES INC</t>
        </is>
      </c>
      <c r="F3677" s="0" t="inlineStr">
        <is>
          <t xml:space="preserve">psc:2090</t>
        </is>
      </c>
    </row>
    <row r="3678">
      <c r="B3678" s="0" t="inlineStr">
        <is>
          <t xml:space="preserve">N4044316P0011</t>
        </is>
      </c>
      <c r="C3678" s="0" t="inlineStr">
        <is>
          <t xml:space="preserve">broad_maritime</t>
        </is>
      </c>
      <c r="D3678" s="4">
        <v>0.14560458999999998</v>
      </c>
      <c r="E3678" s="0" t="inlineStr">
        <is>
          <t xml:space="preserve">VALVE AUTOMATION AND CONTROL OF SAN DIEGO</t>
        </is>
      </c>
      <c r="F3678" s="0" t="inlineStr">
        <is>
          <t xml:space="preserve">psc:2090</t>
        </is>
      </c>
    </row>
    <row r="3679">
      <c r="B3679" s="0" t="inlineStr">
        <is>
          <t xml:space="preserve">N3220520P4152</t>
        </is>
      </c>
      <c r="C3679" s="0" t="inlineStr">
        <is>
          <t xml:space="preserve">broad_maritime</t>
        </is>
      </c>
      <c r="D3679" s="4">
        <v>0.14557</v>
      </c>
      <c r="E3679" s="0" t="inlineStr">
        <is>
          <t xml:space="preserve">RENK CORP</t>
        </is>
      </c>
      <c r="F3679" s="0" t="inlineStr">
        <is>
          <t xml:space="preserve">psc:2090</t>
        </is>
      </c>
    </row>
    <row r="3680">
      <c r="B3680" s="0" t="inlineStr">
        <is>
          <t xml:space="preserve">N3220520C2256</t>
        </is>
      </c>
      <c r="C3680" s="0" t="inlineStr">
        <is>
          <t xml:space="preserve">broad_maritime</t>
        </is>
      </c>
      <c r="D3680" s="4">
        <v>0.14557</v>
      </c>
      <c r="E3680" s="0" t="inlineStr">
        <is>
          <t xml:space="preserve">RENK CORP</t>
        </is>
      </c>
      <c r="F3680" s="0" t="inlineStr">
        <is>
          <t xml:space="preserve">psc:2090</t>
        </is>
      </c>
    </row>
    <row r="3681">
      <c r="B3681" s="0" t="inlineStr">
        <is>
          <t xml:space="preserve">N3220516P7278</t>
        </is>
      </c>
      <c r="C3681" s="0" t="inlineStr">
        <is>
          <t xml:space="preserve">broad_maritime</t>
        </is>
      </c>
      <c r="D3681" s="4">
        <v>0.1455535</v>
      </c>
      <c r="E3681" s="0" t="inlineStr">
        <is>
          <t xml:space="preserve">VALVE AUTOMATION AND CONTROL OF SAN DIEGO</t>
        </is>
      </c>
      <c r="F3681" s="0" t="inlineStr">
        <is>
          <t xml:space="preserve">psc:2090</t>
        </is>
      </c>
    </row>
    <row r="3682">
      <c r="B3682" s="0" t="inlineStr">
        <is>
          <t xml:space="preserve">N3220521F2261</t>
        </is>
      </c>
      <c r="C3682" s="0" t="inlineStr">
        <is>
          <t xml:space="preserve">broad_maritime</t>
        </is>
      </c>
      <c r="D3682" s="4">
        <v>0.14532</v>
      </c>
      <c r="E3682" s="0" t="inlineStr">
        <is>
          <t xml:space="preserve">MAZZELLA LIFTING TECHNOLOGIES, INC.</t>
        </is>
      </c>
      <c r="F3682" s="0" t="inlineStr">
        <is>
          <t xml:space="preserve">psc:2090</t>
        </is>
      </c>
    </row>
    <row r="3683">
      <c r="B3683" s="0" t="inlineStr">
        <is>
          <t xml:space="preserve">N5005420P0291</t>
        </is>
      </c>
      <c r="C3683" s="0" t="inlineStr">
        <is>
          <t xml:space="preserve">broad_maritime</t>
        </is>
      </c>
      <c r="D3683" s="4">
        <v>0.1451769</v>
      </c>
      <c r="E3683" s="0" t="inlineStr">
        <is>
          <t xml:space="preserve">SUMMIT MARINE SERVICES LLC</t>
        </is>
      </c>
      <c r="F3683" s="0" t="inlineStr">
        <is>
          <t xml:space="preserve">psc:2090</t>
        </is>
      </c>
    </row>
    <row r="3684">
      <c r="B3684" s="0" t="inlineStr">
        <is>
          <t xml:space="preserve">N3220520P4517</t>
        </is>
      </c>
      <c r="C3684" s="0" t="inlineStr">
        <is>
          <t xml:space="preserve">broad_maritime</t>
        </is>
      </c>
      <c r="D3684" s="4">
        <v>0.145125</v>
      </c>
      <c r="E3684" s="0" t="inlineStr">
        <is>
          <t xml:space="preserve">RENK CORP</t>
        </is>
      </c>
      <c r="F3684" s="0" t="inlineStr">
        <is>
          <t xml:space="preserve">psc:2090</t>
        </is>
      </c>
    </row>
    <row r="3685">
      <c r="B3685" s="0" t="inlineStr">
        <is>
          <t xml:space="preserve">N3220519P6149</t>
        </is>
      </c>
      <c r="C3685" s="0" t="inlineStr">
        <is>
          <t xml:space="preserve">broad_maritime</t>
        </is>
      </c>
      <c r="D3685" s="4">
        <v>0.145125</v>
      </c>
      <c r="E3685" s="0" t="inlineStr">
        <is>
          <t xml:space="preserve">RENK CORP</t>
        </is>
      </c>
      <c r="F3685" s="0" t="inlineStr">
        <is>
          <t xml:space="preserve">psc:2090</t>
        </is>
      </c>
    </row>
    <row r="3686">
      <c r="B3686" s="0" t="inlineStr">
        <is>
          <t xml:space="preserve">N0040624P0639</t>
        </is>
      </c>
      <c r="C3686" s="0" t="inlineStr">
        <is>
          <t xml:space="preserve">broad_maritime</t>
        </is>
      </c>
      <c r="D3686" s="4">
        <v>0.145125</v>
      </c>
      <c r="E3686" s="0" t="inlineStr">
        <is>
          <t xml:space="preserve">METALTEK INTERNATIONAL, INC.</t>
        </is>
      </c>
      <c r="F3686" s="0" t="inlineStr">
        <is>
          <t xml:space="preserve">psc:2090</t>
        </is>
      </c>
    </row>
    <row r="3687">
      <c r="B3687" s="0" t="inlineStr">
        <is>
          <t xml:space="preserve">N0040624P0619</t>
        </is>
      </c>
      <c r="C3687" s="0" t="inlineStr">
        <is>
          <t xml:space="preserve">broad_maritime</t>
        </is>
      </c>
      <c r="D3687" s="4">
        <v>0.145125</v>
      </c>
      <c r="E3687" s="0" t="inlineStr">
        <is>
          <t xml:space="preserve">METALTEK INTERNATIONAL, INC.</t>
        </is>
      </c>
      <c r="F3687" s="0" t="inlineStr">
        <is>
          <t xml:space="preserve">psc:2090</t>
        </is>
      </c>
    </row>
    <row r="3688">
      <c r="B3688" s="0" t="inlineStr">
        <is>
          <t xml:space="preserve">N3220516P4334</t>
        </is>
      </c>
      <c r="C3688" s="0" t="inlineStr">
        <is>
          <t xml:space="preserve">broad_maritime</t>
        </is>
      </c>
      <c r="D3688" s="4">
        <v>0.14498333</v>
      </c>
      <c r="E3688" s="0" t="inlineStr">
        <is>
          <t xml:space="preserve">DEFENSE MARITIME SOLUTIONS, INC.</t>
        </is>
      </c>
      <c r="F3688" s="0" t="inlineStr">
        <is>
          <t xml:space="preserve">psc:2090</t>
        </is>
      </c>
    </row>
    <row r="3689">
      <c r="B3689" s="0" t="inlineStr">
        <is>
          <t xml:space="preserve">N3220518P2052</t>
        </is>
      </c>
      <c r="C3689" s="0" t="inlineStr">
        <is>
          <t xml:space="preserve">broad_maritime</t>
        </is>
      </c>
      <c r="D3689" s="4">
        <v>0.14463407999999997</v>
      </c>
      <c r="E3689" s="0" t="inlineStr">
        <is>
          <t xml:space="preserve">EVERLLENCE USA INC.</t>
        </is>
      </c>
      <c r="F3689" s="0" t="inlineStr">
        <is>
          <t xml:space="preserve">psc:2090</t>
        </is>
      </c>
    </row>
    <row r="3690">
      <c r="B3690" s="0" t="inlineStr">
        <is>
          <t xml:space="preserve">N3220520P4121</t>
        </is>
      </c>
      <c r="C3690" s="0" t="inlineStr">
        <is>
          <t xml:space="preserve">broad_maritime</t>
        </is>
      </c>
      <c r="D3690" s="4">
        <v>0.14462999999999998</v>
      </c>
      <c r="E3690" s="0" t="inlineStr">
        <is>
          <t xml:space="preserve">WILSON WALTON INTERNATIONAL, INC.</t>
        </is>
      </c>
      <c r="F3690" s="0" t="inlineStr">
        <is>
          <t xml:space="preserve">psc:2090</t>
        </is>
      </c>
    </row>
    <row r="3691">
      <c r="B3691" s="0" t="inlineStr">
        <is>
          <t xml:space="preserve">N3220520F0871</t>
        </is>
      </c>
      <c r="C3691" s="0" t="inlineStr">
        <is>
          <t xml:space="preserve">broad_maritime</t>
        </is>
      </c>
      <c r="D3691" s="4">
        <v>0.144619</v>
      </c>
      <c r="E3691" s="0" t="inlineStr">
        <is>
          <t xml:space="preserve">CIRCOR NAVAL SOLUTIONS LLC</t>
        </is>
      </c>
      <c r="F3691" s="0" t="inlineStr">
        <is>
          <t xml:space="preserve">psc:2090</t>
        </is>
      </c>
    </row>
    <row r="3692">
      <c r="B3692" s="0" t="inlineStr">
        <is>
          <t xml:space="preserve">N3220518P6959</t>
        </is>
      </c>
      <c r="C3692" s="0" t="inlineStr">
        <is>
          <t xml:space="preserve">broad_maritime</t>
        </is>
      </c>
      <c r="D3692" s="4">
        <v>0.1445266</v>
      </c>
      <c r="E3692" s="0" t="inlineStr">
        <is>
          <t xml:space="preserve">FAIRBANKS MORSE, LLC</t>
        </is>
      </c>
      <c r="F3692" s="0" t="inlineStr">
        <is>
          <t xml:space="preserve">psc:2090</t>
        </is>
      </c>
    </row>
    <row r="3693">
      <c r="B3693" s="0" t="inlineStr">
        <is>
          <t xml:space="preserve">N0040622P0879</t>
        </is>
      </c>
      <c r="C3693" s="0" t="inlineStr">
        <is>
          <t xml:space="preserve">broad_maritime</t>
        </is>
      </c>
      <c r="D3693" s="4">
        <v>0.1444818</v>
      </c>
      <c r="E3693" s="0" t="inlineStr">
        <is>
          <t xml:space="preserve">FASSMER SERVICE AMERICA LLC</t>
        </is>
      </c>
      <c r="F3693" s="0" t="inlineStr">
        <is>
          <t xml:space="preserve">psc:2090</t>
        </is>
      </c>
    </row>
    <row r="3694">
      <c r="B3694" s="0" t="inlineStr">
        <is>
          <t xml:space="preserve">N0040623P0024</t>
        </is>
      </c>
      <c r="C3694" s="0" t="inlineStr">
        <is>
          <t xml:space="preserve">broad_maritime</t>
        </is>
      </c>
      <c r="D3694" s="4">
        <v>0.14440699999999998</v>
      </c>
      <c r="E3694" s="0" t="inlineStr">
        <is>
          <t xml:space="preserve">LEISTRITZ ADVANCED TECHNOLOGIES CORP</t>
        </is>
      </c>
      <c r="F3694" s="0" t="inlineStr">
        <is>
          <t xml:space="preserve">psc:2090</t>
        </is>
      </c>
    </row>
    <row r="3695">
      <c r="B3695" s="0" t="inlineStr">
        <is>
          <t xml:space="preserve">N3220518P1011</t>
        </is>
      </c>
      <c r="C3695" s="0" t="inlineStr">
        <is>
          <t xml:space="preserve">broad_maritime</t>
        </is>
      </c>
      <c r="D3695" s="4">
        <v>0.14439449999999998</v>
      </c>
      <c r="E3695" s="0" t="inlineStr">
        <is>
          <t xml:space="preserve">M/V MARINE, INC.</t>
        </is>
      </c>
      <c r="F3695" s="0" t="inlineStr">
        <is>
          <t xml:space="preserve">psc:2090</t>
        </is>
      </c>
    </row>
    <row r="3696">
      <c r="B3696" s="0" t="inlineStr">
        <is>
          <t xml:space="preserve">N3220522P2203</t>
        </is>
      </c>
      <c r="C3696" s="0" t="inlineStr">
        <is>
          <t xml:space="preserve">broad_maritime</t>
        </is>
      </c>
      <c r="D3696" s="4">
        <v>0.1435</v>
      </c>
      <c r="E3696" s="0" t="inlineStr">
        <is>
          <t xml:space="preserve">WILSON WALTON INTERNATIONAL, INC.</t>
        </is>
      </c>
      <c r="F3696" s="0" t="inlineStr">
        <is>
          <t xml:space="preserve">psc:2090</t>
        </is>
      </c>
    </row>
    <row r="3697">
      <c r="B3697" s="0" t="inlineStr">
        <is>
          <t xml:space="preserve">N3220515P3884</t>
        </is>
      </c>
      <c r="C3697" s="0" t="inlineStr">
        <is>
          <t xml:space="preserve">broad_maritime</t>
        </is>
      </c>
      <c r="D3697" s="4">
        <v>0.14331308999999998</v>
      </c>
      <c r="E3697" s="0" t="inlineStr">
        <is>
          <t xml:space="preserve">COLTEC INDUSTRIES INC.</t>
        </is>
      </c>
      <c r="F3697" s="0" t="inlineStr">
        <is>
          <t xml:space="preserve">psc:2090</t>
        </is>
      </c>
    </row>
    <row r="3698">
      <c r="B3698" s="0" t="inlineStr">
        <is>
          <t xml:space="preserve">N0040624P0090</t>
        </is>
      </c>
      <c r="C3698" s="0" t="inlineStr">
        <is>
          <t xml:space="preserve">broad_maritime</t>
        </is>
      </c>
      <c r="D3698" s="4">
        <v>0.1432975</v>
      </c>
      <c r="E3698" s="0" t="inlineStr">
        <is>
          <t xml:space="preserve">SIEMENS ENERGY, INC.</t>
        </is>
      </c>
      <c r="F3698" s="0" t="inlineStr">
        <is>
          <t xml:space="preserve">psc:2090</t>
        </is>
      </c>
    </row>
    <row r="3699">
      <c r="B3699" s="0" t="inlineStr">
        <is>
          <t xml:space="preserve">N6449816P5128</t>
        </is>
      </c>
      <c r="C3699" s="0" t="inlineStr">
        <is>
          <t xml:space="preserve">broad_maritime</t>
        </is>
      </c>
      <c r="D3699" s="4">
        <v>0.14328245999999997</v>
      </c>
      <c r="E3699" s="0" t="inlineStr">
        <is>
          <t xml:space="preserve">NAG, LLC</t>
        </is>
      </c>
      <c r="F3699" s="0" t="inlineStr">
        <is>
          <t xml:space="preserve">psc:2090</t>
        </is>
      </c>
    </row>
    <row r="3700">
      <c r="B3700" s="0" t="inlineStr">
        <is>
          <t xml:space="preserve">N0024421F0204</t>
        </is>
      </c>
      <c r="C3700" s="0" t="inlineStr">
        <is>
          <t xml:space="preserve">broad_maritime</t>
        </is>
      </c>
      <c r="D3700" s="4">
        <v>0.143266</v>
      </c>
      <c r="E3700" s="0" t="inlineStr">
        <is>
          <t xml:space="preserve">JPL HABITABILITY, INC.</t>
        </is>
      </c>
      <c r="F3700" s="0" t="inlineStr">
        <is>
          <t xml:space="preserve">psc:2090</t>
        </is>
      </c>
    </row>
    <row r="3701">
      <c r="B3701" s="0" t="inlineStr">
        <is>
          <t xml:space="preserve">N0040622P0567</t>
        </is>
      </c>
      <c r="C3701" s="0" t="inlineStr">
        <is>
          <t xml:space="preserve">broad_maritime</t>
        </is>
      </c>
      <c r="D3701" s="4">
        <v>0.143198</v>
      </c>
      <c r="E3701" s="0" t="inlineStr">
        <is>
          <t xml:space="preserve">KLB ENTERPRISES CORP</t>
        </is>
      </c>
      <c r="F3701" s="0" t="inlineStr">
        <is>
          <t xml:space="preserve">psc:2090</t>
        </is>
      </c>
    </row>
    <row r="3702">
      <c r="B3702" s="0" t="inlineStr">
        <is>
          <t xml:space="preserve">N6893616F0379</t>
        </is>
      </c>
      <c r="C3702" s="0" t="inlineStr">
        <is>
          <t xml:space="preserve">broad_maritime</t>
        </is>
      </c>
      <c r="D3702" s="4">
        <v>0.1431095</v>
      </c>
      <c r="E3702" s="0" t="inlineStr">
        <is>
          <t xml:space="preserve">THE MOLDING COMPANY, INC.</t>
        </is>
      </c>
      <c r="F3702" s="0" t="inlineStr">
        <is>
          <t xml:space="preserve">psc:2090</t>
        </is>
      </c>
    </row>
    <row r="3703">
      <c r="B3703" s="0" t="inlineStr">
        <is>
          <t xml:space="preserve">0066</t>
        </is>
      </c>
      <c r="C3703" s="0" t="inlineStr">
        <is>
          <t xml:space="preserve">broad_maritime</t>
        </is>
      </c>
      <c r="D3703" s="4">
        <v>0.14305521999999998</v>
      </c>
      <c r="E3703" s="0" t="inlineStr">
        <is>
          <t xml:space="preserve">ROCKWELL AUTOMATION INC</t>
        </is>
      </c>
      <c r="F3703" s="0" t="inlineStr">
        <is>
          <t xml:space="preserve">psc:2090</t>
        </is>
      </c>
    </row>
    <row r="3704">
      <c r="B3704" s="0" t="inlineStr">
        <is>
          <t xml:space="preserve">N0010422PNA25</t>
        </is>
      </c>
      <c r="C3704" s="0" t="inlineStr">
        <is>
          <t xml:space="preserve">small_craft</t>
        </is>
      </c>
      <c r="D3704" s="4">
        <v>0.142945</v>
      </c>
      <c r="E3704" s="0" t="inlineStr">
        <is>
          <t xml:space="preserve">L3HARRIS TECHNOLOGIES, INC</t>
        </is>
      </c>
      <c r="F3704" s="0" t="inlineStr">
        <is>
          <t xml:space="preserve">naics:336612</t>
        </is>
      </c>
    </row>
    <row r="3705">
      <c r="B3705" s="0" t="inlineStr">
        <is>
          <t xml:space="preserve">0009</t>
        </is>
      </c>
      <c r="C3705" s="0" t="inlineStr">
        <is>
          <t xml:space="preserve">broad_maritime</t>
        </is>
      </c>
      <c r="D3705" s="4">
        <v>0.14276376</v>
      </c>
      <c r="E3705" s="0" t="inlineStr">
        <is>
          <t xml:space="preserve">LEIDOS, INC.</t>
        </is>
      </c>
      <c r="F3705" s="0" t="inlineStr">
        <is>
          <t xml:space="preserve">psc:2090</t>
        </is>
      </c>
    </row>
    <row r="3706">
      <c r="B3706" s="0" t="inlineStr">
        <is>
          <t xml:space="preserve">N3220516P4702</t>
        </is>
      </c>
      <c r="C3706" s="0" t="inlineStr">
        <is>
          <t xml:space="preserve">broad_maritime</t>
        </is>
      </c>
      <c r="D3706" s="4">
        <v>0.14272231</v>
      </c>
      <c r="E3706" s="0" t="inlineStr">
        <is>
          <t xml:space="preserve">COLTEC INDUSTRIES INC.</t>
        </is>
      </c>
      <c r="F3706" s="0" t="inlineStr">
        <is>
          <t xml:space="preserve">psc:2090</t>
        </is>
      </c>
    </row>
    <row r="3707">
      <c r="B3707" s="0" t="inlineStr">
        <is>
          <t xml:space="preserve">N3220515P3818</t>
        </is>
      </c>
      <c r="C3707" s="0" t="inlineStr">
        <is>
          <t xml:space="preserve">broad_maritime</t>
        </is>
      </c>
      <c r="D3707" s="4">
        <v>0.14272231</v>
      </c>
      <c r="E3707" s="0" t="inlineStr">
        <is>
          <t xml:space="preserve">COLTEC INDUSTRIES INC.</t>
        </is>
      </c>
      <c r="F3707" s="0" t="inlineStr">
        <is>
          <t xml:space="preserve">psc:2090</t>
        </is>
      </c>
    </row>
    <row r="3708">
      <c r="B3708" s="0" t="inlineStr">
        <is>
          <t xml:space="preserve">N0010423PFE46</t>
        </is>
      </c>
      <c r="C3708" s="0" t="inlineStr">
        <is>
          <t xml:space="preserve">small_craft</t>
        </is>
      </c>
      <c r="D3708" s="4">
        <v>0.142695</v>
      </c>
      <c r="E3708" s="0" t="inlineStr">
        <is>
          <t xml:space="preserve">METALLOY INDUSTRIES, INC.</t>
        </is>
      </c>
      <c r="F3708" s="0" t="inlineStr">
        <is>
          <t xml:space="preserve">naics:336612</t>
        </is>
      </c>
    </row>
    <row r="3709">
      <c r="B3709" s="0" t="inlineStr">
        <is>
          <t xml:space="preserve">N0003925F1037</t>
        </is>
      </c>
      <c r="C3709" s="0" t="inlineStr">
        <is>
          <t xml:space="preserve">small_craft</t>
        </is>
      </c>
      <c r="D3709" s="4">
        <v>0.14265114999999998</v>
      </c>
      <c r="E3709" s="0" t="inlineStr">
        <is>
          <t xml:space="preserve">TELEDYNE BROWN ENGINEERING, INC.</t>
        </is>
      </c>
      <c r="F3709" s="0" t="inlineStr">
        <is>
          <t xml:space="preserve">psc:1940</t>
        </is>
      </c>
    </row>
    <row r="3710">
      <c r="B3710" s="0" t="inlineStr">
        <is>
          <t xml:space="preserve">N3220514P1378</t>
        </is>
      </c>
      <c r="C3710" s="0" t="inlineStr">
        <is>
          <t xml:space="preserve">broad_maritime</t>
        </is>
      </c>
      <c r="D3710" s="4">
        <v>0.14251838</v>
      </c>
      <c r="E3710" s="0" t="inlineStr">
        <is>
          <t xml:space="preserve">COLTEC INDUSTRIES INC.</t>
        </is>
      </c>
      <c r="F3710" s="0" t="inlineStr">
        <is>
          <t xml:space="preserve">psc:2090</t>
        </is>
      </c>
    </row>
    <row r="3711">
      <c r="B3711" s="0" t="inlineStr">
        <is>
          <t xml:space="preserve">N0010421PCD16</t>
        </is>
      </c>
      <c r="C3711" s="0" t="inlineStr">
        <is>
          <t xml:space="preserve">small_craft</t>
        </is>
      </c>
      <c r="D3711" s="4">
        <v>0.14229164</v>
      </c>
      <c r="E3711" s="0" t="inlineStr">
        <is>
          <t xml:space="preserve">VALKYRIE ENTERPRISES, LLC</t>
        </is>
      </c>
      <c r="F3711" s="0" t="inlineStr">
        <is>
          <t xml:space="preserve">naics:336612</t>
        </is>
      </c>
    </row>
    <row r="3712">
      <c r="B3712" s="0" t="inlineStr">
        <is>
          <t xml:space="preserve">N5005423P0017</t>
        </is>
      </c>
      <c r="C3712" s="0" t="inlineStr">
        <is>
          <t xml:space="preserve">broad_maritime</t>
        </is>
      </c>
      <c r="D3712" s="4">
        <v>0.1422</v>
      </c>
      <c r="E3712" s="0" t="inlineStr">
        <is>
          <t xml:space="preserve">HYSPAN PRECISION PRODUCTS, INC.</t>
        </is>
      </c>
      <c r="F3712" s="0" t="inlineStr">
        <is>
          <t xml:space="preserve">psc:2090</t>
        </is>
      </c>
    </row>
    <row r="3713">
      <c r="B3713" s="0" t="inlineStr">
        <is>
          <t xml:space="preserve">N0024422F0346</t>
        </is>
      </c>
      <c r="C3713" s="0" t="inlineStr">
        <is>
          <t xml:space="preserve">broad_maritime</t>
        </is>
      </c>
      <c r="D3713" s="4">
        <v>0.14199</v>
      </c>
      <c r="E3713" s="0" t="inlineStr">
        <is>
          <t xml:space="preserve">MARINE &amp; RESTAURANT FABRICATORS, INC.</t>
        </is>
      </c>
      <c r="F3713" s="0" t="inlineStr">
        <is>
          <t xml:space="preserve">psc:2090</t>
        </is>
      </c>
    </row>
    <row r="3714">
      <c r="B3714" s="0" t="inlineStr">
        <is>
          <t xml:space="preserve">N3220520P2211</t>
        </is>
      </c>
      <c r="C3714" s="0" t="inlineStr">
        <is>
          <t xml:space="preserve">broad_maritime</t>
        </is>
      </c>
      <c r="D3714" s="4">
        <v>0.14195844</v>
      </c>
      <c r="E3714" s="0" t="inlineStr">
        <is>
          <t xml:space="preserve">DEFENSE MARITIME SOLUTIONS, INC.</t>
        </is>
      </c>
      <c r="F3714" s="0" t="inlineStr">
        <is>
          <t xml:space="preserve">psc:2090</t>
        </is>
      </c>
    </row>
    <row r="3715">
      <c r="B3715" s="0" t="inlineStr">
        <is>
          <t xml:space="preserve">N0024415P0598</t>
        </is>
      </c>
      <c r="C3715" s="0" t="inlineStr">
        <is>
          <t xml:space="preserve">broad_maritime</t>
        </is>
      </c>
      <c r="D3715" s="4">
        <v>0.14189</v>
      </c>
      <c r="E3715" s="0" t="inlineStr">
        <is>
          <t xml:space="preserve">ADVANTEC MANUFACTURING USA, INC.</t>
        </is>
      </c>
      <c r="F3715" s="0" t="inlineStr">
        <is>
          <t xml:space="preserve">psc:2090</t>
        </is>
      </c>
    </row>
    <row r="3716">
      <c r="B3716" s="0" t="inlineStr">
        <is>
          <t xml:space="preserve">N3220515P3880</t>
        </is>
      </c>
      <c r="C3716" s="0" t="inlineStr">
        <is>
          <t xml:space="preserve">broad_maritime</t>
        </is>
      </c>
      <c r="D3716" s="4">
        <v>0.141768</v>
      </c>
      <c r="E3716" s="0" t="inlineStr">
        <is>
          <t xml:space="preserve">SIERRA MONITOR CORPORATION</t>
        </is>
      </c>
      <c r="F3716" s="0" t="inlineStr">
        <is>
          <t xml:space="preserve">psc:2090</t>
        </is>
      </c>
    </row>
    <row r="3717">
      <c r="B3717" s="0" t="inlineStr">
        <is>
          <t xml:space="preserve">N3220522P2201</t>
        </is>
      </c>
      <c r="C3717" s="0" t="inlineStr">
        <is>
          <t xml:space="preserve">broad_maritime</t>
        </is>
      </c>
      <c r="D3717" s="4">
        <v>0.14172374</v>
      </c>
      <c r="E3717" s="0" t="inlineStr">
        <is>
          <t xml:space="preserve">ECI DEFENSE GROUP, INC.</t>
        </is>
      </c>
      <c r="F3717" s="0" t="inlineStr">
        <is>
          <t xml:space="preserve">psc:2090</t>
        </is>
      </c>
    </row>
    <row r="3718">
      <c r="B3718" s="0" t="inlineStr">
        <is>
          <t xml:space="preserve">N0010418PBP47</t>
        </is>
      </c>
      <c r="C3718" s="0" t="inlineStr">
        <is>
          <t xml:space="preserve">broad_maritime</t>
        </is>
      </c>
      <c r="D3718" s="4">
        <v>0.141652</v>
      </c>
      <c r="E3718" s="0" t="inlineStr">
        <is>
          <t xml:space="preserve">TURNBULL LLC</t>
        </is>
      </c>
      <c r="F3718" s="0" t="inlineStr">
        <is>
          <t xml:space="preserve">psc:2090</t>
        </is>
      </c>
    </row>
    <row r="3719">
      <c r="B3719" s="0" t="inlineStr">
        <is>
          <t xml:space="preserve">N5523621P0091</t>
        </is>
      </c>
      <c r="C3719" s="0" t="inlineStr">
        <is>
          <t xml:space="preserve">broad_maritime</t>
        </is>
      </c>
      <c r="D3719" s="4">
        <v>0.14152</v>
      </c>
      <c r="E3719" s="0" t="inlineStr">
        <is>
          <t xml:space="preserve">HYSPAN PRECISION PRODUCTS, INC.</t>
        </is>
      </c>
      <c r="F3719" s="0" t="inlineStr">
        <is>
          <t xml:space="preserve">psc:2090</t>
        </is>
      </c>
    </row>
    <row r="3720">
      <c r="B3720" s="0" t="inlineStr">
        <is>
          <t xml:space="preserve">N0040625P0007</t>
        </is>
      </c>
      <c r="C3720" s="0" t="inlineStr">
        <is>
          <t xml:space="preserve">broad_maritime</t>
        </is>
      </c>
      <c r="D3720" s="4">
        <v>0.14137867</v>
      </c>
      <c r="E3720" s="0" t="inlineStr">
        <is>
          <t xml:space="preserve">AANTILIA LLC</t>
        </is>
      </c>
      <c r="F3720" s="0" t="inlineStr">
        <is>
          <t xml:space="preserve">psc:2090</t>
        </is>
      </c>
    </row>
    <row r="3721">
      <c r="B3721" s="0" t="inlineStr">
        <is>
          <t xml:space="preserve">N0017318P0946</t>
        </is>
      </c>
      <c r="C3721" s="0" t="inlineStr">
        <is>
          <t xml:space="preserve">usv_core</t>
        </is>
      </c>
      <c r="D3721" s="4">
        <v>0.14135899999999998</v>
      </c>
      <c r="E3721" s="0" t="inlineStr">
        <is>
          <t xml:space="preserve">HII UNMANNED MARITIME SYSTEMS INC.</t>
        </is>
      </c>
      <c r="F3721" s="0" t="inlineStr">
        <is>
          <t xml:space="preserve">keyword</t>
        </is>
      </c>
    </row>
    <row r="3722">
      <c r="B3722" s="0" t="inlineStr">
        <is>
          <t xml:space="preserve">N3220516P7610</t>
        </is>
      </c>
      <c r="C3722" s="0" t="inlineStr">
        <is>
          <t xml:space="preserve">broad_maritime</t>
        </is>
      </c>
      <c r="D3722" s="4">
        <v>0.141264</v>
      </c>
      <c r="E3722" s="0" t="inlineStr">
        <is>
          <t xml:space="preserve">SEA BOX, INC.</t>
        </is>
      </c>
      <c r="F3722" s="0" t="inlineStr">
        <is>
          <t xml:space="preserve">psc:2090</t>
        </is>
      </c>
    </row>
    <row r="3723">
      <c r="B3723" s="0" t="inlineStr">
        <is>
          <t xml:space="preserve">N3220518F0261</t>
        </is>
      </c>
      <c r="C3723" s="0" t="inlineStr">
        <is>
          <t xml:space="preserve">broad_maritime</t>
        </is>
      </c>
      <c r="D3723" s="4">
        <v>0.1412157</v>
      </c>
      <c r="E3723" s="0" t="inlineStr">
        <is>
          <t xml:space="preserve">ROLLS-ROYCE SOLUTIONS AMERICA INC</t>
        </is>
      </c>
      <c r="F3723" s="0" t="inlineStr">
        <is>
          <t xml:space="preserve">psc:2090</t>
        </is>
      </c>
    </row>
    <row r="3724">
      <c r="B3724" s="0" t="inlineStr">
        <is>
          <t xml:space="preserve">N3220517P2092</t>
        </is>
      </c>
      <c r="C3724" s="0" t="inlineStr">
        <is>
          <t xml:space="preserve">broad_maritime</t>
        </is>
      </c>
      <c r="D3724" s="4">
        <v>0.14111689</v>
      </c>
      <c r="E3724" s="0" t="inlineStr">
        <is>
          <t xml:space="preserve">FAIRBANKS MORSE, LLC</t>
        </is>
      </c>
      <c r="F3724" s="0" t="inlineStr">
        <is>
          <t xml:space="preserve">psc:2090</t>
        </is>
      </c>
    </row>
    <row r="3725">
      <c r="B3725" s="0" t="inlineStr">
        <is>
          <t xml:space="preserve">N5532119FJG02</t>
        </is>
      </c>
      <c r="C3725" s="0" t="inlineStr">
        <is>
          <t xml:space="preserve">small_craft</t>
        </is>
      </c>
      <c r="D3725" s="4">
        <v>0.1409846</v>
      </c>
      <c r="E3725" s="0" t="inlineStr">
        <is>
          <t xml:space="preserve">ZODIAC OF NORTH AMERICA, INC.</t>
        </is>
      </c>
      <c r="F3725" s="0" t="inlineStr">
        <is>
          <t xml:space="preserve">psc:1940</t>
        </is>
      </c>
    </row>
    <row r="3726">
      <c r="B3726" s="0" t="inlineStr">
        <is>
          <t xml:space="preserve">N3220518P4183</t>
        </is>
      </c>
      <c r="C3726" s="0" t="inlineStr">
        <is>
          <t xml:space="preserve">broad_maritime</t>
        </is>
      </c>
      <c r="D3726" s="4">
        <v>0.14095</v>
      </c>
      <c r="E3726" s="0" t="inlineStr">
        <is>
          <t xml:space="preserve">WESTFLEX, INC.</t>
        </is>
      </c>
      <c r="F3726" s="0" t="inlineStr">
        <is>
          <t xml:space="preserve">psc:2090</t>
        </is>
      </c>
    </row>
    <row r="3727">
      <c r="B3727" s="0" t="inlineStr">
        <is>
          <t xml:space="preserve">N3220522P2256</t>
        </is>
      </c>
      <c r="C3727" s="0" t="inlineStr">
        <is>
          <t xml:space="preserve">broad_maritime</t>
        </is>
      </c>
      <c r="D3727" s="4">
        <v>0.140873</v>
      </c>
      <c r="E3727" s="0" t="inlineStr">
        <is>
          <t xml:space="preserve">SIMS PUMP VALVE CO, INC</t>
        </is>
      </c>
      <c r="F3727" s="0" t="inlineStr">
        <is>
          <t xml:space="preserve">psc:2090</t>
        </is>
      </c>
    </row>
    <row r="3728">
      <c r="B3728" s="0" t="inlineStr">
        <is>
          <t xml:space="preserve">N3220517P2024</t>
        </is>
      </c>
      <c r="C3728" s="0" t="inlineStr">
        <is>
          <t xml:space="preserve">broad_maritime</t>
        </is>
      </c>
      <c r="D3728" s="4">
        <v>0.140706</v>
      </c>
      <c r="E3728" s="0" t="inlineStr">
        <is>
          <t xml:space="preserve">PIMA VALVE, LLC</t>
        </is>
      </c>
      <c r="F3728" s="0" t="inlineStr">
        <is>
          <t xml:space="preserve">psc:2090</t>
        </is>
      </c>
    </row>
    <row r="3729">
      <c r="B3729" s="0" t="inlineStr">
        <is>
          <t xml:space="preserve">N5523623P0160</t>
        </is>
      </c>
      <c r="C3729" s="0" t="inlineStr">
        <is>
          <t xml:space="preserve">broad_maritime</t>
        </is>
      </c>
      <c r="D3729" s="4">
        <v>0.140545</v>
      </c>
      <c r="E3729" s="0" t="inlineStr">
        <is>
          <t xml:space="preserve">PIER SIDE SUPPLY INC</t>
        </is>
      </c>
      <c r="F3729" s="0" t="inlineStr">
        <is>
          <t xml:space="preserve">psc:2090</t>
        </is>
      </c>
    </row>
    <row r="3730">
      <c r="B3730" s="0" t="inlineStr">
        <is>
          <t xml:space="preserve">N3220517P1158</t>
        </is>
      </c>
      <c r="C3730" s="0" t="inlineStr">
        <is>
          <t xml:space="preserve">broad_maritime</t>
        </is>
      </c>
      <c r="D3730" s="4">
        <v>0.14045294</v>
      </c>
      <c r="E3730" s="0" t="inlineStr">
        <is>
          <t xml:space="preserve">SCOTT TECHNOLOGIES, INC.</t>
        </is>
      </c>
      <c r="F3730" s="0" t="inlineStr">
        <is>
          <t xml:space="preserve">psc:2090</t>
        </is>
      </c>
    </row>
    <row r="3731">
      <c r="B3731" s="0" t="inlineStr">
        <is>
          <t xml:space="preserve">N3220515P1427</t>
        </is>
      </c>
      <c r="C3731" s="0" t="inlineStr">
        <is>
          <t xml:space="preserve">broad_maritime</t>
        </is>
      </c>
      <c r="D3731" s="4">
        <v>0.14018999999999998</v>
      </c>
      <c r="E3731" s="0" t="inlineStr">
        <is>
          <t xml:space="preserve">FIRSTCHOICE GROUP AMERICA LLC</t>
        </is>
      </c>
      <c r="F3731" s="0" t="inlineStr">
        <is>
          <t xml:space="preserve">psc:2090</t>
        </is>
      </c>
    </row>
    <row r="3732">
      <c r="B3732" s="0" t="inlineStr">
        <is>
          <t xml:space="preserve">N6817122F0049</t>
        </is>
      </c>
      <c r="C3732" s="0" t="inlineStr">
        <is>
          <t xml:space="preserve">broad_maritime</t>
        </is>
      </c>
      <c r="D3732" s="4">
        <v>0.13971683999999998</v>
      </c>
      <c r="E3732" s="0" t="inlineStr">
        <is>
          <t xml:space="preserve">ROLLS-ROYCE SOLUTIONS AMERICA INC</t>
        </is>
      </c>
      <c r="F3732" s="0" t="inlineStr">
        <is>
          <t xml:space="preserve">psc:2090</t>
        </is>
      </c>
    </row>
    <row r="3733">
      <c r="B3733" s="0" t="inlineStr">
        <is>
          <t xml:space="preserve">N3220520F1455</t>
        </is>
      </c>
      <c r="C3733" s="0" t="inlineStr">
        <is>
          <t xml:space="preserve">broad_maritime</t>
        </is>
      </c>
      <c r="D3733" s="4">
        <v>0.1396542</v>
      </c>
      <c r="E3733" s="0" t="inlineStr">
        <is>
          <t xml:space="preserve">MAZZELLA LIFTING TECHNOLOGIES, INC.</t>
        </is>
      </c>
      <c r="F3733" s="0" t="inlineStr">
        <is>
          <t xml:space="preserve">psc:2090</t>
        </is>
      </c>
    </row>
    <row r="3734">
      <c r="B3734" s="0" t="inlineStr">
        <is>
          <t xml:space="preserve">N0024422F0401</t>
        </is>
      </c>
      <c r="C3734" s="0" t="inlineStr">
        <is>
          <t xml:space="preserve">broad_maritime</t>
        </is>
      </c>
      <c r="D3734" s="4">
        <v>0.13954</v>
      </c>
      <c r="E3734" s="0" t="inlineStr">
        <is>
          <t xml:space="preserve">MARINE &amp; RESTAURANT FABRICATORS, INC.</t>
        </is>
      </c>
      <c r="F3734" s="0" t="inlineStr">
        <is>
          <t xml:space="preserve">psc:2090</t>
        </is>
      </c>
    </row>
    <row r="3735">
      <c r="B3735" s="0" t="inlineStr">
        <is>
          <t xml:space="preserve">N3220513P3714</t>
        </is>
      </c>
      <c r="C3735" s="0" t="inlineStr">
        <is>
          <t xml:space="preserve">broad_maritime</t>
        </is>
      </c>
      <c r="D3735" s="4">
        <v>0.1393542</v>
      </c>
      <c r="E3735" s="0" t="inlineStr">
        <is>
          <t xml:space="preserve">COLTEC INDUSTRIES INC.</t>
        </is>
      </c>
      <c r="F3735" s="0" t="inlineStr">
        <is>
          <t xml:space="preserve">psc:2090</t>
        </is>
      </c>
    </row>
    <row r="3736">
      <c r="B3736" s="0" t="inlineStr">
        <is>
          <t xml:space="preserve">N0040620P0348</t>
        </is>
      </c>
      <c r="C3736" s="0" t="inlineStr">
        <is>
          <t xml:space="preserve">broad_maritime</t>
        </is>
      </c>
      <c r="D3736" s="4">
        <v>0.1393</v>
      </c>
      <c r="E3736" s="0" t="inlineStr">
        <is>
          <t xml:space="preserve">QUALITY PACIFIC MANUFACTURING INC.</t>
        </is>
      </c>
      <c r="F3736" s="0" t="inlineStr">
        <is>
          <t xml:space="preserve">psc:2090</t>
        </is>
      </c>
    </row>
    <row r="3737">
      <c r="B3737" s="0" t="inlineStr">
        <is>
          <t xml:space="preserve">N0010423FY701</t>
        </is>
      </c>
      <c r="C3737" s="0" t="inlineStr">
        <is>
          <t xml:space="preserve">small_craft</t>
        </is>
      </c>
      <c r="D3737" s="4">
        <v>0.139292</v>
      </c>
      <c r="E3737" s="0" t="inlineStr">
        <is>
          <t xml:space="preserve">L3 TECHNOLOGIES, INC.</t>
        </is>
      </c>
      <c r="F3737" s="0" t="inlineStr">
        <is>
          <t xml:space="preserve">naics:336612</t>
        </is>
      </c>
    </row>
    <row r="3738">
      <c r="B3738" s="0" t="inlineStr">
        <is>
          <t xml:space="preserve">N3220516P4734</t>
        </is>
      </c>
      <c r="C3738" s="0" t="inlineStr">
        <is>
          <t xml:space="preserve">broad_maritime</t>
        </is>
      </c>
      <c r="D3738" s="4">
        <v>0.139264</v>
      </c>
      <c r="E3738" s="0" t="inlineStr">
        <is>
          <t xml:space="preserve">VALVE AUTOMATION AND CONTROL OF SAN DIEGO</t>
        </is>
      </c>
      <c r="F3738" s="0" t="inlineStr">
        <is>
          <t xml:space="preserve">psc:2090</t>
        </is>
      </c>
    </row>
    <row r="3739">
      <c r="B3739" s="0" t="inlineStr">
        <is>
          <t xml:space="preserve">N3220521P4199</t>
        </is>
      </c>
      <c r="C3739" s="0" t="inlineStr">
        <is>
          <t xml:space="preserve">broad_maritime</t>
        </is>
      </c>
      <c r="D3739" s="4">
        <v>0.139213</v>
      </c>
      <c r="E3739" s="0" t="inlineStr">
        <is>
          <t xml:space="preserve">FAIRLEAD INTEGRATED POWER AND CONTROLS, LLC</t>
        </is>
      </c>
      <c r="F3739" s="0" t="inlineStr">
        <is>
          <t xml:space="preserve">psc:2090</t>
        </is>
      </c>
    </row>
    <row r="3740">
      <c r="B3740" s="0" t="inlineStr">
        <is>
          <t xml:space="preserve">N0024421F0129</t>
        </is>
      </c>
      <c r="C3740" s="0" t="inlineStr">
        <is>
          <t xml:space="preserve">broad_maritime</t>
        </is>
      </c>
      <c r="D3740" s="4">
        <v>0.1391925</v>
      </c>
      <c r="E3740" s="0" t="inlineStr">
        <is>
          <t xml:space="preserve">MARINE &amp; RESTAURANT FABRICATORS, INC.</t>
        </is>
      </c>
      <c r="F3740" s="0" t="inlineStr">
        <is>
          <t xml:space="preserve">psc:2090</t>
        </is>
      </c>
    </row>
    <row r="3741">
      <c r="B3741" s="0" t="inlineStr">
        <is>
          <t xml:space="preserve">N3220515P1293</t>
        </is>
      </c>
      <c r="C3741" s="0" t="inlineStr">
        <is>
          <t xml:space="preserve">broad_maritime</t>
        </is>
      </c>
      <c r="D3741" s="4">
        <v>0.139146</v>
      </c>
      <c r="E3741" s="0" t="inlineStr">
        <is>
          <t xml:space="preserve">MARINE PROPULSION INC</t>
        </is>
      </c>
      <c r="F3741" s="0" t="inlineStr">
        <is>
          <t xml:space="preserve">psc:2090</t>
        </is>
      </c>
    </row>
    <row r="3742">
      <c r="B3742" s="0" t="inlineStr">
        <is>
          <t xml:space="preserve">N0024423F0141</t>
        </is>
      </c>
      <c r="C3742" s="0" t="inlineStr">
        <is>
          <t xml:space="preserve">broad_maritime</t>
        </is>
      </c>
      <c r="D3742" s="4">
        <v>0.13907</v>
      </c>
      <c r="E3742" s="0" t="inlineStr">
        <is>
          <t xml:space="preserve">MARINE &amp; RESTAURANT FABRICATORS, INC.</t>
        </is>
      </c>
      <c r="F3742" s="0" t="inlineStr">
        <is>
          <t xml:space="preserve">psc:2090</t>
        </is>
      </c>
    </row>
    <row r="3743">
      <c r="B3743" s="0" t="inlineStr">
        <is>
          <t xml:space="preserve">N0040624P0060</t>
        </is>
      </c>
      <c r="C3743" s="0" t="inlineStr">
        <is>
          <t xml:space="preserve">broad_maritime</t>
        </is>
      </c>
      <c r="D3743" s="4">
        <v>0.139057</v>
      </c>
      <c r="E3743" s="0" t="inlineStr">
        <is>
          <t xml:space="preserve">SIMS PUMP VALVE CO, INC</t>
        </is>
      </c>
      <c r="F3743" s="0" t="inlineStr">
        <is>
          <t xml:space="preserve">psc:2090</t>
        </is>
      </c>
    </row>
    <row r="3744">
      <c r="B3744" s="0" t="inlineStr">
        <is>
          <t xml:space="preserve">0183</t>
        </is>
      </c>
      <c r="C3744" s="0" t="inlineStr">
        <is>
          <t xml:space="preserve">broad_maritime</t>
        </is>
      </c>
      <c r="D3744" s="4">
        <v>0.13893</v>
      </c>
      <c r="E3744" s="0" t="inlineStr">
        <is>
          <t xml:space="preserve">PACIFIC MARITIME INDUSTRIES CORP.</t>
        </is>
      </c>
      <c r="F3744" s="0" t="inlineStr">
        <is>
          <t xml:space="preserve">psc:2090</t>
        </is>
      </c>
    </row>
    <row r="3745">
      <c r="B3745" s="0" t="inlineStr">
        <is>
          <t xml:space="preserve">N6230618P0015</t>
        </is>
      </c>
      <c r="C3745" s="0" t="inlineStr">
        <is>
          <t xml:space="preserve">usv_core</t>
        </is>
      </c>
      <c r="D3745" s="4">
        <v>0.13884666</v>
      </c>
      <c r="E3745" s="0" t="inlineStr">
        <is>
          <t xml:space="preserve">THE UNIVERSITY OF SOUTHERN MISSISSIPPI</t>
        </is>
      </c>
      <c r="F3745" s="0" t="inlineStr">
        <is>
          <t xml:space="preserve">keyword</t>
        </is>
      </c>
    </row>
    <row r="3746">
      <c r="B3746" s="0" t="inlineStr">
        <is>
          <t xml:space="preserve">N0040619P0451</t>
        </is>
      </c>
      <c r="C3746" s="0" t="inlineStr">
        <is>
          <t xml:space="preserve">broad_maritime</t>
        </is>
      </c>
      <c r="D3746" s="4">
        <v>0.13877546999999998</v>
      </c>
      <c r="E3746" s="0" t="inlineStr">
        <is>
          <t xml:space="preserve">LAMOR USA CORPORATION</t>
        </is>
      </c>
      <c r="F3746" s="0" t="inlineStr">
        <is>
          <t xml:space="preserve">psc:2090</t>
        </is>
      </c>
    </row>
    <row r="3747">
      <c r="B3747" s="0" t="inlineStr">
        <is>
          <t xml:space="preserve">N5005418P0137</t>
        </is>
      </c>
      <c r="C3747" s="0" t="inlineStr">
        <is>
          <t xml:space="preserve">broad_maritime</t>
        </is>
      </c>
      <c r="D3747" s="4">
        <v>0.1386</v>
      </c>
      <c r="E3747" s="0" t="inlineStr">
        <is>
          <t xml:space="preserve">JUNIPER ELBOW CO. INC.</t>
        </is>
      </c>
      <c r="F3747" s="0" t="inlineStr">
        <is>
          <t xml:space="preserve">psc:2090</t>
        </is>
      </c>
    </row>
    <row r="3748">
      <c r="B3748" s="0" t="inlineStr">
        <is>
          <t xml:space="preserve">N3220520P4405</t>
        </is>
      </c>
      <c r="C3748" s="0" t="inlineStr">
        <is>
          <t xml:space="preserve">broad_maritime</t>
        </is>
      </c>
      <c r="D3748" s="4">
        <v>0.13859201999999998</v>
      </c>
      <c r="E3748" s="0" t="inlineStr">
        <is>
          <t xml:space="preserve">TRIDENT MARITIME SYSTEMS, INC.</t>
        </is>
      </c>
      <c r="F3748" s="0" t="inlineStr">
        <is>
          <t xml:space="preserve">psc:2090</t>
        </is>
      </c>
    </row>
    <row r="3749">
      <c r="B3749" s="0" t="inlineStr">
        <is>
          <t xml:space="preserve">N0040622P0836</t>
        </is>
      </c>
      <c r="C3749" s="0" t="inlineStr">
        <is>
          <t xml:space="preserve">broad_maritime</t>
        </is>
      </c>
      <c r="D3749" s="4">
        <v>0.1385271</v>
      </c>
      <c r="E3749" s="0" t="inlineStr">
        <is>
          <t xml:space="preserve">FASSMER SERVICE AMERICA LLC</t>
        </is>
      </c>
      <c r="F3749" s="0" t="inlineStr">
        <is>
          <t xml:space="preserve">psc:2090</t>
        </is>
      </c>
    </row>
    <row r="3750">
      <c r="B3750" s="0" t="inlineStr">
        <is>
          <t xml:space="preserve">N0010422PJB52</t>
        </is>
      </c>
      <c r="C3750" s="0" t="inlineStr">
        <is>
          <t xml:space="preserve">small_craft</t>
        </is>
      </c>
      <c r="D3750" s="4">
        <v>0.13831816</v>
      </c>
      <c r="E3750" s="0" t="inlineStr">
        <is>
          <t xml:space="preserve">DOVER PUMPS &amp; PROCESS SOLUTIONS SEGMENT INC</t>
        </is>
      </c>
      <c r="F3750" s="0" t="inlineStr">
        <is>
          <t xml:space="preserve">naics:336612</t>
        </is>
      </c>
    </row>
    <row r="3751">
      <c r="B3751" s="0" t="inlineStr">
        <is>
          <t xml:space="preserve">N0017317F6402</t>
        </is>
      </c>
      <c r="C3751" s="0" t="inlineStr">
        <is>
          <t xml:space="preserve">broad_maritime</t>
        </is>
      </c>
      <c r="D3751" s="4">
        <v>0.13774799999999998</v>
      </c>
      <c r="E3751" s="0" t="inlineStr">
        <is>
          <t xml:space="preserve">DONATINI, INC.</t>
        </is>
      </c>
      <c r="F3751" s="0" t="inlineStr">
        <is>
          <t xml:space="preserve">psc:2090</t>
        </is>
      </c>
    </row>
    <row r="3752">
      <c r="B3752" s="0" t="inlineStr">
        <is>
          <t xml:space="preserve">N3220522P0189</t>
        </is>
      </c>
      <c r="C3752" s="0" t="inlineStr">
        <is>
          <t xml:space="preserve">broad_maritime</t>
        </is>
      </c>
      <c r="D3752" s="4">
        <v>0.13749999999999998</v>
      </c>
      <c r="E3752" s="0" t="inlineStr">
        <is>
          <t xml:space="preserve">FEDERAL EQUIPMENT CO</t>
        </is>
      </c>
      <c r="F3752" s="0" t="inlineStr">
        <is>
          <t xml:space="preserve">psc:2090</t>
        </is>
      </c>
    </row>
    <row r="3753">
      <c r="B3753" s="0" t="inlineStr">
        <is>
          <t xml:space="preserve">N0040625PS121</t>
        </is>
      </c>
      <c r="C3753" s="0" t="inlineStr">
        <is>
          <t xml:space="preserve">broad_maritime</t>
        </is>
      </c>
      <c r="D3753" s="4">
        <v>0.13738329999999999</v>
      </c>
      <c r="E3753" s="0" t="inlineStr">
        <is>
          <t xml:space="preserve">TRIDENT MARITIME SYSTEMS, INC.</t>
        </is>
      </c>
      <c r="F3753" s="0" t="inlineStr">
        <is>
          <t xml:space="preserve">psc:2090</t>
        </is>
      </c>
    </row>
    <row r="3754">
      <c r="B3754" s="0" t="inlineStr">
        <is>
          <t xml:space="preserve">N6893624F0589</t>
        </is>
      </c>
      <c r="C3754" s="0" t="inlineStr">
        <is>
          <t xml:space="preserve">small_craft</t>
        </is>
      </c>
      <c r="D3754" s="4">
        <v>0.137254</v>
      </c>
      <c r="E3754" s="0" t="inlineStr">
        <is>
          <t xml:space="preserve">THE MOLDING COMPANY, INC.</t>
        </is>
      </c>
      <c r="F3754" s="0" t="inlineStr">
        <is>
          <t xml:space="preserve">psc:1940</t>
        </is>
      </c>
    </row>
    <row r="3755">
      <c r="B3755" s="0" t="inlineStr">
        <is>
          <t xml:space="preserve">N6278914P0004</t>
        </is>
      </c>
      <c r="C3755" s="0" t="inlineStr">
        <is>
          <t xml:space="preserve">broad_maritime</t>
        </is>
      </c>
      <c r="D3755" s="4">
        <v>0.13700242</v>
      </c>
      <c r="E3755" s="0" t="inlineStr">
        <is>
          <t xml:space="preserve">YORK INTERNATIONAL CORPORATION</t>
        </is>
      </c>
      <c r="F3755" s="0" t="inlineStr">
        <is>
          <t xml:space="preserve">psc:1905</t>
        </is>
      </c>
    </row>
    <row r="3756">
      <c r="B3756" s="0" t="inlineStr">
        <is>
          <t xml:space="preserve">N6449823P5092</t>
        </is>
      </c>
      <c r="C3756" s="0" t="inlineStr">
        <is>
          <t xml:space="preserve">broad_maritime</t>
        </is>
      </c>
      <c r="D3756" s="4">
        <v>0.136899</v>
      </c>
      <c r="E3756" s="0" t="inlineStr">
        <is>
          <t xml:space="preserve">LEIDOS, INC.</t>
        </is>
      </c>
      <c r="F3756" s="0" t="inlineStr">
        <is>
          <t xml:space="preserve">psc:2090</t>
        </is>
      </c>
    </row>
    <row r="3757">
      <c r="B3757" s="0" t="inlineStr">
        <is>
          <t xml:space="preserve">N3220517P4007</t>
        </is>
      </c>
      <c r="C3757" s="0" t="inlineStr">
        <is>
          <t xml:space="preserve">broad_maritime</t>
        </is>
      </c>
      <c r="D3757" s="4">
        <v>0.13687</v>
      </c>
      <c r="E3757" s="0" t="inlineStr">
        <is>
          <t xml:space="preserve">MOTOR-SERVICES HUGO STAMP, INC</t>
        </is>
      </c>
      <c r="F3757" s="0" t="inlineStr">
        <is>
          <t xml:space="preserve">psc:2090</t>
        </is>
      </c>
    </row>
    <row r="3758">
      <c r="B3758" s="0" t="inlineStr">
        <is>
          <t xml:space="preserve">N3220515P3716</t>
        </is>
      </c>
      <c r="C3758" s="0" t="inlineStr">
        <is>
          <t xml:space="preserve">broad_maritime</t>
        </is>
      </c>
      <c r="D3758" s="4">
        <v>0.13682487</v>
      </c>
      <c r="E3758" s="0" t="inlineStr">
        <is>
          <t xml:space="preserve">LAKE SHORE SYSTEMS, INC.</t>
        </is>
      </c>
      <c r="F3758" s="0" t="inlineStr">
        <is>
          <t xml:space="preserve">psc:2090</t>
        </is>
      </c>
    </row>
    <row r="3759">
      <c r="B3759" s="0" t="inlineStr">
        <is>
          <t xml:space="preserve">N0060414P3553</t>
        </is>
      </c>
      <c r="C3759" s="0" t="inlineStr">
        <is>
          <t xml:space="preserve">broad_maritime</t>
        </is>
      </c>
      <c r="D3759" s="4">
        <v>0.136703</v>
      </c>
      <c r="E3759" s="0" t="inlineStr">
        <is>
          <t xml:space="preserve">FIBA TECHNOLOGIES INC</t>
        </is>
      </c>
      <c r="F3759" s="0" t="inlineStr">
        <is>
          <t xml:space="preserve">psc:2090</t>
        </is>
      </c>
    </row>
    <row r="3760">
      <c r="B3760" s="0" t="inlineStr">
        <is>
          <t xml:space="preserve">N0060414P3551</t>
        </is>
      </c>
      <c r="C3760" s="0" t="inlineStr">
        <is>
          <t xml:space="preserve">broad_maritime</t>
        </is>
      </c>
      <c r="D3760" s="4">
        <v>0.136703</v>
      </c>
      <c r="E3760" s="0" t="inlineStr">
        <is>
          <t xml:space="preserve">FIBA TECHNOLOGIES INC</t>
        </is>
      </c>
      <c r="F3760" s="0" t="inlineStr">
        <is>
          <t xml:space="preserve">psc:2090</t>
        </is>
      </c>
    </row>
    <row r="3761">
      <c r="B3761" s="0" t="inlineStr">
        <is>
          <t xml:space="preserve">N0010417PES80</t>
        </is>
      </c>
      <c r="C3761" s="0" t="inlineStr">
        <is>
          <t xml:space="preserve">broad_maritime</t>
        </is>
      </c>
      <c r="D3761" s="4">
        <v>0.13663999999999998</v>
      </c>
      <c r="E3761" s="0" t="inlineStr">
        <is>
          <t xml:space="preserve">TURNBULL LLC</t>
        </is>
      </c>
      <c r="F3761" s="0" t="inlineStr">
        <is>
          <t xml:space="preserve">psc:2090</t>
        </is>
      </c>
    </row>
    <row r="3762">
      <c r="B3762" s="0" t="inlineStr">
        <is>
          <t xml:space="preserve">N0025318P0292</t>
        </is>
      </c>
      <c r="C3762" s="0" t="inlineStr">
        <is>
          <t xml:space="preserve">broad_maritime</t>
        </is>
      </c>
      <c r="D3762" s="4">
        <v>0.136594</v>
      </c>
      <c r="E3762" s="0" t="inlineStr">
        <is>
          <t xml:space="preserve">BEAR MACHINERY, INC.</t>
        </is>
      </c>
      <c r="F3762" s="0" t="inlineStr">
        <is>
          <t xml:space="preserve">psc:2090</t>
        </is>
      </c>
    </row>
    <row r="3763">
      <c r="B3763" s="0" t="inlineStr">
        <is>
          <t xml:space="preserve">N5523621P0126</t>
        </is>
      </c>
      <c r="C3763" s="0" t="inlineStr">
        <is>
          <t xml:space="preserve">broad_maritime</t>
        </is>
      </c>
      <c r="D3763" s="4">
        <v>0.13647354999999997</v>
      </c>
      <c r="E3763" s="0" t="inlineStr">
        <is>
          <t xml:space="preserve">ALLIED SYSTEMS COMPANY</t>
        </is>
      </c>
      <c r="F3763" s="0" t="inlineStr">
        <is>
          <t xml:space="preserve">psc:2090</t>
        </is>
      </c>
    </row>
    <row r="3764">
      <c r="B3764" s="0" t="inlineStr">
        <is>
          <t xml:space="preserve">0038</t>
        </is>
      </c>
      <c r="C3764" s="0" t="inlineStr">
        <is>
          <t xml:space="preserve">broad_maritime</t>
        </is>
      </c>
      <c r="D3764" s="4">
        <v>0.136458</v>
      </c>
      <c r="E3764" s="0" t="inlineStr">
        <is>
          <t xml:space="preserve">L3 TECHNOLOGIES, INC.</t>
        </is>
      </c>
      <c r="F3764" s="0" t="inlineStr">
        <is>
          <t xml:space="preserve">psc:2090</t>
        </is>
      </c>
    </row>
    <row r="3765">
      <c r="B3765" s="0" t="inlineStr">
        <is>
          <t xml:space="preserve">N6449820P5081</t>
        </is>
      </c>
      <c r="C3765" s="0" t="inlineStr">
        <is>
          <t xml:space="preserve">broad_maritime</t>
        </is>
      </c>
      <c r="D3765" s="4">
        <v>0.13630499999999998</v>
      </c>
      <c r="E3765" s="0" t="inlineStr">
        <is>
          <t xml:space="preserve">PARAGON DIE &amp; ENGINEERING CO</t>
        </is>
      </c>
      <c r="F3765" s="0" t="inlineStr">
        <is>
          <t xml:space="preserve">psc:2090</t>
        </is>
      </c>
    </row>
    <row r="3766">
      <c r="B3766" s="0" t="inlineStr">
        <is>
          <t xml:space="preserve">N0040623P1025</t>
        </is>
      </c>
      <c r="C3766" s="0" t="inlineStr">
        <is>
          <t xml:space="preserve">broad_maritime</t>
        </is>
      </c>
      <c r="D3766" s="4">
        <v>0.13622236</v>
      </c>
      <c r="E3766" s="0" t="inlineStr">
        <is>
          <t xml:space="preserve">METAL DYNAMICS LTD</t>
        </is>
      </c>
      <c r="F3766" s="0" t="inlineStr">
        <is>
          <t xml:space="preserve">psc:2090</t>
        </is>
      </c>
    </row>
    <row r="3767">
      <c r="B3767" s="0" t="inlineStr">
        <is>
          <t xml:space="preserve">0077</t>
        </is>
      </c>
      <c r="C3767" s="0" t="inlineStr">
        <is>
          <t xml:space="preserve">broad_maritime</t>
        </is>
      </c>
      <c r="D3767" s="4">
        <v>0.136106</v>
      </c>
      <c r="E3767" s="0" t="inlineStr">
        <is>
          <t xml:space="preserve">ROCKWELL AUTOMATION INC</t>
        </is>
      </c>
      <c r="F3767" s="0" t="inlineStr">
        <is>
          <t xml:space="preserve">psc:2090</t>
        </is>
      </c>
    </row>
    <row r="3768">
      <c r="B3768" s="0" t="inlineStr">
        <is>
          <t xml:space="preserve">N3220518F0324</t>
        </is>
      </c>
      <c r="C3768" s="0" t="inlineStr">
        <is>
          <t xml:space="preserve">broad_maritime</t>
        </is>
      </c>
      <c r="D3768" s="4">
        <v>0.13610064</v>
      </c>
      <c r="E3768" s="0" t="inlineStr">
        <is>
          <t xml:space="preserve">OCEAN PRODUCTS RESEARCH, INC.</t>
        </is>
      </c>
      <c r="F3768" s="0" t="inlineStr">
        <is>
          <t xml:space="preserve">psc:2090</t>
        </is>
      </c>
    </row>
    <row r="3769">
      <c r="B3769" s="0" t="inlineStr">
        <is>
          <t xml:space="preserve">N0040623P0797</t>
        </is>
      </c>
      <c r="C3769" s="0" t="inlineStr">
        <is>
          <t xml:space="preserve">broad_maritime</t>
        </is>
      </c>
      <c r="D3769" s="4">
        <v>0.13577338</v>
      </c>
      <c r="E3769" s="0" t="inlineStr">
        <is>
          <t xml:space="preserve">ECI DEFENSE GROUP, INC.</t>
        </is>
      </c>
      <c r="F3769" s="0" t="inlineStr">
        <is>
          <t xml:space="preserve">psc:2090</t>
        </is>
      </c>
    </row>
    <row r="3770">
      <c r="B3770" s="0" t="inlineStr">
        <is>
          <t xml:space="preserve">0001</t>
        </is>
      </c>
      <c r="C3770" s="0" t="inlineStr">
        <is>
          <t xml:space="preserve">broad_maritime</t>
        </is>
      </c>
      <c r="D3770" s="4">
        <v>0.13563667999999998</v>
      </c>
      <c r="E3770" s="0" t="inlineStr">
        <is>
          <t xml:space="preserve">DYE PRECISION, INC.</t>
        </is>
      </c>
      <c r="F3770" s="0" t="inlineStr">
        <is>
          <t xml:space="preserve">psc:2090</t>
        </is>
      </c>
    </row>
    <row r="3771">
      <c r="B3771" s="0" t="inlineStr">
        <is>
          <t xml:space="preserve">N0010422PBZ40</t>
        </is>
      </c>
      <c r="C3771" s="0" t="inlineStr">
        <is>
          <t xml:space="preserve">broad_maritime</t>
        </is>
      </c>
      <c r="D3771" s="4">
        <v>0.13549</v>
      </c>
      <c r="E3771" s="0" t="inlineStr">
        <is>
          <t xml:space="preserve">TURNBULL LLC</t>
        </is>
      </c>
      <c r="F3771" s="0" t="inlineStr">
        <is>
          <t xml:space="preserve">psc:2090</t>
        </is>
      </c>
    </row>
    <row r="3772">
      <c r="B3772" s="0" t="inlineStr">
        <is>
          <t xml:space="preserve">N0018922P0279</t>
        </is>
      </c>
      <c r="C3772" s="0" t="inlineStr">
        <is>
          <t xml:space="preserve">broad_maritime</t>
        </is>
      </c>
      <c r="D3772" s="4">
        <v>0.13539247</v>
      </c>
      <c r="E3772" s="0" t="inlineStr">
        <is>
          <t xml:space="preserve">WACO PRODUCTS, INC</t>
        </is>
      </c>
      <c r="F3772" s="0" t="inlineStr">
        <is>
          <t xml:space="preserve">psc:2090</t>
        </is>
      </c>
    </row>
    <row r="3773">
      <c r="B3773" s="0" t="inlineStr">
        <is>
          <t xml:space="preserve">0206</t>
        </is>
      </c>
      <c r="C3773" s="0" t="inlineStr">
        <is>
          <t xml:space="preserve">broad_maritime</t>
        </is>
      </c>
      <c r="D3773" s="4">
        <v>0.13536979999999998</v>
      </c>
      <c r="E3773" s="0" t="inlineStr">
        <is>
          <t xml:space="preserve">PACIFIC MARITIME INDUSTRIES CORP.</t>
        </is>
      </c>
      <c r="F3773" s="0" t="inlineStr">
        <is>
          <t xml:space="preserve">psc:2090</t>
        </is>
      </c>
    </row>
    <row r="3774">
      <c r="B3774" s="0" t="inlineStr">
        <is>
          <t xml:space="preserve">N6426723P5053</t>
        </is>
      </c>
      <c r="C3774" s="0" t="inlineStr">
        <is>
          <t xml:space="preserve">small_craft</t>
        </is>
      </c>
      <c r="D3774" s="4">
        <v>0.13534173</v>
      </c>
      <c r="E3774" s="0" t="inlineStr">
        <is>
          <t xml:space="preserve">ELASTEC INC</t>
        </is>
      </c>
      <c r="F3774" s="0" t="inlineStr">
        <is>
          <t xml:space="preserve">naics:336612; psc:1940</t>
        </is>
      </c>
    </row>
    <row r="3775">
      <c r="B3775" s="0" t="inlineStr">
        <is>
          <t xml:space="preserve">N6600117P7461</t>
        </is>
      </c>
      <c r="C3775" s="0" t="inlineStr">
        <is>
          <t xml:space="preserve">small_craft</t>
        </is>
      </c>
      <c r="D3775" s="4">
        <v>0.13533389</v>
      </c>
      <c r="E3775" s="0" t="inlineStr">
        <is>
          <t xml:space="preserve">WELLER RECREATION, INC</t>
        </is>
      </c>
      <c r="F3775" s="0" t="inlineStr">
        <is>
          <t xml:space="preserve">psc:1940</t>
        </is>
      </c>
    </row>
    <row r="3776">
      <c r="B3776" s="0" t="inlineStr">
        <is>
          <t xml:space="preserve">N6449818P5444</t>
        </is>
      </c>
      <c r="C3776" s="0" t="inlineStr">
        <is>
          <t xml:space="preserve">broad_maritime</t>
        </is>
      </c>
      <c r="D3776" s="4">
        <v>0.13522520000000002</v>
      </c>
      <c r="E3776" s="0" t="inlineStr">
        <is>
          <t xml:space="preserve">PRISM MARITIME, INC.</t>
        </is>
      </c>
      <c r="F3776" s="0" t="inlineStr">
        <is>
          <t xml:space="preserve">psc:2090</t>
        </is>
      </c>
    </row>
    <row r="3777">
      <c r="B3777" s="0" t="inlineStr">
        <is>
          <t xml:space="preserve">N3220517P7011</t>
        </is>
      </c>
      <c r="C3777" s="0" t="inlineStr">
        <is>
          <t xml:space="preserve">broad_maritime</t>
        </is>
      </c>
      <c r="D3777" s="4">
        <v>0.135157</v>
      </c>
      <c r="E3777" s="0" t="inlineStr">
        <is>
          <t xml:space="preserve">VALVE AUTOMATION AND CONTROL OF SAN DIEGO</t>
        </is>
      </c>
      <c r="F3777" s="0" t="inlineStr">
        <is>
          <t xml:space="preserve">psc:2090</t>
        </is>
      </c>
    </row>
    <row r="3778">
      <c r="B3778" s="0" t="inlineStr">
        <is>
          <t xml:space="preserve">N6449819F4114</t>
        </is>
      </c>
      <c r="C3778" s="0" t="inlineStr">
        <is>
          <t xml:space="preserve">broad_maritime</t>
        </is>
      </c>
      <c r="D3778" s="4">
        <v>0.13509796999999998</v>
      </c>
      <c r="E3778" s="0" t="inlineStr">
        <is>
          <t xml:space="preserve">NAG, LLC</t>
        </is>
      </c>
      <c r="F3778" s="0" t="inlineStr">
        <is>
          <t xml:space="preserve">psc:2090</t>
        </is>
      </c>
    </row>
    <row r="3779">
      <c r="B3779" s="0" t="inlineStr">
        <is>
          <t xml:space="preserve">N3220518P6053</t>
        </is>
      </c>
      <c r="C3779" s="0" t="inlineStr">
        <is>
          <t xml:space="preserve">broad_maritime</t>
        </is>
      </c>
      <c r="D3779" s="4">
        <v>0.135091</v>
      </c>
      <c r="E3779" s="0" t="inlineStr">
        <is>
          <t xml:space="preserve">BHAYANA BROTHERS LLC</t>
        </is>
      </c>
      <c r="F3779" s="0" t="inlineStr">
        <is>
          <t xml:space="preserve">psc:2090</t>
        </is>
      </c>
    </row>
    <row r="3780">
      <c r="B3780" s="0" t="inlineStr">
        <is>
          <t xml:space="preserve">N3220524P2304</t>
        </is>
      </c>
      <c r="C3780" s="0" t="inlineStr">
        <is>
          <t xml:space="preserve">broad_maritime</t>
        </is>
      </c>
      <c r="D3780" s="4">
        <v>0.13501201999999998</v>
      </c>
      <c r="E3780" s="0" t="inlineStr">
        <is>
          <t xml:space="preserve">DEFENSE MARITIME SOLUTIONS, INC.</t>
        </is>
      </c>
      <c r="F3780" s="0" t="inlineStr">
        <is>
          <t xml:space="preserve">psc:2090</t>
        </is>
      </c>
    </row>
    <row r="3781">
      <c r="B3781" s="0" t="inlineStr">
        <is>
          <t xml:space="preserve">N6660419P2240</t>
        </is>
      </c>
      <c r="C3781" s="0" t="inlineStr">
        <is>
          <t xml:space="preserve">broad_maritime</t>
        </is>
      </c>
      <c r="D3781" s="4">
        <v>0.13499999999999998</v>
      </c>
      <c r="E3781" s="0" t="inlineStr">
        <is>
          <t xml:space="preserve">MARITIME ARRESTING TECHNOLOGIES LLC</t>
        </is>
      </c>
      <c r="F3781" s="0" t="inlineStr">
        <is>
          <t xml:space="preserve">psc:2090</t>
        </is>
      </c>
    </row>
    <row r="3782">
      <c r="B3782" s="0" t="inlineStr">
        <is>
          <t xml:space="preserve">N0040622P0165</t>
        </is>
      </c>
      <c r="C3782" s="0" t="inlineStr">
        <is>
          <t xml:space="preserve">small_craft</t>
        </is>
      </c>
      <c r="D3782" s="4">
        <v>0.13491682</v>
      </c>
      <c r="E3782" s="0" t="inlineStr">
        <is>
          <t xml:space="preserve">FASSMER SERVICE AMERICA LLC</t>
        </is>
      </c>
      <c r="F3782" s="0" t="inlineStr">
        <is>
          <t xml:space="preserve">naics:336612</t>
        </is>
      </c>
    </row>
    <row r="3783">
      <c r="B3783" s="0" t="inlineStr">
        <is>
          <t xml:space="preserve">N3220521P2267</t>
        </is>
      </c>
      <c r="C3783" s="0" t="inlineStr">
        <is>
          <t xml:space="preserve">small_craft</t>
        </is>
      </c>
      <c r="D3783" s="4">
        <v>0.134874</v>
      </c>
      <c r="E3783" s="0" t="inlineStr">
        <is>
          <t xml:space="preserve">WILLARD MARINE, INC.</t>
        </is>
      </c>
      <c r="F3783" s="0" t="inlineStr">
        <is>
          <t xml:space="preserve">naics:336612; psc:2090</t>
        </is>
      </c>
    </row>
    <row r="3784">
      <c r="B3784" s="0" t="inlineStr">
        <is>
          <t xml:space="preserve">0005</t>
        </is>
      </c>
      <c r="C3784" s="0" t="inlineStr">
        <is>
          <t xml:space="preserve">broad_maritime</t>
        </is>
      </c>
      <c r="D3784" s="4">
        <v>0.13486</v>
      </c>
      <c r="E3784" s="0" t="inlineStr">
        <is>
          <t xml:space="preserve">KNUDSEN SYSTEMS INC.</t>
        </is>
      </c>
      <c r="F3784" s="0" t="inlineStr">
        <is>
          <t xml:space="preserve">psc:2090</t>
        </is>
      </c>
    </row>
    <row r="3785">
      <c r="B3785" s="0" t="inlineStr">
        <is>
          <t xml:space="preserve">N0040624P0207</t>
        </is>
      </c>
      <c r="C3785" s="0" t="inlineStr">
        <is>
          <t xml:space="preserve">broad_maritime</t>
        </is>
      </c>
      <c r="D3785" s="4">
        <v>0.13485</v>
      </c>
      <c r="E3785" s="0" t="inlineStr">
        <is>
          <t xml:space="preserve">BRIGHT LIGHTS USA, INC</t>
        </is>
      </c>
      <c r="F3785" s="0" t="inlineStr">
        <is>
          <t xml:space="preserve">psc:2090</t>
        </is>
      </c>
    </row>
    <row r="3786">
      <c r="B3786" s="0" t="inlineStr">
        <is>
          <t xml:space="preserve">N5523624P0001</t>
        </is>
      </c>
      <c r="C3786" s="0" t="inlineStr">
        <is>
          <t xml:space="preserve">broad_maritime</t>
        </is>
      </c>
      <c r="D3786" s="4">
        <v>0.13469532</v>
      </c>
      <c r="E3786" s="0" t="inlineStr">
        <is>
          <t xml:space="preserve">FAIRBANKS MORSE, LLC</t>
        </is>
      </c>
      <c r="F3786" s="0" t="inlineStr">
        <is>
          <t xml:space="preserve">psc:2090</t>
        </is>
      </c>
    </row>
    <row r="3787">
      <c r="B3787" s="0" t="inlineStr">
        <is>
          <t xml:space="preserve">N0010423PFB98</t>
        </is>
      </c>
      <c r="C3787" s="0" t="inlineStr">
        <is>
          <t xml:space="preserve">small_craft</t>
        </is>
      </c>
      <c r="D3787" s="4">
        <v>0.13455</v>
      </c>
      <c r="E3787" s="0" t="inlineStr">
        <is>
          <t xml:space="preserve">EMERSON AUTOMATION SOLUTIONS FINAL CONTROL US LP</t>
        </is>
      </c>
      <c r="F3787" s="0" t="inlineStr">
        <is>
          <t xml:space="preserve">naics:336612</t>
        </is>
      </c>
    </row>
    <row r="3788">
      <c r="B3788" s="0" t="inlineStr">
        <is>
          <t xml:space="preserve">N0010419PEK13</t>
        </is>
      </c>
      <c r="C3788" s="0" t="inlineStr">
        <is>
          <t xml:space="preserve">broad_maritime</t>
        </is>
      </c>
      <c r="D3788" s="4">
        <v>0.13446</v>
      </c>
      <c r="E3788" s="0" t="inlineStr">
        <is>
          <t xml:space="preserve">TURNBULL LLC</t>
        </is>
      </c>
      <c r="F3788" s="0" t="inlineStr">
        <is>
          <t xml:space="preserve">psc:2090</t>
        </is>
      </c>
    </row>
    <row r="3789">
      <c r="B3789" s="0" t="inlineStr">
        <is>
          <t xml:space="preserve">N3220518P4307</t>
        </is>
      </c>
      <c r="C3789" s="0" t="inlineStr">
        <is>
          <t xml:space="preserve">broad_maritime</t>
        </is>
      </c>
      <c r="D3789" s="4">
        <v>0.13395962</v>
      </c>
      <c r="E3789" s="0" t="inlineStr">
        <is>
          <t xml:space="preserve">IMECO INC</t>
        </is>
      </c>
      <c r="F3789" s="0" t="inlineStr">
        <is>
          <t xml:space="preserve">psc:2090</t>
        </is>
      </c>
    </row>
    <row r="3790">
      <c r="B3790" s="0" t="inlineStr">
        <is>
          <t xml:space="preserve">0015</t>
        </is>
      </c>
      <c r="C3790" s="0" t="inlineStr">
        <is>
          <t xml:space="preserve">broad_maritime</t>
        </is>
      </c>
      <c r="D3790" s="4">
        <v>0.1339</v>
      </c>
      <c r="E3790" s="0" t="inlineStr">
        <is>
          <t xml:space="preserve">PACIFIC MARITIME INDUSTRIES CORP.</t>
        </is>
      </c>
      <c r="F3790" s="0" t="inlineStr">
        <is>
          <t xml:space="preserve">psc:2090</t>
        </is>
      </c>
    </row>
    <row r="3791">
      <c r="B3791" s="0" t="inlineStr">
        <is>
          <t xml:space="preserve">N0040617P3039</t>
        </is>
      </c>
      <c r="C3791" s="0" t="inlineStr">
        <is>
          <t xml:space="preserve">broad_maritime</t>
        </is>
      </c>
      <c r="D3791" s="4">
        <v>0.13389969</v>
      </c>
      <c r="E3791" s="0" t="inlineStr">
        <is>
          <t xml:space="preserve">CENTRAL FLORIDA YAMAHA INC</t>
        </is>
      </c>
      <c r="F3791" s="0" t="inlineStr">
        <is>
          <t xml:space="preserve">psc:2090</t>
        </is>
      </c>
    </row>
    <row r="3792">
      <c r="B3792" s="0" t="inlineStr">
        <is>
          <t xml:space="preserve">N3220515P1317</t>
        </is>
      </c>
      <c r="C3792" s="0" t="inlineStr">
        <is>
          <t xml:space="preserve">broad_maritime</t>
        </is>
      </c>
      <c r="D3792" s="4">
        <v>0.13388035999999998</v>
      </c>
      <c r="E3792" s="0" t="inlineStr">
        <is>
          <t xml:space="preserve">ROLLS-ROYCE MARINE NORTH AMERICA INC.</t>
        </is>
      </c>
      <c r="F3792" s="0" t="inlineStr">
        <is>
          <t xml:space="preserve">psc:2090</t>
        </is>
      </c>
    </row>
    <row r="3793">
      <c r="B3793" s="0" t="inlineStr">
        <is>
          <t xml:space="preserve">N6893622P0030</t>
        </is>
      </c>
      <c r="C3793" s="0" t="inlineStr">
        <is>
          <t xml:space="preserve">small_craft</t>
        </is>
      </c>
      <c r="D3793" s="4">
        <v>0.13384321</v>
      </c>
      <c r="E3793" s="0" t="inlineStr">
        <is>
          <t xml:space="preserve">SILVER SHIPS, INC</t>
        </is>
      </c>
      <c r="F3793" s="0" t="inlineStr">
        <is>
          <t xml:space="preserve">naics:336612; psc:1940</t>
        </is>
      </c>
    </row>
    <row r="3794">
      <c r="B3794" s="0" t="inlineStr">
        <is>
          <t xml:space="preserve">N3220520P2336</t>
        </is>
      </c>
      <c r="C3794" s="0" t="inlineStr">
        <is>
          <t xml:space="preserve">broad_maritime</t>
        </is>
      </c>
      <c r="D3794" s="4">
        <v>0.133636</v>
      </c>
      <c r="E3794" s="0" t="inlineStr">
        <is>
          <t xml:space="preserve">CLAYTON MANUFACTURING COMPANY</t>
        </is>
      </c>
      <c r="F3794" s="0" t="inlineStr">
        <is>
          <t xml:space="preserve">psc:2090</t>
        </is>
      </c>
    </row>
    <row r="3795">
      <c r="B3795" s="0" t="inlineStr">
        <is>
          <t xml:space="preserve">N0016722P0095</t>
        </is>
      </c>
      <c r="C3795" s="0" t="inlineStr">
        <is>
          <t xml:space="preserve">small_craft</t>
        </is>
      </c>
      <c r="D3795" s="4">
        <v>0.13345960999999998</v>
      </c>
      <c r="E3795" s="0" t="inlineStr">
        <is>
          <t xml:space="preserve">KRAFT POWER CORPORATION</t>
        </is>
      </c>
      <c r="F3795" s="0" t="inlineStr">
        <is>
          <t xml:space="preserve">naics:336612</t>
        </is>
      </c>
    </row>
    <row r="3796">
      <c r="B3796" s="0" t="inlineStr">
        <is>
          <t xml:space="preserve">N3220524P2175</t>
        </is>
      </c>
      <c r="C3796" s="0" t="inlineStr">
        <is>
          <t xml:space="preserve">broad_maritime</t>
        </is>
      </c>
      <c r="D3796" s="4">
        <v>0.133332</v>
      </c>
      <c r="E3796" s="0" t="inlineStr">
        <is>
          <t xml:space="preserve">NIDAZ LLC</t>
        </is>
      </c>
      <c r="F3796" s="0" t="inlineStr">
        <is>
          <t xml:space="preserve">psc:2090</t>
        </is>
      </c>
    </row>
    <row r="3797">
      <c r="B3797" s="0" t="inlineStr">
        <is>
          <t xml:space="preserve">N6600118P6061</t>
        </is>
      </c>
      <c r="C3797" s="0" t="inlineStr">
        <is>
          <t xml:space="preserve">broad_maritime</t>
        </is>
      </c>
      <c r="D3797" s="4">
        <v>0.133221</v>
      </c>
      <c r="E3797" s="0" t="inlineStr">
        <is>
          <t xml:space="preserve">STARK MANUFACTURING CO</t>
        </is>
      </c>
      <c r="F3797" s="0" t="inlineStr">
        <is>
          <t xml:space="preserve">psc:2090</t>
        </is>
      </c>
    </row>
    <row r="3798">
      <c r="B3798" s="0" t="inlineStr">
        <is>
          <t xml:space="preserve">N0040625PS191</t>
        </is>
      </c>
      <c r="C3798" s="0" t="inlineStr">
        <is>
          <t xml:space="preserve">small_craft</t>
        </is>
      </c>
      <c r="D3798" s="4">
        <v>0.133203</v>
      </c>
      <c r="E3798" s="0" t="inlineStr">
        <is>
          <t xml:space="preserve">WESTEX GROUP, INC</t>
        </is>
      </c>
      <c r="F3798" s="0" t="inlineStr">
        <is>
          <t xml:space="preserve">naics:336612</t>
        </is>
      </c>
    </row>
    <row r="3799">
      <c r="B3799" s="0" t="inlineStr">
        <is>
          <t xml:space="preserve">N0040616P3206</t>
        </is>
      </c>
      <c r="C3799" s="0" t="inlineStr">
        <is>
          <t xml:space="preserve">small_craft</t>
        </is>
      </c>
      <c r="D3799" s="4">
        <v>0.132956</v>
      </c>
      <c r="E3799" s="0" t="inlineStr">
        <is>
          <t xml:space="preserve">CENTRAL FLORIDA YAMAHA INC</t>
        </is>
      </c>
      <c r="F3799" s="0" t="inlineStr">
        <is>
          <t xml:space="preserve">naics:336612; psc:2090</t>
        </is>
      </c>
    </row>
    <row r="3800">
      <c r="B3800" s="0" t="inlineStr">
        <is>
          <t xml:space="preserve">N3220515P5226</t>
        </is>
      </c>
      <c r="C3800" s="0" t="inlineStr">
        <is>
          <t xml:space="preserve">broad_maritime</t>
        </is>
      </c>
      <c r="D3800" s="4">
        <v>0.13290816</v>
      </c>
      <c r="E3800" s="0" t="inlineStr">
        <is>
          <t xml:space="preserve">GLOBAL MARITEK SYSTEMS INC</t>
        </is>
      </c>
      <c r="F3800" s="0" t="inlineStr">
        <is>
          <t xml:space="preserve">psc:2090</t>
        </is>
      </c>
    </row>
    <row r="3801">
      <c r="B3801" s="0" t="inlineStr">
        <is>
          <t xml:space="preserve">N0010425PSB67</t>
        </is>
      </c>
      <c r="C3801" s="0" t="inlineStr">
        <is>
          <t xml:space="preserve">small_craft</t>
        </is>
      </c>
      <c r="D3801" s="4">
        <v>0.132825</v>
      </c>
      <c r="E3801" s="0" t="inlineStr">
        <is>
          <t xml:space="preserve">CHANNEL COMP, LLC</t>
        </is>
      </c>
      <c r="F3801" s="0" t="inlineStr">
        <is>
          <t xml:space="preserve">naics:336612</t>
        </is>
      </c>
    </row>
    <row r="3802">
      <c r="B3802" s="0" t="inlineStr">
        <is>
          <t xml:space="preserve">N0024418F0456</t>
        </is>
      </c>
      <c r="C3802" s="0" t="inlineStr">
        <is>
          <t xml:space="preserve">broad_maritime</t>
        </is>
      </c>
      <c r="D3802" s="4">
        <v>0.13275</v>
      </c>
      <c r="E3802" s="0" t="inlineStr">
        <is>
          <t xml:space="preserve">PACIFIC MARITIME INDUSTRIES CORP.</t>
        </is>
      </c>
      <c r="F3802" s="0" t="inlineStr">
        <is>
          <t xml:space="preserve">psc:2090</t>
        </is>
      </c>
    </row>
    <row r="3803">
      <c r="B3803" s="0" t="inlineStr">
        <is>
          <t xml:space="preserve">N4044319P0109</t>
        </is>
      </c>
      <c r="C3803" s="0" t="inlineStr">
        <is>
          <t xml:space="preserve">broad_maritime</t>
        </is>
      </c>
      <c r="D3803" s="4">
        <v>0.13267532</v>
      </c>
      <c r="E3803" s="0" t="inlineStr">
        <is>
          <t xml:space="preserve">IMECO INC</t>
        </is>
      </c>
      <c r="F3803" s="0" t="inlineStr">
        <is>
          <t xml:space="preserve">psc:2090</t>
        </is>
      </c>
    </row>
    <row r="3804">
      <c r="B3804" s="0" t="inlineStr">
        <is>
          <t xml:space="preserve">N6449820P5425</t>
        </is>
      </c>
      <c r="C3804" s="0" t="inlineStr">
        <is>
          <t xml:space="preserve">broad_maritime</t>
        </is>
      </c>
      <c r="D3804" s="4">
        <v>0.132495</v>
      </c>
      <c r="E3804" s="0" t="inlineStr">
        <is>
          <t xml:space="preserve">NAG, LLC</t>
        </is>
      </c>
      <c r="F3804" s="0" t="inlineStr">
        <is>
          <t xml:space="preserve">psc:2090</t>
        </is>
      </c>
    </row>
    <row r="3805">
      <c r="B3805" s="0" t="inlineStr">
        <is>
          <t xml:space="preserve">N4044209P5111</t>
        </is>
      </c>
      <c r="C3805" s="0" t="inlineStr">
        <is>
          <t xml:space="preserve">broad_maritime</t>
        </is>
      </c>
      <c r="D3805" s="4">
        <v>0.13248414</v>
      </c>
      <c r="E3805" s="0" t="inlineStr">
        <is>
          <t xml:space="preserve">RYOBA ADVANTEX INC</t>
        </is>
      </c>
      <c r="F3805" s="0" t="inlineStr">
        <is>
          <t xml:space="preserve">psc:2090</t>
        </is>
      </c>
    </row>
    <row r="3806">
      <c r="B3806" s="0" t="inlineStr">
        <is>
          <t xml:space="preserve">N0040623P0534</t>
        </is>
      </c>
      <c r="C3806" s="0" t="inlineStr">
        <is>
          <t xml:space="preserve">broad_maritime</t>
        </is>
      </c>
      <c r="D3806" s="4">
        <v>0.13211799999999999</v>
      </c>
      <c r="E3806" s="0" t="inlineStr">
        <is>
          <t xml:space="preserve">B &amp; H INTERNATIONAL LLC</t>
        </is>
      </c>
      <c r="F3806" s="0" t="inlineStr">
        <is>
          <t xml:space="preserve">psc:2090</t>
        </is>
      </c>
    </row>
    <row r="3807">
      <c r="B3807" s="0" t="inlineStr">
        <is>
          <t xml:space="preserve">N0040620P0440</t>
        </is>
      </c>
      <c r="C3807" s="0" t="inlineStr">
        <is>
          <t xml:space="preserve">broad_maritime</t>
        </is>
      </c>
      <c r="D3807" s="4">
        <v>0.1319436</v>
      </c>
      <c r="E3807" s="0" t="inlineStr">
        <is>
          <t xml:space="preserve">DEFENSE MARITIME SOLUTIONS, INC.</t>
        </is>
      </c>
      <c r="F3807" s="0" t="inlineStr">
        <is>
          <t xml:space="preserve">psc:2090</t>
        </is>
      </c>
    </row>
    <row r="3808">
      <c r="B3808" s="0" t="inlineStr">
        <is>
          <t xml:space="preserve">N3220517P4292</t>
        </is>
      </c>
      <c r="C3808" s="0" t="inlineStr">
        <is>
          <t xml:space="preserve">broad_maritime</t>
        </is>
      </c>
      <c r="D3808" s="4">
        <v>0.13177229999999998</v>
      </c>
      <c r="E3808" s="0" t="inlineStr">
        <is>
          <t xml:space="preserve">VALVE AUTOMATION AND CONTROL OF SAN DIEGO</t>
        </is>
      </c>
      <c r="F3808" s="0" t="inlineStr">
        <is>
          <t xml:space="preserve">psc:2090</t>
        </is>
      </c>
    </row>
    <row r="3809">
      <c r="B3809" s="0" t="inlineStr">
        <is>
          <t xml:space="preserve">N3220525P2330</t>
        </is>
      </c>
      <c r="C3809" s="0" t="inlineStr">
        <is>
          <t xml:space="preserve">broad_maritime</t>
        </is>
      </c>
      <c r="D3809" s="4">
        <v>0.131585</v>
      </c>
      <c r="E3809" s="0" t="inlineStr">
        <is>
          <t xml:space="preserve">HALTON GROUP AMERICAS, INC.</t>
        </is>
      </c>
      <c r="F3809" s="0" t="inlineStr">
        <is>
          <t xml:space="preserve">psc:2090</t>
        </is>
      </c>
    </row>
    <row r="3810">
      <c r="B3810" s="0" t="inlineStr">
        <is>
          <t xml:space="preserve">N3220520P2310</t>
        </is>
      </c>
      <c r="C3810" s="0" t="inlineStr">
        <is>
          <t xml:space="preserve">broad_maritime</t>
        </is>
      </c>
      <c r="D3810" s="4">
        <v>0.13158285999999997</v>
      </c>
      <c r="E3810" s="0" t="inlineStr">
        <is>
          <t xml:space="preserve">DEFENSE MARITIME SOLUTIONS, INC.</t>
        </is>
      </c>
      <c r="F3810" s="0" t="inlineStr">
        <is>
          <t xml:space="preserve">psc:2090</t>
        </is>
      </c>
    </row>
    <row r="3811">
      <c r="B3811" s="0" t="inlineStr">
        <is>
          <t xml:space="preserve">N3220515P1285</t>
        </is>
      </c>
      <c r="C3811" s="0" t="inlineStr">
        <is>
          <t xml:space="preserve">broad_maritime</t>
        </is>
      </c>
      <c r="D3811" s="4">
        <v>0.13142399999999999</v>
      </c>
      <c r="E3811" s="0" t="inlineStr">
        <is>
          <t xml:space="preserve">CIRCOR NAVAL SOLUTIONS LLC</t>
        </is>
      </c>
      <c r="F3811" s="0" t="inlineStr">
        <is>
          <t xml:space="preserve">psc:2090</t>
        </is>
      </c>
    </row>
    <row r="3812">
      <c r="B3812" s="0" t="inlineStr">
        <is>
          <t xml:space="preserve">0002</t>
        </is>
      </c>
      <c r="C3812" s="0" t="inlineStr">
        <is>
          <t xml:space="preserve">broad_maritime</t>
        </is>
      </c>
      <c r="D3812" s="4">
        <v>0.13130154</v>
      </c>
      <c r="E3812" s="0" t="inlineStr">
        <is>
          <t xml:space="preserve">B/E AEROSPACE, INC.</t>
        </is>
      </c>
      <c r="F3812" s="0" t="inlineStr">
        <is>
          <t xml:space="preserve">psc:2090</t>
        </is>
      </c>
    </row>
    <row r="3813">
      <c r="B3813" s="0" t="inlineStr">
        <is>
          <t xml:space="preserve">N0018917P1209</t>
        </is>
      </c>
      <c r="C3813" s="0" t="inlineStr">
        <is>
          <t xml:space="preserve">broad_maritime</t>
        </is>
      </c>
      <c r="D3813" s="4">
        <v>0.131148</v>
      </c>
      <c r="E3813" s="0" t="inlineStr">
        <is>
          <t xml:space="preserve">DAVIS INTERIORS, LTD.</t>
        </is>
      </c>
      <c r="F3813" s="0" t="inlineStr">
        <is>
          <t xml:space="preserve">psc:2090</t>
        </is>
      </c>
    </row>
    <row r="3814">
      <c r="B3814" s="0" t="inlineStr">
        <is>
          <t xml:space="preserve">N0024424F0430</t>
        </is>
      </c>
      <c r="C3814" s="0" t="inlineStr">
        <is>
          <t xml:space="preserve">broad_maritime</t>
        </is>
      </c>
      <c r="D3814" s="4">
        <v>0.131055</v>
      </c>
      <c r="E3814" s="0" t="inlineStr">
        <is>
          <t xml:space="preserve">MARINE &amp; RESTAURANT FABRICATORS, INC.</t>
        </is>
      </c>
      <c r="F3814" s="0" t="inlineStr">
        <is>
          <t xml:space="preserve">psc:2090</t>
        </is>
      </c>
    </row>
    <row r="3815">
      <c r="B3815" s="0" t="inlineStr">
        <is>
          <t xml:space="preserve">N5523620P0083</t>
        </is>
      </c>
      <c r="C3815" s="0" t="inlineStr">
        <is>
          <t xml:space="preserve">broad_maritime</t>
        </is>
      </c>
      <c r="D3815" s="4">
        <v>0.130604</v>
      </c>
      <c r="E3815" s="0" t="inlineStr">
        <is>
          <t xml:space="preserve">HYSPAN PRECISION PRODUCTS, INC.</t>
        </is>
      </c>
      <c r="F3815" s="0" t="inlineStr">
        <is>
          <t xml:space="preserve">psc:2090</t>
        </is>
      </c>
    </row>
    <row r="3816">
      <c r="B3816" s="0" t="inlineStr">
        <is>
          <t xml:space="preserve">N6554015P5171</t>
        </is>
      </c>
      <c r="C3816" s="0" t="inlineStr">
        <is>
          <t xml:space="preserve">broad_maritime</t>
        </is>
      </c>
      <c r="D3816" s="4">
        <v>0.1305441</v>
      </c>
      <c r="E3816" s="0" t="inlineStr">
        <is>
          <t xml:space="preserve">FACET (OKLAHOMA) LLC</t>
        </is>
      </c>
      <c r="F3816" s="0" t="inlineStr">
        <is>
          <t xml:space="preserve">psc:2090</t>
        </is>
      </c>
    </row>
    <row r="3817">
      <c r="B3817" s="0" t="inlineStr">
        <is>
          <t xml:space="preserve">N3220519P6068</t>
        </is>
      </c>
      <c r="C3817" s="0" t="inlineStr">
        <is>
          <t xml:space="preserve">broad_maritime</t>
        </is>
      </c>
      <c r="D3817" s="4">
        <v>0.13053599999999999</v>
      </c>
      <c r="E3817" s="0" t="inlineStr">
        <is>
          <t xml:space="preserve">SIMS PUMP VALVE CO, INC</t>
        </is>
      </c>
      <c r="F3817" s="0" t="inlineStr">
        <is>
          <t xml:space="preserve">psc:2090</t>
        </is>
      </c>
    </row>
    <row r="3818">
      <c r="B3818" s="0" t="inlineStr">
        <is>
          <t xml:space="preserve">N3220517P7237</t>
        </is>
      </c>
      <c r="C3818" s="0" t="inlineStr">
        <is>
          <t xml:space="preserve">broad_maritime</t>
        </is>
      </c>
      <c r="D3818" s="4">
        <v>0.1305</v>
      </c>
      <c r="E3818" s="0" t="inlineStr">
        <is>
          <t xml:space="preserve">BARNEY A CAGLE</t>
        </is>
      </c>
      <c r="F3818" s="0" t="inlineStr">
        <is>
          <t xml:space="preserve">psc:2090</t>
        </is>
      </c>
    </row>
    <row r="3819">
      <c r="B3819" s="0" t="inlineStr">
        <is>
          <t xml:space="preserve">N6449823P5289</t>
        </is>
      </c>
      <c r="C3819" s="0" t="inlineStr">
        <is>
          <t xml:space="preserve">broad_maritime</t>
        </is>
      </c>
      <c r="D3819" s="4">
        <v>0.13037000999999998</v>
      </c>
      <c r="E3819" s="0" t="inlineStr">
        <is>
          <t xml:space="preserve">D. L. MARTIN CO.</t>
        </is>
      </c>
      <c r="F3819" s="0" t="inlineStr">
        <is>
          <t xml:space="preserve">psc:2090</t>
        </is>
      </c>
    </row>
    <row r="3820">
      <c r="B3820" s="0" t="inlineStr">
        <is>
          <t xml:space="preserve">N3220519P6145</t>
        </is>
      </c>
      <c r="C3820" s="0" t="inlineStr">
        <is>
          <t xml:space="preserve">broad_maritime</t>
        </is>
      </c>
      <c r="D3820" s="4">
        <v>0.13025964999999998</v>
      </c>
      <c r="E3820" s="0" t="inlineStr">
        <is>
          <t xml:space="preserve">IMECO INC</t>
        </is>
      </c>
      <c r="F3820" s="0" t="inlineStr">
        <is>
          <t xml:space="preserve">psc:2090</t>
        </is>
      </c>
    </row>
    <row r="3821">
      <c r="B3821" s="0" t="inlineStr">
        <is>
          <t xml:space="preserve">N0040616P1207</t>
        </is>
      </c>
      <c r="C3821" s="0" t="inlineStr">
        <is>
          <t xml:space="preserve">broad_maritime</t>
        </is>
      </c>
      <c r="D3821" s="4">
        <v>0.130124</v>
      </c>
      <c r="E3821" s="0" t="inlineStr">
        <is>
          <t xml:space="preserve">PACIFIC MARITIME INDUSTRIES CORP.</t>
        </is>
      </c>
      <c r="F3821" s="0" t="inlineStr">
        <is>
          <t xml:space="preserve">psc:2090</t>
        </is>
      </c>
    </row>
    <row r="3822">
      <c r="B3822" s="0" t="inlineStr">
        <is>
          <t xml:space="preserve">N3220522P0051</t>
        </is>
      </c>
      <c r="C3822" s="0" t="inlineStr">
        <is>
          <t xml:space="preserve">broad_maritime</t>
        </is>
      </c>
      <c r="D3822" s="4">
        <v>0.130098</v>
      </c>
      <c r="E3822" s="0" t="inlineStr">
        <is>
          <t xml:space="preserve">SAUER COMPRESSORS USA, INC.</t>
        </is>
      </c>
      <c r="F3822" s="0" t="inlineStr">
        <is>
          <t xml:space="preserve">psc:2090</t>
        </is>
      </c>
    </row>
    <row r="3823">
      <c r="B3823" s="0" t="inlineStr">
        <is>
          <t xml:space="preserve">N3220515P2000</t>
        </is>
      </c>
      <c r="C3823" s="0" t="inlineStr">
        <is>
          <t xml:space="preserve">broad_maritime</t>
        </is>
      </c>
      <c r="D3823" s="4">
        <v>0.13006511999999998</v>
      </c>
      <c r="E3823" s="0" t="inlineStr">
        <is>
          <t xml:space="preserve">JO-KELL INC.</t>
        </is>
      </c>
      <c r="F3823" s="0" t="inlineStr">
        <is>
          <t xml:space="preserve">psc:2090</t>
        </is>
      </c>
    </row>
    <row r="3824">
      <c r="B3824" s="0" t="inlineStr">
        <is>
          <t xml:space="preserve">N3220516P7374</t>
        </is>
      </c>
      <c r="C3824" s="0" t="inlineStr">
        <is>
          <t xml:space="preserve">broad_maritime</t>
        </is>
      </c>
      <c r="D3824" s="4">
        <v>0.130002</v>
      </c>
      <c r="E3824" s="0" t="inlineStr">
        <is>
          <t xml:space="preserve">A. W. CHESTERTON COMPANY</t>
        </is>
      </c>
      <c r="F3824" s="0" t="inlineStr">
        <is>
          <t xml:space="preserve">psc:2090</t>
        </is>
      </c>
    </row>
    <row r="3825">
      <c r="B3825" s="0" t="inlineStr">
        <is>
          <t xml:space="preserve">N5005425P0212</t>
        </is>
      </c>
      <c r="C3825" s="0" t="inlineStr">
        <is>
          <t xml:space="preserve">broad_maritime</t>
        </is>
      </c>
      <c r="D3825" s="4">
        <v>0.13</v>
      </c>
      <c r="E3825" s="0" t="inlineStr">
        <is>
          <t xml:space="preserve">VANWIN COATINGS OF VIRGINIA, L.L.C.</t>
        </is>
      </c>
      <c r="F3825" s="0" t="inlineStr">
        <is>
          <t xml:space="preserve">psc:2090</t>
        </is>
      </c>
    </row>
    <row r="3826">
      <c r="B3826" s="0" t="inlineStr">
        <is>
          <t xml:space="preserve">N3220520P2148</t>
        </is>
      </c>
      <c r="C3826" s="0" t="inlineStr">
        <is>
          <t xml:space="preserve">broad_maritime</t>
        </is>
      </c>
      <c r="D3826" s="4">
        <v>0.1299415</v>
      </c>
      <c r="E3826" s="0" t="inlineStr">
        <is>
          <t xml:space="preserve">KONGSBERG MARITIME INC</t>
        </is>
      </c>
      <c r="F3826" s="0" t="inlineStr">
        <is>
          <t xml:space="preserve">psc:2090</t>
        </is>
      </c>
    </row>
    <row r="3827">
      <c r="B3827" s="0" t="inlineStr">
        <is>
          <t xml:space="preserve">N3220514P2214</t>
        </is>
      </c>
      <c r="C3827" s="0" t="inlineStr">
        <is>
          <t xml:space="preserve">broad_maritime</t>
        </is>
      </c>
      <c r="D3827" s="4">
        <v>0.12992</v>
      </c>
      <c r="E3827" s="0" t="inlineStr">
        <is>
          <t xml:space="preserve">JOHNSON CONTROLS, INC.</t>
        </is>
      </c>
      <c r="F3827" s="0" t="inlineStr">
        <is>
          <t xml:space="preserve">psc:2090</t>
        </is>
      </c>
    </row>
    <row r="3828">
      <c r="B3828" s="0" t="inlineStr">
        <is>
          <t xml:space="preserve">N5005423P0004</t>
        </is>
      </c>
      <c r="C3828" s="0" t="inlineStr">
        <is>
          <t xml:space="preserve">broad_maritime</t>
        </is>
      </c>
      <c r="D3828" s="4">
        <v>0.12983852999999998</v>
      </c>
      <c r="E3828" s="0" t="inlineStr">
        <is>
          <t xml:space="preserve">DEFENSE MARITIME SOLUTIONS, INC.</t>
        </is>
      </c>
      <c r="F3828" s="0" t="inlineStr">
        <is>
          <t xml:space="preserve">psc:2090</t>
        </is>
      </c>
    </row>
    <row r="3829">
      <c r="B3829" s="0" t="inlineStr">
        <is>
          <t xml:space="preserve">N3220524F1652</t>
        </is>
      </c>
      <c r="C3829" s="0" t="inlineStr">
        <is>
          <t xml:space="preserve">broad_maritime</t>
        </is>
      </c>
      <c r="D3829" s="4">
        <v>0.12983283999999998</v>
      </c>
      <c r="E3829" s="0" t="inlineStr">
        <is>
          <t xml:space="preserve">ROLLS-ROYCE SOLUTIONS AMERICA INC</t>
        </is>
      </c>
      <c r="F3829" s="0" t="inlineStr">
        <is>
          <t xml:space="preserve">psc:2090</t>
        </is>
      </c>
    </row>
    <row r="3830">
      <c r="B3830" s="0" t="inlineStr">
        <is>
          <t xml:space="preserve">N0024418F0665</t>
        </is>
      </c>
      <c r="C3830" s="0" t="inlineStr">
        <is>
          <t xml:space="preserve">broad_maritime</t>
        </is>
      </c>
      <c r="D3830" s="4">
        <v>0.12983</v>
      </c>
      <c r="E3830" s="0" t="inlineStr">
        <is>
          <t xml:space="preserve">MARINE &amp; RESTAURANT FABRICATORS, INC.</t>
        </is>
      </c>
      <c r="F3830" s="0" t="inlineStr">
        <is>
          <t xml:space="preserve">psc:2090</t>
        </is>
      </c>
    </row>
    <row r="3831">
      <c r="B3831" s="0" t="inlineStr">
        <is>
          <t xml:space="preserve">N3220519P4351</t>
        </is>
      </c>
      <c r="C3831" s="0" t="inlineStr">
        <is>
          <t xml:space="preserve">broad_maritime</t>
        </is>
      </c>
      <c r="D3831" s="4">
        <v>0.129625</v>
      </c>
      <c r="E3831" s="0" t="inlineStr">
        <is>
          <t xml:space="preserve">STEWART FELTY, INC</t>
        </is>
      </c>
      <c r="F3831" s="0" t="inlineStr">
        <is>
          <t xml:space="preserve">psc:2090</t>
        </is>
      </c>
    </row>
    <row r="3832">
      <c r="B3832" s="0" t="inlineStr">
        <is>
          <t xml:space="preserve">N3220515P3653</t>
        </is>
      </c>
      <c r="C3832" s="0" t="inlineStr">
        <is>
          <t xml:space="preserve">broad_maritime</t>
        </is>
      </c>
      <c r="D3832" s="4">
        <v>0.1296</v>
      </c>
      <c r="E3832" s="0" t="inlineStr">
        <is>
          <t xml:space="preserve">HAMPTON RUBBER COMPANY</t>
        </is>
      </c>
      <c r="F3832" s="0" t="inlineStr">
        <is>
          <t xml:space="preserve">psc:2090</t>
        </is>
      </c>
    </row>
    <row r="3833">
      <c r="B3833" s="0" t="inlineStr">
        <is>
          <t xml:space="preserve">N0040625F0012</t>
        </is>
      </c>
      <c r="C3833" s="0" t="inlineStr">
        <is>
          <t xml:space="preserve">broad_maritime</t>
        </is>
      </c>
      <c r="D3833" s="4">
        <v>0.12952929999999999</v>
      </c>
      <c r="E3833" s="0" t="inlineStr">
        <is>
          <t xml:space="preserve">FINCANTIERI MARINE SYSTEMS NORTH AMERICA, INC.</t>
        </is>
      </c>
      <c r="F3833" s="0" t="inlineStr">
        <is>
          <t xml:space="preserve">psc:2090</t>
        </is>
      </c>
    </row>
    <row r="3834">
      <c r="B3834" s="0" t="inlineStr">
        <is>
          <t xml:space="preserve">N3220518P1067</t>
        </is>
      </c>
      <c r="C3834" s="0" t="inlineStr">
        <is>
          <t xml:space="preserve">broad_maritime</t>
        </is>
      </c>
      <c r="D3834" s="4">
        <v>0.1294398</v>
      </c>
      <c r="E3834" s="0" t="inlineStr">
        <is>
          <t xml:space="preserve">FEDERAL RESOURCES SUPPLY COMPANY, LLC</t>
        </is>
      </c>
      <c r="F3834" s="0" t="inlineStr">
        <is>
          <t xml:space="preserve">psc:2090</t>
        </is>
      </c>
    </row>
    <row r="3835">
      <c r="B3835" s="0" t="inlineStr">
        <is>
          <t xml:space="preserve">N3220516P7048</t>
        </is>
      </c>
      <c r="C3835" s="0" t="inlineStr">
        <is>
          <t xml:space="preserve">broad_maritime</t>
        </is>
      </c>
      <c r="D3835" s="4">
        <v>0.129438</v>
      </c>
      <c r="E3835" s="0" t="inlineStr">
        <is>
          <t xml:space="preserve">MARINE PROPULSION INC</t>
        </is>
      </c>
      <c r="F3835" s="0" t="inlineStr">
        <is>
          <t xml:space="preserve">psc:2090</t>
        </is>
      </c>
    </row>
    <row r="3836">
      <c r="B3836" s="0" t="inlineStr">
        <is>
          <t xml:space="preserve">N6470914P0123</t>
        </is>
      </c>
      <c r="C3836" s="0" t="inlineStr">
        <is>
          <t xml:space="preserve">broad_maritime</t>
        </is>
      </c>
      <c r="D3836" s="4">
        <v>0.129375</v>
      </c>
      <c r="E3836" s="0" t="inlineStr">
        <is>
          <t xml:space="preserve">CLARKE POWER SERVICES INC</t>
        </is>
      </c>
      <c r="F3836" s="0" t="inlineStr">
        <is>
          <t xml:space="preserve">psc:2090</t>
        </is>
      </c>
    </row>
    <row r="3837">
      <c r="B3837" s="0" t="inlineStr">
        <is>
          <t xml:space="preserve">N6449820P5288</t>
        </is>
      </c>
      <c r="C3837" s="0" t="inlineStr">
        <is>
          <t xml:space="preserve">broad_maritime</t>
        </is>
      </c>
      <c r="D3837" s="4">
        <v>0.12934203</v>
      </c>
      <c r="E3837" s="0" t="inlineStr">
        <is>
          <t xml:space="preserve">ALLIED SYSTEMS COMPANY</t>
        </is>
      </c>
      <c r="F3837" s="0" t="inlineStr">
        <is>
          <t xml:space="preserve">psc:2090</t>
        </is>
      </c>
    </row>
    <row r="3838">
      <c r="B3838" s="0" t="inlineStr">
        <is>
          <t xml:space="preserve">N5523621P0136</t>
        </is>
      </c>
      <c r="C3838" s="0" t="inlineStr">
        <is>
          <t xml:space="preserve">broad_maritime</t>
        </is>
      </c>
      <c r="D3838" s="4">
        <v>0.12925999999999999</v>
      </c>
      <c r="E3838" s="0" t="inlineStr">
        <is>
          <t xml:space="preserve">TIMKEN GEARS &amp; SERVICES INC.</t>
        </is>
      </c>
      <c r="F3838" s="0" t="inlineStr">
        <is>
          <t xml:space="preserve">psc:2090</t>
        </is>
      </c>
    </row>
    <row r="3839">
      <c r="B3839" s="0" t="inlineStr">
        <is>
          <t xml:space="preserve">N0024424F0303</t>
        </is>
      </c>
      <c r="C3839" s="0" t="inlineStr">
        <is>
          <t xml:space="preserve">broad_maritime</t>
        </is>
      </c>
      <c r="D3839" s="4">
        <v>0.129245</v>
      </c>
      <c r="E3839" s="0" t="inlineStr">
        <is>
          <t xml:space="preserve">MARINE &amp; RESTAURANT FABRICATORS, INC.</t>
        </is>
      </c>
      <c r="F3839" s="0" t="inlineStr">
        <is>
          <t xml:space="preserve">psc:2090</t>
        </is>
      </c>
    </row>
    <row r="3840">
      <c r="B3840" s="0" t="inlineStr">
        <is>
          <t xml:space="preserve">N3220523P0002</t>
        </is>
      </c>
      <c r="C3840" s="0" t="inlineStr">
        <is>
          <t xml:space="preserve">broad_maritime</t>
        </is>
      </c>
      <c r="D3840" s="4">
        <v>0.12918355</v>
      </c>
      <c r="E3840" s="0" t="inlineStr">
        <is>
          <t xml:space="preserve">TRYCON ENTERPRISES, L.L.C.</t>
        </is>
      </c>
      <c r="F3840" s="0" t="inlineStr">
        <is>
          <t xml:space="preserve">psc:2090</t>
        </is>
      </c>
    </row>
    <row r="3841">
      <c r="B3841" s="0" t="inlineStr">
        <is>
          <t xml:space="preserve">N5523623F9967</t>
        </is>
      </c>
      <c r="C3841" s="0" t="inlineStr">
        <is>
          <t xml:space="preserve">broad_maritime</t>
        </is>
      </c>
      <c r="D3841" s="4">
        <v>0.12909025999999998</v>
      </c>
      <c r="E3841" s="0" t="inlineStr">
        <is>
          <t xml:space="preserve">HII FLEET SUPPORT GROUP LLC</t>
        </is>
      </c>
      <c r="F3841" s="0" t="inlineStr">
        <is>
          <t xml:space="preserve">psc:1905</t>
        </is>
      </c>
    </row>
    <row r="3842">
      <c r="B3842" s="0" t="inlineStr">
        <is>
          <t xml:space="preserve">N3220515P3561</t>
        </is>
      </c>
      <c r="C3842" s="0" t="inlineStr">
        <is>
          <t xml:space="preserve">broad_maritime</t>
        </is>
      </c>
      <c r="D3842" s="4">
        <v>0.12906768999999998</v>
      </c>
      <c r="E3842" s="0" t="inlineStr">
        <is>
          <t xml:space="preserve">NORTHROP GRUMMAN SYSTEMS CORPORATION</t>
        </is>
      </c>
      <c r="F3842" s="0" t="inlineStr">
        <is>
          <t xml:space="preserve">psc:2090</t>
        </is>
      </c>
    </row>
    <row r="3843">
      <c r="B3843" s="0" t="inlineStr">
        <is>
          <t xml:space="preserve">N5005422P0101</t>
        </is>
      </c>
      <c r="C3843" s="0" t="inlineStr">
        <is>
          <t xml:space="preserve">small_craft</t>
        </is>
      </c>
      <c r="D3843" s="4">
        <v>0.128999</v>
      </c>
      <c r="E3843" s="0" t="inlineStr">
        <is>
          <t xml:space="preserve">PKJ INTERNATIONAL LLC</t>
        </is>
      </c>
      <c r="F3843" s="0" t="inlineStr">
        <is>
          <t xml:space="preserve">naics:336612</t>
        </is>
      </c>
    </row>
    <row r="3844">
      <c r="B3844" s="0" t="inlineStr">
        <is>
          <t xml:space="preserve">N6817115P8024</t>
        </is>
      </c>
      <c r="C3844" s="0" t="inlineStr">
        <is>
          <t xml:space="preserve">broad_maritime</t>
        </is>
      </c>
      <c r="D3844" s="4">
        <v>0.1289368</v>
      </c>
      <c r="E3844" s="0" t="inlineStr">
        <is>
          <t xml:space="preserve">GLOBAL DEFENSE LOGISTICS S.R.L.</t>
        </is>
      </c>
      <c r="F3844" s="0" t="inlineStr">
        <is>
          <t xml:space="preserve">psc:2090</t>
        </is>
      </c>
    </row>
    <row r="3845">
      <c r="B3845" s="0" t="inlineStr">
        <is>
          <t xml:space="preserve">N3220524P2277</t>
        </is>
      </c>
      <c r="C3845" s="0" t="inlineStr">
        <is>
          <t xml:space="preserve">broad_maritime</t>
        </is>
      </c>
      <c r="D3845" s="4">
        <v>0.12874296</v>
      </c>
      <c r="E3845" s="0" t="inlineStr">
        <is>
          <t xml:space="preserve">TORK SYSTEMS INC</t>
        </is>
      </c>
      <c r="F3845" s="0" t="inlineStr">
        <is>
          <t xml:space="preserve">psc:2090</t>
        </is>
      </c>
    </row>
    <row r="3846">
      <c r="B3846" s="0" t="inlineStr">
        <is>
          <t xml:space="preserve">N6883625PS035</t>
        </is>
      </c>
      <c r="C3846" s="0" t="inlineStr">
        <is>
          <t xml:space="preserve">broad_maritime</t>
        </is>
      </c>
      <c r="D3846" s="4">
        <v>0.12840807</v>
      </c>
      <c r="E3846" s="0" t="inlineStr">
        <is>
          <t xml:space="preserve">JERED LLC</t>
        </is>
      </c>
      <c r="F3846" s="0" t="inlineStr">
        <is>
          <t xml:space="preserve">psc:1905</t>
        </is>
      </c>
    </row>
    <row r="3847">
      <c r="B3847" s="0" t="inlineStr">
        <is>
          <t xml:space="preserve">N3220519P6505</t>
        </is>
      </c>
      <c r="C3847" s="0" t="inlineStr">
        <is>
          <t xml:space="preserve">broad_maritime</t>
        </is>
      </c>
      <c r="D3847" s="4">
        <v>0.1282456</v>
      </c>
      <c r="E3847" s="0" t="inlineStr">
        <is>
          <t xml:space="preserve">FASSMER SERVICE AMERICA LLC</t>
        </is>
      </c>
      <c r="F3847" s="0" t="inlineStr">
        <is>
          <t xml:space="preserve">psc:2090</t>
        </is>
      </c>
    </row>
    <row r="3848">
      <c r="B3848" s="0" t="inlineStr">
        <is>
          <t xml:space="preserve">N0018917P1585</t>
        </is>
      </c>
      <c r="C3848" s="0" t="inlineStr">
        <is>
          <t xml:space="preserve">broad_maritime</t>
        </is>
      </c>
      <c r="D3848" s="4">
        <v>0.12821338999999998</v>
      </c>
      <c r="E3848" s="0" t="inlineStr">
        <is>
          <t xml:space="preserve">SAFE BOATS INTERNATIONAL LLC</t>
        </is>
      </c>
      <c r="F3848" s="0" t="inlineStr">
        <is>
          <t xml:space="preserve">psc:2090</t>
        </is>
      </c>
    </row>
    <row r="3849">
      <c r="B3849" s="0" t="inlineStr">
        <is>
          <t xml:space="preserve">N3220520P2265</t>
        </is>
      </c>
      <c r="C3849" s="0" t="inlineStr">
        <is>
          <t xml:space="preserve">broad_maritime</t>
        </is>
      </c>
      <c r="D3849" s="4">
        <v>0.128096</v>
      </c>
      <c r="E3849" s="0" t="inlineStr">
        <is>
          <t xml:space="preserve">CARVER PUMP COMPANY</t>
        </is>
      </c>
      <c r="F3849" s="0" t="inlineStr">
        <is>
          <t xml:space="preserve">psc:2090</t>
        </is>
      </c>
    </row>
    <row r="3850">
      <c r="B3850" s="0" t="inlineStr">
        <is>
          <t xml:space="preserve">N3220518P4035</t>
        </is>
      </c>
      <c r="C3850" s="0" t="inlineStr">
        <is>
          <t xml:space="preserve">broad_maritime</t>
        </is>
      </c>
      <c r="D3850" s="4">
        <v>0.12800999999999998</v>
      </c>
      <c r="E3850" s="0" t="inlineStr">
        <is>
          <t xml:space="preserve">PACIFIC MARINE EQUIPMENT, LLC</t>
        </is>
      </c>
      <c r="F3850" s="0" t="inlineStr">
        <is>
          <t xml:space="preserve">psc:2090</t>
        </is>
      </c>
    </row>
    <row r="3851">
      <c r="B3851" s="0" t="inlineStr">
        <is>
          <t xml:space="preserve">N3220522P2244</t>
        </is>
      </c>
      <c r="C3851" s="0" t="inlineStr">
        <is>
          <t xml:space="preserve">broad_maritime</t>
        </is>
      </c>
      <c r="D3851" s="4">
        <v>0.12792</v>
      </c>
      <c r="E3851" s="0" t="inlineStr">
        <is>
          <t xml:space="preserve">FSR CONSULTING LLC</t>
        </is>
      </c>
      <c r="F3851" s="0" t="inlineStr">
        <is>
          <t xml:space="preserve">psc:2090</t>
        </is>
      </c>
    </row>
    <row r="3852">
      <c r="B3852" s="0" t="inlineStr">
        <is>
          <t xml:space="preserve">N5523620P0106</t>
        </is>
      </c>
      <c r="C3852" s="0" t="inlineStr">
        <is>
          <t xml:space="preserve">broad_maritime</t>
        </is>
      </c>
      <c r="D3852" s="4">
        <v>0.127916</v>
      </c>
      <c r="E3852" s="0" t="inlineStr">
        <is>
          <t xml:space="preserve">TIMKEN GEARS &amp; SERVICES INC.</t>
        </is>
      </c>
      <c r="F3852" s="0" t="inlineStr">
        <is>
          <t xml:space="preserve">psc:2090</t>
        </is>
      </c>
    </row>
    <row r="3853">
      <c r="B3853" s="0" t="inlineStr">
        <is>
          <t xml:space="preserve">N5005424P0070</t>
        </is>
      </c>
      <c r="C3853" s="0" t="inlineStr">
        <is>
          <t xml:space="preserve">broad_maritime</t>
        </is>
      </c>
      <c r="D3853" s="4">
        <v>0.12781599999999999</v>
      </c>
      <c r="E3853" s="0" t="inlineStr">
        <is>
          <t xml:space="preserve">HYSPAN PRECISION PRODUCTS, INC.</t>
        </is>
      </c>
      <c r="F3853" s="0" t="inlineStr">
        <is>
          <t xml:space="preserve">psc:2090</t>
        </is>
      </c>
    </row>
    <row r="3854">
      <c r="B3854" s="0" t="inlineStr">
        <is>
          <t xml:space="preserve">N3220517P4035</t>
        </is>
      </c>
      <c r="C3854" s="0" t="inlineStr">
        <is>
          <t xml:space="preserve">broad_maritime</t>
        </is>
      </c>
      <c r="D3854" s="4">
        <v>0.12774</v>
      </c>
      <c r="E3854" s="0" t="inlineStr">
        <is>
          <t xml:space="preserve">WAUKESHA BEARINGS CORPORATION</t>
        </is>
      </c>
      <c r="F3854" s="0" t="inlineStr">
        <is>
          <t xml:space="preserve">psc:2090</t>
        </is>
      </c>
    </row>
    <row r="3855">
      <c r="B3855" s="0" t="inlineStr">
        <is>
          <t xml:space="preserve">N3220515P1209</t>
        </is>
      </c>
      <c r="C3855" s="0" t="inlineStr">
        <is>
          <t xml:space="preserve">broad_maritime</t>
        </is>
      </c>
      <c r="D3855" s="4">
        <v>0.12764404</v>
      </c>
      <c r="E3855" s="0" t="inlineStr">
        <is>
          <t xml:space="preserve">MOTOR-SERVICES HUGO STAMP, INC</t>
        </is>
      </c>
      <c r="F3855" s="0" t="inlineStr">
        <is>
          <t xml:space="preserve">psc:2090</t>
        </is>
      </c>
    </row>
    <row r="3856">
      <c r="B3856" s="0" t="inlineStr">
        <is>
          <t xml:space="preserve">N3220517P4428</t>
        </is>
      </c>
      <c r="C3856" s="0" t="inlineStr">
        <is>
          <t xml:space="preserve">broad_maritime</t>
        </is>
      </c>
      <c r="D3856" s="4">
        <v>0.12756599999999998</v>
      </c>
      <c r="E3856" s="0" t="inlineStr">
        <is>
          <t xml:space="preserve">CARVER PUMP COMPANY</t>
        </is>
      </c>
      <c r="F3856" s="0" t="inlineStr">
        <is>
          <t xml:space="preserve">psc:2090</t>
        </is>
      </c>
    </row>
    <row r="3857">
      <c r="B3857" s="0" t="inlineStr">
        <is>
          <t xml:space="preserve">N4446623F0007</t>
        </is>
      </c>
      <c r="C3857" s="0" t="inlineStr">
        <is>
          <t xml:space="preserve">broad_maritime</t>
        </is>
      </c>
      <c r="D3857" s="4">
        <v>0.12743532</v>
      </c>
      <c r="E3857" s="0" t="inlineStr">
        <is>
          <t xml:space="preserve">CAPRICE ELECTRONICS, INC</t>
        </is>
      </c>
      <c r="F3857" s="0" t="inlineStr">
        <is>
          <t xml:space="preserve">psc:2090</t>
        </is>
      </c>
    </row>
    <row r="3858">
      <c r="B3858" s="0" t="inlineStr">
        <is>
          <t xml:space="preserve">N0024415P0397</t>
        </is>
      </c>
      <c r="C3858" s="0" t="inlineStr">
        <is>
          <t xml:space="preserve">small_craft</t>
        </is>
      </c>
      <c r="D3858" s="4">
        <v>0.1273948</v>
      </c>
      <c r="E3858" s="0" t="inlineStr">
        <is>
          <t xml:space="preserve">SAFE BOATS INTERNATIONAL LLC</t>
        </is>
      </c>
      <c r="F3858" s="0" t="inlineStr">
        <is>
          <t xml:space="preserve">naics:336612</t>
        </is>
      </c>
    </row>
    <row r="3859">
      <c r="B3859" s="0" t="inlineStr">
        <is>
          <t xml:space="preserve">0025</t>
        </is>
      </c>
      <c r="C3859" s="0" t="inlineStr">
        <is>
          <t xml:space="preserve">broad_maritime</t>
        </is>
      </c>
      <c r="D3859" s="4">
        <v>0.12727</v>
      </c>
      <c r="E3859" s="0" t="inlineStr">
        <is>
          <t xml:space="preserve">JPL HABITABILITY, INC.</t>
        </is>
      </c>
      <c r="F3859" s="0" t="inlineStr">
        <is>
          <t xml:space="preserve">psc:2090</t>
        </is>
      </c>
    </row>
    <row r="3860">
      <c r="B3860" s="0" t="inlineStr">
        <is>
          <t xml:space="preserve">N3220526P5083</t>
        </is>
      </c>
      <c r="C3860" s="0" t="inlineStr">
        <is>
          <t xml:space="preserve">broad_maritime</t>
        </is>
      </c>
      <c r="D3860" s="4">
        <v>0.127268</v>
      </c>
      <c r="E3860" s="0" t="inlineStr">
        <is>
          <t xml:space="preserve">LEISTRITZ ADVANCED TECHNOLOGIES CORP</t>
        </is>
      </c>
      <c r="F3860" s="0" t="inlineStr">
        <is>
          <t xml:space="preserve">psc:2090</t>
        </is>
      </c>
    </row>
    <row r="3861">
      <c r="B3861" s="0" t="inlineStr">
        <is>
          <t xml:space="preserve">N5005420P0242</t>
        </is>
      </c>
      <c r="C3861" s="0" t="inlineStr">
        <is>
          <t xml:space="preserve">broad_maritime</t>
        </is>
      </c>
      <c r="D3861" s="4">
        <v>0.12719619</v>
      </c>
      <c r="E3861" s="0" t="inlineStr">
        <is>
          <t xml:space="preserve">TRI-WAY INDUSTRIES, INC.</t>
        </is>
      </c>
      <c r="F3861" s="0" t="inlineStr">
        <is>
          <t xml:space="preserve">psc:2090</t>
        </is>
      </c>
    </row>
    <row r="3862">
      <c r="B3862" s="0" t="inlineStr">
        <is>
          <t xml:space="preserve">0039</t>
        </is>
      </c>
      <c r="C3862" s="0" t="inlineStr">
        <is>
          <t xml:space="preserve">broad_maritime</t>
        </is>
      </c>
      <c r="D3862" s="4">
        <v>0.127125</v>
      </c>
      <c r="E3862" s="0" t="inlineStr">
        <is>
          <t xml:space="preserve">PACIFIC MARITIME INDUSTRIES CORP.</t>
        </is>
      </c>
      <c r="F3862" s="0" t="inlineStr">
        <is>
          <t xml:space="preserve">psc:2090</t>
        </is>
      </c>
    </row>
    <row r="3863">
      <c r="B3863" s="0" t="inlineStr">
        <is>
          <t xml:space="preserve">N6883622P0283</t>
        </is>
      </c>
      <c r="C3863" s="0" t="inlineStr">
        <is>
          <t xml:space="preserve">small_craft</t>
        </is>
      </c>
      <c r="D3863" s="4">
        <v>0.12708867999999998</v>
      </c>
      <c r="E3863" s="0" t="inlineStr">
        <is>
          <t xml:space="preserve">FOSTER-MILLER, INC.</t>
        </is>
      </c>
      <c r="F3863" s="0" t="inlineStr">
        <is>
          <t xml:space="preserve">naics:336612</t>
        </is>
      </c>
    </row>
    <row r="3864">
      <c r="B3864" s="0" t="inlineStr">
        <is>
          <t xml:space="preserve">N3220516P4204</t>
        </is>
      </c>
      <c r="C3864" s="0" t="inlineStr">
        <is>
          <t xml:space="preserve">broad_maritime</t>
        </is>
      </c>
      <c r="D3864" s="4">
        <v>0.1270545</v>
      </c>
      <c r="E3864" s="0" t="inlineStr">
        <is>
          <t xml:space="preserve">B &amp; H INTERNATIONAL LLC</t>
        </is>
      </c>
      <c r="F3864" s="0" t="inlineStr">
        <is>
          <t xml:space="preserve">psc:2090</t>
        </is>
      </c>
    </row>
    <row r="3865">
      <c r="B3865" s="0" t="inlineStr">
        <is>
          <t xml:space="preserve">N3220515P4368</t>
        </is>
      </c>
      <c r="C3865" s="0" t="inlineStr">
        <is>
          <t xml:space="preserve">other_small</t>
        </is>
      </c>
      <c r="D3865" s="4">
        <v>0.127</v>
      </c>
      <c r="E3865" s="0" t="inlineStr">
        <is>
          <t xml:space="preserve">CDK MOBILE SYSTEMS INC</t>
        </is>
      </c>
      <c r="F3865" s="0" t="inlineStr">
        <is>
          <t xml:space="preserve">psc:1990</t>
        </is>
      </c>
    </row>
    <row r="3866">
      <c r="B3866" s="0" t="inlineStr">
        <is>
          <t xml:space="preserve">N5523618P0046</t>
        </is>
      </c>
      <c r="C3866" s="0" t="inlineStr">
        <is>
          <t xml:space="preserve">broad_maritime</t>
        </is>
      </c>
      <c r="D3866" s="4">
        <v>0.12699242</v>
      </c>
      <c r="E3866" s="0" t="inlineStr">
        <is>
          <t xml:space="preserve">CALEY OCEAN SYSTEMS LIMITED</t>
        </is>
      </c>
      <c r="F3866" s="0" t="inlineStr">
        <is>
          <t xml:space="preserve">psc:2090</t>
        </is>
      </c>
    </row>
    <row r="3867">
      <c r="B3867" s="0" t="inlineStr">
        <is>
          <t xml:space="preserve">N3220524P2211</t>
        </is>
      </c>
      <c r="C3867" s="0" t="inlineStr">
        <is>
          <t xml:space="preserve">broad_maritime</t>
        </is>
      </c>
      <c r="D3867" s="4">
        <v>0.126916</v>
      </c>
      <c r="E3867" s="0" t="inlineStr">
        <is>
          <t xml:space="preserve">FEDERAL EQUIPMENT CO</t>
        </is>
      </c>
      <c r="F3867" s="0" t="inlineStr">
        <is>
          <t xml:space="preserve">psc:2090</t>
        </is>
      </c>
    </row>
    <row r="3868">
      <c r="B3868" s="0" t="inlineStr">
        <is>
          <t xml:space="preserve">N0010424PNA03</t>
        </is>
      </c>
      <c r="C3868" s="0" t="inlineStr">
        <is>
          <t xml:space="preserve">broad_maritime</t>
        </is>
      </c>
      <c r="D3868" s="4">
        <v>0.126669</v>
      </c>
      <c r="E3868" s="0" t="inlineStr">
        <is>
          <t xml:space="preserve">WESTLAND TECHNOLOGIES, INC.</t>
        </is>
      </c>
      <c r="F3868" s="0" t="inlineStr">
        <is>
          <t xml:space="preserve">psc:2090</t>
        </is>
      </c>
    </row>
    <row r="3869">
      <c r="B3869" s="0" t="inlineStr">
        <is>
          <t xml:space="preserve">N3220521P2050</t>
        </is>
      </c>
      <c r="C3869" s="0" t="inlineStr">
        <is>
          <t xml:space="preserve">broad_maritime</t>
        </is>
      </c>
      <c r="D3869" s="4">
        <v>0.12663439999999998</v>
      </c>
      <c r="E3869" s="0" t="inlineStr">
        <is>
          <t xml:space="preserve">DEFENSE MARITIME SOLUTIONS, INC.</t>
        </is>
      </c>
      <c r="F3869" s="0" t="inlineStr">
        <is>
          <t xml:space="preserve">psc:2090</t>
        </is>
      </c>
    </row>
    <row r="3870">
      <c r="B3870" s="0" t="inlineStr">
        <is>
          <t xml:space="preserve">N0040624P0621</t>
        </is>
      </c>
      <c r="C3870" s="0" t="inlineStr">
        <is>
          <t xml:space="preserve">broad_maritime</t>
        </is>
      </c>
      <c r="D3870" s="4">
        <v>0.12641595</v>
      </c>
      <c r="E3870" s="0" t="inlineStr">
        <is>
          <t xml:space="preserve">17 MACHINERY LLC</t>
        </is>
      </c>
      <c r="F3870" s="0" t="inlineStr">
        <is>
          <t xml:space="preserve">psc:2090</t>
        </is>
      </c>
    </row>
    <row r="3871">
      <c r="B3871" s="0" t="inlineStr">
        <is>
          <t xml:space="preserve">N6449818F0036</t>
        </is>
      </c>
      <c r="C3871" s="0" t="inlineStr">
        <is>
          <t xml:space="preserve">broad_maritime</t>
        </is>
      </c>
      <c r="D3871" s="4">
        <v>0.12618889</v>
      </c>
      <c r="E3871" s="0" t="inlineStr">
        <is>
          <t xml:space="preserve">L3 TECHNOLOGIES, INC.</t>
        </is>
      </c>
      <c r="F3871" s="0" t="inlineStr">
        <is>
          <t xml:space="preserve">psc:2090</t>
        </is>
      </c>
    </row>
    <row r="3872">
      <c r="B3872" s="0" t="inlineStr">
        <is>
          <t xml:space="preserve">N0040623P0916</t>
        </is>
      </c>
      <c r="C3872" s="0" t="inlineStr">
        <is>
          <t xml:space="preserve">broad_maritime</t>
        </is>
      </c>
      <c r="D3872" s="4">
        <v>0.12614999999999998</v>
      </c>
      <c r="E3872" s="0" t="inlineStr">
        <is>
          <t xml:space="preserve">SHANI WALLACE</t>
        </is>
      </c>
      <c r="F3872" s="0" t="inlineStr">
        <is>
          <t xml:space="preserve">psc:2090</t>
        </is>
      </c>
    </row>
    <row r="3873">
      <c r="B3873" s="0" t="inlineStr">
        <is>
          <t xml:space="preserve">N3220520P2005</t>
        </is>
      </c>
      <c r="C3873" s="0" t="inlineStr">
        <is>
          <t xml:space="preserve">broad_maritime</t>
        </is>
      </c>
      <c r="D3873" s="4">
        <v>0.12603</v>
      </c>
      <c r="E3873" s="0" t="inlineStr">
        <is>
          <t xml:space="preserve">SAUER COMPRESSORS USA, INC.</t>
        </is>
      </c>
      <c r="F3873" s="0" t="inlineStr">
        <is>
          <t xml:space="preserve">psc:2090</t>
        </is>
      </c>
    </row>
    <row r="3874">
      <c r="B3874" s="0" t="inlineStr">
        <is>
          <t xml:space="preserve">N0010416PBT75</t>
        </is>
      </c>
      <c r="C3874" s="0" t="inlineStr">
        <is>
          <t xml:space="preserve">broad_maritime</t>
        </is>
      </c>
      <c r="D3874" s="4">
        <v>0.126</v>
      </c>
      <c r="E3874" s="0" t="inlineStr">
        <is>
          <t xml:space="preserve">TURNBULL LLC</t>
        </is>
      </c>
      <c r="F3874" s="0" t="inlineStr">
        <is>
          <t xml:space="preserve">psc:2090</t>
        </is>
      </c>
    </row>
    <row r="3875">
      <c r="B3875" s="0" t="inlineStr">
        <is>
          <t xml:space="preserve">N0024422F0290</t>
        </is>
      </c>
      <c r="C3875" s="0" t="inlineStr">
        <is>
          <t xml:space="preserve">broad_maritime</t>
        </is>
      </c>
      <c r="D3875" s="4">
        <v>0.1259785</v>
      </c>
      <c r="E3875" s="0" t="inlineStr">
        <is>
          <t xml:space="preserve">JPL HABITABILITY, INC.</t>
        </is>
      </c>
      <c r="F3875" s="0" t="inlineStr">
        <is>
          <t xml:space="preserve">psc:2090</t>
        </is>
      </c>
    </row>
    <row r="3876">
      <c r="B3876" s="0" t="inlineStr">
        <is>
          <t xml:space="preserve">N3220516P7355</t>
        </is>
      </c>
      <c r="C3876" s="0" t="inlineStr">
        <is>
          <t xml:space="preserve">broad_maritime</t>
        </is>
      </c>
      <c r="D3876" s="4">
        <v>0.12589799999999998</v>
      </c>
      <c r="E3876" s="0" t="inlineStr">
        <is>
          <t xml:space="preserve">COLTEC INDUSTRIES INC.</t>
        </is>
      </c>
      <c r="F3876" s="0" t="inlineStr">
        <is>
          <t xml:space="preserve">psc:2090</t>
        </is>
      </c>
    </row>
    <row r="3877">
      <c r="B3877" s="0" t="inlineStr">
        <is>
          <t xml:space="preserve">N3220515P1438</t>
        </is>
      </c>
      <c r="C3877" s="0" t="inlineStr">
        <is>
          <t xml:space="preserve">broad_maritime</t>
        </is>
      </c>
      <c r="D3877" s="4">
        <v>0.12578</v>
      </c>
      <c r="E3877" s="0" t="inlineStr">
        <is>
          <t xml:space="preserve">CIRCOR NAVAL SOLUTIONS LLC</t>
        </is>
      </c>
      <c r="F3877" s="0" t="inlineStr">
        <is>
          <t xml:space="preserve">psc:2090</t>
        </is>
      </c>
    </row>
    <row r="3878">
      <c r="B3878" s="0" t="inlineStr">
        <is>
          <t xml:space="preserve">N0010425PLA05</t>
        </is>
      </c>
      <c r="C3878" s="0" t="inlineStr">
        <is>
          <t xml:space="preserve">small_craft</t>
        </is>
      </c>
      <c r="D3878" s="4">
        <v>0.125752</v>
      </c>
      <c r="E3878" s="0" t="inlineStr">
        <is>
          <t xml:space="preserve">KAMPI COMPONENTS CO INC</t>
        </is>
      </c>
      <c r="F3878" s="0" t="inlineStr">
        <is>
          <t xml:space="preserve">naics:336612</t>
        </is>
      </c>
    </row>
    <row r="3879">
      <c r="B3879" s="0" t="inlineStr">
        <is>
          <t xml:space="preserve">0095</t>
        </is>
      </c>
      <c r="C3879" s="0" t="inlineStr">
        <is>
          <t xml:space="preserve">broad_maritime</t>
        </is>
      </c>
      <c r="D3879" s="4">
        <v>0.12562156</v>
      </c>
      <c r="E3879" s="0" t="inlineStr">
        <is>
          <t xml:space="preserve">ROCKWELL AUTOMATION INC</t>
        </is>
      </c>
      <c r="F3879" s="0" t="inlineStr">
        <is>
          <t xml:space="preserve">psc:2090</t>
        </is>
      </c>
    </row>
    <row r="3880">
      <c r="B3880" s="0" t="inlineStr">
        <is>
          <t xml:space="preserve">N6470915F0056</t>
        </is>
      </c>
      <c r="C3880" s="0" t="inlineStr">
        <is>
          <t xml:space="preserve">broad_maritime</t>
        </is>
      </c>
      <c r="D3880" s="4">
        <v>0.125466</v>
      </c>
      <c r="E3880" s="0" t="inlineStr">
        <is>
          <t xml:space="preserve">MJL ENTERPRISES, LLC</t>
        </is>
      </c>
      <c r="F3880" s="0" t="inlineStr">
        <is>
          <t xml:space="preserve">psc:2090</t>
        </is>
      </c>
    </row>
    <row r="3881">
      <c r="B3881" s="0" t="inlineStr">
        <is>
          <t xml:space="preserve">N4044212P8478</t>
        </is>
      </c>
      <c r="C3881" s="0" t="inlineStr">
        <is>
          <t xml:space="preserve">broad_maritime</t>
        </is>
      </c>
      <c r="D3881" s="4">
        <v>0.12544888</v>
      </c>
      <c r="E3881" s="0" t="inlineStr">
        <is>
          <t xml:space="preserve">JO-KELL INC.</t>
        </is>
      </c>
      <c r="F3881" s="0" t="inlineStr">
        <is>
          <t xml:space="preserve">psc:2090</t>
        </is>
      </c>
    </row>
    <row r="3882">
      <c r="B3882" s="0" t="inlineStr">
        <is>
          <t xml:space="preserve">N3220517P7007</t>
        </is>
      </c>
      <c r="C3882" s="0" t="inlineStr">
        <is>
          <t xml:space="preserve">broad_maritime</t>
        </is>
      </c>
      <c r="D3882" s="4">
        <v>0.12528250999999999</v>
      </c>
      <c r="E3882" s="0" t="inlineStr">
        <is>
          <t xml:space="preserve">BPS SUPPLY GROUP</t>
        </is>
      </c>
      <c r="F3882" s="0" t="inlineStr">
        <is>
          <t xml:space="preserve">psc:2090</t>
        </is>
      </c>
    </row>
    <row r="3883">
      <c r="B3883" s="0" t="inlineStr">
        <is>
          <t xml:space="preserve">N0040624P0808</t>
        </is>
      </c>
      <c r="C3883" s="0" t="inlineStr">
        <is>
          <t xml:space="preserve">broad_maritime</t>
        </is>
      </c>
      <c r="D3883" s="4">
        <v>0.125056</v>
      </c>
      <c r="E3883" s="0" t="inlineStr">
        <is>
          <t xml:space="preserve">APPLETON MARINE INC</t>
        </is>
      </c>
      <c r="F3883" s="0" t="inlineStr">
        <is>
          <t xml:space="preserve">psc:2090</t>
        </is>
      </c>
    </row>
    <row r="3884">
      <c r="B3884" s="0" t="inlineStr">
        <is>
          <t xml:space="preserve">N3220521P0046</t>
        </is>
      </c>
      <c r="C3884" s="0" t="inlineStr">
        <is>
          <t xml:space="preserve">broad_maritime</t>
        </is>
      </c>
      <c r="D3884" s="4">
        <v>0.12504207</v>
      </c>
      <c r="E3884" s="0" t="inlineStr">
        <is>
          <t xml:space="preserve">IMECO INC</t>
        </is>
      </c>
      <c r="F3884" s="0" t="inlineStr">
        <is>
          <t xml:space="preserve">psc:2090</t>
        </is>
      </c>
    </row>
    <row r="3885">
      <c r="B3885" s="0" t="inlineStr">
        <is>
          <t xml:space="preserve">N0010421PDB28</t>
        </is>
      </c>
      <c r="C3885" s="0" t="inlineStr">
        <is>
          <t xml:space="preserve">small_craft</t>
        </is>
      </c>
      <c r="D3885" s="4">
        <v>0.12503999999999998</v>
      </c>
      <c r="E3885" s="0" t="inlineStr">
        <is>
          <t xml:space="preserve">RAYTHEON COMPANY</t>
        </is>
      </c>
      <c r="F3885" s="0" t="inlineStr">
        <is>
          <t xml:space="preserve">naics:336612</t>
        </is>
      </c>
    </row>
    <row r="3886">
      <c r="B3886" s="0" t="inlineStr">
        <is>
          <t xml:space="preserve">N0024424F0357</t>
        </is>
      </c>
      <c r="C3886" s="0" t="inlineStr">
        <is>
          <t xml:space="preserve">broad_maritime</t>
        </is>
      </c>
      <c r="D3886" s="4">
        <v>0.12503999999999998</v>
      </c>
      <c r="E3886" s="0" t="inlineStr">
        <is>
          <t xml:space="preserve">MARINE &amp; RESTAURANT FABRICATORS, INC.</t>
        </is>
      </c>
      <c r="F3886" s="0" t="inlineStr">
        <is>
          <t xml:space="preserve">psc:2090</t>
        </is>
      </c>
    </row>
    <row r="3887">
      <c r="B3887" s="0" t="inlineStr">
        <is>
          <t xml:space="preserve">N3220518P4502</t>
        </is>
      </c>
      <c r="C3887" s="0" t="inlineStr">
        <is>
          <t xml:space="preserve">broad_maritime</t>
        </is>
      </c>
      <c r="D3887" s="4">
        <v>0.125</v>
      </c>
      <c r="E3887" s="0" t="inlineStr">
        <is>
          <t xml:space="preserve">SMITH-BERGER MARINE, INC</t>
        </is>
      </c>
      <c r="F3887" s="0" t="inlineStr">
        <is>
          <t xml:space="preserve">psc:2090</t>
        </is>
      </c>
    </row>
    <row r="3888">
      <c r="B3888" s="0" t="inlineStr">
        <is>
          <t xml:space="preserve">N0010420PER89</t>
        </is>
      </c>
      <c r="C3888" s="0" t="inlineStr">
        <is>
          <t xml:space="preserve">broad_maritime</t>
        </is>
      </c>
      <c r="D3888" s="4">
        <v>0.12497499999999999</v>
      </c>
      <c r="E3888" s="0" t="inlineStr">
        <is>
          <t xml:space="preserve">TURNBULL LLC</t>
        </is>
      </c>
      <c r="F3888" s="0" t="inlineStr">
        <is>
          <t xml:space="preserve">psc:2090</t>
        </is>
      </c>
    </row>
    <row r="3889">
      <c r="B3889" s="0" t="inlineStr">
        <is>
          <t xml:space="preserve">N3220520P2041</t>
        </is>
      </c>
      <c r="C3889" s="0" t="inlineStr">
        <is>
          <t xml:space="preserve">broad_maritime</t>
        </is>
      </c>
      <c r="D3889" s="4">
        <v>0.12493599999999999</v>
      </c>
      <c r="E3889" s="0" t="inlineStr">
        <is>
          <t xml:space="preserve">DURAMAX MARINE, LLC</t>
        </is>
      </c>
      <c r="F3889" s="0" t="inlineStr">
        <is>
          <t xml:space="preserve">psc:2090</t>
        </is>
      </c>
    </row>
    <row r="3890">
      <c r="B3890" s="0" t="inlineStr">
        <is>
          <t xml:space="preserve">N0010425PFE03</t>
        </is>
      </c>
      <c r="C3890" s="0" t="inlineStr">
        <is>
          <t xml:space="preserve">small_craft</t>
        </is>
      </c>
      <c r="D3890" s="4">
        <v>0.1247324</v>
      </c>
      <c r="E3890" s="0" t="inlineStr">
        <is>
          <t xml:space="preserve">ARCOS INDUSTRIES LLC</t>
        </is>
      </c>
      <c r="F3890" s="0" t="inlineStr">
        <is>
          <t xml:space="preserve">naics:336612</t>
        </is>
      </c>
    </row>
    <row r="3891">
      <c r="B3891" s="0" t="inlineStr">
        <is>
          <t xml:space="preserve">N0040616P3311</t>
        </is>
      </c>
      <c r="C3891" s="0" t="inlineStr">
        <is>
          <t xml:space="preserve">broad_maritime</t>
        </is>
      </c>
      <c r="D3891" s="4">
        <v>0.12468666</v>
      </c>
      <c r="E3891" s="0" t="inlineStr">
        <is>
          <t xml:space="preserve">DEFENSE MARITIME SOLUTIONS, INC.</t>
        </is>
      </c>
      <c r="F3891" s="0" t="inlineStr">
        <is>
          <t xml:space="preserve">psc:2090</t>
        </is>
      </c>
    </row>
    <row r="3892">
      <c r="B3892" s="0" t="inlineStr">
        <is>
          <t xml:space="preserve">N0016718P0033</t>
        </is>
      </c>
      <c r="C3892" s="0" t="inlineStr">
        <is>
          <t xml:space="preserve">other_small</t>
        </is>
      </c>
      <c r="D3892" s="4">
        <v>0.124634</v>
      </c>
      <c r="E3892" s="0" t="inlineStr">
        <is>
          <t xml:space="preserve">BAE SYSTEMS INFORMATION AND ELECTRONIC SYSTEMS INTEGRATION INC.</t>
        </is>
      </c>
      <c r="F3892" s="0" t="inlineStr">
        <is>
          <t xml:space="preserve">psc:1925</t>
        </is>
      </c>
    </row>
    <row r="3893">
      <c r="B3893" s="0" t="inlineStr">
        <is>
          <t xml:space="preserve">N3220515P5291</t>
        </is>
      </c>
      <c r="C3893" s="0" t="inlineStr">
        <is>
          <t xml:space="preserve">broad_maritime</t>
        </is>
      </c>
      <c r="D3893" s="4">
        <v>0.124362</v>
      </c>
      <c r="E3893" s="0" t="inlineStr">
        <is>
          <t xml:space="preserve">SOLUTION DYNAMICS INC</t>
        </is>
      </c>
      <c r="F3893" s="0" t="inlineStr">
        <is>
          <t xml:space="preserve">psc:2090</t>
        </is>
      </c>
    </row>
    <row r="3894">
      <c r="B3894" s="0" t="inlineStr">
        <is>
          <t xml:space="preserve">N0024419F0442</t>
        </is>
      </c>
      <c r="C3894" s="0" t="inlineStr">
        <is>
          <t xml:space="preserve">broad_maritime</t>
        </is>
      </c>
      <c r="D3894" s="4">
        <v>0.12426899999999999</v>
      </c>
      <c r="E3894" s="0" t="inlineStr">
        <is>
          <t xml:space="preserve">JPL HABITABILITY, INC.</t>
        </is>
      </c>
      <c r="F3894" s="0" t="inlineStr">
        <is>
          <t xml:space="preserve">psc:2090</t>
        </is>
      </c>
    </row>
    <row r="3895">
      <c r="B3895" s="0" t="inlineStr">
        <is>
          <t xml:space="preserve">N0018917P0724</t>
        </is>
      </c>
      <c r="C3895" s="0" t="inlineStr">
        <is>
          <t xml:space="preserve">broad_maritime</t>
        </is>
      </c>
      <c r="D3895" s="4">
        <v>0.12423899999999999</v>
      </c>
      <c r="E3895" s="0" t="inlineStr">
        <is>
          <t xml:space="preserve">WACO PRODUCTS, INC</t>
        </is>
      </c>
      <c r="F3895" s="0" t="inlineStr">
        <is>
          <t xml:space="preserve">psc:2090</t>
        </is>
      </c>
    </row>
    <row r="3896">
      <c r="B3896" s="0" t="inlineStr">
        <is>
          <t xml:space="preserve">N5523619P0071</t>
        </is>
      </c>
      <c r="C3896" s="0" t="inlineStr">
        <is>
          <t xml:space="preserve">broad_maritime</t>
        </is>
      </c>
      <c r="D3896" s="4">
        <v>0.12404399999999999</v>
      </c>
      <c r="E3896" s="0" t="inlineStr">
        <is>
          <t xml:space="preserve">TIMKEN GEARS &amp; SERVICES INC.</t>
        </is>
      </c>
      <c r="F3896" s="0" t="inlineStr">
        <is>
          <t xml:space="preserve">psc:2090</t>
        </is>
      </c>
    </row>
    <row r="3897">
      <c r="B3897" s="0" t="inlineStr">
        <is>
          <t xml:space="preserve">N0018922P0635</t>
        </is>
      </c>
      <c r="C3897" s="0" t="inlineStr">
        <is>
          <t xml:space="preserve">broad_maritime</t>
        </is>
      </c>
      <c r="D3897" s="4">
        <v>0.124</v>
      </c>
      <c r="E3897" s="0" t="inlineStr">
        <is>
          <t xml:space="preserve">TCI MECHANICAL, INC.</t>
        </is>
      </c>
      <c r="F3897" s="0" t="inlineStr">
        <is>
          <t xml:space="preserve">psc:2090</t>
        </is>
      </c>
    </row>
    <row r="3898">
      <c r="B3898" s="0" t="inlineStr">
        <is>
          <t xml:space="preserve">N3220517P7089</t>
        </is>
      </c>
      <c r="C3898" s="0" t="inlineStr">
        <is>
          <t xml:space="preserve">broad_maritime</t>
        </is>
      </c>
      <c r="D3898" s="4">
        <v>0.12376</v>
      </c>
      <c r="E3898" s="0" t="inlineStr">
        <is>
          <t xml:space="preserve">AIR &amp; LIQUID SYSTEMS CORPORATION</t>
        </is>
      </c>
      <c r="F3898" s="0" t="inlineStr">
        <is>
          <t xml:space="preserve">psc:2090</t>
        </is>
      </c>
    </row>
    <row r="3899">
      <c r="B3899" s="0" t="inlineStr">
        <is>
          <t xml:space="preserve">N3220514P2252</t>
        </is>
      </c>
      <c r="C3899" s="0" t="inlineStr">
        <is>
          <t xml:space="preserve">broad_maritime</t>
        </is>
      </c>
      <c r="D3899" s="4">
        <v>0.123745</v>
      </c>
      <c r="E3899" s="0" t="inlineStr">
        <is>
          <t xml:space="preserve">PACIFIC MARITIME INDUSTRIES CORP.</t>
        </is>
      </c>
      <c r="F3899" s="0" t="inlineStr">
        <is>
          <t xml:space="preserve">psc:2090</t>
        </is>
      </c>
    </row>
    <row r="3900">
      <c r="B3900" s="0" t="inlineStr">
        <is>
          <t xml:space="preserve">N0010425PJA66</t>
        </is>
      </c>
      <c r="C3900" s="0" t="inlineStr">
        <is>
          <t xml:space="preserve">small_craft</t>
        </is>
      </c>
      <c r="D3900" s="4">
        <v>0.12361836</v>
      </c>
      <c r="E3900" s="0" t="inlineStr">
        <is>
          <t xml:space="preserve">GEORATOR LLC</t>
        </is>
      </c>
      <c r="F3900" s="0" t="inlineStr">
        <is>
          <t xml:space="preserve">naics:336612</t>
        </is>
      </c>
    </row>
    <row r="3901">
      <c r="B3901" s="0" t="inlineStr">
        <is>
          <t xml:space="preserve">0062</t>
        </is>
      </c>
      <c r="C3901" s="0" t="inlineStr">
        <is>
          <t xml:space="preserve">broad_maritime</t>
        </is>
      </c>
      <c r="D3901" s="4">
        <v>0.12339296999999999</v>
      </c>
      <c r="E3901" s="0" t="inlineStr">
        <is>
          <t xml:space="preserve">ROCKWELL AUTOMATION INC</t>
        </is>
      </c>
      <c r="F3901" s="0" t="inlineStr">
        <is>
          <t xml:space="preserve">psc:2090</t>
        </is>
      </c>
    </row>
    <row r="3902">
      <c r="B3902" s="0" t="inlineStr">
        <is>
          <t xml:space="preserve">N0024424F0270</t>
        </is>
      </c>
      <c r="C3902" s="0" t="inlineStr">
        <is>
          <t xml:space="preserve">usv_core</t>
        </is>
      </c>
      <c r="D3902" s="4">
        <v>0.1231</v>
      </c>
      <c r="E3902" s="0" t="inlineStr">
        <is>
          <t xml:space="preserve">SEABULK LOGISTICS SERVICES LLC</t>
        </is>
      </c>
      <c r="F3902" s="0" t="inlineStr">
        <is>
          <t xml:space="preserve">keyword</t>
        </is>
      </c>
    </row>
    <row r="3903">
      <c r="B3903" s="0" t="inlineStr">
        <is>
          <t xml:space="preserve">N0024418F0702</t>
        </is>
      </c>
      <c r="C3903" s="0" t="inlineStr">
        <is>
          <t xml:space="preserve">broad_maritime</t>
        </is>
      </c>
      <c r="D3903" s="4">
        <v>0.12305999999999999</v>
      </c>
      <c r="E3903" s="0" t="inlineStr">
        <is>
          <t xml:space="preserve">MARINE &amp; RESTAURANT FABRICATORS, INC.</t>
        </is>
      </c>
      <c r="F3903" s="0" t="inlineStr">
        <is>
          <t xml:space="preserve">psc:2090</t>
        </is>
      </c>
    </row>
    <row r="3904">
      <c r="B3904" s="0" t="inlineStr">
        <is>
          <t xml:space="preserve">N3220520P2218</t>
        </is>
      </c>
      <c r="C3904" s="0" t="inlineStr">
        <is>
          <t xml:space="preserve">broad_maritime</t>
        </is>
      </c>
      <c r="D3904" s="4">
        <v>0.12305088</v>
      </c>
      <c r="E3904" s="0" t="inlineStr">
        <is>
          <t xml:space="preserve">ALLIED SYSTEMS COMPANY</t>
        </is>
      </c>
      <c r="F3904" s="0" t="inlineStr">
        <is>
          <t xml:space="preserve">psc:2090</t>
        </is>
      </c>
    </row>
    <row r="3905">
      <c r="B3905" s="0" t="inlineStr">
        <is>
          <t xml:space="preserve">N0040624P0492</t>
        </is>
      </c>
      <c r="C3905" s="0" t="inlineStr">
        <is>
          <t xml:space="preserve">broad_maritime</t>
        </is>
      </c>
      <c r="D3905" s="4">
        <v>0.12284396</v>
      </c>
      <c r="E3905" s="0" t="inlineStr">
        <is>
          <t xml:space="preserve">DEFENSE MARITIME SOLUTIONS, INC.</t>
        </is>
      </c>
      <c r="F3905" s="0" t="inlineStr">
        <is>
          <t xml:space="preserve">psc:2090</t>
        </is>
      </c>
    </row>
    <row r="3906">
      <c r="B3906" s="0" t="inlineStr">
        <is>
          <t xml:space="preserve">N3220520P2276</t>
        </is>
      </c>
      <c r="C3906" s="0" t="inlineStr">
        <is>
          <t xml:space="preserve">broad_maritime</t>
        </is>
      </c>
      <c r="D3906" s="4">
        <v>0.122843</v>
      </c>
      <c r="E3906" s="0" t="inlineStr">
        <is>
          <t xml:space="preserve">BRAY SALES, INC.</t>
        </is>
      </c>
      <c r="F3906" s="0" t="inlineStr">
        <is>
          <t xml:space="preserve">psc:2090</t>
        </is>
      </c>
    </row>
    <row r="3907">
      <c r="B3907" s="0" t="inlineStr">
        <is>
          <t xml:space="preserve">N3220515P1314</t>
        </is>
      </c>
      <c r="C3907" s="0" t="inlineStr">
        <is>
          <t xml:space="preserve">broad_maritime</t>
        </is>
      </c>
      <c r="D3907" s="4">
        <v>0.12273748</v>
      </c>
      <c r="E3907" s="0" t="inlineStr">
        <is>
          <t xml:space="preserve">ROLLS-ROYCE MARINE NORTH AMERICA INC.</t>
        </is>
      </c>
      <c r="F3907" s="0" t="inlineStr">
        <is>
          <t xml:space="preserve">psc:2090</t>
        </is>
      </c>
    </row>
    <row r="3908">
      <c r="B3908" s="0" t="inlineStr">
        <is>
          <t xml:space="preserve">N0040623F0309</t>
        </is>
      </c>
      <c r="C3908" s="0" t="inlineStr">
        <is>
          <t xml:space="preserve">broad_maritime</t>
        </is>
      </c>
      <c r="D3908" s="4">
        <v>0.12270194</v>
      </c>
      <c r="E3908" s="0" t="inlineStr">
        <is>
          <t xml:space="preserve">FAIRBANKS MORSE, LLC</t>
        </is>
      </c>
      <c r="F3908" s="0" t="inlineStr">
        <is>
          <t xml:space="preserve">psc:2090</t>
        </is>
      </c>
    </row>
    <row r="3909">
      <c r="B3909" s="0" t="inlineStr">
        <is>
          <t xml:space="preserve">N3220520P2076</t>
        </is>
      </c>
      <c r="C3909" s="0" t="inlineStr">
        <is>
          <t xml:space="preserve">broad_maritime</t>
        </is>
      </c>
      <c r="D3909" s="4">
        <v>0.12254999999999999</v>
      </c>
      <c r="E3909" s="0" t="inlineStr">
        <is>
          <t xml:space="preserve">WESTFLEX, INC.</t>
        </is>
      </c>
      <c r="F3909" s="0" t="inlineStr">
        <is>
          <t xml:space="preserve">psc:2090</t>
        </is>
      </c>
    </row>
    <row r="3910">
      <c r="B3910" s="0" t="inlineStr">
        <is>
          <t xml:space="preserve">N3220518P6706</t>
        </is>
      </c>
      <c r="C3910" s="0" t="inlineStr">
        <is>
          <t xml:space="preserve">broad_maritime</t>
        </is>
      </c>
      <c r="D3910" s="4">
        <v>0.12252228</v>
      </c>
      <c r="E3910" s="0" t="inlineStr">
        <is>
          <t xml:space="preserve">CINCINNATI GEARING SYSTEMS INC</t>
        </is>
      </c>
      <c r="F3910" s="0" t="inlineStr">
        <is>
          <t xml:space="preserve">psc:2090</t>
        </is>
      </c>
    </row>
    <row r="3911">
      <c r="B3911" s="0" t="inlineStr">
        <is>
          <t xml:space="preserve">N3220515P1369</t>
        </is>
      </c>
      <c r="C3911" s="0" t="inlineStr">
        <is>
          <t xml:space="preserve">small_craft</t>
        </is>
      </c>
      <c r="D3911" s="4">
        <v>0.12250799999999999</v>
      </c>
      <c r="E3911" s="0" t="inlineStr">
        <is>
          <t xml:space="preserve">PALFINGER MARINE USA, LLC</t>
        </is>
      </c>
      <c r="F3911" s="0" t="inlineStr">
        <is>
          <t xml:space="preserve">naics:336612; psc:2090</t>
        </is>
      </c>
    </row>
    <row r="3912">
      <c r="B3912" s="0" t="inlineStr">
        <is>
          <t xml:space="preserve">N3220519P6721</t>
        </is>
      </c>
      <c r="C3912" s="0" t="inlineStr">
        <is>
          <t xml:space="preserve">broad_maritime</t>
        </is>
      </c>
      <c r="D3912" s="4">
        <v>0.12220874999999999</v>
      </c>
      <c r="E3912" s="0" t="inlineStr">
        <is>
          <t xml:space="preserve">ROLLS-ROYCE SOLUTIONS AMERICA INC</t>
        </is>
      </c>
      <c r="F3912" s="0" t="inlineStr">
        <is>
          <t xml:space="preserve">psc:2090</t>
        </is>
      </c>
    </row>
    <row r="3913">
      <c r="B3913" s="0" t="inlineStr">
        <is>
          <t xml:space="preserve">0078</t>
        </is>
      </c>
      <c r="C3913" s="0" t="inlineStr">
        <is>
          <t xml:space="preserve">broad_maritime</t>
        </is>
      </c>
      <c r="D3913" s="4">
        <v>0.12194748</v>
      </c>
      <c r="E3913" s="0" t="inlineStr">
        <is>
          <t xml:space="preserve">ROCKWELL AUTOMATION INC</t>
        </is>
      </c>
      <c r="F3913" s="0" t="inlineStr">
        <is>
          <t xml:space="preserve">psc:2090</t>
        </is>
      </c>
    </row>
    <row r="3914">
      <c r="B3914" s="0" t="inlineStr">
        <is>
          <t xml:space="preserve">N3220521P2558</t>
        </is>
      </c>
      <c r="C3914" s="0" t="inlineStr">
        <is>
          <t xml:space="preserve">broad_maritime</t>
        </is>
      </c>
      <c r="D3914" s="4">
        <v>0.12180519999999999</v>
      </c>
      <c r="E3914" s="0" t="inlineStr">
        <is>
          <t xml:space="preserve">M/V MARINE, INC.</t>
        </is>
      </c>
      <c r="F3914" s="0" t="inlineStr">
        <is>
          <t xml:space="preserve">psc:2090</t>
        </is>
      </c>
    </row>
    <row r="3915">
      <c r="B3915" s="0" t="inlineStr">
        <is>
          <t xml:space="preserve">0018</t>
        </is>
      </c>
      <c r="C3915" s="0" t="inlineStr">
        <is>
          <t xml:space="preserve">broad_maritime</t>
        </is>
      </c>
      <c r="D3915" s="4">
        <v>0.12173067</v>
      </c>
      <c r="E3915" s="0" t="inlineStr">
        <is>
          <t xml:space="preserve">GOODRICH CORPORATION</t>
        </is>
      </c>
      <c r="F3915" s="0" t="inlineStr">
        <is>
          <t xml:space="preserve">psc:1905</t>
        </is>
      </c>
    </row>
    <row r="3916">
      <c r="B3916" s="0" t="inlineStr">
        <is>
          <t xml:space="preserve">N6449822F4334</t>
        </is>
      </c>
      <c r="C3916" s="0" t="inlineStr">
        <is>
          <t xml:space="preserve">broad_maritime</t>
        </is>
      </c>
      <c r="D3916" s="4">
        <v>0.12156099999999999</v>
      </c>
      <c r="E3916" s="0" t="inlineStr">
        <is>
          <t xml:space="preserve">LAUREL TECHNOLOGIES PARTNERSHIP</t>
        </is>
      </c>
      <c r="F3916" s="0" t="inlineStr">
        <is>
          <t xml:space="preserve">psc:2090</t>
        </is>
      </c>
    </row>
    <row r="3917">
      <c r="B3917" s="0" t="inlineStr">
        <is>
          <t xml:space="preserve">N0024417P0046</t>
        </is>
      </c>
      <c r="C3917" s="0" t="inlineStr">
        <is>
          <t xml:space="preserve">broad_maritime</t>
        </is>
      </c>
      <c r="D3917" s="4">
        <v>0.12156050999999998</v>
      </c>
      <c r="E3917" s="0" t="inlineStr">
        <is>
          <t xml:space="preserve">METAL DYNAMICS LTD</t>
        </is>
      </c>
      <c r="F3917" s="0" t="inlineStr">
        <is>
          <t xml:space="preserve">psc:2090</t>
        </is>
      </c>
    </row>
    <row r="3918">
      <c r="B3918" s="0" t="inlineStr">
        <is>
          <t xml:space="preserve">N0010425PCB09</t>
        </is>
      </c>
      <c r="C3918" s="0" t="inlineStr">
        <is>
          <t xml:space="preserve">small_craft</t>
        </is>
      </c>
      <c r="D3918" s="4">
        <v>0.12155711</v>
      </c>
      <c r="E3918" s="0" t="inlineStr">
        <is>
          <t xml:space="preserve">KAMPI COMPONENTS CO INC</t>
        </is>
      </c>
      <c r="F3918" s="0" t="inlineStr">
        <is>
          <t xml:space="preserve">naics:336612</t>
        </is>
      </c>
    </row>
    <row r="3919">
      <c r="B3919" s="0" t="inlineStr">
        <is>
          <t xml:space="preserve">N3220518P6005</t>
        </is>
      </c>
      <c r="C3919" s="0" t="inlineStr">
        <is>
          <t xml:space="preserve">broad_maritime</t>
        </is>
      </c>
      <c r="D3919" s="4">
        <v>0.12154192999999999</v>
      </c>
      <c r="E3919" s="0" t="inlineStr">
        <is>
          <t xml:space="preserve">LAKE SHORE SYSTEMS, INC.</t>
        </is>
      </c>
      <c r="F3919" s="0" t="inlineStr">
        <is>
          <t xml:space="preserve">psc:2090</t>
        </is>
      </c>
    </row>
    <row r="3920">
      <c r="B3920" s="0" t="inlineStr">
        <is>
          <t xml:space="preserve">N0018920P0005</t>
        </is>
      </c>
      <c r="C3920" s="0" t="inlineStr">
        <is>
          <t xml:space="preserve">small_craft</t>
        </is>
      </c>
      <c r="D3920" s="4">
        <v>0.12152846</v>
      </c>
      <c r="E3920" s="0" t="inlineStr">
        <is>
          <t xml:space="preserve">WING INFLATABLES INC</t>
        </is>
      </c>
      <c r="F3920" s="0" t="inlineStr">
        <is>
          <t xml:space="preserve">naics:336612; psc:2090</t>
        </is>
      </c>
    </row>
    <row r="3921">
      <c r="B3921" s="0" t="inlineStr">
        <is>
          <t xml:space="preserve">N0024420F0514</t>
        </is>
      </c>
      <c r="C3921" s="0" t="inlineStr">
        <is>
          <t xml:space="preserve">broad_maritime</t>
        </is>
      </c>
      <c r="D3921" s="4">
        <v>0.12149</v>
      </c>
      <c r="E3921" s="0" t="inlineStr">
        <is>
          <t xml:space="preserve">MARINE &amp; RESTAURANT FABRICATORS, INC.</t>
        </is>
      </c>
      <c r="F3921" s="0" t="inlineStr">
        <is>
          <t xml:space="preserve">psc:2090</t>
        </is>
      </c>
    </row>
    <row r="3922">
      <c r="B3922" s="0" t="inlineStr">
        <is>
          <t xml:space="preserve">N3220525P2138</t>
        </is>
      </c>
      <c r="C3922" s="0" t="inlineStr">
        <is>
          <t xml:space="preserve">broad_maritime</t>
        </is>
      </c>
      <c r="D3922" s="4">
        <v>0.121445</v>
      </c>
      <c r="E3922" s="0" t="inlineStr">
        <is>
          <t xml:space="preserve">TECNICO CORPORATION</t>
        </is>
      </c>
      <c r="F3922" s="0" t="inlineStr">
        <is>
          <t xml:space="preserve">psc:2090</t>
        </is>
      </c>
    </row>
    <row r="3923">
      <c r="B3923" s="0" t="inlineStr">
        <is>
          <t xml:space="preserve">N3220521P0043</t>
        </is>
      </c>
      <c r="C3923" s="0" t="inlineStr">
        <is>
          <t xml:space="preserve">broad_maritime</t>
        </is>
      </c>
      <c r="D3923" s="4">
        <v>0.12135027999999999</v>
      </c>
      <c r="E3923" s="0" t="inlineStr">
        <is>
          <t xml:space="preserve">INTERNATIONAL TELEVISION CORPORATION</t>
        </is>
      </c>
      <c r="F3923" s="0" t="inlineStr">
        <is>
          <t xml:space="preserve">psc:2090</t>
        </is>
      </c>
    </row>
    <row r="3924">
      <c r="B3924" s="0" t="inlineStr">
        <is>
          <t xml:space="preserve">GA02</t>
        </is>
      </c>
      <c r="C3924" s="0" t="inlineStr">
        <is>
          <t xml:space="preserve">broad_maritime</t>
        </is>
      </c>
      <c r="D3924" s="4">
        <v>0.121125</v>
      </c>
      <c r="E3924" s="0" t="inlineStr">
        <is>
          <t xml:space="preserve">ELECTRIC BOAT CORPORATION</t>
        </is>
      </c>
      <c r="F3924" s="0" t="inlineStr">
        <is>
          <t xml:space="preserve">psc:1905</t>
        </is>
      </c>
    </row>
    <row r="3925">
      <c r="B3925" s="0" t="inlineStr">
        <is>
          <t xml:space="preserve">N0040624P0791</t>
        </is>
      </c>
      <c r="C3925" s="0" t="inlineStr">
        <is>
          <t xml:space="preserve">broad_maritime</t>
        </is>
      </c>
      <c r="D3925" s="4">
        <v>0.1210098</v>
      </c>
      <c r="E3925" s="0" t="inlineStr">
        <is>
          <t xml:space="preserve">MIDWAY INDUSTRIAL SUPPLY INC.</t>
        </is>
      </c>
      <c r="F3925" s="0" t="inlineStr">
        <is>
          <t xml:space="preserve">psc:2090</t>
        </is>
      </c>
    </row>
    <row r="3926">
      <c r="B3926" s="0" t="inlineStr">
        <is>
          <t xml:space="preserve">N0024420F0122</t>
        </is>
      </c>
      <c r="C3926" s="0" t="inlineStr">
        <is>
          <t xml:space="preserve">broad_maritime</t>
        </is>
      </c>
      <c r="D3926" s="4">
        <v>0.12081</v>
      </c>
      <c r="E3926" s="0" t="inlineStr">
        <is>
          <t xml:space="preserve">MARINE &amp; RESTAURANT FABRICATORS, INC.</t>
        </is>
      </c>
      <c r="F3926" s="0" t="inlineStr">
        <is>
          <t xml:space="preserve">psc:2090</t>
        </is>
      </c>
    </row>
    <row r="3927">
      <c r="B3927" s="0" t="inlineStr">
        <is>
          <t xml:space="preserve">N3220520P0042</t>
        </is>
      </c>
      <c r="C3927" s="0" t="inlineStr">
        <is>
          <t xml:space="preserve">broad_maritime</t>
        </is>
      </c>
      <c r="D3927" s="4">
        <v>0.12077255999999999</v>
      </c>
      <c r="E3927" s="0" t="inlineStr">
        <is>
          <t xml:space="preserve">IMECO INC</t>
        </is>
      </c>
      <c r="F3927" s="0" t="inlineStr">
        <is>
          <t xml:space="preserve">psc:2090</t>
        </is>
      </c>
    </row>
    <row r="3928">
      <c r="B3928" s="0" t="inlineStr">
        <is>
          <t xml:space="preserve">N3220519P4551</t>
        </is>
      </c>
      <c r="C3928" s="0" t="inlineStr">
        <is>
          <t xml:space="preserve">broad_maritime</t>
        </is>
      </c>
      <c r="D3928" s="4">
        <v>0.12077255999999999</v>
      </c>
      <c r="E3928" s="0" t="inlineStr">
        <is>
          <t xml:space="preserve">IMECO INC</t>
        </is>
      </c>
      <c r="F3928" s="0" t="inlineStr">
        <is>
          <t xml:space="preserve">psc:2090</t>
        </is>
      </c>
    </row>
    <row r="3929">
      <c r="B3929" s="0" t="inlineStr">
        <is>
          <t xml:space="preserve">N0010421PDE18</t>
        </is>
      </c>
      <c r="C3929" s="0" t="inlineStr">
        <is>
          <t xml:space="preserve">small_craft</t>
        </is>
      </c>
      <c r="D3929" s="4">
        <v>0.120655</v>
      </c>
      <c r="E3929" s="0" t="inlineStr">
        <is>
          <t xml:space="preserve">HOWDEN AMERICAN FAN COMPANY</t>
        </is>
      </c>
      <c r="F3929" s="0" t="inlineStr">
        <is>
          <t xml:space="preserve">naics:336612</t>
        </is>
      </c>
    </row>
    <row r="3930">
      <c r="B3930" s="0" t="inlineStr">
        <is>
          <t xml:space="preserve">0025</t>
        </is>
      </c>
      <c r="C3930" s="0" t="inlineStr">
        <is>
          <t xml:space="preserve">broad_maritime</t>
        </is>
      </c>
      <c r="D3930" s="4">
        <v>0.12062688</v>
      </c>
      <c r="E3930" s="0" t="inlineStr">
        <is>
          <t xml:space="preserve">G. S. E. DYNAMICS, INC.</t>
        </is>
      </c>
      <c r="F3930" s="0" t="inlineStr">
        <is>
          <t xml:space="preserve">psc:2090</t>
        </is>
      </c>
    </row>
    <row r="3931">
      <c r="B3931" s="0" t="inlineStr">
        <is>
          <t xml:space="preserve">N3220520P0032</t>
        </is>
      </c>
      <c r="C3931" s="0" t="inlineStr">
        <is>
          <t xml:space="preserve">broad_maritime</t>
        </is>
      </c>
      <c r="D3931" s="4">
        <v>0.120612</v>
      </c>
      <c r="E3931" s="0" t="inlineStr">
        <is>
          <t xml:space="preserve">GFS SUPPLY &amp; SERVICES COMPANY, INC.</t>
        </is>
      </c>
      <c r="F3931" s="0" t="inlineStr">
        <is>
          <t xml:space="preserve">psc:2090</t>
        </is>
      </c>
    </row>
    <row r="3932">
      <c r="B3932" s="0" t="inlineStr">
        <is>
          <t xml:space="preserve">N0040622P0850</t>
        </is>
      </c>
      <c r="C3932" s="0" t="inlineStr">
        <is>
          <t xml:space="preserve">broad_maritime</t>
        </is>
      </c>
      <c r="D3932" s="4">
        <v>0.12057760000000001</v>
      </c>
      <c r="E3932" s="0" t="inlineStr">
        <is>
          <t xml:space="preserve">DEFENSE MARITIME SOLUTIONS, INC.</t>
        </is>
      </c>
      <c r="F3932" s="0" t="inlineStr">
        <is>
          <t xml:space="preserve">psc:2090</t>
        </is>
      </c>
    </row>
    <row r="3933">
      <c r="B3933" s="0" t="inlineStr">
        <is>
          <t xml:space="preserve">N0040624P0524</t>
        </is>
      </c>
      <c r="C3933" s="0" t="inlineStr">
        <is>
          <t xml:space="preserve">broad_maritime</t>
        </is>
      </c>
      <c r="D3933" s="4">
        <v>0.12051241</v>
      </c>
      <c r="E3933" s="0" t="inlineStr">
        <is>
          <t xml:space="preserve">17 MACHINERY LLC</t>
        </is>
      </c>
      <c r="F3933" s="0" t="inlineStr">
        <is>
          <t xml:space="preserve">psc:2090</t>
        </is>
      </c>
    </row>
    <row r="3934">
      <c r="B3934" s="0" t="inlineStr">
        <is>
          <t xml:space="preserve">N3220522F3509</t>
        </is>
      </c>
      <c r="C3934" s="0" t="inlineStr">
        <is>
          <t xml:space="preserve">broad_maritime</t>
        </is>
      </c>
      <c r="D3934" s="4">
        <v>0.12036922</v>
      </c>
      <c r="E3934" s="0" t="inlineStr">
        <is>
          <t xml:space="preserve">CIRCOR NAVAL SOLUTIONS LLC</t>
        </is>
      </c>
      <c r="F3934" s="0" t="inlineStr">
        <is>
          <t xml:space="preserve">psc:2090</t>
        </is>
      </c>
    </row>
    <row r="3935">
      <c r="B3935" s="0" t="inlineStr">
        <is>
          <t xml:space="preserve">N0010425PFD68</t>
        </is>
      </c>
      <c r="C3935" s="0" t="inlineStr">
        <is>
          <t xml:space="preserve">small_craft</t>
        </is>
      </c>
      <c r="D3935" s="4">
        <v>0.12032999999999999</v>
      </c>
      <c r="E3935" s="0" t="inlineStr">
        <is>
          <t xml:space="preserve">PAINTER TOOL INCORPORATED</t>
        </is>
      </c>
      <c r="F3935" s="0" t="inlineStr">
        <is>
          <t xml:space="preserve">naics:336612</t>
        </is>
      </c>
    </row>
    <row r="3936">
      <c r="B3936" s="0" t="inlineStr">
        <is>
          <t xml:space="preserve">N6824624P0113</t>
        </is>
      </c>
      <c r="C3936" s="0" t="inlineStr">
        <is>
          <t xml:space="preserve">broad_maritime</t>
        </is>
      </c>
      <c r="D3936" s="4">
        <v>0.12030524</v>
      </c>
      <c r="E3936" s="0" t="inlineStr">
        <is>
          <t xml:space="preserve">WEST GLOBAL CO., LTD.</t>
        </is>
      </c>
      <c r="F3936" s="0" t="inlineStr">
        <is>
          <t xml:space="preserve">psc:2090</t>
        </is>
      </c>
    </row>
    <row r="3937">
      <c r="B3937" s="0" t="inlineStr">
        <is>
          <t xml:space="preserve">N3220515P2268</t>
        </is>
      </c>
      <c r="C3937" s="0" t="inlineStr">
        <is>
          <t xml:space="preserve">broad_maritime</t>
        </is>
      </c>
      <c r="D3937" s="4">
        <v>0.12029703</v>
      </c>
      <c r="E3937" s="0" t="inlineStr">
        <is>
          <t xml:space="preserve">BLANCHARD MACHINERY COMPANY</t>
        </is>
      </c>
      <c r="F3937" s="0" t="inlineStr">
        <is>
          <t xml:space="preserve">psc:2090</t>
        </is>
      </c>
    </row>
    <row r="3938">
      <c r="B3938" s="0" t="inlineStr">
        <is>
          <t xml:space="preserve">N5523623P0100</t>
        </is>
      </c>
      <c r="C3938" s="0" t="inlineStr">
        <is>
          <t xml:space="preserve">broad_maritime</t>
        </is>
      </c>
      <c r="D3938" s="4">
        <v>0.120264</v>
      </c>
      <c r="E3938" s="0" t="inlineStr">
        <is>
          <t xml:space="preserve">ASKEW INDUSTRIAL CORP</t>
        </is>
      </c>
      <c r="F3938" s="0" t="inlineStr">
        <is>
          <t xml:space="preserve">psc:2090</t>
        </is>
      </c>
    </row>
    <row r="3939">
      <c r="B3939" s="0" t="inlineStr">
        <is>
          <t xml:space="preserve">N3220520P2055</t>
        </is>
      </c>
      <c r="C3939" s="0" t="inlineStr">
        <is>
          <t xml:space="preserve">broad_maritime</t>
        </is>
      </c>
      <c r="D3939" s="4">
        <v>0.12021599999999999</v>
      </c>
      <c r="E3939" s="0" t="inlineStr">
        <is>
          <t xml:space="preserve">RENK CORP</t>
        </is>
      </c>
      <c r="F3939" s="0" t="inlineStr">
        <is>
          <t xml:space="preserve">psc:2090</t>
        </is>
      </c>
    </row>
    <row r="3940">
      <c r="B3940" s="0" t="inlineStr">
        <is>
          <t xml:space="preserve">N5005421P0196</t>
        </is>
      </c>
      <c r="C3940" s="0" t="inlineStr">
        <is>
          <t xml:space="preserve">broad_maritime</t>
        </is>
      </c>
      <c r="D3940" s="4">
        <v>0.120172</v>
      </c>
      <c r="E3940" s="0" t="inlineStr">
        <is>
          <t xml:space="preserve">SCHOELLHORN - ALBRECHT MACHINE CO INC</t>
        </is>
      </c>
      <c r="F3940" s="0" t="inlineStr">
        <is>
          <t xml:space="preserve">psc:2090</t>
        </is>
      </c>
    </row>
    <row r="3941">
      <c r="B3941" s="0" t="inlineStr">
        <is>
          <t xml:space="preserve">N0010425FGW0M</t>
        </is>
      </c>
      <c r="C3941" s="0" t="inlineStr">
        <is>
          <t xml:space="preserve">broad_maritime</t>
        </is>
      </c>
      <c r="D3941" s="4">
        <v>0.12014999999999999</v>
      </c>
      <c r="E3941" s="0" t="inlineStr">
        <is>
          <t xml:space="preserve">INTEGRATED PROCUREMENT TECHNOLOGIES</t>
        </is>
      </c>
      <c r="F3941" s="0" t="inlineStr">
        <is>
          <t xml:space="preserve">psc:2090</t>
        </is>
      </c>
    </row>
    <row r="3942">
      <c r="B3942" s="0" t="inlineStr">
        <is>
          <t xml:space="preserve">N3220516P4416</t>
        </is>
      </c>
      <c r="C3942" s="0" t="inlineStr">
        <is>
          <t xml:space="preserve">broad_maritime</t>
        </is>
      </c>
      <c r="D3942" s="4">
        <v>0.12002499999999999</v>
      </c>
      <c r="E3942" s="0" t="inlineStr">
        <is>
          <t xml:space="preserve">QUALITY REFRIGERATION COMPANY, INC.</t>
        </is>
      </c>
      <c r="F3942" s="0" t="inlineStr">
        <is>
          <t xml:space="preserve">psc:2090</t>
        </is>
      </c>
    </row>
    <row r="3943">
      <c r="B3943" s="0" t="inlineStr">
        <is>
          <t xml:space="preserve">N3220525P2111</t>
        </is>
      </c>
      <c r="C3943" s="0" t="inlineStr">
        <is>
          <t xml:space="preserve">broad_maritime</t>
        </is>
      </c>
      <c r="D3943" s="4">
        <v>0.11993166</v>
      </c>
      <c r="E3943" s="0" t="inlineStr">
        <is>
          <t xml:space="preserve">KONGSBERG MARITIME INC</t>
        </is>
      </c>
      <c r="F3943" s="0" t="inlineStr">
        <is>
          <t xml:space="preserve">psc:2090</t>
        </is>
      </c>
    </row>
    <row r="3944">
      <c r="B3944" s="0" t="inlineStr">
        <is>
          <t xml:space="preserve">N6264921P0292</t>
        </is>
      </c>
      <c r="C3944" s="0" t="inlineStr">
        <is>
          <t xml:space="preserve">broad_maritime</t>
        </is>
      </c>
      <c r="D3944" s="4">
        <v>0.11989439999999998</v>
      </c>
      <c r="E3944" s="0" t="inlineStr">
        <is>
          <t xml:space="preserve">NIHON KAIYO SANGYO CO.,LTD.</t>
        </is>
      </c>
      <c r="F3944" s="0" t="inlineStr">
        <is>
          <t xml:space="preserve">psc:2090</t>
        </is>
      </c>
    </row>
    <row r="3945">
      <c r="B3945" s="0" t="inlineStr">
        <is>
          <t xml:space="preserve">N0010424PNC09</t>
        </is>
      </c>
      <c r="C3945" s="0" t="inlineStr">
        <is>
          <t xml:space="preserve">small_craft</t>
        </is>
      </c>
      <c r="D3945" s="4">
        <v>0.119792</v>
      </c>
      <c r="E3945" s="0" t="inlineStr">
        <is>
          <t xml:space="preserve">SARGENT AEROSPACE &amp; DEFENSE, LLC</t>
        </is>
      </c>
      <c r="F3945" s="0" t="inlineStr">
        <is>
          <t xml:space="preserve">naics:336612</t>
        </is>
      </c>
    </row>
    <row r="3946">
      <c r="B3946" s="0" t="inlineStr">
        <is>
          <t xml:space="preserve">N5005422P0165</t>
        </is>
      </c>
      <c r="C3946" s="0" t="inlineStr">
        <is>
          <t xml:space="preserve">broad_maritime</t>
        </is>
      </c>
      <c r="D3946" s="4">
        <v>0.11977678</v>
      </c>
      <c r="E3946" s="0" t="inlineStr">
        <is>
          <t xml:space="preserve">DEFENSE MARITIME SOLUTIONS, INC.</t>
        </is>
      </c>
      <c r="F3946" s="0" t="inlineStr">
        <is>
          <t xml:space="preserve">psc:2090</t>
        </is>
      </c>
    </row>
    <row r="3947">
      <c r="B3947" s="0" t="inlineStr">
        <is>
          <t xml:space="preserve">N6660417F2343</t>
        </is>
      </c>
      <c r="C3947" s="0" t="inlineStr">
        <is>
          <t xml:space="preserve">broad_maritime</t>
        </is>
      </c>
      <c r="D3947" s="4">
        <v>0.119684</v>
      </c>
      <c r="E3947" s="0" t="inlineStr">
        <is>
          <t xml:space="preserve">LOCKHEED MARTIN SIPPICAN, INC.</t>
        </is>
      </c>
      <c r="F3947" s="0" t="inlineStr">
        <is>
          <t xml:space="preserve">psc:2090</t>
        </is>
      </c>
    </row>
    <row r="3948">
      <c r="B3948" s="0" t="inlineStr">
        <is>
          <t xml:space="preserve">N3220523F0544</t>
        </is>
      </c>
      <c r="C3948" s="0" t="inlineStr">
        <is>
          <t xml:space="preserve">broad_maritime</t>
        </is>
      </c>
      <c r="D3948" s="4">
        <v>0.11962627999999999</v>
      </c>
      <c r="E3948" s="0" t="inlineStr">
        <is>
          <t xml:space="preserve">CIRCOR NAVAL SOLUTIONS LLC</t>
        </is>
      </c>
      <c r="F3948" s="0" t="inlineStr">
        <is>
          <t xml:space="preserve">psc:2090</t>
        </is>
      </c>
    </row>
    <row r="3949">
      <c r="B3949" s="0" t="inlineStr">
        <is>
          <t xml:space="preserve">N0040624F0068</t>
        </is>
      </c>
      <c r="C3949" s="0" t="inlineStr">
        <is>
          <t xml:space="preserve">broad_maritime</t>
        </is>
      </c>
      <c r="D3949" s="4">
        <v>0.11961078</v>
      </c>
      <c r="E3949" s="0" t="inlineStr">
        <is>
          <t xml:space="preserve">FAIRBANKS MORSE, LLC</t>
        </is>
      </c>
      <c r="F3949" s="0" t="inlineStr">
        <is>
          <t xml:space="preserve">psc:2090</t>
        </is>
      </c>
    </row>
    <row r="3950">
      <c r="B3950" s="0" t="inlineStr">
        <is>
          <t xml:space="preserve">N5523622P0123</t>
        </is>
      </c>
      <c r="C3950" s="0" t="inlineStr">
        <is>
          <t xml:space="preserve">broad_maritime</t>
        </is>
      </c>
      <c r="D3950" s="4">
        <v>0.11956044999999998</v>
      </c>
      <c r="E3950" s="0" t="inlineStr">
        <is>
          <t xml:space="preserve">LAKE SHORE SYSTEMS, INC.</t>
        </is>
      </c>
      <c r="F3950" s="0" t="inlineStr">
        <is>
          <t xml:space="preserve">psc:2090</t>
        </is>
      </c>
    </row>
    <row r="3951">
      <c r="B3951" s="0" t="inlineStr">
        <is>
          <t xml:space="preserve">N6449824P5212</t>
        </is>
      </c>
      <c r="C3951" s="0" t="inlineStr">
        <is>
          <t xml:space="preserve">broad_maritime</t>
        </is>
      </c>
      <c r="D3951" s="4">
        <v>0.11945</v>
      </c>
      <c r="E3951" s="0" t="inlineStr">
        <is>
          <t xml:space="preserve">KULITE SEMICONDUCTOR PRODUCTS INC</t>
        </is>
      </c>
      <c r="F3951" s="0" t="inlineStr">
        <is>
          <t xml:space="preserve">psc:2090</t>
        </is>
      </c>
    </row>
    <row r="3952">
      <c r="B3952" s="0" t="inlineStr">
        <is>
          <t xml:space="preserve">N3220520P0059</t>
        </is>
      </c>
      <c r="C3952" s="0" t="inlineStr">
        <is>
          <t xml:space="preserve">broad_maritime</t>
        </is>
      </c>
      <c r="D3952" s="4">
        <v>0.11932459</v>
      </c>
      <c r="E3952" s="0" t="inlineStr">
        <is>
          <t xml:space="preserve">IMECO INC</t>
        </is>
      </c>
      <c r="F3952" s="0" t="inlineStr">
        <is>
          <t xml:space="preserve">psc:2090</t>
        </is>
      </c>
    </row>
    <row r="3953">
      <c r="B3953" s="0" t="inlineStr">
        <is>
          <t xml:space="preserve">N3220519P6125</t>
        </is>
      </c>
      <c r="C3953" s="0" t="inlineStr">
        <is>
          <t xml:space="preserve">broad_maritime</t>
        </is>
      </c>
      <c r="D3953" s="4">
        <v>0.11920246</v>
      </c>
      <c r="E3953" s="0" t="inlineStr">
        <is>
          <t xml:space="preserve">ALLIED SYSTEMS COMPANY</t>
        </is>
      </c>
      <c r="F3953" s="0" t="inlineStr">
        <is>
          <t xml:space="preserve">psc:2090</t>
        </is>
      </c>
    </row>
    <row r="3954">
      <c r="B3954" s="0" t="inlineStr">
        <is>
          <t xml:space="preserve">N0010415PEA24</t>
        </is>
      </c>
      <c r="C3954" s="0" t="inlineStr">
        <is>
          <t xml:space="preserve">broad_maritime</t>
        </is>
      </c>
      <c r="D3954" s="4">
        <v>0.11917499999999999</v>
      </c>
      <c r="E3954" s="0" t="inlineStr">
        <is>
          <t xml:space="preserve">TURNBULL ENTERPRISES, INC.</t>
        </is>
      </c>
      <c r="F3954" s="0" t="inlineStr">
        <is>
          <t xml:space="preserve">psc:2090</t>
        </is>
      </c>
    </row>
    <row r="3955">
      <c r="B3955" s="0" t="inlineStr">
        <is>
          <t xml:space="preserve">N0040625PS004</t>
        </is>
      </c>
      <c r="C3955" s="0" t="inlineStr">
        <is>
          <t xml:space="preserve">broad_maritime</t>
        </is>
      </c>
      <c r="D3955" s="4">
        <v>0.11913797999999999</v>
      </c>
      <c r="E3955" s="0" t="inlineStr">
        <is>
          <t xml:space="preserve">W &amp; O SUPPLY INC</t>
        </is>
      </c>
      <c r="F3955" s="0" t="inlineStr">
        <is>
          <t xml:space="preserve">psc:2090</t>
        </is>
      </c>
    </row>
    <row r="3956">
      <c r="B3956" s="0" t="inlineStr">
        <is>
          <t xml:space="preserve">N0010426PBA67</t>
        </is>
      </c>
      <c r="C3956" s="0" t="inlineStr">
        <is>
          <t xml:space="preserve">broad_maritime</t>
        </is>
      </c>
      <c r="D3956" s="4">
        <v>0.119125</v>
      </c>
      <c r="E3956" s="0" t="inlineStr">
        <is>
          <t xml:space="preserve">TURNBULL LLC</t>
        </is>
      </c>
      <c r="F3956" s="0" t="inlineStr">
        <is>
          <t xml:space="preserve">psc:2090</t>
        </is>
      </c>
    </row>
    <row r="3957">
      <c r="B3957" s="0" t="inlineStr">
        <is>
          <t xml:space="preserve">N3220520P4093</t>
        </is>
      </c>
      <c r="C3957" s="0" t="inlineStr">
        <is>
          <t xml:space="preserve">broad_maritime</t>
        </is>
      </c>
      <c r="D3957" s="4">
        <v>0.11911228999999998</v>
      </c>
      <c r="E3957" s="0" t="inlineStr">
        <is>
          <t xml:space="preserve">DEFENSE MARITIME SOLUTIONS, INC.</t>
        </is>
      </c>
      <c r="F3957" s="0" t="inlineStr">
        <is>
          <t xml:space="preserve">psc:2090</t>
        </is>
      </c>
    </row>
    <row r="3958">
      <c r="B3958" s="0" t="inlineStr">
        <is>
          <t xml:space="preserve">N0040624P0766</t>
        </is>
      </c>
      <c r="C3958" s="0" t="inlineStr">
        <is>
          <t xml:space="preserve">broad_maritime</t>
        </is>
      </c>
      <c r="D3958" s="4">
        <v>0.11879999999999999</v>
      </c>
      <c r="E3958" s="0" t="inlineStr">
        <is>
          <t xml:space="preserve">DREAMFIND, INC.</t>
        </is>
      </c>
      <c r="F3958" s="0" t="inlineStr">
        <is>
          <t xml:space="preserve">psc:2090</t>
        </is>
      </c>
    </row>
    <row r="3959">
      <c r="B3959" s="0" t="inlineStr">
        <is>
          <t xml:space="preserve">N0040620P0413</t>
        </is>
      </c>
      <c r="C3959" s="0" t="inlineStr">
        <is>
          <t xml:space="preserve">broad_maritime</t>
        </is>
      </c>
      <c r="D3959" s="4">
        <v>0.11862792</v>
      </c>
      <c r="E3959" s="0" t="inlineStr">
        <is>
          <t xml:space="preserve">PIONEER INDUSTRIES, LLC</t>
        </is>
      </c>
      <c r="F3959" s="0" t="inlineStr">
        <is>
          <t xml:space="preserve">psc:2090</t>
        </is>
      </c>
    </row>
    <row r="3960">
      <c r="B3960" s="0" t="inlineStr">
        <is>
          <t xml:space="preserve">N3220521P2319</t>
        </is>
      </c>
      <c r="C3960" s="0" t="inlineStr">
        <is>
          <t xml:space="preserve">broad_maritime</t>
        </is>
      </c>
      <c r="D3960" s="4">
        <v>0.118624</v>
      </c>
      <c r="E3960" s="0" t="inlineStr">
        <is>
          <t xml:space="preserve">LEE ENGINEERING SUPPLY COMPANY, INC.</t>
        </is>
      </c>
      <c r="F3960" s="0" t="inlineStr">
        <is>
          <t xml:space="preserve">psc:2090</t>
        </is>
      </c>
    </row>
    <row r="3961">
      <c r="B3961" s="0" t="inlineStr">
        <is>
          <t xml:space="preserve">N5005418P0035</t>
        </is>
      </c>
      <c r="C3961" s="0" t="inlineStr">
        <is>
          <t xml:space="preserve">broad_maritime</t>
        </is>
      </c>
      <c r="D3961" s="4">
        <v>0.1185</v>
      </c>
      <c r="E3961" s="0" t="inlineStr">
        <is>
          <t xml:space="preserve">PIER SIDE SUPPLY INC</t>
        </is>
      </c>
      <c r="F3961" s="0" t="inlineStr">
        <is>
          <t xml:space="preserve">psc:2090</t>
        </is>
      </c>
    </row>
    <row r="3962">
      <c r="B3962" s="0" t="inlineStr">
        <is>
          <t xml:space="preserve">N3220520P0089</t>
        </is>
      </c>
      <c r="C3962" s="0" t="inlineStr">
        <is>
          <t xml:space="preserve">broad_maritime</t>
        </is>
      </c>
      <c r="D3962" s="4">
        <v>0.11827399999999999</v>
      </c>
      <c r="E3962" s="0" t="inlineStr">
        <is>
          <t xml:space="preserve">ROLLS-ROYCE MARINE NORTH AMERICA INC.</t>
        </is>
      </c>
      <c r="F3962" s="0" t="inlineStr">
        <is>
          <t xml:space="preserve">psc:2090</t>
        </is>
      </c>
    </row>
    <row r="3963">
      <c r="B3963" s="0" t="inlineStr">
        <is>
          <t xml:space="preserve">N0024419F0171</t>
        </is>
      </c>
      <c r="C3963" s="0" t="inlineStr">
        <is>
          <t xml:space="preserve">broad_maritime</t>
        </is>
      </c>
      <c r="D3963" s="4">
        <v>0.11817499999999999</v>
      </c>
      <c r="E3963" s="0" t="inlineStr">
        <is>
          <t xml:space="preserve">MARINE &amp; RESTAURANT FABRICATORS, INC.</t>
        </is>
      </c>
      <c r="F3963" s="0" t="inlineStr">
        <is>
          <t xml:space="preserve">psc:2090</t>
        </is>
      </c>
    </row>
    <row r="3964">
      <c r="B3964" s="0" t="inlineStr">
        <is>
          <t xml:space="preserve">N5005423P0111</t>
        </is>
      </c>
      <c r="C3964" s="0" t="inlineStr">
        <is>
          <t xml:space="preserve">small_craft</t>
        </is>
      </c>
      <c r="D3964" s="4">
        <v>0.11810783999999999</v>
      </c>
      <c r="E3964" s="0" t="inlineStr">
        <is>
          <t xml:space="preserve">DEFENSE MARITIME SOLUTIONS, INC.</t>
        </is>
      </c>
      <c r="F3964" s="0" t="inlineStr">
        <is>
          <t xml:space="preserve">naics:336612</t>
        </is>
      </c>
    </row>
    <row r="3965">
      <c r="B3965" s="0" t="inlineStr">
        <is>
          <t xml:space="preserve">N3220519P4401</t>
        </is>
      </c>
      <c r="C3965" s="0" t="inlineStr">
        <is>
          <t xml:space="preserve">small_craft</t>
        </is>
      </c>
      <c r="D3965" s="4">
        <v>0.11809599999999999</v>
      </c>
      <c r="E3965" s="0" t="inlineStr">
        <is>
          <t xml:space="preserve">VANE BROTHERS MARINE SAFETY &amp; SERVICES, INC</t>
        </is>
      </c>
      <c r="F3965" s="0" t="inlineStr">
        <is>
          <t xml:space="preserve">naics:336612; psc:2090</t>
        </is>
      </c>
    </row>
    <row r="3966">
      <c r="B3966" s="0" t="inlineStr">
        <is>
          <t xml:space="preserve">N0010424PXA94</t>
        </is>
      </c>
      <c r="C3966" s="0" t="inlineStr">
        <is>
          <t xml:space="preserve">broad_maritime</t>
        </is>
      </c>
      <c r="D3966" s="4">
        <v>0.118</v>
      </c>
      <c r="E3966" s="0" t="inlineStr">
        <is>
          <t xml:space="preserve">WING INFLATABLES INC</t>
        </is>
      </c>
      <c r="F3966" s="0" t="inlineStr">
        <is>
          <t xml:space="preserve">psc:2090</t>
        </is>
      </c>
    </row>
    <row r="3967">
      <c r="B3967" s="0" t="inlineStr">
        <is>
          <t xml:space="preserve">N0010422PXA77</t>
        </is>
      </c>
      <c r="C3967" s="0" t="inlineStr">
        <is>
          <t xml:space="preserve">broad_maritime</t>
        </is>
      </c>
      <c r="D3967" s="4">
        <v>0.11799</v>
      </c>
      <c r="E3967" s="0" t="inlineStr">
        <is>
          <t xml:space="preserve">WING INFLATABLES INC</t>
        </is>
      </c>
      <c r="F3967" s="0" t="inlineStr">
        <is>
          <t xml:space="preserve">psc:2090</t>
        </is>
      </c>
    </row>
    <row r="3968">
      <c r="B3968" s="0" t="inlineStr">
        <is>
          <t xml:space="preserve">0049</t>
        </is>
      </c>
      <c r="C3968" s="0" t="inlineStr">
        <is>
          <t xml:space="preserve">broad_maritime</t>
        </is>
      </c>
      <c r="D3968" s="4">
        <v>0.11781599999999999</v>
      </c>
      <c r="E3968" s="0" t="inlineStr">
        <is>
          <t xml:space="preserve">MAZZELLA LIFTING TECHNOLOGIES, INC.</t>
        </is>
      </c>
      <c r="F3968" s="0" t="inlineStr">
        <is>
          <t xml:space="preserve">psc:2090</t>
        </is>
      </c>
    </row>
    <row r="3969">
      <c r="B3969" s="0" t="inlineStr">
        <is>
          <t xml:space="preserve">0020</t>
        </is>
      </c>
      <c r="C3969" s="0" t="inlineStr">
        <is>
          <t xml:space="preserve">broad_maritime</t>
        </is>
      </c>
      <c r="D3969" s="4">
        <v>0.11745399999999999</v>
      </c>
      <c r="E3969" s="0" t="inlineStr">
        <is>
          <t xml:space="preserve">HII UNMANNED SYSTEMS, INC</t>
        </is>
      </c>
      <c r="F3969" s="0" t="inlineStr">
        <is>
          <t xml:space="preserve">psc:2090</t>
        </is>
      </c>
    </row>
    <row r="3970">
      <c r="B3970" s="0" t="inlineStr">
        <is>
          <t xml:space="preserve">N5005418P0094</t>
        </is>
      </c>
      <c r="C3970" s="0" t="inlineStr">
        <is>
          <t xml:space="preserve">broad_maritime</t>
        </is>
      </c>
      <c r="D3970" s="4">
        <v>0.11735422</v>
      </c>
      <c r="E3970" s="0" t="inlineStr">
        <is>
          <t xml:space="preserve">DEFENSE MARITIME SOLUTIONS, INC.</t>
        </is>
      </c>
      <c r="F3970" s="0" t="inlineStr">
        <is>
          <t xml:space="preserve">psc:2090</t>
        </is>
      </c>
    </row>
    <row r="3971">
      <c r="B3971" s="0" t="inlineStr">
        <is>
          <t xml:space="preserve">N3220525P2191</t>
        </is>
      </c>
      <c r="C3971" s="0" t="inlineStr">
        <is>
          <t xml:space="preserve">broad_maritime</t>
        </is>
      </c>
      <c r="D3971" s="4">
        <v>0.117322</v>
      </c>
      <c r="E3971" s="0" t="inlineStr">
        <is>
          <t xml:space="preserve">NORFOLK BEARINGS &amp; SUPPLY CO INC</t>
        </is>
      </c>
      <c r="F3971" s="0" t="inlineStr">
        <is>
          <t xml:space="preserve">psc:2090</t>
        </is>
      </c>
    </row>
    <row r="3972">
      <c r="B3972" s="0" t="inlineStr">
        <is>
          <t xml:space="preserve">N3220525P2024</t>
        </is>
      </c>
      <c r="C3972" s="0" t="inlineStr">
        <is>
          <t xml:space="preserve">broad_maritime</t>
        </is>
      </c>
      <c r="D3972" s="4">
        <v>0.117322</v>
      </c>
      <c r="E3972" s="0" t="inlineStr">
        <is>
          <t xml:space="preserve">NORFOLK BEARINGS &amp; SUPPLY CO INC</t>
        </is>
      </c>
      <c r="F3972" s="0" t="inlineStr">
        <is>
          <t xml:space="preserve">psc:2090</t>
        </is>
      </c>
    </row>
    <row r="3973">
      <c r="B3973" s="0" t="inlineStr">
        <is>
          <t xml:space="preserve">N0010419FK403</t>
        </is>
      </c>
      <c r="C3973" s="0" t="inlineStr">
        <is>
          <t xml:space="preserve">small_craft</t>
        </is>
      </c>
      <c r="D3973" s="4">
        <v>0.1171678</v>
      </c>
      <c r="E3973" s="0" t="inlineStr">
        <is>
          <t xml:space="preserve">WING INFLATABLES INC</t>
        </is>
      </c>
      <c r="F3973" s="0" t="inlineStr">
        <is>
          <t xml:space="preserve">naics:336612; psc:1940</t>
        </is>
      </c>
    </row>
    <row r="3974">
      <c r="B3974" s="0" t="inlineStr">
        <is>
          <t xml:space="preserve">N4044212P7583</t>
        </is>
      </c>
      <c r="C3974" s="0" t="inlineStr">
        <is>
          <t xml:space="preserve">broad_maritime</t>
        </is>
      </c>
      <c r="D3974" s="4">
        <v>0.11713238999999999</v>
      </c>
      <c r="E3974" s="0" t="inlineStr">
        <is>
          <t xml:space="preserve">EVAC NORTH AMERICA INC</t>
        </is>
      </c>
      <c r="F3974" s="0" t="inlineStr">
        <is>
          <t xml:space="preserve">psc:2090</t>
        </is>
      </c>
    </row>
    <row r="3975">
      <c r="B3975" s="0" t="inlineStr">
        <is>
          <t xml:space="preserve">N3220518P6532</t>
        </is>
      </c>
      <c r="C3975" s="0" t="inlineStr">
        <is>
          <t xml:space="preserve">broad_maritime</t>
        </is>
      </c>
      <c r="D3975" s="4">
        <v>0.11710541999999999</v>
      </c>
      <c r="E3975" s="0" t="inlineStr">
        <is>
          <t xml:space="preserve">ALLIED SYSTEMS COMPANY</t>
        </is>
      </c>
      <c r="F3975" s="0" t="inlineStr">
        <is>
          <t xml:space="preserve">psc:2090</t>
        </is>
      </c>
    </row>
    <row r="3976">
      <c r="B3976" s="0" t="inlineStr">
        <is>
          <t xml:space="preserve">N3220519P6096</t>
        </is>
      </c>
      <c r="C3976" s="0" t="inlineStr">
        <is>
          <t xml:space="preserve">broad_maritime</t>
        </is>
      </c>
      <c r="D3976" s="4">
        <v>0.11685145</v>
      </c>
      <c r="E3976" s="0" t="inlineStr">
        <is>
          <t xml:space="preserve">CARTER MACHINERY COMPANY, INCORPORATED</t>
        </is>
      </c>
      <c r="F3976" s="0" t="inlineStr">
        <is>
          <t xml:space="preserve">psc:2090</t>
        </is>
      </c>
    </row>
    <row r="3977">
      <c r="B3977" s="0" t="inlineStr">
        <is>
          <t xml:space="preserve">N3220519P1007</t>
        </is>
      </c>
      <c r="C3977" s="0" t="inlineStr">
        <is>
          <t xml:space="preserve">broad_maritime</t>
        </is>
      </c>
      <c r="D3977" s="4">
        <v>0.11658089999999999</v>
      </c>
      <c r="E3977" s="0" t="inlineStr">
        <is>
          <t xml:space="preserve">EDGE TECHNOLOGY DISTRIBUTORS, INC.</t>
        </is>
      </c>
      <c r="F3977" s="0" t="inlineStr">
        <is>
          <t xml:space="preserve">psc:2090</t>
        </is>
      </c>
    </row>
    <row r="3978">
      <c r="B3978" s="0" t="inlineStr">
        <is>
          <t xml:space="preserve">N0040624F0064</t>
        </is>
      </c>
      <c r="C3978" s="0" t="inlineStr">
        <is>
          <t xml:space="preserve">broad_maritime</t>
        </is>
      </c>
      <c r="D3978" s="4">
        <v>0.11652797999999999</v>
      </c>
      <c r="E3978" s="0" t="inlineStr">
        <is>
          <t xml:space="preserve">DEFENSE MARITIME SOLUTIONS, INC.</t>
        </is>
      </c>
      <c r="F3978" s="0" t="inlineStr">
        <is>
          <t xml:space="preserve">psc:2090</t>
        </is>
      </c>
    </row>
    <row r="3979">
      <c r="B3979" s="0" t="inlineStr">
        <is>
          <t xml:space="preserve">N3220521P0312</t>
        </is>
      </c>
      <c r="C3979" s="0" t="inlineStr">
        <is>
          <t xml:space="preserve">broad_maritime</t>
        </is>
      </c>
      <c r="D3979" s="4">
        <v>0.11645399999999999</v>
      </c>
      <c r="E3979" s="0" t="inlineStr">
        <is>
          <t xml:space="preserve">AIR &amp; LIQUID SYSTEMS CORPORATION</t>
        </is>
      </c>
      <c r="F3979" s="0" t="inlineStr">
        <is>
          <t xml:space="preserve">psc:2090</t>
        </is>
      </c>
    </row>
    <row r="3980">
      <c r="B3980" s="0" t="inlineStr">
        <is>
          <t xml:space="preserve">N3220519P6035</t>
        </is>
      </c>
      <c r="C3980" s="0" t="inlineStr">
        <is>
          <t xml:space="preserve">broad_maritime</t>
        </is>
      </c>
      <c r="D3980" s="4">
        <v>0.11645399999999999</v>
      </c>
      <c r="E3980" s="0" t="inlineStr">
        <is>
          <t xml:space="preserve">AIR &amp; LIQUID SYSTEMS CORPORATION</t>
        </is>
      </c>
      <c r="F3980" s="0" t="inlineStr">
        <is>
          <t xml:space="preserve">psc:2090</t>
        </is>
      </c>
    </row>
    <row r="3981">
      <c r="B3981" s="0" t="inlineStr">
        <is>
          <t xml:space="preserve">N4044209P5707</t>
        </is>
      </c>
      <c r="C3981" s="0" t="inlineStr">
        <is>
          <t xml:space="preserve">broad_maritime</t>
        </is>
      </c>
      <c r="D3981" s="4">
        <v>0.11641467999999999</v>
      </c>
      <c r="E3981" s="0" t="inlineStr">
        <is>
          <t xml:space="preserve">SEA RECOVERY CORPORATION</t>
        </is>
      </c>
      <c r="F3981" s="0" t="inlineStr">
        <is>
          <t xml:space="preserve">psc:2090</t>
        </is>
      </c>
    </row>
    <row r="3982">
      <c r="B3982" s="0" t="inlineStr">
        <is>
          <t xml:space="preserve">N3220516P7349</t>
        </is>
      </c>
      <c r="C3982" s="0" t="inlineStr">
        <is>
          <t xml:space="preserve">broad_maritime</t>
        </is>
      </c>
      <c r="D3982" s="4">
        <v>0.11639999999999999</v>
      </c>
      <c r="E3982" s="0" t="inlineStr">
        <is>
          <t xml:space="preserve">MOTOR-SERVICES HUGO STAMP, INC</t>
        </is>
      </c>
      <c r="F3982" s="0" t="inlineStr">
        <is>
          <t xml:space="preserve">psc:2090</t>
        </is>
      </c>
    </row>
    <row r="3983">
      <c r="B3983" s="0" t="inlineStr">
        <is>
          <t xml:space="preserve">N3220520P2165</t>
        </is>
      </c>
      <c r="C3983" s="0" t="inlineStr">
        <is>
          <t xml:space="preserve">small_craft</t>
        </is>
      </c>
      <c r="D3983" s="4">
        <v>0.116216</v>
      </c>
      <c r="E3983" s="0" t="inlineStr">
        <is>
          <t xml:space="preserve">VANE BROTHERS MARINE SAFETY &amp; SERVICES, INC</t>
        </is>
      </c>
      <c r="F3983" s="0" t="inlineStr">
        <is>
          <t xml:space="preserve">naics:336612; psc:2090</t>
        </is>
      </c>
    </row>
    <row r="3984">
      <c r="B3984" s="0" t="inlineStr">
        <is>
          <t xml:space="preserve">N3220520P0134</t>
        </is>
      </c>
      <c r="C3984" s="0" t="inlineStr">
        <is>
          <t xml:space="preserve">broad_maritime</t>
        </is>
      </c>
      <c r="D3984" s="4">
        <v>0.11620414999999999</v>
      </c>
      <c r="E3984" s="0" t="inlineStr">
        <is>
          <t xml:space="preserve">FAIRLEAD INTEGRATED POWER AND CONTROLS, LLC</t>
        </is>
      </c>
      <c r="F3984" s="0" t="inlineStr">
        <is>
          <t xml:space="preserve">psc:2090</t>
        </is>
      </c>
    </row>
    <row r="3985">
      <c r="B3985" s="0" t="inlineStr">
        <is>
          <t xml:space="preserve">L804</t>
        </is>
      </c>
      <c r="C3985" s="0" t="inlineStr">
        <is>
          <t xml:space="preserve">broad_maritime</t>
        </is>
      </c>
      <c r="D3985" s="4">
        <v>0.1162</v>
      </c>
      <c r="E3985" s="0" t="inlineStr">
        <is>
          <t xml:space="preserve">ELECTRIC BOAT CORPORATION</t>
        </is>
      </c>
      <c r="F3985" s="0" t="inlineStr">
        <is>
          <t xml:space="preserve">psc:1905</t>
        </is>
      </c>
    </row>
    <row r="3986">
      <c r="B3986" s="0" t="inlineStr">
        <is>
          <t xml:space="preserve">N0024421F0083</t>
        </is>
      </c>
      <c r="C3986" s="0" t="inlineStr">
        <is>
          <t xml:space="preserve">broad_maritime</t>
        </is>
      </c>
      <c r="D3986" s="4">
        <v>0.11608399999999999</v>
      </c>
      <c r="E3986" s="0" t="inlineStr">
        <is>
          <t xml:space="preserve">PACIFIC MARITIME INDUSTRIES CORP.</t>
        </is>
      </c>
      <c r="F3986" s="0" t="inlineStr">
        <is>
          <t xml:space="preserve">psc:2090</t>
        </is>
      </c>
    </row>
    <row r="3987">
      <c r="B3987" s="0" t="inlineStr">
        <is>
          <t xml:space="preserve">N0040623P1052</t>
        </is>
      </c>
      <c r="C3987" s="0" t="inlineStr">
        <is>
          <t xml:space="preserve">broad_maritime</t>
        </is>
      </c>
      <c r="D3987" s="4">
        <v>0.11606</v>
      </c>
      <c r="E3987" s="0" t="inlineStr">
        <is>
          <t xml:space="preserve">BERMINGHAM CONTROLS, INC., A CALIFORNIA CORPORATION</t>
        </is>
      </c>
      <c r="F3987" s="0" t="inlineStr">
        <is>
          <t xml:space="preserve">psc:2090</t>
        </is>
      </c>
    </row>
    <row r="3988">
      <c r="B3988" s="0" t="inlineStr">
        <is>
          <t xml:space="preserve">N0018918P1095</t>
        </is>
      </c>
      <c r="C3988" s="0" t="inlineStr">
        <is>
          <t xml:space="preserve">broad_maritime</t>
        </is>
      </c>
      <c r="D3988" s="4">
        <v>0.11599999999999999</v>
      </c>
      <c r="E3988" s="0" t="inlineStr">
        <is>
          <t xml:space="preserve">SCHOELLHORN - ALBRECHT MACHINE CO INC</t>
        </is>
      </c>
      <c r="F3988" s="0" t="inlineStr">
        <is>
          <t xml:space="preserve">psc:2090</t>
        </is>
      </c>
    </row>
    <row r="3989">
      <c r="B3989" s="0" t="inlineStr">
        <is>
          <t xml:space="preserve">N5523619P0057</t>
        </is>
      </c>
      <c r="C3989" s="0" t="inlineStr">
        <is>
          <t xml:space="preserve">broad_maritime</t>
        </is>
      </c>
      <c r="D3989" s="4">
        <v>0.11599</v>
      </c>
      <c r="E3989" s="0" t="inlineStr">
        <is>
          <t xml:space="preserve">SOUTHCOAST WELDING &amp; MANUFACTURING, LLC.</t>
        </is>
      </c>
      <c r="F3989" s="0" t="inlineStr">
        <is>
          <t xml:space="preserve">psc:2090</t>
        </is>
      </c>
    </row>
    <row r="3990">
      <c r="B3990" s="0" t="inlineStr">
        <is>
          <t xml:space="preserve">N4044212P8789</t>
        </is>
      </c>
      <c r="C3990" s="0" t="inlineStr">
        <is>
          <t xml:space="preserve">broad_maritime</t>
        </is>
      </c>
      <c r="D3990" s="4">
        <v>0.11598927</v>
      </c>
      <c r="E3990" s="0" t="inlineStr">
        <is>
          <t xml:space="preserve">ROLLS-ROYCE MARINE NORTH AMERICA INC.</t>
        </is>
      </c>
      <c r="F3990" s="0" t="inlineStr">
        <is>
          <t xml:space="preserve">psc:2090</t>
        </is>
      </c>
    </row>
    <row r="3991">
      <c r="B3991" s="0" t="inlineStr">
        <is>
          <t xml:space="preserve">N5005422P0213</t>
        </is>
      </c>
      <c r="C3991" s="0" t="inlineStr">
        <is>
          <t xml:space="preserve">broad_maritime</t>
        </is>
      </c>
      <c r="D3991" s="4">
        <v>0.11594144999999999</v>
      </c>
      <c r="E3991" s="0" t="inlineStr">
        <is>
          <t xml:space="preserve">DEFENSE MARITIME SOLUTIONS, INC.</t>
        </is>
      </c>
      <c r="F3991" s="0" t="inlineStr">
        <is>
          <t xml:space="preserve">psc:2090</t>
        </is>
      </c>
    </row>
    <row r="3992">
      <c r="B3992" s="0" t="inlineStr">
        <is>
          <t xml:space="preserve">N6883625P0039</t>
        </is>
      </c>
      <c r="C3992" s="0" t="inlineStr">
        <is>
          <t xml:space="preserve">broad_maritime</t>
        </is>
      </c>
      <c r="D3992" s="4">
        <v>0.115883</v>
      </c>
      <c r="E3992" s="0" t="inlineStr">
        <is>
          <t xml:space="preserve">PLASCORE INC</t>
        </is>
      </c>
      <c r="F3992" s="0" t="inlineStr">
        <is>
          <t xml:space="preserve">psc:2090</t>
        </is>
      </c>
    </row>
    <row r="3993">
      <c r="B3993" s="0" t="inlineStr">
        <is>
          <t xml:space="preserve">N3220524F0231</t>
        </is>
      </c>
      <c r="C3993" s="0" t="inlineStr">
        <is>
          <t xml:space="preserve">broad_maritime</t>
        </is>
      </c>
      <c r="D3993" s="4">
        <v>0.115842</v>
      </c>
      <c r="E3993" s="0" t="inlineStr">
        <is>
          <t xml:space="preserve">OCEAN PRODUCTS RESEARCH, INC.</t>
        </is>
      </c>
      <c r="F3993" s="0" t="inlineStr">
        <is>
          <t xml:space="preserve">psc:2090</t>
        </is>
      </c>
    </row>
    <row r="3994">
      <c r="B3994" s="0" t="inlineStr">
        <is>
          <t xml:space="preserve">N5523625P0005</t>
        </is>
      </c>
      <c r="C3994" s="0" t="inlineStr">
        <is>
          <t xml:space="preserve">broad_maritime</t>
        </is>
      </c>
      <c r="D3994" s="4">
        <v>0.1155894</v>
      </c>
      <c r="E3994" s="0" t="inlineStr">
        <is>
          <t xml:space="preserve">MILWAUKEE COMPOSITES, INC.</t>
        </is>
      </c>
      <c r="F3994" s="0" t="inlineStr">
        <is>
          <t xml:space="preserve">psc:2090</t>
        </is>
      </c>
    </row>
    <row r="3995">
      <c r="B3995" s="0" t="inlineStr">
        <is>
          <t xml:space="preserve">N0010425PBU45</t>
        </is>
      </c>
      <c r="C3995" s="0" t="inlineStr">
        <is>
          <t xml:space="preserve">broad_maritime</t>
        </is>
      </c>
      <c r="D3995" s="4">
        <v>0.11549999999999999</v>
      </c>
      <c r="E3995" s="0" t="inlineStr">
        <is>
          <t xml:space="preserve">TURNBULL LLC</t>
        </is>
      </c>
      <c r="F3995" s="0" t="inlineStr">
        <is>
          <t xml:space="preserve">psc:2090</t>
        </is>
      </c>
    </row>
    <row r="3996">
      <c r="B3996" s="0" t="inlineStr">
        <is>
          <t xml:space="preserve">N3220523F1411</t>
        </is>
      </c>
      <c r="C3996" s="0" t="inlineStr">
        <is>
          <t xml:space="preserve">broad_maritime</t>
        </is>
      </c>
      <c r="D3996" s="4">
        <v>0.11548583999999999</v>
      </c>
      <c r="E3996" s="0" t="inlineStr">
        <is>
          <t xml:space="preserve">CIRCOR NAVAL SOLUTIONS LLC</t>
        </is>
      </c>
      <c r="F3996" s="0" t="inlineStr">
        <is>
          <t xml:space="preserve">psc:2090</t>
        </is>
      </c>
    </row>
    <row r="3997">
      <c r="B3997" s="0" t="inlineStr">
        <is>
          <t xml:space="preserve">N3220521P2082</t>
        </is>
      </c>
      <c r="C3997" s="0" t="inlineStr">
        <is>
          <t xml:space="preserve">broad_maritime</t>
        </is>
      </c>
      <c r="D3997" s="4">
        <v>0.11505399999999999</v>
      </c>
      <c r="E3997" s="0" t="inlineStr">
        <is>
          <t xml:space="preserve">TRIMAN INDUSTRIES INC</t>
        </is>
      </c>
      <c r="F3997" s="0" t="inlineStr">
        <is>
          <t xml:space="preserve">psc:2090</t>
        </is>
      </c>
    </row>
    <row r="3998">
      <c r="B3998" s="0" t="inlineStr">
        <is>
          <t xml:space="preserve">N5005421P0025</t>
        </is>
      </c>
      <c r="C3998" s="0" t="inlineStr">
        <is>
          <t xml:space="preserve">broad_maritime</t>
        </is>
      </c>
      <c r="D3998" s="4">
        <v>0.11502391</v>
      </c>
      <c r="E3998" s="0" t="inlineStr">
        <is>
          <t xml:space="preserve">DEFENSE MARITIME SOLUTIONS, INC.</t>
        </is>
      </c>
      <c r="F3998" s="0" t="inlineStr">
        <is>
          <t xml:space="preserve">psc:2090</t>
        </is>
      </c>
    </row>
    <row r="3999">
      <c r="B3999" s="0" t="inlineStr">
        <is>
          <t xml:space="preserve">N0040623P0248</t>
        </is>
      </c>
      <c r="C3999" s="0" t="inlineStr">
        <is>
          <t xml:space="preserve">broad_maritime</t>
        </is>
      </c>
      <c r="D3999" s="4">
        <v>0.1150107</v>
      </c>
      <c r="E3999" s="0" t="inlineStr">
        <is>
          <t xml:space="preserve">17 MACHINERY LLC</t>
        </is>
      </c>
      <c r="F3999" s="0" t="inlineStr">
        <is>
          <t xml:space="preserve">psc:2090</t>
        </is>
      </c>
    </row>
    <row r="4000">
      <c r="B4000" s="0" t="inlineStr">
        <is>
          <t xml:space="preserve">N0040623F0257</t>
        </is>
      </c>
      <c r="C4000" s="0" t="inlineStr">
        <is>
          <t xml:space="preserve">broad_maritime</t>
        </is>
      </c>
      <c r="D4000" s="4">
        <v>0.11498349999999999</v>
      </c>
      <c r="E4000" s="0" t="inlineStr">
        <is>
          <t xml:space="preserve">FAIRBANKS MORSE, LLC</t>
        </is>
      </c>
      <c r="F4000" s="0" t="inlineStr">
        <is>
          <t xml:space="preserve">psc:2090</t>
        </is>
      </c>
    </row>
    <row r="4001">
      <c r="B4001" s="0" t="inlineStr">
        <is>
          <t xml:space="preserve">N4215823PE110</t>
        </is>
      </c>
      <c r="C4001" s="0" t="inlineStr">
        <is>
          <t xml:space="preserve">broad_maritime</t>
        </is>
      </c>
      <c r="D4001" s="4">
        <v>0.114954</v>
      </c>
      <c r="E4001" s="0" t="inlineStr">
        <is>
          <t xml:space="preserve">ENERGYSOLUTIONS SERVICES INC</t>
        </is>
      </c>
      <c r="F4001" s="0" t="inlineStr">
        <is>
          <t xml:space="preserve">psc:2090</t>
        </is>
      </c>
    </row>
    <row r="4002">
      <c r="B4002" s="0" t="inlineStr">
        <is>
          <t xml:space="preserve">N0024421F0283</t>
        </is>
      </c>
      <c r="C4002" s="0" t="inlineStr">
        <is>
          <t xml:space="preserve">broad_maritime</t>
        </is>
      </c>
      <c r="D4002" s="4">
        <v>0.11495</v>
      </c>
      <c r="E4002" s="0" t="inlineStr">
        <is>
          <t xml:space="preserve">MARINE &amp; RESTAURANT FABRICATORS, INC.</t>
        </is>
      </c>
      <c r="F4002" s="0" t="inlineStr">
        <is>
          <t xml:space="preserve">psc:2090</t>
        </is>
      </c>
    </row>
    <row r="4003">
      <c r="B4003" s="0" t="inlineStr">
        <is>
          <t xml:space="preserve">N5005418P0067</t>
        </is>
      </c>
      <c r="C4003" s="0" t="inlineStr">
        <is>
          <t xml:space="preserve">broad_maritime</t>
        </is>
      </c>
      <c r="D4003" s="4">
        <v>0.114895</v>
      </c>
      <c r="E4003" s="0" t="inlineStr">
        <is>
          <t xml:space="preserve">CURTISS-WRIGHT ELECTRO-MECHANICAL CORP</t>
        </is>
      </c>
      <c r="F4003" s="0" t="inlineStr">
        <is>
          <t xml:space="preserve">psc:2090</t>
        </is>
      </c>
    </row>
    <row r="4004">
      <c r="B4004" s="0" t="inlineStr">
        <is>
          <t xml:space="preserve">N3220518P4085</t>
        </is>
      </c>
      <c r="C4004" s="0" t="inlineStr">
        <is>
          <t xml:space="preserve">broad_maritime</t>
        </is>
      </c>
      <c r="D4004" s="4">
        <v>0.11479021</v>
      </c>
      <c r="E4004" s="0" t="inlineStr">
        <is>
          <t xml:space="preserve">SEPARATOR SPARES &amp; EQUIPMENT LLC</t>
        </is>
      </c>
      <c r="F4004" s="0" t="inlineStr">
        <is>
          <t xml:space="preserve">psc:2090</t>
        </is>
      </c>
    </row>
    <row r="4005">
      <c r="B4005" s="0" t="inlineStr">
        <is>
          <t xml:space="preserve">N0003919F0373</t>
        </is>
      </c>
      <c r="C4005" s="0" t="inlineStr">
        <is>
          <t xml:space="preserve">usv_core</t>
        </is>
      </c>
      <c r="D4005" s="4">
        <v>0.11445148</v>
      </c>
      <c r="E4005" s="0" t="inlineStr">
        <is>
          <t xml:space="preserve">LOCKHEED MARTIN CORPORATION</t>
        </is>
      </c>
      <c r="F4005" s="0" t="inlineStr">
        <is>
          <t xml:space="preserve">keyword</t>
        </is>
      </c>
    </row>
    <row r="4006">
      <c r="B4006" s="0" t="inlineStr">
        <is>
          <t xml:space="preserve">0071</t>
        </is>
      </c>
      <c r="C4006" s="0" t="inlineStr">
        <is>
          <t xml:space="preserve">broad_maritime</t>
        </is>
      </c>
      <c r="D4006" s="4">
        <v>0.11439178</v>
      </c>
      <c r="E4006" s="0" t="inlineStr">
        <is>
          <t xml:space="preserve">ROLLS-ROYCE SOLUTIONS AMERICA INC</t>
        </is>
      </c>
      <c r="F4006" s="0" t="inlineStr">
        <is>
          <t xml:space="preserve">psc:2090</t>
        </is>
      </c>
    </row>
    <row r="4007">
      <c r="B4007" s="0" t="inlineStr">
        <is>
          <t xml:space="preserve">N3220525P4053</t>
        </is>
      </c>
      <c r="C4007" s="0" t="inlineStr">
        <is>
          <t xml:space="preserve">broad_maritime</t>
        </is>
      </c>
      <c r="D4007" s="4">
        <v>0.11435999999999999</v>
      </c>
      <c r="E4007" s="0" t="inlineStr">
        <is>
          <t xml:space="preserve">MECS, INC.</t>
        </is>
      </c>
      <c r="F4007" s="0" t="inlineStr">
        <is>
          <t xml:space="preserve">psc:2090</t>
        </is>
      </c>
    </row>
    <row r="4008">
      <c r="B4008" s="0" t="inlineStr">
        <is>
          <t xml:space="preserve">N6227118P1157</t>
        </is>
      </c>
      <c r="C4008" s="0" t="inlineStr">
        <is>
          <t xml:space="preserve">broad_maritime</t>
        </is>
      </c>
      <c r="D4008" s="4">
        <v>0.11424</v>
      </c>
      <c r="E4008" s="0" t="inlineStr">
        <is>
          <t xml:space="preserve">EDGEONE LLC</t>
        </is>
      </c>
      <c r="F4008" s="0" t="inlineStr">
        <is>
          <t xml:space="preserve">psc:2090</t>
        </is>
      </c>
    </row>
    <row r="4009">
      <c r="B4009" s="0" t="inlineStr">
        <is>
          <t xml:space="preserve">N0010417PFC41</t>
        </is>
      </c>
      <c r="C4009" s="0" t="inlineStr">
        <is>
          <t xml:space="preserve">small_craft</t>
        </is>
      </c>
      <c r="D4009" s="4">
        <v>0.114135</v>
      </c>
      <c r="E4009" s="0" t="inlineStr">
        <is>
          <t xml:space="preserve">GUILL TOOL &amp; ENGINEERING CO INC</t>
        </is>
      </c>
      <c r="F4009" s="0" t="inlineStr">
        <is>
          <t xml:space="preserve">naics:336612</t>
        </is>
      </c>
    </row>
    <row r="4010">
      <c r="B4010" s="0" t="inlineStr">
        <is>
          <t xml:space="preserve">N6470915P0061</t>
        </is>
      </c>
      <c r="C4010" s="0" t="inlineStr">
        <is>
          <t xml:space="preserve">broad_maritime</t>
        </is>
      </c>
      <c r="D4010" s="4">
        <v>0.1135354</v>
      </c>
      <c r="E4010" s="0" t="inlineStr">
        <is>
          <t xml:space="preserve">PALMER JOHNSON POWER SYSTEMS LLC</t>
        </is>
      </c>
      <c r="F4010" s="0" t="inlineStr">
        <is>
          <t xml:space="preserve">psc:2090</t>
        </is>
      </c>
    </row>
    <row r="4011">
      <c r="B4011" s="0" t="inlineStr">
        <is>
          <t xml:space="preserve">N0010421PFC27</t>
        </is>
      </c>
      <c r="C4011" s="0" t="inlineStr">
        <is>
          <t xml:space="preserve">broad_maritime</t>
        </is>
      </c>
      <c r="D4011" s="4">
        <v>0.113505</v>
      </c>
      <c r="E4011" s="0" t="inlineStr">
        <is>
          <t xml:space="preserve">U.S.A. SPARES INC.</t>
        </is>
      </c>
      <c r="F4011" s="0" t="inlineStr">
        <is>
          <t xml:space="preserve">psc:2090</t>
        </is>
      </c>
    </row>
    <row r="4012">
      <c r="B4012" s="0" t="inlineStr">
        <is>
          <t xml:space="preserve">N3220518P4004</t>
        </is>
      </c>
      <c r="C4012" s="0" t="inlineStr">
        <is>
          <t xml:space="preserve">broad_maritime</t>
        </is>
      </c>
      <c r="D4012" s="4">
        <v>0.11337499999999999</v>
      </c>
      <c r="E4012" s="0" t="inlineStr">
        <is>
          <t xml:space="preserve">EATON CORPORATION</t>
        </is>
      </c>
      <c r="F4012" s="0" t="inlineStr">
        <is>
          <t xml:space="preserve">psc:2090</t>
        </is>
      </c>
    </row>
    <row r="4013">
      <c r="B4013" s="0" t="inlineStr">
        <is>
          <t xml:space="preserve">0007</t>
        </is>
      </c>
      <c r="C4013" s="0" t="inlineStr">
        <is>
          <t xml:space="preserve">broad_maritime</t>
        </is>
      </c>
      <c r="D4013" s="4">
        <v>0.11331999999999999</v>
      </c>
      <c r="E4013" s="0" t="inlineStr">
        <is>
          <t xml:space="preserve">MARINE &amp; RESTAURANT FABRICATORS, INC.</t>
        </is>
      </c>
      <c r="F4013" s="0" t="inlineStr">
        <is>
          <t xml:space="preserve">psc:2090</t>
        </is>
      </c>
    </row>
    <row r="4014">
      <c r="B4014" s="0" t="inlineStr">
        <is>
          <t xml:space="preserve">N3220516P7014</t>
        </is>
      </c>
      <c r="C4014" s="0" t="inlineStr">
        <is>
          <t xml:space="preserve">broad_maritime</t>
        </is>
      </c>
      <c r="D4014" s="4">
        <v>0.113285</v>
      </c>
      <c r="E4014" s="0" t="inlineStr">
        <is>
          <t xml:space="preserve">COFFIN TURBO PUMP INC</t>
        </is>
      </c>
      <c r="F4014" s="0" t="inlineStr">
        <is>
          <t xml:space="preserve">psc:2090</t>
        </is>
      </c>
    </row>
    <row r="4015">
      <c r="B4015" s="0" t="inlineStr">
        <is>
          <t xml:space="preserve">N0040624P0076</t>
        </is>
      </c>
      <c r="C4015" s="0" t="inlineStr">
        <is>
          <t xml:space="preserve">broad_maritime</t>
        </is>
      </c>
      <c r="D4015" s="4">
        <v>0.1130775</v>
      </c>
      <c r="E4015" s="0" t="inlineStr">
        <is>
          <t xml:space="preserve">NORFOLK BEARINGS &amp; SUPPLY CO INC</t>
        </is>
      </c>
      <c r="F4015" s="0" t="inlineStr">
        <is>
          <t xml:space="preserve">psc:2090</t>
        </is>
      </c>
    </row>
    <row r="4016">
      <c r="B4016" s="0" t="inlineStr">
        <is>
          <t xml:space="preserve">N0024424P0143</t>
        </is>
      </c>
      <c r="C4016" s="0" t="inlineStr">
        <is>
          <t xml:space="preserve">broad_maritime</t>
        </is>
      </c>
      <c r="D4016" s="4">
        <v>0.11306181</v>
      </c>
      <c r="E4016" s="0" t="inlineStr">
        <is>
          <t xml:space="preserve">ART LINE WHOLESALERS, INC</t>
        </is>
      </c>
      <c r="F4016" s="0" t="inlineStr">
        <is>
          <t xml:space="preserve">psc:2090</t>
        </is>
      </c>
    </row>
    <row r="4017">
      <c r="B4017" s="0" t="inlineStr">
        <is>
          <t xml:space="preserve">N0040624P0308</t>
        </is>
      </c>
      <c r="C4017" s="0" t="inlineStr">
        <is>
          <t xml:space="preserve">broad_maritime</t>
        </is>
      </c>
      <c r="D4017" s="4">
        <v>0.11305</v>
      </c>
      <c r="E4017" s="0" t="inlineStr">
        <is>
          <t xml:space="preserve">IN-MAR SOLUTIONS LLC</t>
        </is>
      </c>
      <c r="F4017" s="0" t="inlineStr">
        <is>
          <t xml:space="preserve">psc:2090</t>
        </is>
      </c>
    </row>
    <row r="4018">
      <c r="B4018" s="0" t="inlineStr">
        <is>
          <t xml:space="preserve">N3220520P2097</t>
        </is>
      </c>
      <c r="C4018" s="0" t="inlineStr">
        <is>
          <t xml:space="preserve">broad_maritime</t>
        </is>
      </c>
      <c r="D4018" s="4">
        <v>0.11299999999999999</v>
      </c>
      <c r="E4018" s="0" t="inlineStr">
        <is>
          <t xml:space="preserve">RAILWAY SPECIALTIES CORP</t>
        </is>
      </c>
      <c r="F4018" s="0" t="inlineStr">
        <is>
          <t xml:space="preserve">psc:2090</t>
        </is>
      </c>
    </row>
    <row r="4019">
      <c r="B4019" s="0" t="inlineStr">
        <is>
          <t xml:space="preserve">N0010423PBC24</t>
        </is>
      </c>
      <c r="C4019" s="0" t="inlineStr">
        <is>
          <t xml:space="preserve">broad_maritime</t>
        </is>
      </c>
      <c r="D4019" s="4">
        <v>0.11299808</v>
      </c>
      <c r="E4019" s="0" t="inlineStr">
        <is>
          <t xml:space="preserve">KAMPI COMPONENTS CO INC</t>
        </is>
      </c>
      <c r="F4019" s="0" t="inlineStr">
        <is>
          <t xml:space="preserve">psc:2090</t>
        </is>
      </c>
    </row>
    <row r="4020">
      <c r="B4020" s="0" t="inlineStr">
        <is>
          <t xml:space="preserve">N3220519P4559</t>
        </is>
      </c>
      <c r="C4020" s="0" t="inlineStr">
        <is>
          <t xml:space="preserve">broad_maritime</t>
        </is>
      </c>
      <c r="D4020" s="4">
        <v>0.11295899999999999</v>
      </c>
      <c r="E4020" s="0" t="inlineStr">
        <is>
          <t xml:space="preserve">APPLETON MARINE INC</t>
        </is>
      </c>
      <c r="F4020" s="0" t="inlineStr">
        <is>
          <t xml:space="preserve">psc:2090</t>
        </is>
      </c>
    </row>
    <row r="4021">
      <c r="B4021" s="0" t="inlineStr">
        <is>
          <t xml:space="preserve">N0024420F0527</t>
        </is>
      </c>
      <c r="C4021" s="0" t="inlineStr">
        <is>
          <t xml:space="preserve">broad_maritime</t>
        </is>
      </c>
      <c r="D4021" s="4">
        <v>0.112925</v>
      </c>
      <c r="E4021" s="0" t="inlineStr">
        <is>
          <t xml:space="preserve">PACIFIC MARITIME INDUSTRIES CORP.</t>
        </is>
      </c>
      <c r="F4021" s="0" t="inlineStr">
        <is>
          <t xml:space="preserve">psc:2090</t>
        </is>
      </c>
    </row>
    <row r="4022">
      <c r="B4022" s="0" t="inlineStr">
        <is>
          <t xml:space="preserve">N3220515P1291</t>
        </is>
      </c>
      <c r="C4022" s="0" t="inlineStr">
        <is>
          <t xml:space="preserve">broad_maritime</t>
        </is>
      </c>
      <c r="D4022" s="4">
        <v>0.112924</v>
      </c>
      <c r="E4022" s="0" t="inlineStr">
        <is>
          <t xml:space="preserve">CIRCOR NAVAL SOLUTIONS LLC</t>
        </is>
      </c>
      <c r="F4022" s="0" t="inlineStr">
        <is>
          <t xml:space="preserve">psc:2090</t>
        </is>
      </c>
    </row>
    <row r="4023">
      <c r="B4023" s="0" t="inlineStr">
        <is>
          <t xml:space="preserve">N3220515P4363</t>
        </is>
      </c>
      <c r="C4023" s="0" t="inlineStr">
        <is>
          <t xml:space="preserve">broad_maritime</t>
        </is>
      </c>
      <c r="D4023" s="4">
        <v>0.11291799999999999</v>
      </c>
      <c r="E4023" s="0" t="inlineStr">
        <is>
          <t xml:space="preserve">SAUER COMPRESSORS USA, INC.</t>
        </is>
      </c>
      <c r="F4023" s="0" t="inlineStr">
        <is>
          <t xml:space="preserve">psc:2090</t>
        </is>
      </c>
    </row>
    <row r="4024">
      <c r="B4024" s="0" t="inlineStr">
        <is>
          <t xml:space="preserve">N3220516P7294</t>
        </is>
      </c>
      <c r="C4024" s="0" t="inlineStr">
        <is>
          <t xml:space="preserve">broad_maritime</t>
        </is>
      </c>
      <c r="D4024" s="4">
        <v>0.11290919999999999</v>
      </c>
      <c r="E4024" s="0" t="inlineStr">
        <is>
          <t xml:space="preserve">COLTEC INDUSTRIES INC.</t>
        </is>
      </c>
      <c r="F4024" s="0" t="inlineStr">
        <is>
          <t xml:space="preserve">psc:2090</t>
        </is>
      </c>
    </row>
    <row r="4025">
      <c r="B4025" s="0" t="inlineStr">
        <is>
          <t xml:space="preserve">N0040618P0986</t>
        </is>
      </c>
      <c r="C4025" s="0" t="inlineStr">
        <is>
          <t xml:space="preserve">small_craft</t>
        </is>
      </c>
      <c r="D4025" s="4">
        <v>0.11288839999999999</v>
      </c>
      <c r="E4025" s="0" t="inlineStr">
        <is>
          <t xml:space="preserve">VIKING LIFE-SAVING EQUIPMENT (AMERICA), INC.</t>
        </is>
      </c>
      <c r="F4025" s="0" t="inlineStr">
        <is>
          <t xml:space="preserve">naics:336612</t>
        </is>
      </c>
    </row>
    <row r="4026">
      <c r="B4026" s="0" t="inlineStr">
        <is>
          <t xml:space="preserve">N4044320P0116</t>
        </is>
      </c>
      <c r="C4026" s="0" t="inlineStr">
        <is>
          <t xml:space="preserve">broad_maritime</t>
        </is>
      </c>
      <c r="D4026" s="4">
        <v>0.11284</v>
      </c>
      <c r="E4026" s="0" t="inlineStr">
        <is>
          <t xml:space="preserve">BARNEY A CAGLE</t>
        </is>
      </c>
      <c r="F4026" s="0" t="inlineStr">
        <is>
          <t xml:space="preserve">psc:2090</t>
        </is>
      </c>
    </row>
    <row r="4027">
      <c r="B4027" s="0" t="inlineStr">
        <is>
          <t xml:space="preserve">N3220521F2309</t>
        </is>
      </c>
      <c r="C4027" s="0" t="inlineStr">
        <is>
          <t xml:space="preserve">broad_maritime</t>
        </is>
      </c>
      <c r="D4027" s="4">
        <v>0.11273421</v>
      </c>
      <c r="E4027" s="0" t="inlineStr">
        <is>
          <t xml:space="preserve">AUSTAL USA, LLC</t>
        </is>
      </c>
      <c r="F4027" s="0" t="inlineStr">
        <is>
          <t xml:space="preserve">psc:2090</t>
        </is>
      </c>
    </row>
    <row r="4028">
      <c r="B4028" s="0" t="inlineStr">
        <is>
          <t xml:space="preserve">N3220517F0648</t>
        </is>
      </c>
      <c r="C4028" s="0" t="inlineStr">
        <is>
          <t xml:space="preserve">broad_maritime</t>
        </is>
      </c>
      <c r="D4028" s="4">
        <v>0.112548</v>
      </c>
      <c r="E4028" s="0" t="inlineStr">
        <is>
          <t xml:space="preserve">MAZZELLA LIFTING TECHNOLOGIES, INC.</t>
        </is>
      </c>
      <c r="F4028" s="0" t="inlineStr">
        <is>
          <t xml:space="preserve">psc:2090</t>
        </is>
      </c>
    </row>
    <row r="4029">
      <c r="B4029" s="0" t="inlineStr">
        <is>
          <t xml:space="preserve">N0040624P0465</t>
        </is>
      </c>
      <c r="C4029" s="0" t="inlineStr">
        <is>
          <t xml:space="preserve">broad_maritime</t>
        </is>
      </c>
      <c r="D4029" s="4">
        <v>0.11252591999999999</v>
      </c>
      <c r="E4029" s="0" t="inlineStr">
        <is>
          <t xml:space="preserve">ECI DEFENSE GROUP, INC.</t>
        </is>
      </c>
      <c r="F4029" s="0" t="inlineStr">
        <is>
          <t xml:space="preserve">psc:2090</t>
        </is>
      </c>
    </row>
    <row r="4030">
      <c r="B4030" s="0" t="inlineStr">
        <is>
          <t xml:space="preserve">N3220518P6072</t>
        </is>
      </c>
      <c r="C4030" s="0" t="inlineStr">
        <is>
          <t xml:space="preserve">broad_maritime</t>
        </is>
      </c>
      <c r="D4030" s="4">
        <v>0.11249999999999999</v>
      </c>
      <c r="E4030" s="0" t="inlineStr">
        <is>
          <t xml:space="preserve">RAILWAY SPECIALTIES CORP</t>
        </is>
      </c>
      <c r="F4030" s="0" t="inlineStr">
        <is>
          <t xml:space="preserve">psc:2090</t>
        </is>
      </c>
    </row>
    <row r="4031">
      <c r="B4031" s="0" t="inlineStr">
        <is>
          <t xml:space="preserve">N3220520P0277</t>
        </is>
      </c>
      <c r="C4031" s="0" t="inlineStr">
        <is>
          <t xml:space="preserve">broad_maritime</t>
        </is>
      </c>
      <c r="D4031" s="4">
        <v>0.11240499999999999</v>
      </c>
      <c r="E4031" s="0" t="inlineStr">
        <is>
          <t xml:space="preserve">TURNBULL LLC</t>
        </is>
      </c>
      <c r="F4031" s="0" t="inlineStr">
        <is>
          <t xml:space="preserve">psc:2090</t>
        </is>
      </c>
    </row>
    <row r="4032">
      <c r="B4032" s="0" t="inlineStr">
        <is>
          <t xml:space="preserve">N3220520P4076</t>
        </is>
      </c>
      <c r="C4032" s="0" t="inlineStr">
        <is>
          <t xml:space="preserve">broad_maritime</t>
        </is>
      </c>
      <c r="D4032" s="4">
        <v>0.11237500999999998</v>
      </c>
      <c r="E4032" s="0" t="inlineStr">
        <is>
          <t xml:space="preserve">TURNBULL LLC</t>
        </is>
      </c>
      <c r="F4032" s="0" t="inlineStr">
        <is>
          <t xml:space="preserve">psc:2090</t>
        </is>
      </c>
    </row>
    <row r="4033">
      <c r="B4033" s="0" t="inlineStr">
        <is>
          <t xml:space="preserve">N0024423F0193</t>
        </is>
      </c>
      <c r="C4033" s="0" t="inlineStr">
        <is>
          <t xml:space="preserve">broad_maritime</t>
        </is>
      </c>
      <c r="D4033" s="4">
        <v>0.112055</v>
      </c>
      <c r="E4033" s="0" t="inlineStr">
        <is>
          <t xml:space="preserve">JPL HABITABILITY, INC.</t>
        </is>
      </c>
      <c r="F4033" s="0" t="inlineStr">
        <is>
          <t xml:space="preserve">psc:2090</t>
        </is>
      </c>
    </row>
    <row r="4034">
      <c r="B4034" s="0" t="inlineStr">
        <is>
          <t xml:space="preserve">N0002418F22G2</t>
        </is>
      </c>
      <c r="C4034" s="0" t="inlineStr">
        <is>
          <t xml:space="preserve">small_craft</t>
        </is>
      </c>
      <c r="D4034" s="4">
        <v>0.11195246</v>
      </c>
      <c r="E4034" s="0" t="inlineStr">
        <is>
          <t xml:space="preserve">METALCRAFT MARINE US, INC.</t>
        </is>
      </c>
      <c r="F4034" s="0" t="inlineStr">
        <is>
          <t xml:space="preserve">naics:336612; psc:1940</t>
        </is>
      </c>
    </row>
    <row r="4035">
      <c r="B4035" s="0" t="inlineStr">
        <is>
          <t xml:space="preserve">N5523618P0090</t>
        </is>
      </c>
      <c r="C4035" s="0" t="inlineStr">
        <is>
          <t xml:space="preserve">broad_maritime</t>
        </is>
      </c>
      <c r="D4035" s="4">
        <v>0.11188063999999999</v>
      </c>
      <c r="E4035" s="0" t="inlineStr">
        <is>
          <t xml:space="preserve">DEFENSE MARITIME SOLUTIONS, INC.</t>
        </is>
      </c>
      <c r="F4035" s="0" t="inlineStr">
        <is>
          <t xml:space="preserve">psc:2090</t>
        </is>
      </c>
    </row>
    <row r="4036">
      <c r="B4036" s="0" t="inlineStr">
        <is>
          <t xml:space="preserve">N6238715P7000</t>
        </is>
      </c>
      <c r="C4036" s="0" t="inlineStr">
        <is>
          <t xml:space="preserve">broad_maritime</t>
        </is>
      </c>
      <c r="D4036" s="4">
        <v>0.11184182000000001</v>
      </c>
      <c r="E4036" s="0" t="inlineStr">
        <is>
          <t xml:space="preserve">BLASTPRO MANUFACTURING INC</t>
        </is>
      </c>
      <c r="F4036" s="0" t="inlineStr">
        <is>
          <t xml:space="preserve">psc:2090</t>
        </is>
      </c>
    </row>
    <row r="4037">
      <c r="B4037" s="0" t="inlineStr">
        <is>
          <t xml:space="preserve">N3220518P4043</t>
        </is>
      </c>
      <c r="C4037" s="0" t="inlineStr">
        <is>
          <t xml:space="preserve">broad_maritime</t>
        </is>
      </c>
      <c r="D4037" s="4">
        <v>0.11180899999999999</v>
      </c>
      <c r="E4037" s="0" t="inlineStr">
        <is>
          <t xml:space="preserve">BARNEY A CAGLE</t>
        </is>
      </c>
      <c r="F4037" s="0" t="inlineStr">
        <is>
          <t xml:space="preserve">psc:2090</t>
        </is>
      </c>
    </row>
    <row r="4038">
      <c r="B4038" s="0" t="inlineStr">
        <is>
          <t xml:space="preserve">N4044319P0033</t>
        </is>
      </c>
      <c r="C4038" s="0" t="inlineStr">
        <is>
          <t xml:space="preserve">broad_maritime</t>
        </is>
      </c>
      <c r="D4038" s="4">
        <v>0.11154</v>
      </c>
      <c r="E4038" s="0" t="inlineStr">
        <is>
          <t xml:space="preserve">APPLETON MARINE INC</t>
        </is>
      </c>
      <c r="F4038" s="0" t="inlineStr">
        <is>
          <t xml:space="preserve">psc:2090</t>
        </is>
      </c>
    </row>
    <row r="4039">
      <c r="B4039" s="0" t="inlineStr">
        <is>
          <t xml:space="preserve">N3220518P4544</t>
        </is>
      </c>
      <c r="C4039" s="0" t="inlineStr">
        <is>
          <t xml:space="preserve">broad_maritime</t>
        </is>
      </c>
      <c r="D4039" s="4">
        <v>0.11125500999999999</v>
      </c>
      <c r="E4039" s="0" t="inlineStr">
        <is>
          <t xml:space="preserve">DEFENSE MARITIME SOLUTIONS, INC.</t>
        </is>
      </c>
      <c r="F4039" s="0" t="inlineStr">
        <is>
          <t xml:space="preserve">psc:2090</t>
        </is>
      </c>
    </row>
    <row r="4040">
      <c r="B4040" s="0" t="inlineStr">
        <is>
          <t xml:space="preserve">N3220516P7130</t>
        </is>
      </c>
      <c r="C4040" s="0" t="inlineStr">
        <is>
          <t xml:space="preserve">broad_maritime</t>
        </is>
      </c>
      <c r="D4040" s="4">
        <v>0.11125399999999999</v>
      </c>
      <c r="E4040" s="0" t="inlineStr">
        <is>
          <t xml:space="preserve">CIRCOR NAVAL SOLUTIONS LLC</t>
        </is>
      </c>
      <c r="F4040" s="0" t="inlineStr">
        <is>
          <t xml:space="preserve">psc:2090</t>
        </is>
      </c>
    </row>
    <row r="4041">
      <c r="B4041" s="0" t="inlineStr">
        <is>
          <t xml:space="preserve">N0024420F0196</t>
        </is>
      </c>
      <c r="C4041" s="0" t="inlineStr">
        <is>
          <t xml:space="preserve">broad_maritime</t>
        </is>
      </c>
      <c r="D4041" s="4">
        <v>0.11115499999999999</v>
      </c>
      <c r="E4041" s="0" t="inlineStr">
        <is>
          <t xml:space="preserve">MARINE &amp; RESTAURANT FABRICATORS, INC.</t>
        </is>
      </c>
      <c r="F4041" s="0" t="inlineStr">
        <is>
          <t xml:space="preserve">psc:2090</t>
        </is>
      </c>
    </row>
    <row r="4042">
      <c r="B4042" s="0" t="inlineStr">
        <is>
          <t xml:space="preserve">N0024425FS149</t>
        </is>
      </c>
      <c r="C4042" s="0" t="inlineStr">
        <is>
          <t xml:space="preserve">broad_maritime</t>
        </is>
      </c>
      <c r="D4042" s="4">
        <v>0.111138</v>
      </c>
      <c r="E4042" s="0" t="inlineStr">
        <is>
          <t xml:space="preserve">MARINE &amp; RESTAURANT FABRICATORS, INC.</t>
        </is>
      </c>
      <c r="F4042" s="0" t="inlineStr">
        <is>
          <t xml:space="preserve">psc:2090</t>
        </is>
      </c>
    </row>
    <row r="4043">
      <c r="B4043" s="0" t="inlineStr">
        <is>
          <t xml:space="preserve">N3220518P6660</t>
        </is>
      </c>
      <c r="C4043" s="0" t="inlineStr">
        <is>
          <t xml:space="preserve">broad_maritime</t>
        </is>
      </c>
      <c r="D4043" s="4">
        <v>0.111034</v>
      </c>
      <c r="E4043" s="0" t="inlineStr">
        <is>
          <t xml:space="preserve">BARNEY A CAGLE</t>
        </is>
      </c>
      <c r="F4043" s="0" t="inlineStr">
        <is>
          <t xml:space="preserve">psc:2090</t>
        </is>
      </c>
    </row>
    <row r="4044">
      <c r="B4044" s="0" t="inlineStr">
        <is>
          <t xml:space="preserve">N3220520F2232</t>
        </is>
      </c>
      <c r="C4044" s="0" t="inlineStr">
        <is>
          <t xml:space="preserve">broad_maritime</t>
        </is>
      </c>
      <c r="D4044" s="4">
        <v>0.11097588</v>
      </c>
      <c r="E4044" s="0" t="inlineStr">
        <is>
          <t xml:space="preserve">CIRCOR NAVAL SOLUTIONS LLC</t>
        </is>
      </c>
      <c r="F4044" s="0" t="inlineStr">
        <is>
          <t xml:space="preserve">psc:2090</t>
        </is>
      </c>
    </row>
    <row r="4045">
      <c r="B4045" s="0" t="inlineStr">
        <is>
          <t xml:space="preserve">N3220518P1088</t>
        </is>
      </c>
      <c r="C4045" s="0" t="inlineStr">
        <is>
          <t xml:space="preserve">broad_maritime</t>
        </is>
      </c>
      <c r="D4045" s="4">
        <v>0.110924</v>
      </c>
      <c r="E4045" s="0" t="inlineStr">
        <is>
          <t xml:space="preserve">BARNEY A CAGLE</t>
        </is>
      </c>
      <c r="F4045" s="0" t="inlineStr">
        <is>
          <t xml:space="preserve">psc:2090</t>
        </is>
      </c>
    </row>
    <row r="4046">
      <c r="B4046" s="0" t="inlineStr">
        <is>
          <t xml:space="preserve">N6470921P0040</t>
        </is>
      </c>
      <c r="C4046" s="0" t="inlineStr">
        <is>
          <t xml:space="preserve">small_craft</t>
        </is>
      </c>
      <c r="D4046" s="4">
        <v>0.110912</v>
      </c>
      <c r="E4046" s="0" t="inlineStr">
        <is>
          <t xml:space="preserve">WING INFLATABLES INC</t>
        </is>
      </c>
      <c r="F4046" s="0" t="inlineStr">
        <is>
          <t xml:space="preserve">naics:336612</t>
        </is>
      </c>
    </row>
    <row r="4047">
      <c r="B4047" s="0" t="inlineStr">
        <is>
          <t xml:space="preserve">N3220516P7308</t>
        </is>
      </c>
      <c r="C4047" s="0" t="inlineStr">
        <is>
          <t xml:space="preserve">broad_maritime</t>
        </is>
      </c>
      <c r="D4047" s="4">
        <v>0.11089811999999999</v>
      </c>
      <c r="E4047" s="0" t="inlineStr">
        <is>
          <t xml:space="preserve">BARD HOLDINGS NA, INC</t>
        </is>
      </c>
      <c r="F4047" s="0" t="inlineStr">
        <is>
          <t xml:space="preserve">psc:2090</t>
        </is>
      </c>
    </row>
    <row r="4048">
      <c r="B4048" s="0" t="inlineStr">
        <is>
          <t xml:space="preserve">N5005418P0098</t>
        </is>
      </c>
      <c r="C4048" s="0" t="inlineStr">
        <is>
          <t xml:space="preserve">broad_maritime</t>
        </is>
      </c>
      <c r="D4048" s="4">
        <v>0.11065332</v>
      </c>
      <c r="E4048" s="0" t="inlineStr">
        <is>
          <t xml:space="preserve">JERED LLC</t>
        </is>
      </c>
      <c r="F4048" s="0" t="inlineStr">
        <is>
          <t xml:space="preserve">psc:2090</t>
        </is>
      </c>
    </row>
    <row r="4049">
      <c r="B4049" s="0" t="inlineStr">
        <is>
          <t xml:space="preserve">0023</t>
        </is>
      </c>
      <c r="C4049" s="0" t="inlineStr">
        <is>
          <t xml:space="preserve">broad_maritime</t>
        </is>
      </c>
      <c r="D4049" s="4">
        <v>0.110535</v>
      </c>
      <c r="E4049" s="0" t="inlineStr">
        <is>
          <t xml:space="preserve">FLIGHTFAB, INC.</t>
        </is>
      </c>
      <c r="F4049" s="0" t="inlineStr">
        <is>
          <t xml:space="preserve">psc:2090</t>
        </is>
      </c>
    </row>
    <row r="4050">
      <c r="B4050" s="0" t="inlineStr">
        <is>
          <t xml:space="preserve">N4044318P0122</t>
        </is>
      </c>
      <c r="C4050" s="0" t="inlineStr">
        <is>
          <t xml:space="preserve">broad_maritime</t>
        </is>
      </c>
      <c r="D4050" s="4">
        <v>0.110429</v>
      </c>
      <c r="E4050" s="0" t="inlineStr">
        <is>
          <t xml:space="preserve">BARNEY A CAGLE</t>
        </is>
      </c>
      <c r="F4050" s="0" t="inlineStr">
        <is>
          <t xml:space="preserve">psc:2090</t>
        </is>
      </c>
    </row>
    <row r="4051">
      <c r="B4051" s="0" t="inlineStr">
        <is>
          <t xml:space="preserve">N0040624P0290</t>
        </is>
      </c>
      <c r="C4051" s="0" t="inlineStr">
        <is>
          <t xml:space="preserve">broad_maritime</t>
        </is>
      </c>
      <c r="D4051" s="4">
        <v>0.11037849999999999</v>
      </c>
      <c r="E4051" s="0" t="inlineStr">
        <is>
          <t xml:space="preserve">RED FOX ENVIRONMENTAL SERVICES INC</t>
        </is>
      </c>
      <c r="F4051" s="0" t="inlineStr">
        <is>
          <t xml:space="preserve">psc:2090</t>
        </is>
      </c>
    </row>
    <row r="4052">
      <c r="B4052" s="0" t="inlineStr">
        <is>
          <t xml:space="preserve">N3220518P6046</t>
        </is>
      </c>
      <c r="C4052" s="0" t="inlineStr">
        <is>
          <t xml:space="preserve">broad_maritime</t>
        </is>
      </c>
      <c r="D4052" s="4">
        <v>0.110376</v>
      </c>
      <c r="E4052" s="0" t="inlineStr">
        <is>
          <t xml:space="preserve">CIRCOR NAVAL SOLUTIONS LLC</t>
        </is>
      </c>
      <c r="F4052" s="0" t="inlineStr">
        <is>
          <t xml:space="preserve">psc:2090</t>
        </is>
      </c>
    </row>
    <row r="4053">
      <c r="B4053" s="0" t="inlineStr">
        <is>
          <t xml:space="preserve">N6227118P1180</t>
        </is>
      </c>
      <c r="C4053" s="0" t="inlineStr">
        <is>
          <t xml:space="preserve">broad_maritime</t>
        </is>
      </c>
      <c r="D4053" s="4">
        <v>0.1103</v>
      </c>
      <c r="E4053" s="0" t="inlineStr">
        <is>
          <t xml:space="preserve">EDGEONE LLC</t>
        </is>
      </c>
      <c r="F4053" s="0" t="inlineStr">
        <is>
          <t xml:space="preserve">psc:2090</t>
        </is>
      </c>
    </row>
    <row r="4054">
      <c r="B4054" s="0" t="inlineStr">
        <is>
          <t xml:space="preserve">N6227119P5012</t>
        </is>
      </c>
      <c r="C4054" s="0" t="inlineStr">
        <is>
          <t xml:space="preserve">broad_maritime</t>
        </is>
      </c>
      <c r="D4054" s="4">
        <v>0.11024985</v>
      </c>
      <c r="E4054" s="0" t="inlineStr">
        <is>
          <t xml:space="preserve">EDGEONE LLC</t>
        </is>
      </c>
      <c r="F4054" s="0" t="inlineStr">
        <is>
          <t xml:space="preserve">psc:2090</t>
        </is>
      </c>
    </row>
    <row r="4055">
      <c r="B4055" s="0" t="inlineStr">
        <is>
          <t xml:space="preserve">N0040625PS382</t>
        </is>
      </c>
      <c r="C4055" s="0" t="inlineStr">
        <is>
          <t xml:space="preserve">broad_maritime</t>
        </is>
      </c>
      <c r="D4055" s="4">
        <v>0.110245</v>
      </c>
      <c r="E4055" s="0" t="inlineStr">
        <is>
          <t xml:space="preserve">SHANI WALLACE</t>
        </is>
      </c>
      <c r="F4055" s="0" t="inlineStr">
        <is>
          <t xml:space="preserve">psc:2090</t>
        </is>
      </c>
    </row>
    <row r="4056">
      <c r="B4056" s="0" t="inlineStr">
        <is>
          <t xml:space="preserve">N0040617P1163</t>
        </is>
      </c>
      <c r="C4056" s="0" t="inlineStr">
        <is>
          <t xml:space="preserve">small_craft</t>
        </is>
      </c>
      <c r="D4056" s="4">
        <v>0.11023999999999999</v>
      </c>
      <c r="E4056" s="0" t="inlineStr">
        <is>
          <t xml:space="preserve">DURAMAX MARINE, LLC</t>
        </is>
      </c>
      <c r="F4056" s="0" t="inlineStr">
        <is>
          <t xml:space="preserve">naics:336612</t>
        </is>
      </c>
    </row>
    <row r="4057">
      <c r="B4057" s="0" t="inlineStr">
        <is>
          <t xml:space="preserve">N3220524P0092</t>
        </is>
      </c>
      <c r="C4057" s="0" t="inlineStr">
        <is>
          <t xml:space="preserve">broad_maritime</t>
        </is>
      </c>
      <c r="D4057" s="4">
        <v>0.11023396</v>
      </c>
      <c r="E4057" s="0" t="inlineStr">
        <is>
          <t xml:space="preserve">IMECO INC</t>
        </is>
      </c>
      <c r="F4057" s="0" t="inlineStr">
        <is>
          <t xml:space="preserve">psc:2090</t>
        </is>
      </c>
    </row>
    <row r="4058">
      <c r="B4058" s="0" t="inlineStr">
        <is>
          <t xml:space="preserve">0017</t>
        </is>
      </c>
      <c r="C4058" s="0" t="inlineStr">
        <is>
          <t xml:space="preserve">broad_maritime</t>
        </is>
      </c>
      <c r="D4058" s="4">
        <v>0.1102203</v>
      </c>
      <c r="E4058" s="0" t="inlineStr">
        <is>
          <t xml:space="preserve">ROLLS-ROYCE SOLUTIONS AMERICA INC</t>
        </is>
      </c>
      <c r="F4058" s="0" t="inlineStr">
        <is>
          <t xml:space="preserve">psc:2090</t>
        </is>
      </c>
    </row>
    <row r="4059">
      <c r="B4059" s="0" t="inlineStr">
        <is>
          <t xml:space="preserve">N6523619V7808</t>
        </is>
      </c>
      <c r="C4059" s="0" t="inlineStr">
        <is>
          <t xml:space="preserve">broad_maritime</t>
        </is>
      </c>
      <c r="D4059" s="4">
        <v>0.110125</v>
      </c>
      <c r="E4059" s="0" t="inlineStr">
        <is>
          <t xml:space="preserve">L3 TECHNOLOGIES, INC.</t>
        </is>
      </c>
      <c r="F4059" s="0" t="inlineStr">
        <is>
          <t xml:space="preserve">psc:2090</t>
        </is>
      </c>
    </row>
    <row r="4060">
      <c r="B4060" s="0" t="inlineStr">
        <is>
          <t xml:space="preserve">N3220518P4095</t>
        </is>
      </c>
      <c r="C4060" s="0" t="inlineStr">
        <is>
          <t xml:space="preserve">broad_maritime</t>
        </is>
      </c>
      <c r="D4060" s="4">
        <v>0.110043</v>
      </c>
      <c r="E4060" s="0" t="inlineStr">
        <is>
          <t xml:space="preserve">BARNEY A CAGLE</t>
        </is>
      </c>
      <c r="F4060" s="0" t="inlineStr">
        <is>
          <t xml:space="preserve">psc:2090</t>
        </is>
      </c>
    </row>
    <row r="4061">
      <c r="B4061" s="0" t="inlineStr">
        <is>
          <t xml:space="preserve">N0010426PDA21</t>
        </is>
      </c>
      <c r="C4061" s="0" t="inlineStr">
        <is>
          <t xml:space="preserve">small_craft</t>
        </is>
      </c>
      <c r="D4061" s="4">
        <v>0.109998</v>
      </c>
      <c r="E4061" s="0" t="inlineStr">
        <is>
          <t xml:space="preserve">VERTEX MODERNIZATION AND SUSTAINMENT LLC</t>
        </is>
      </c>
      <c r="F4061" s="0" t="inlineStr">
        <is>
          <t xml:space="preserve">naics:336612</t>
        </is>
      </c>
    </row>
    <row r="4062">
      <c r="B4062" s="0" t="inlineStr">
        <is>
          <t xml:space="preserve">0003</t>
        </is>
      </c>
      <c r="C4062" s="0" t="inlineStr">
        <is>
          <t xml:space="preserve">small_craft</t>
        </is>
      </c>
      <c r="D4062" s="4">
        <v>0.10984</v>
      </c>
      <c r="E4062" s="0" t="inlineStr">
        <is>
          <t xml:space="preserve">METALCRAFT MARINE US, INC.</t>
        </is>
      </c>
      <c r="F4062" s="0" t="inlineStr">
        <is>
          <t xml:space="preserve">naics:336612; psc:1940</t>
        </is>
      </c>
    </row>
    <row r="4063">
      <c r="B4063" s="0" t="inlineStr">
        <is>
          <t xml:space="preserve">N0040615P2423</t>
        </is>
      </c>
      <c r="C4063" s="0" t="inlineStr">
        <is>
          <t xml:space="preserve">small_craft</t>
        </is>
      </c>
      <c r="D4063" s="4">
        <v>0.1085</v>
      </c>
      <c r="E4063" s="0" t="inlineStr">
        <is>
          <t xml:space="preserve">ADI TECHNOLOGIES INC.</t>
        </is>
      </c>
      <c r="F4063" s="0" t="inlineStr">
        <is>
          <t xml:space="preserve">naics:336612</t>
        </is>
      </c>
    </row>
    <row r="4064">
      <c r="B4064" s="0" t="inlineStr">
        <is>
          <t xml:space="preserve">N3220520P2199</t>
        </is>
      </c>
      <c r="C4064" s="0" t="inlineStr">
        <is>
          <t xml:space="preserve">small_craft</t>
        </is>
      </c>
      <c r="D4064" s="4">
        <v>0.10812335000000001</v>
      </c>
      <c r="E4064" s="0" t="inlineStr">
        <is>
          <t xml:space="preserve">VANE BROTHERS MARINE SAFETY &amp; SERVICES, INC</t>
        </is>
      </c>
      <c r="F4064" s="0" t="inlineStr">
        <is>
          <t xml:space="preserve">naics:336612</t>
        </is>
      </c>
    </row>
    <row r="4065">
      <c r="B4065" s="0" t="inlineStr">
        <is>
          <t xml:space="preserve">N0040620P0347</t>
        </is>
      </c>
      <c r="C4065" s="0" t="inlineStr">
        <is>
          <t xml:space="preserve">small_craft</t>
        </is>
      </c>
      <c r="D4065" s="4">
        <v>0.10812</v>
      </c>
      <c r="E4065" s="0" t="inlineStr">
        <is>
          <t xml:space="preserve">J.D.A. MARITIME, INC.</t>
        </is>
      </c>
      <c r="F4065" s="0" t="inlineStr">
        <is>
          <t xml:space="preserve">naics:336612</t>
        </is>
      </c>
    </row>
    <row r="4066">
      <c r="B4066" s="0" t="inlineStr">
        <is>
          <t xml:space="preserve">N0010422PSB62</t>
        </is>
      </c>
      <c r="C4066" s="0" t="inlineStr">
        <is>
          <t xml:space="preserve">small_craft</t>
        </is>
      </c>
      <c r="D4066" s="4">
        <v>0.10805</v>
      </c>
      <c r="E4066" s="0" t="inlineStr">
        <is>
          <t xml:space="preserve">UNITED STATES TECHNOLOGIES INC</t>
        </is>
      </c>
      <c r="F4066" s="0" t="inlineStr">
        <is>
          <t xml:space="preserve">naics:336612</t>
        </is>
      </c>
    </row>
    <row r="4067">
      <c r="B4067" s="0" t="inlineStr">
        <is>
          <t xml:space="preserve">0003</t>
        </is>
      </c>
      <c r="C4067" s="0" t="inlineStr">
        <is>
          <t xml:space="preserve">broad_maritime</t>
        </is>
      </c>
      <c r="D4067" s="4">
        <v>0.10765511999999999</v>
      </c>
      <c r="E4067" s="0" t="inlineStr">
        <is>
          <t xml:space="preserve">J &amp; N METAL PRODUCTS, LLC</t>
        </is>
      </c>
      <c r="F4067" s="0" t="inlineStr">
        <is>
          <t xml:space="preserve">psc:1905</t>
        </is>
      </c>
    </row>
    <row r="4068">
      <c r="B4068" s="0" t="inlineStr">
        <is>
          <t xml:space="preserve">M6261325F0011</t>
        </is>
      </c>
      <c r="C4068" s="0" t="inlineStr">
        <is>
          <t xml:space="preserve">small_craft</t>
        </is>
      </c>
      <c r="D4068" s="4">
        <v>0.10764</v>
      </c>
      <c r="E4068" s="0" t="inlineStr">
        <is>
          <t xml:space="preserve">CENTRAL FLORIDA YAMAHA INC</t>
        </is>
      </c>
      <c r="F4068" s="0" t="inlineStr">
        <is>
          <t xml:space="preserve">naics:336612</t>
        </is>
      </c>
    </row>
    <row r="4069">
      <c r="B4069" s="0" t="inlineStr">
        <is>
          <t xml:space="preserve">N0060421P4096</t>
        </is>
      </c>
      <c r="C4069" s="0" t="inlineStr">
        <is>
          <t xml:space="preserve">small_craft</t>
        </is>
      </c>
      <c r="D4069" s="4">
        <v>0.10573729999999999</v>
      </c>
      <c r="E4069" s="0" t="inlineStr">
        <is>
          <t xml:space="preserve">BRAMHALL &amp; GOLDBERG, LIMITED</t>
        </is>
      </c>
      <c r="F4069" s="0" t="inlineStr">
        <is>
          <t xml:space="preserve">naics:336612</t>
        </is>
      </c>
    </row>
    <row r="4070">
      <c r="B4070" s="0" t="inlineStr">
        <is>
          <t xml:space="preserve">N3220519F7788</t>
        </is>
      </c>
      <c r="C4070" s="0" t="inlineStr">
        <is>
          <t xml:space="preserve">other_small</t>
        </is>
      </c>
      <c r="D4070" s="4">
        <v>0.10452956</v>
      </c>
      <c r="E4070" s="0" t="inlineStr">
        <is>
          <t xml:space="preserve">LAKE SHORE SYSTEMS, INC.</t>
        </is>
      </c>
      <c r="F4070" s="0" t="inlineStr">
        <is>
          <t xml:space="preserve">psc:1990</t>
        </is>
      </c>
    </row>
    <row r="4071">
      <c r="B4071" s="0" t="inlineStr">
        <is>
          <t xml:space="preserve">N0010421PNC82</t>
        </is>
      </c>
      <c r="C4071" s="0" t="inlineStr">
        <is>
          <t xml:space="preserve">small_craft</t>
        </is>
      </c>
      <c r="D4071" s="4">
        <v>0.10413981</v>
      </c>
      <c r="E4071" s="0" t="inlineStr">
        <is>
          <t xml:space="preserve">G. S. E. DYNAMICS, INC.</t>
        </is>
      </c>
      <c r="F4071" s="0" t="inlineStr">
        <is>
          <t xml:space="preserve">naics:336612</t>
        </is>
      </c>
    </row>
    <row r="4072">
      <c r="B4072" s="0" t="inlineStr">
        <is>
          <t xml:space="preserve">N0010426PNA34</t>
        </is>
      </c>
      <c r="C4072" s="0" t="inlineStr">
        <is>
          <t xml:space="preserve">small_craft</t>
        </is>
      </c>
      <c r="D4072" s="4">
        <v>0.103</v>
      </c>
      <c r="E4072" s="0" t="inlineStr">
        <is>
          <t xml:space="preserve">G. S. E. DYNAMICS, INC.</t>
        </is>
      </c>
      <c r="F4072" s="0" t="inlineStr">
        <is>
          <t xml:space="preserve">naics:336612</t>
        </is>
      </c>
    </row>
    <row r="4073">
      <c r="B4073" s="0" t="inlineStr">
        <is>
          <t xml:space="preserve">N0010420FK401</t>
        </is>
      </c>
      <c r="C4073" s="0" t="inlineStr">
        <is>
          <t xml:space="preserve">small_craft</t>
        </is>
      </c>
      <c r="D4073" s="4">
        <v>0.10299689999999999</v>
      </c>
      <c r="E4073" s="0" t="inlineStr">
        <is>
          <t xml:space="preserve">WING INFLATABLES INC</t>
        </is>
      </c>
      <c r="F4073" s="0" t="inlineStr">
        <is>
          <t xml:space="preserve">naics:336612</t>
        </is>
      </c>
    </row>
    <row r="4074">
      <c r="B4074" s="0" t="inlineStr">
        <is>
          <t xml:space="preserve">N0010423PFD98</t>
        </is>
      </c>
      <c r="C4074" s="0" t="inlineStr">
        <is>
          <t xml:space="preserve">small_craft</t>
        </is>
      </c>
      <c r="D4074" s="4">
        <v>0.1025</v>
      </c>
      <c r="E4074" s="0" t="inlineStr">
        <is>
          <t xml:space="preserve">HYDROSPACE GROUP INC</t>
        </is>
      </c>
      <c r="F4074" s="0" t="inlineStr">
        <is>
          <t xml:space="preserve">naics:336612</t>
        </is>
      </c>
    </row>
    <row r="4075">
      <c r="B4075" s="0" t="inlineStr">
        <is>
          <t xml:space="preserve">N0010426PNA88</t>
        </is>
      </c>
      <c r="C4075" s="0" t="inlineStr">
        <is>
          <t xml:space="preserve">small_craft</t>
        </is>
      </c>
      <c r="D4075" s="4">
        <v>0.10151099</v>
      </c>
      <c r="E4075" s="0" t="inlineStr">
        <is>
          <t xml:space="preserve">ELECTRIC BOAT CORPORATION</t>
        </is>
      </c>
      <c r="F4075" s="0" t="inlineStr">
        <is>
          <t xml:space="preserve">naics:336612</t>
        </is>
      </c>
    </row>
    <row r="4076">
      <c r="B4076" s="0" t="inlineStr">
        <is>
          <t xml:space="preserve">M6016911F0071</t>
        </is>
      </c>
      <c r="C4076" s="0" t="inlineStr">
        <is>
          <t xml:space="preserve">small_craft</t>
        </is>
      </c>
      <c r="D4076" s="4">
        <v>0.10064735999999999</v>
      </c>
      <c r="E4076" s="0" t="inlineStr">
        <is>
          <t xml:space="preserve">NORTH RIVER BOATS INCORPORATED</t>
        </is>
      </c>
      <c r="F4076" s="0" t="inlineStr">
        <is>
          <t xml:space="preserve">naics:336612</t>
        </is>
      </c>
    </row>
    <row r="4077">
      <c r="B4077" s="0" t="inlineStr">
        <is>
          <t xml:space="preserve">N0010425PJA67</t>
        </is>
      </c>
      <c r="C4077" s="0" t="inlineStr">
        <is>
          <t xml:space="preserve">small_craft</t>
        </is>
      </c>
      <c r="D4077" s="4">
        <v>0.10034213</v>
      </c>
      <c r="E4077" s="0" t="inlineStr">
        <is>
          <t xml:space="preserve">DEFENSE MARITIME SOLUTIONS, INC.</t>
        </is>
      </c>
      <c r="F4077" s="0" t="inlineStr">
        <is>
          <t xml:space="preserve">naics:336612</t>
        </is>
      </c>
    </row>
    <row r="4078">
      <c r="B4078" s="0" t="inlineStr">
        <is>
          <t xml:space="preserve">N0003925F1016</t>
        </is>
      </c>
      <c r="C4078" s="0" t="inlineStr">
        <is>
          <t xml:space="preserve">small_craft</t>
        </is>
      </c>
      <c r="D4078" s="4">
        <v>0.10027119</v>
      </c>
      <c r="E4078" s="0" t="inlineStr">
        <is>
          <t xml:space="preserve">TELEDYNE BROWN ENGINEERING, INC.</t>
        </is>
      </c>
      <c r="F4078" s="0" t="inlineStr">
        <is>
          <t xml:space="preserve">psc:1940</t>
        </is>
      </c>
    </row>
    <row r="4079">
      <c r="B4079" s="0" t="inlineStr">
        <is>
          <t xml:space="preserve">N0010420PXB73</t>
        </is>
      </c>
      <c r="C4079" s="0" t="inlineStr">
        <is>
          <t xml:space="preserve">small_craft</t>
        </is>
      </c>
      <c r="D4079" s="4">
        <v>0.10021739999999998</v>
      </c>
      <c r="E4079" s="0" t="inlineStr">
        <is>
          <t xml:space="preserve">L3 TECHNOLOGIES, INC.</t>
        </is>
      </c>
      <c r="F4079" s="0" t="inlineStr">
        <is>
          <t xml:space="preserve">naics:336612</t>
        </is>
      </c>
    </row>
    <row r="4080">
      <c r="B4080" s="0" t="inlineStr">
        <is>
          <t xml:space="preserve">0028</t>
        </is>
      </c>
      <c r="C4080" s="0" t="inlineStr">
        <is>
          <t xml:space="preserve">usv_core</t>
        </is>
      </c>
      <c r="D4080" s="4">
        <v>0.09999999999999999</v>
      </c>
      <c r="E4080" s="0" t="inlineStr">
        <is>
          <t xml:space="preserve">UNIVERSITY OF HAWAII</t>
        </is>
      </c>
      <c r="F4080" s="0" t="inlineStr">
        <is>
          <t xml:space="preserve">keyword</t>
        </is>
      </c>
    </row>
    <row r="4081">
      <c r="B4081" s="0" t="inlineStr">
        <is>
          <t xml:space="preserve">N0010422PEK46</t>
        </is>
      </c>
      <c r="C4081" s="0" t="inlineStr">
        <is>
          <t xml:space="preserve">small_craft</t>
        </is>
      </c>
      <c r="D4081" s="4">
        <v>0.09999815</v>
      </c>
      <c r="E4081" s="0" t="inlineStr">
        <is>
          <t xml:space="preserve">IN SPECK CORP</t>
        </is>
      </c>
      <c r="F4081" s="0" t="inlineStr">
        <is>
          <t xml:space="preserve">naics:336612</t>
        </is>
      </c>
    </row>
    <row r="4082">
      <c r="B4082" s="0" t="inlineStr">
        <is>
          <t xml:space="preserve">N0040619P0653</t>
        </is>
      </c>
      <c r="C4082" s="0" t="inlineStr">
        <is>
          <t xml:space="preserve">small_craft</t>
        </is>
      </c>
      <c r="D4082" s="4">
        <v>0.0998</v>
      </c>
      <c r="E4082" s="0" t="inlineStr">
        <is>
          <t xml:space="preserve">PIER SIDE SUPPLY INC</t>
        </is>
      </c>
      <c r="F4082" s="0" t="inlineStr">
        <is>
          <t xml:space="preserve">naics:336612</t>
        </is>
      </c>
    </row>
    <row r="4083">
      <c r="B4083" s="0" t="inlineStr">
        <is>
          <t xml:space="preserve">N0040622P0107</t>
        </is>
      </c>
      <c r="C4083" s="0" t="inlineStr">
        <is>
          <t xml:space="preserve">small_craft</t>
        </is>
      </c>
      <c r="D4083" s="4">
        <v>0.09966204</v>
      </c>
      <c r="E4083" s="0" t="inlineStr">
        <is>
          <t xml:space="preserve">FASSMER SERVICE AMERICA LLC</t>
        </is>
      </c>
      <c r="F4083" s="0" t="inlineStr">
        <is>
          <t xml:space="preserve">naics:336612; psc:1940</t>
        </is>
      </c>
    </row>
    <row r="4084">
      <c r="B4084" s="0" t="inlineStr">
        <is>
          <t xml:space="preserve">N0010420PCD69</t>
        </is>
      </c>
      <c r="C4084" s="0" t="inlineStr">
        <is>
          <t xml:space="preserve">small_craft</t>
        </is>
      </c>
      <c r="D4084" s="4">
        <v>0.09963535999999999</v>
      </c>
      <c r="E4084" s="0" t="inlineStr">
        <is>
          <t xml:space="preserve">DRS NAVAL POWER SYSTEMS INC</t>
        </is>
      </c>
      <c r="F4084" s="0" t="inlineStr">
        <is>
          <t xml:space="preserve">naics:336612</t>
        </is>
      </c>
    </row>
    <row r="4085">
      <c r="B4085" s="0" t="inlineStr">
        <is>
          <t xml:space="preserve">N3220519F1016</t>
        </is>
      </c>
      <c r="C4085" s="0" t="inlineStr">
        <is>
          <t xml:space="preserve">other_small</t>
        </is>
      </c>
      <c r="D4085" s="4">
        <v>0.09962582</v>
      </c>
      <c r="E4085" s="0" t="inlineStr">
        <is>
          <t xml:space="preserve">LAKE SHORE SYSTEMS, INC.</t>
        </is>
      </c>
      <c r="F4085" s="0" t="inlineStr">
        <is>
          <t xml:space="preserve">psc:1990</t>
        </is>
      </c>
    </row>
    <row r="4086">
      <c r="B4086" s="0" t="inlineStr">
        <is>
          <t xml:space="preserve">N0010424FY701</t>
        </is>
      </c>
      <c r="C4086" s="0" t="inlineStr">
        <is>
          <t xml:space="preserve">small_craft</t>
        </is>
      </c>
      <c r="D4086" s="4">
        <v>0.099379</v>
      </c>
      <c r="E4086" s="0" t="inlineStr">
        <is>
          <t xml:space="preserve">L3 TECHNOLOGIES, INC.</t>
        </is>
      </c>
      <c r="F4086" s="0" t="inlineStr">
        <is>
          <t xml:space="preserve">naics:336612</t>
        </is>
      </c>
    </row>
    <row r="4087">
      <c r="B4087" s="0" t="inlineStr">
        <is>
          <t xml:space="preserve">N4523A20P0300</t>
        </is>
      </c>
      <c r="C4087" s="0" t="inlineStr">
        <is>
          <t xml:space="preserve">broad_maritime</t>
        </is>
      </c>
      <c r="D4087" s="4">
        <v>0.09936199999999999</v>
      </c>
      <c r="E4087" s="0" t="inlineStr">
        <is>
          <t xml:space="preserve">BERMINGHAM CONTROLS, INC., A CALIFORNIA CORPORATION</t>
        </is>
      </c>
      <c r="F4087" s="0" t="inlineStr">
        <is>
          <t xml:space="preserve">psc:1905</t>
        </is>
      </c>
    </row>
    <row r="4088">
      <c r="B4088" s="0" t="inlineStr">
        <is>
          <t xml:space="preserve">N0010416PNB68</t>
        </is>
      </c>
      <c r="C4088" s="0" t="inlineStr">
        <is>
          <t xml:space="preserve">small_craft</t>
        </is>
      </c>
      <c r="D4088" s="4">
        <v>0.099063</v>
      </c>
      <c r="E4088" s="0" t="inlineStr">
        <is>
          <t xml:space="preserve">AMRON INTERNATIONAL INC</t>
        </is>
      </c>
      <c r="F4088" s="0" t="inlineStr">
        <is>
          <t xml:space="preserve">naics:336612; psc:1940</t>
        </is>
      </c>
    </row>
    <row r="4089">
      <c r="B4089" s="0" t="inlineStr">
        <is>
          <t xml:space="preserve">0061</t>
        </is>
      </c>
      <c r="C4089" s="0" t="inlineStr">
        <is>
          <t xml:space="preserve">other_small</t>
        </is>
      </c>
      <c r="D4089" s="4">
        <v>0.09808262</v>
      </c>
      <c r="E4089" s="0" t="inlineStr">
        <is>
          <t xml:space="preserve">AUSTAL USA, LLC</t>
        </is>
      </c>
      <c r="F4089" s="0" t="inlineStr">
        <is>
          <t xml:space="preserve">psc:1990</t>
        </is>
      </c>
    </row>
    <row r="4090">
      <c r="B4090" s="0" t="inlineStr">
        <is>
          <t xml:space="preserve">N6893625F0104</t>
        </is>
      </c>
      <c r="C4090" s="0" t="inlineStr">
        <is>
          <t xml:space="preserve">small_craft</t>
        </is>
      </c>
      <c r="D4090" s="4">
        <v>0.0968</v>
      </c>
      <c r="E4090" s="0" t="inlineStr">
        <is>
          <t xml:space="preserve">CENTRAL FLORIDA YAMAHA INC</t>
        </is>
      </c>
      <c r="F4090" s="0" t="inlineStr">
        <is>
          <t xml:space="preserve">naics:336612</t>
        </is>
      </c>
    </row>
    <row r="4091">
      <c r="B4091" s="0" t="inlineStr">
        <is>
          <t xml:space="preserve">N3220519F7796</t>
        </is>
      </c>
      <c r="C4091" s="0" t="inlineStr">
        <is>
          <t xml:space="preserve">other_small</t>
        </is>
      </c>
      <c r="D4091" s="4">
        <v>0.09667424</v>
      </c>
      <c r="E4091" s="0" t="inlineStr">
        <is>
          <t xml:space="preserve">LAKE SHORE SYSTEMS, INC.</t>
        </is>
      </c>
      <c r="F4091" s="0" t="inlineStr">
        <is>
          <t xml:space="preserve">psc:1990</t>
        </is>
      </c>
    </row>
    <row r="4092">
      <c r="B4092" s="0" t="inlineStr">
        <is>
          <t xml:space="preserve">N0016719P0028</t>
        </is>
      </c>
      <c r="C4092" s="0" t="inlineStr">
        <is>
          <t xml:space="preserve">broad_maritime</t>
        </is>
      </c>
      <c r="D4092" s="4">
        <v>0.09630599999999999</v>
      </c>
      <c r="E4092" s="0" t="inlineStr">
        <is>
          <t xml:space="preserve">JESSE ENGINEERING COMPANY</t>
        </is>
      </c>
      <c r="F4092" s="0" t="inlineStr">
        <is>
          <t xml:space="preserve">psc:1905</t>
        </is>
      </c>
    </row>
    <row r="4093">
      <c r="B4093" s="0" t="inlineStr">
        <is>
          <t xml:space="preserve">N6279320F4T01</t>
        </is>
      </c>
      <c r="C4093" s="0" t="inlineStr">
        <is>
          <t xml:space="preserve">broad_maritime</t>
        </is>
      </c>
      <c r="D4093" s="4">
        <v>0.09606999999999999</v>
      </c>
      <c r="E4093" s="0" t="inlineStr">
        <is>
          <t xml:space="preserve">HUNTINGTON INGALLS INC</t>
        </is>
      </c>
      <c r="F4093" s="0" t="inlineStr">
        <is>
          <t xml:space="preserve">psc:1905</t>
        </is>
      </c>
    </row>
    <row r="4094">
      <c r="B4094" s="0" t="inlineStr">
        <is>
          <t xml:space="preserve">N6554015P5281</t>
        </is>
      </c>
      <c r="C4094" s="0" t="inlineStr">
        <is>
          <t xml:space="preserve">small_craft</t>
        </is>
      </c>
      <c r="D4094" s="4">
        <v>0.0958948</v>
      </c>
      <c r="E4094" s="0" t="inlineStr">
        <is>
          <t xml:space="preserve">HENSHAW INFLATABLES LIMITED</t>
        </is>
      </c>
      <c r="F4094" s="0" t="inlineStr">
        <is>
          <t xml:space="preserve">psc:1940</t>
        </is>
      </c>
    </row>
    <row r="4095">
      <c r="B4095" s="0" t="inlineStr">
        <is>
          <t xml:space="preserve">L813</t>
        </is>
      </c>
      <c r="C4095" s="0" t="inlineStr">
        <is>
          <t xml:space="preserve">broad_maritime</t>
        </is>
      </c>
      <c r="D4095" s="4">
        <v>0.095541</v>
      </c>
      <c r="E4095" s="0" t="inlineStr">
        <is>
          <t xml:space="preserve">ELECTRIC BOAT CORPORATION</t>
        </is>
      </c>
      <c r="F4095" s="0" t="inlineStr">
        <is>
          <t xml:space="preserve">psc:1905</t>
        </is>
      </c>
    </row>
    <row r="4096">
      <c r="B4096" s="0" t="inlineStr">
        <is>
          <t xml:space="preserve">N3220524P2181</t>
        </is>
      </c>
      <c r="C4096" s="0" t="inlineStr">
        <is>
          <t xml:space="preserve">small_craft</t>
        </is>
      </c>
      <c r="D4096" s="4">
        <v>0.09530100999999999</v>
      </c>
      <c r="E4096" s="0" t="inlineStr">
        <is>
          <t xml:space="preserve">VIKING LIFE-SAVING EQUIPMENT (AMERICA), INC.</t>
        </is>
      </c>
      <c r="F4096" s="0" t="inlineStr">
        <is>
          <t xml:space="preserve">naics:336612</t>
        </is>
      </c>
    </row>
    <row r="4097">
      <c r="B4097" s="0" t="inlineStr">
        <is>
          <t xml:space="preserve">N0010424PED41</t>
        </is>
      </c>
      <c r="C4097" s="0" t="inlineStr">
        <is>
          <t xml:space="preserve">small_craft</t>
        </is>
      </c>
      <c r="D4097" s="4">
        <v>0.0948</v>
      </c>
      <c r="E4097" s="0" t="inlineStr">
        <is>
          <t xml:space="preserve">IDEXX LABORATORIES INC</t>
        </is>
      </c>
      <c r="F4097" s="0" t="inlineStr">
        <is>
          <t xml:space="preserve">naics:336612</t>
        </is>
      </c>
    </row>
    <row r="4098">
      <c r="B4098" s="0" t="inlineStr">
        <is>
          <t xml:space="preserve">N0010417PDF41</t>
        </is>
      </c>
      <c r="C4098" s="0" t="inlineStr">
        <is>
          <t xml:space="preserve">small_craft</t>
        </is>
      </c>
      <c r="D4098" s="4">
        <v>0.094302</v>
      </c>
      <c r="E4098" s="0" t="inlineStr">
        <is>
          <t xml:space="preserve">ROLLS-ROYCE MARINE NORTH AMERICA INC.</t>
        </is>
      </c>
      <c r="F4098" s="0" t="inlineStr">
        <is>
          <t xml:space="preserve">naics:336612</t>
        </is>
      </c>
    </row>
    <row r="4099">
      <c r="B4099" s="0" t="inlineStr">
        <is>
          <t xml:space="preserve">N0010426PYA37</t>
        </is>
      </c>
      <c r="C4099" s="0" t="inlineStr">
        <is>
          <t xml:space="preserve">small_craft</t>
        </is>
      </c>
      <c r="D4099" s="4">
        <v>0.09401699999999999</v>
      </c>
      <c r="E4099" s="0" t="inlineStr">
        <is>
          <t xml:space="preserve">SCHAEFFLER AEROSPACE USA CORP</t>
        </is>
      </c>
      <c r="F4099" s="0" t="inlineStr">
        <is>
          <t xml:space="preserve">naics:336612</t>
        </is>
      </c>
    </row>
    <row r="4100">
      <c r="B4100" s="0" t="inlineStr">
        <is>
          <t xml:space="preserve">N6893623P0427</t>
        </is>
      </c>
      <c r="C4100" s="0" t="inlineStr">
        <is>
          <t xml:space="preserve">small_craft</t>
        </is>
      </c>
      <c r="D4100" s="4">
        <v>0.09373339</v>
      </c>
      <c r="E4100" s="0" t="inlineStr">
        <is>
          <t xml:space="preserve">PHILLIPS CORPORATION</t>
        </is>
      </c>
      <c r="F4100" s="0" t="inlineStr">
        <is>
          <t xml:space="preserve">psc:1940</t>
        </is>
      </c>
    </row>
    <row r="4101">
      <c r="B4101" s="0" t="inlineStr">
        <is>
          <t xml:space="preserve">N0010420PCE46</t>
        </is>
      </c>
      <c r="C4101" s="0" t="inlineStr">
        <is>
          <t xml:space="preserve">small_craft</t>
        </is>
      </c>
      <c r="D4101" s="4">
        <v>0.09370235</v>
      </c>
      <c r="E4101" s="0" t="inlineStr">
        <is>
          <t xml:space="preserve">AMERICAN METAL BEARING CO</t>
        </is>
      </c>
      <c r="F4101" s="0" t="inlineStr">
        <is>
          <t xml:space="preserve">naics:336612</t>
        </is>
      </c>
    </row>
    <row r="4102">
      <c r="B4102" s="0" t="inlineStr">
        <is>
          <t xml:space="preserve">N0010421PCE57</t>
        </is>
      </c>
      <c r="C4102" s="0" t="inlineStr">
        <is>
          <t xml:space="preserve">small_craft</t>
        </is>
      </c>
      <c r="D4102" s="4">
        <v>0.09338128</v>
      </c>
      <c r="E4102" s="0" t="inlineStr">
        <is>
          <t xml:space="preserve">DEFENSE MARITIME SOLUTIONS, INC.</t>
        </is>
      </c>
      <c r="F4102" s="0" t="inlineStr">
        <is>
          <t xml:space="preserve">naics:336612</t>
        </is>
      </c>
    </row>
    <row r="4103">
      <c r="B4103" s="0" t="inlineStr">
        <is>
          <t xml:space="preserve">N3220521P0034</t>
        </is>
      </c>
      <c r="C4103" s="0" t="inlineStr">
        <is>
          <t xml:space="preserve">small_craft</t>
        </is>
      </c>
      <c r="D4103" s="4">
        <v>0.09332632</v>
      </c>
      <c r="E4103" s="0" t="inlineStr">
        <is>
          <t xml:space="preserve">FASSMER SERVICE AMERICA LLC</t>
        </is>
      </c>
      <c r="F4103" s="0" t="inlineStr">
        <is>
          <t xml:space="preserve">naics:336612</t>
        </is>
      </c>
    </row>
    <row r="4104">
      <c r="B4104" s="0" t="inlineStr">
        <is>
          <t xml:space="preserve">N0010425PAA16</t>
        </is>
      </c>
      <c r="C4104" s="0" t="inlineStr">
        <is>
          <t xml:space="preserve">small_craft</t>
        </is>
      </c>
      <c r="D4104" s="4">
        <v>0.09327519999999999</v>
      </c>
      <c r="E4104" s="0" t="inlineStr">
        <is>
          <t xml:space="preserve">ECK PLASTIC HOLDINGS LLC</t>
        </is>
      </c>
      <c r="F4104" s="0" t="inlineStr">
        <is>
          <t xml:space="preserve">naics:336612</t>
        </is>
      </c>
    </row>
    <row r="4105">
      <c r="B4105" s="0" t="inlineStr">
        <is>
          <t xml:space="preserve">N0010416PDB40</t>
        </is>
      </c>
      <c r="C4105" s="0" t="inlineStr">
        <is>
          <t xml:space="preserve">small_craft</t>
        </is>
      </c>
      <c r="D4105" s="4">
        <v>0.093191</v>
      </c>
      <c r="E4105" s="0" t="inlineStr">
        <is>
          <t xml:space="preserve">ROLLS-ROYCE MARINE NORTH AMERICA INC.</t>
        </is>
      </c>
      <c r="F4105" s="0" t="inlineStr">
        <is>
          <t xml:space="preserve">naics:336612</t>
        </is>
      </c>
    </row>
    <row r="4106">
      <c r="B4106" s="0" t="inlineStr">
        <is>
          <t xml:space="preserve">N6824624P0152</t>
        </is>
      </c>
      <c r="C4106" s="0" t="inlineStr">
        <is>
          <t xml:space="preserve">small_craft</t>
        </is>
      </c>
      <c r="D4106" s="4">
        <v>0.09308857000000001</v>
      </c>
      <c r="E4106" s="0" t="inlineStr">
        <is>
          <t xml:space="preserve">THE YOKOHAMA RUBBER COMPANY, LIMITED</t>
        </is>
      </c>
      <c r="F4106" s="0" t="inlineStr">
        <is>
          <t xml:space="preserve">naics:336612</t>
        </is>
      </c>
    </row>
    <row r="4107">
      <c r="B4107" s="0" t="inlineStr">
        <is>
          <t xml:space="preserve">N3220515P1371</t>
        </is>
      </c>
      <c r="C4107" s="0" t="inlineStr">
        <is>
          <t xml:space="preserve">small_craft</t>
        </is>
      </c>
      <c r="D4107" s="4">
        <v>0.093</v>
      </c>
      <c r="E4107" s="0" t="inlineStr">
        <is>
          <t xml:space="preserve">PALFINGER MARINE USA, LLC</t>
        </is>
      </c>
      <c r="F4107" s="0" t="inlineStr">
        <is>
          <t xml:space="preserve">naics:336612</t>
        </is>
      </c>
    </row>
    <row r="4108">
      <c r="B4108" s="0" t="inlineStr">
        <is>
          <t xml:space="preserve">N0010422PSC04</t>
        </is>
      </c>
      <c r="C4108" s="0" t="inlineStr">
        <is>
          <t xml:space="preserve">small_craft</t>
        </is>
      </c>
      <c r="D4108" s="4">
        <v>0.09244999999999999</v>
      </c>
      <c r="E4108" s="0" t="inlineStr">
        <is>
          <t xml:space="preserve">LOCKHEED MARTIN CORPORATION</t>
        </is>
      </c>
      <c r="F4108" s="0" t="inlineStr">
        <is>
          <t xml:space="preserve">naics:336612</t>
        </is>
      </c>
    </row>
    <row r="4109">
      <c r="B4109" s="0" t="inlineStr">
        <is>
          <t xml:space="preserve">N0010425PXC77</t>
        </is>
      </c>
      <c r="C4109" s="0" t="inlineStr">
        <is>
          <t xml:space="preserve">small_craft</t>
        </is>
      </c>
      <c r="D4109" s="4">
        <v>0.09109125</v>
      </c>
      <c r="E4109" s="0" t="inlineStr">
        <is>
          <t xml:space="preserve">HDL RESEARCH LAB INC</t>
        </is>
      </c>
      <c r="F4109" s="0" t="inlineStr">
        <is>
          <t xml:space="preserve">naics:336612</t>
        </is>
      </c>
    </row>
    <row r="4110">
      <c r="B4110" s="0" t="inlineStr">
        <is>
          <t xml:space="preserve">N0016718P0139</t>
        </is>
      </c>
      <c r="C4110" s="0" t="inlineStr">
        <is>
          <t xml:space="preserve">small_craft</t>
        </is>
      </c>
      <c r="D4110" s="4">
        <v>0.09066099999999999</v>
      </c>
      <c r="E4110" s="0" t="inlineStr">
        <is>
          <t xml:space="preserve">HII UNMANNED SYSTEMS, INC</t>
        </is>
      </c>
      <c r="F4110" s="0" t="inlineStr">
        <is>
          <t xml:space="preserve">naics:336612</t>
        </is>
      </c>
    </row>
    <row r="4111">
      <c r="B4111" s="0" t="inlineStr">
        <is>
          <t xml:space="preserve">1001</t>
        </is>
      </c>
      <c r="C4111" s="0" t="inlineStr">
        <is>
          <t xml:space="preserve">small_craft</t>
        </is>
      </c>
      <c r="D4111" s="4">
        <v>0.090656</v>
      </c>
      <c r="E4111" s="0" t="inlineStr">
        <is>
          <t xml:space="preserve">WING INFLATABLES INC</t>
        </is>
      </c>
      <c r="F4111" s="0" t="inlineStr">
        <is>
          <t xml:space="preserve">naics:336612; psc:1940</t>
        </is>
      </c>
    </row>
    <row r="4112">
      <c r="B4112" s="0" t="inlineStr">
        <is>
          <t xml:space="preserve">LH73</t>
        </is>
      </c>
      <c r="C4112" s="0" t="inlineStr">
        <is>
          <t xml:space="preserve">other_small</t>
        </is>
      </c>
      <c r="D4112" s="4">
        <v>0.08988</v>
      </c>
      <c r="E4112" s="0" t="inlineStr">
        <is>
          <t xml:space="preserve">MCALLISTER TOWING AND TRANSPORTATION COMPANY, INC.</t>
        </is>
      </c>
      <c r="F4112" s="0" t="inlineStr">
        <is>
          <t xml:space="preserve">psc:1990</t>
        </is>
      </c>
    </row>
    <row r="4113">
      <c r="B4113" s="0" t="inlineStr">
        <is>
          <t xml:space="preserve">M6740021P0094</t>
        </is>
      </c>
      <c r="C4113" s="0" t="inlineStr">
        <is>
          <t xml:space="preserve">small_craft</t>
        </is>
      </c>
      <c r="D4113" s="4">
        <v>0.08938066</v>
      </c>
      <c r="E4113" s="0" t="inlineStr">
        <is>
          <t xml:space="preserve">GUTTRUK PACIFIC SERVICES CO., LTD.</t>
        </is>
      </c>
      <c r="F4113" s="0" t="inlineStr">
        <is>
          <t xml:space="preserve">naics:336612; psc:1940</t>
        </is>
      </c>
    </row>
    <row r="4114">
      <c r="B4114" s="0" t="inlineStr">
        <is>
          <t xml:space="preserve">N6817120P6039</t>
        </is>
      </c>
      <c r="C4114" s="0" t="inlineStr">
        <is>
          <t xml:space="preserve">small_craft</t>
        </is>
      </c>
      <c r="D4114" s="4">
        <v>0.08818097</v>
      </c>
      <c r="E4114" s="0" t="inlineStr">
        <is>
          <t xml:space="preserve">LOGISTICS CONSULTANCY SPAIN SL</t>
        </is>
      </c>
      <c r="F4114" s="0" t="inlineStr">
        <is>
          <t xml:space="preserve">naics:336612</t>
        </is>
      </c>
    </row>
    <row r="4115">
      <c r="B4115" s="0" t="inlineStr">
        <is>
          <t xml:space="preserve">N6600115P6817</t>
        </is>
      </c>
      <c r="C4115" s="0" t="inlineStr">
        <is>
          <t xml:space="preserve">small_craft</t>
        </is>
      </c>
      <c r="D4115" s="4">
        <v>0.0876</v>
      </c>
      <c r="E4115" s="0" t="inlineStr">
        <is>
          <t xml:space="preserve">WING INFLATABLES, INC.</t>
        </is>
      </c>
      <c r="F4115" s="0" t="inlineStr">
        <is>
          <t xml:space="preserve">naics:336612</t>
        </is>
      </c>
    </row>
    <row r="4116">
      <c r="B4116" s="0" t="inlineStr">
        <is>
          <t xml:space="preserve">N6600117P8028</t>
        </is>
      </c>
      <c r="C4116" s="0" t="inlineStr">
        <is>
          <t xml:space="preserve">small_craft</t>
        </is>
      </c>
      <c r="D4116" s="4">
        <v>0.08726360999999999</v>
      </c>
      <c r="E4116" s="0" t="inlineStr">
        <is>
          <t xml:space="preserve">LIQUID ROBOTICS, INC.</t>
        </is>
      </c>
      <c r="F4116" s="0" t="inlineStr">
        <is>
          <t xml:space="preserve">naics:336612; psc:1940</t>
        </is>
      </c>
    </row>
    <row r="4117">
      <c r="B4117" s="0" t="inlineStr">
        <is>
          <t xml:space="preserve">N6883622P0131</t>
        </is>
      </c>
      <c r="C4117" s="0" t="inlineStr">
        <is>
          <t xml:space="preserve">broad_maritime</t>
        </is>
      </c>
      <c r="D4117" s="4">
        <v>0.08705726</v>
      </c>
      <c r="E4117" s="0" t="inlineStr">
        <is>
          <t xml:space="preserve">JERED LLC</t>
        </is>
      </c>
      <c r="F4117" s="0" t="inlineStr">
        <is>
          <t xml:space="preserve">psc:1905</t>
        </is>
      </c>
    </row>
    <row r="4118">
      <c r="B4118" s="0" t="inlineStr">
        <is>
          <t xml:space="preserve">0002</t>
        </is>
      </c>
      <c r="C4118" s="0" t="inlineStr">
        <is>
          <t xml:space="preserve">broad_maritime</t>
        </is>
      </c>
      <c r="D4118" s="4">
        <v>0.08694247999999999</v>
      </c>
      <c r="E4118" s="0" t="inlineStr">
        <is>
          <t xml:space="preserve">HUNTINGTON INGALLS INC</t>
        </is>
      </c>
      <c r="F4118" s="0" t="inlineStr">
        <is>
          <t xml:space="preserve">psc:1905</t>
        </is>
      </c>
    </row>
    <row r="4119">
      <c r="B4119" s="0" t="inlineStr">
        <is>
          <t xml:space="preserve">LH61</t>
        </is>
      </c>
      <c r="C4119" s="0" t="inlineStr">
        <is>
          <t xml:space="preserve">other_small</t>
        </is>
      </c>
      <c r="D4119" s="4">
        <v>0.08667</v>
      </c>
      <c r="E4119" s="0" t="inlineStr">
        <is>
          <t xml:space="preserve">MCALLISTER TOWING AND TRANSPORTATION COMPANY, INC.</t>
        </is>
      </c>
      <c r="F4119" s="0" t="inlineStr">
        <is>
          <t xml:space="preserve">psc:1990</t>
        </is>
      </c>
    </row>
    <row r="4120">
      <c r="B4120" s="0" t="inlineStr">
        <is>
          <t xml:space="preserve">N0010423PEL94</t>
        </is>
      </c>
      <c r="C4120" s="0" t="inlineStr">
        <is>
          <t xml:space="preserve">small_craft</t>
        </is>
      </c>
      <c r="D4120" s="4">
        <v>0.0858816</v>
      </c>
      <c r="E4120" s="0" t="inlineStr">
        <is>
          <t xml:space="preserve">DIBERT VALVE AND FITTING COMPANY, INCORPORATED</t>
        </is>
      </c>
      <c r="F4120" s="0" t="inlineStr">
        <is>
          <t xml:space="preserve">naics:336612</t>
        </is>
      </c>
    </row>
    <row r="4121">
      <c r="B4121" s="0" t="inlineStr">
        <is>
          <t xml:space="preserve">N0010421PED33</t>
        </is>
      </c>
      <c r="C4121" s="0" t="inlineStr">
        <is>
          <t xml:space="preserve">small_craft</t>
        </is>
      </c>
      <c r="D4121" s="4">
        <v>0.08512423</v>
      </c>
      <c r="E4121" s="0" t="inlineStr">
        <is>
          <t xml:space="preserve">AIRGAS USA LLC</t>
        </is>
      </c>
      <c r="F4121" s="0" t="inlineStr">
        <is>
          <t xml:space="preserve">naics:336612</t>
        </is>
      </c>
    </row>
    <row r="4122">
      <c r="B4122" s="0" t="inlineStr">
        <is>
          <t xml:space="preserve">N0040622P0419</t>
        </is>
      </c>
      <c r="C4122" s="0" t="inlineStr">
        <is>
          <t xml:space="preserve">small_craft</t>
        </is>
      </c>
      <c r="D4122" s="4">
        <v>0.08448</v>
      </c>
      <c r="E4122" s="0" t="inlineStr">
        <is>
          <t xml:space="preserve">URETHANE PRODUCTS CORPORATION</t>
        </is>
      </c>
      <c r="F4122" s="0" t="inlineStr">
        <is>
          <t xml:space="preserve">naics:336612</t>
        </is>
      </c>
    </row>
    <row r="4123">
      <c r="B4123" s="0" t="inlineStr">
        <is>
          <t xml:space="preserve">N0010417PDG31</t>
        </is>
      </c>
      <c r="C4123" s="0" t="inlineStr">
        <is>
          <t xml:space="preserve">small_craft</t>
        </is>
      </c>
      <c r="D4123" s="4">
        <v>0.084474</v>
      </c>
      <c r="E4123" s="0" t="inlineStr">
        <is>
          <t xml:space="preserve">TIMKEN GEARS &amp; SERVICES INC.</t>
        </is>
      </c>
      <c r="F4123" s="0" t="inlineStr">
        <is>
          <t xml:space="preserve">naics:336612</t>
        </is>
      </c>
    </row>
    <row r="4124">
      <c r="B4124" s="0" t="inlineStr">
        <is>
          <t xml:space="preserve">N6600123P6167</t>
        </is>
      </c>
      <c r="C4124" s="0" t="inlineStr">
        <is>
          <t xml:space="preserve">usv_core</t>
        </is>
      </c>
      <c r="D4124" s="4">
        <v>0.08437499999999999</v>
      </c>
      <c r="E4124" s="0" t="inlineStr">
        <is>
          <t xml:space="preserve">HYDRONALIX INC</t>
        </is>
      </c>
      <c r="F4124" s="0" t="inlineStr">
        <is>
          <t xml:space="preserve">keyword; psc:1925</t>
        </is>
      </c>
    </row>
    <row r="4125">
      <c r="B4125" s="0" t="inlineStr">
        <is>
          <t xml:space="preserve">0003</t>
        </is>
      </c>
      <c r="C4125" s="0" t="inlineStr">
        <is>
          <t xml:space="preserve">small_craft</t>
        </is>
      </c>
      <c r="D4125" s="4">
        <v>0.0843622</v>
      </c>
      <c r="E4125" s="0" t="inlineStr">
        <is>
          <t xml:space="preserve">SAUNDERS ENGINE &amp; EQUIPMENT CO INC</t>
        </is>
      </c>
      <c r="F4125" s="0" t="inlineStr">
        <is>
          <t xml:space="preserve">naics:336612</t>
        </is>
      </c>
    </row>
    <row r="4126">
      <c r="B4126" s="0" t="inlineStr">
        <is>
          <t xml:space="preserve">0014</t>
        </is>
      </c>
      <c r="C4126" s="0" t="inlineStr">
        <is>
          <t xml:space="preserve">small_craft</t>
        </is>
      </c>
      <c r="D4126" s="4">
        <v>0.0830733</v>
      </c>
      <c r="E4126" s="0" t="inlineStr">
        <is>
          <t xml:space="preserve">SAUNDERS ENGINE &amp; EQUIPMENT CO INC</t>
        </is>
      </c>
      <c r="F4126" s="0" t="inlineStr">
        <is>
          <t xml:space="preserve">naics:336612</t>
        </is>
      </c>
    </row>
    <row r="4127">
      <c r="B4127" s="0" t="inlineStr">
        <is>
          <t xml:space="preserve">N0018920P0339</t>
        </is>
      </c>
      <c r="C4127" s="0" t="inlineStr">
        <is>
          <t xml:space="preserve">broad_maritime</t>
        </is>
      </c>
      <c r="D4127" s="4">
        <v>0.08275916999999999</v>
      </c>
      <c r="E4127" s="0" t="inlineStr">
        <is>
          <t xml:space="preserve">METAL DYNAMICS LTD</t>
        </is>
      </c>
      <c r="F4127" s="0" t="inlineStr">
        <is>
          <t xml:space="preserve">psc:1905</t>
        </is>
      </c>
    </row>
    <row r="4128">
      <c r="B4128" s="0" t="inlineStr">
        <is>
          <t xml:space="preserve">N0010425PFE09</t>
        </is>
      </c>
      <c r="C4128" s="0" t="inlineStr">
        <is>
          <t xml:space="preserve">small_craft</t>
        </is>
      </c>
      <c r="D4128" s="4">
        <v>0.08249999999999999</v>
      </c>
      <c r="E4128" s="0" t="inlineStr">
        <is>
          <t xml:space="preserve">B&amp;G MANUFACTURING CO INC</t>
        </is>
      </c>
      <c r="F4128" s="0" t="inlineStr">
        <is>
          <t xml:space="preserve">naics:336612</t>
        </is>
      </c>
    </row>
    <row r="4129">
      <c r="B4129" s="0" t="inlineStr">
        <is>
          <t xml:space="preserve">N4044318P0047</t>
        </is>
      </c>
      <c r="C4129" s="0" t="inlineStr">
        <is>
          <t xml:space="preserve">small_craft</t>
        </is>
      </c>
      <c r="D4129" s="4">
        <v>0.08184</v>
      </c>
      <c r="E4129" s="0" t="inlineStr">
        <is>
          <t xml:space="preserve">VANE BROTHERS MARINE SAFETY &amp; SERVICES, INC</t>
        </is>
      </c>
      <c r="F4129" s="0" t="inlineStr">
        <is>
          <t xml:space="preserve">naics:336612</t>
        </is>
      </c>
    </row>
    <row r="4130">
      <c r="B4130" s="0" t="inlineStr">
        <is>
          <t xml:space="preserve">V5532219F0001</t>
        </is>
      </c>
      <c r="C4130" s="0" t="inlineStr">
        <is>
          <t xml:space="preserve">other_small</t>
        </is>
      </c>
      <c r="D4130" s="4">
        <v>0.081618</v>
      </c>
      <c r="E4130" s="0" t="inlineStr">
        <is>
          <t xml:space="preserve">W S DARLEY &amp; CO</t>
        </is>
      </c>
      <c r="F4130" s="0" t="inlineStr">
        <is>
          <t xml:space="preserve">psc:1990</t>
        </is>
      </c>
    </row>
    <row r="4131">
      <c r="B4131" s="0" t="inlineStr">
        <is>
          <t xml:space="preserve">N0040623P0033</t>
        </is>
      </c>
      <c r="C4131" s="0" t="inlineStr">
        <is>
          <t xml:space="preserve">small_craft</t>
        </is>
      </c>
      <c r="D4131" s="4">
        <v>0.08155599999999999</v>
      </c>
      <c r="E4131" s="0" t="inlineStr">
        <is>
          <t xml:space="preserve">JUNIPER ELBOW CO. INC.</t>
        </is>
      </c>
      <c r="F4131" s="0" t="inlineStr">
        <is>
          <t xml:space="preserve">naics:336612</t>
        </is>
      </c>
    </row>
    <row r="4132">
      <c r="B4132" s="0" t="inlineStr">
        <is>
          <t xml:space="preserve">N0016722P0153</t>
        </is>
      </c>
      <c r="C4132" s="0" t="inlineStr">
        <is>
          <t xml:space="preserve">small_craft</t>
        </is>
      </c>
      <c r="D4132" s="4">
        <v>0.081245</v>
      </c>
      <c r="E4132" s="0" t="inlineStr">
        <is>
          <t xml:space="preserve">MARITIME SOLUTIONS INC</t>
        </is>
      </c>
      <c r="F4132" s="0" t="inlineStr">
        <is>
          <t xml:space="preserve">naics:336612</t>
        </is>
      </c>
    </row>
    <row r="4133">
      <c r="B4133" s="0" t="inlineStr">
        <is>
          <t xml:space="preserve">N0016721P0261</t>
        </is>
      </c>
      <c r="C4133" s="0" t="inlineStr">
        <is>
          <t xml:space="preserve">small_craft</t>
        </is>
      </c>
      <c r="D4133" s="4">
        <v>0.081245</v>
      </c>
      <c r="E4133" s="0" t="inlineStr">
        <is>
          <t xml:space="preserve">MARITIME SOLUTIONS INC</t>
        </is>
      </c>
      <c r="F4133" s="0" t="inlineStr">
        <is>
          <t xml:space="preserve">naics:336612</t>
        </is>
      </c>
    </row>
    <row r="4134">
      <c r="B4134" s="0" t="inlineStr">
        <is>
          <t xml:space="preserve">N0024418P0146</t>
        </is>
      </c>
      <c r="C4134" s="0" t="inlineStr">
        <is>
          <t xml:space="preserve">small_craft</t>
        </is>
      </c>
      <c r="D4134" s="4">
        <v>0.081052</v>
      </c>
      <c r="E4134" s="0" t="inlineStr">
        <is>
          <t xml:space="preserve">SAFE BOATS INTERNATIONAL LLC</t>
        </is>
      </c>
      <c r="F4134" s="0" t="inlineStr">
        <is>
          <t xml:space="preserve">naics:336612</t>
        </is>
      </c>
    </row>
    <row r="4135">
      <c r="B4135" s="0" t="inlineStr">
        <is>
          <t xml:space="preserve">N0001424P7003</t>
        </is>
      </c>
      <c r="C4135" s="0" t="inlineStr">
        <is>
          <t xml:space="preserve">usv_core</t>
        </is>
      </c>
      <c r="D4135" s="4">
        <v>0.0810368</v>
      </c>
      <c r="E4135" s="0" t="inlineStr">
        <is>
          <t xml:space="preserve">ROYAL AMERICAN HOSPITALITY INC</t>
        </is>
      </c>
      <c r="F4135" s="0" t="inlineStr">
        <is>
          <t xml:space="preserve">keyword</t>
        </is>
      </c>
    </row>
    <row r="4136">
      <c r="B4136" s="0" t="inlineStr">
        <is>
          <t xml:space="preserve">LH82</t>
        </is>
      </c>
      <c r="C4136" s="0" t="inlineStr">
        <is>
          <t xml:space="preserve">other_small</t>
        </is>
      </c>
      <c r="D4136" s="4">
        <v>0.079332</v>
      </c>
      <c r="E4136" s="0" t="inlineStr">
        <is>
          <t xml:space="preserve">MCALLISTER TOWING AND TRANSPORTATION COMPANY, INC.</t>
        </is>
      </c>
      <c r="F4136" s="0" t="inlineStr">
        <is>
          <t xml:space="preserve">psc:1990</t>
        </is>
      </c>
    </row>
    <row r="4137">
      <c r="B4137" s="0" t="inlineStr">
        <is>
          <t xml:space="preserve">N0002413C4300</t>
        </is>
      </c>
      <c r="C4137" s="0" t="inlineStr">
        <is>
          <t xml:space="preserve">broad_maritime</t>
        </is>
      </c>
      <c r="D4137" s="4">
        <v>0.07932499999999999</v>
      </c>
      <c r="E4137" s="0" t="inlineStr">
        <is>
          <t xml:space="preserve">ELECTRIC BOAT CORPORATION</t>
        </is>
      </c>
      <c r="F4137" s="0" t="inlineStr">
        <is>
          <t xml:space="preserve">psc:1905</t>
        </is>
      </c>
    </row>
    <row r="4138">
      <c r="B4138" s="0" t="inlineStr">
        <is>
          <t xml:space="preserve">0019</t>
        </is>
      </c>
      <c r="C4138" s="0" t="inlineStr">
        <is>
          <t xml:space="preserve">small_craft</t>
        </is>
      </c>
      <c r="D4138" s="4">
        <v>0.07919799999999999</v>
      </c>
      <c r="E4138" s="0" t="inlineStr">
        <is>
          <t xml:space="preserve">SAUNDERS ENGINE &amp; EQUIPMENT CO INC</t>
        </is>
      </c>
      <c r="F4138" s="0" t="inlineStr">
        <is>
          <t xml:space="preserve">naics:336612</t>
        </is>
      </c>
    </row>
    <row r="4139">
      <c r="B4139" s="0" t="inlineStr">
        <is>
          <t xml:space="preserve">N0010425PJB50</t>
        </is>
      </c>
      <c r="C4139" s="0" t="inlineStr">
        <is>
          <t xml:space="preserve">small_craft</t>
        </is>
      </c>
      <c r="D4139" s="4">
        <v>0.07895102</v>
      </c>
      <c r="E4139" s="0" t="inlineStr">
        <is>
          <t xml:space="preserve">LOUIS ALLIS LLC</t>
        </is>
      </c>
      <c r="F4139" s="0" t="inlineStr">
        <is>
          <t xml:space="preserve">naics:336612</t>
        </is>
      </c>
    </row>
    <row r="4140">
      <c r="B4140" s="0" t="inlineStr">
        <is>
          <t xml:space="preserve">N0010426PSA58</t>
        </is>
      </c>
      <c r="C4140" s="0" t="inlineStr">
        <is>
          <t xml:space="preserve">small_craft</t>
        </is>
      </c>
      <c r="D4140" s="4">
        <v>0.07862589999999998</v>
      </c>
      <c r="E4140" s="0" t="inlineStr">
        <is>
          <t xml:space="preserve">W R SYSTEMS LTD</t>
        </is>
      </c>
      <c r="F4140" s="0" t="inlineStr">
        <is>
          <t xml:space="preserve">naics:336612</t>
        </is>
      </c>
    </row>
    <row r="4141">
      <c r="B4141" s="0" t="inlineStr">
        <is>
          <t xml:space="preserve">0017</t>
        </is>
      </c>
      <c r="C4141" s="0" t="inlineStr">
        <is>
          <t xml:space="preserve">broad_maritime</t>
        </is>
      </c>
      <c r="D4141" s="4">
        <v>0.078525</v>
      </c>
      <c r="E4141" s="0" t="inlineStr">
        <is>
          <t xml:space="preserve">GOODRICH CORPORATION</t>
        </is>
      </c>
      <c r="F4141" s="0" t="inlineStr">
        <is>
          <t xml:space="preserve">psc:1905</t>
        </is>
      </c>
    </row>
    <row r="4142">
      <c r="B4142" s="0" t="inlineStr">
        <is>
          <t xml:space="preserve">M0068124C0003</t>
        </is>
      </c>
      <c r="C4142" s="0" t="inlineStr">
        <is>
          <t xml:space="preserve">small_craft</t>
        </is>
      </c>
      <c r="D4142" s="4">
        <v>0.078</v>
      </c>
      <c r="E4142" s="0" t="inlineStr">
        <is>
          <t xml:space="preserve">NIGHTFALL CONSULTING, LLC</t>
        </is>
      </c>
      <c r="F4142" s="0" t="inlineStr">
        <is>
          <t xml:space="preserve">naics:336612</t>
        </is>
      </c>
    </row>
    <row r="4143">
      <c r="B4143" s="0" t="inlineStr">
        <is>
          <t xml:space="preserve">N0010421PCD92</t>
        </is>
      </c>
      <c r="C4143" s="0" t="inlineStr">
        <is>
          <t xml:space="preserve">small_craft</t>
        </is>
      </c>
      <c r="D4143" s="4">
        <v>0.07760299999999999</v>
      </c>
      <c r="E4143" s="0" t="inlineStr">
        <is>
          <t xml:space="preserve">ELECTRIC MOTOR AND CONTRACTING COMPANY</t>
        </is>
      </c>
      <c r="F4143" s="0" t="inlineStr">
        <is>
          <t xml:space="preserve">naics:336612</t>
        </is>
      </c>
    </row>
    <row r="4144">
      <c r="B4144" s="0" t="inlineStr">
        <is>
          <t xml:space="preserve">N0010417PLA60</t>
        </is>
      </c>
      <c r="C4144" s="0" t="inlineStr">
        <is>
          <t xml:space="preserve">small_craft</t>
        </is>
      </c>
      <c r="D4144" s="4">
        <v>0.07755999999999999</v>
      </c>
      <c r="E4144" s="0" t="inlineStr">
        <is>
          <t xml:space="preserve">SATELLINK INC</t>
        </is>
      </c>
      <c r="F4144" s="0" t="inlineStr">
        <is>
          <t xml:space="preserve">naics:336612</t>
        </is>
      </c>
    </row>
    <row r="4145">
      <c r="B4145" s="0" t="inlineStr">
        <is>
          <t xml:space="preserve">N4044318P0138</t>
        </is>
      </c>
      <c r="C4145" s="0" t="inlineStr">
        <is>
          <t xml:space="preserve">small_craft</t>
        </is>
      </c>
      <c r="D4145" s="4">
        <v>0.07720678999999998</v>
      </c>
      <c r="E4145" s="0" t="inlineStr">
        <is>
          <t xml:space="preserve">VANE BROTHERS MARINE SAFETY &amp; SERVICES, INC</t>
        </is>
      </c>
      <c r="F4145" s="0" t="inlineStr">
        <is>
          <t xml:space="preserve">naics:336612</t>
        </is>
      </c>
    </row>
    <row r="4146">
      <c r="B4146" s="0" t="inlineStr">
        <is>
          <t xml:space="preserve">N0024425P0074</t>
        </is>
      </c>
      <c r="C4146" s="0" t="inlineStr">
        <is>
          <t xml:space="preserve">broad_maritime</t>
        </is>
      </c>
      <c r="D4146" s="4">
        <v>0.076875</v>
      </c>
      <c r="E4146" s="0" t="inlineStr">
        <is>
          <t xml:space="preserve">THERMAL SPRAY SOLUTIONS, LLC</t>
        </is>
      </c>
      <c r="F4146" s="0" t="inlineStr">
        <is>
          <t xml:space="preserve">psc:1905</t>
        </is>
      </c>
    </row>
    <row r="4147">
      <c r="B4147" s="0" t="inlineStr">
        <is>
          <t xml:space="preserve">0006</t>
        </is>
      </c>
      <c r="C4147" s="0" t="inlineStr">
        <is>
          <t xml:space="preserve">other_small</t>
        </is>
      </c>
      <c r="D4147" s="4">
        <v>0.076615</v>
      </c>
      <c r="E4147" s="0" t="inlineStr">
        <is>
          <t xml:space="preserve">LOCKHEED MARTIN CORPORATION</t>
        </is>
      </c>
      <c r="F4147" s="0" t="inlineStr">
        <is>
          <t xml:space="preserve">psc:1990</t>
        </is>
      </c>
    </row>
    <row r="4148">
      <c r="B4148" s="0" t="inlineStr">
        <is>
          <t xml:space="preserve">N6133120P0006</t>
        </is>
      </c>
      <c r="C4148" s="0" t="inlineStr">
        <is>
          <t xml:space="preserve">usv_core</t>
        </is>
      </c>
      <c r="D4148" s="4">
        <v>0.0755994</v>
      </c>
      <c r="E4148" s="0" t="inlineStr">
        <is>
          <t xml:space="preserve">HII UNMANNED MARITIME SYSTEMS INC.</t>
        </is>
      </c>
      <c r="F4148" s="0" t="inlineStr">
        <is>
          <t xml:space="preserve">keyword</t>
        </is>
      </c>
    </row>
    <row r="4149">
      <c r="B4149" s="0" t="inlineStr">
        <is>
          <t xml:space="preserve">N3220517P4153</t>
        </is>
      </c>
      <c r="C4149" s="0" t="inlineStr">
        <is>
          <t xml:space="preserve">other_small</t>
        </is>
      </c>
      <c r="D4149" s="4">
        <v>0.07549411</v>
      </c>
      <c r="E4149" s="0" t="inlineStr">
        <is>
          <t xml:space="preserve">17 MACHINERY LLC</t>
        </is>
      </c>
      <c r="F4149" s="0" t="inlineStr">
        <is>
          <t xml:space="preserve">psc:1990</t>
        </is>
      </c>
    </row>
    <row r="4150">
      <c r="B4150" s="0" t="inlineStr">
        <is>
          <t xml:space="preserve">0001</t>
        </is>
      </c>
      <c r="C4150" s="0" t="inlineStr">
        <is>
          <t xml:space="preserve">small_craft</t>
        </is>
      </c>
      <c r="D4150" s="4">
        <v>0.07536375999999999</v>
      </c>
      <c r="E4150" s="0" t="inlineStr">
        <is>
          <t xml:space="preserve">AIR CRUISERS COMPANY, LLC</t>
        </is>
      </c>
      <c r="F4150" s="0" t="inlineStr">
        <is>
          <t xml:space="preserve">naics:336612</t>
        </is>
      </c>
    </row>
    <row r="4151">
      <c r="B4151" s="0" t="inlineStr">
        <is>
          <t xml:space="preserve">N6449818P5098</t>
        </is>
      </c>
      <c r="C4151" s="0" t="inlineStr">
        <is>
          <t xml:space="preserve">broad_maritime</t>
        </is>
      </c>
      <c r="D4151" s="4">
        <v>0.075225</v>
      </c>
      <c r="E4151" s="0" t="inlineStr">
        <is>
          <t xml:space="preserve">VESTDAVIT, INC.</t>
        </is>
      </c>
      <c r="F4151" s="0" t="inlineStr">
        <is>
          <t xml:space="preserve">psc:1905</t>
        </is>
      </c>
    </row>
    <row r="4152">
      <c r="B4152" s="0" t="inlineStr">
        <is>
          <t xml:space="preserve">N0040615P2272</t>
        </is>
      </c>
      <c r="C4152" s="0" t="inlineStr">
        <is>
          <t xml:space="preserve">small_craft</t>
        </is>
      </c>
      <c r="D4152" s="4">
        <v>0.07515</v>
      </c>
      <c r="E4152" s="0" t="inlineStr">
        <is>
          <t xml:space="preserve">J.D.A. MARITIME, INC.</t>
        </is>
      </c>
      <c r="F4152" s="0" t="inlineStr">
        <is>
          <t xml:space="preserve">naics:336612</t>
        </is>
      </c>
    </row>
    <row r="4153">
      <c r="B4153" s="0" t="inlineStr">
        <is>
          <t xml:space="preserve">N3220519P6545</t>
        </is>
      </c>
      <c r="C4153" s="0" t="inlineStr">
        <is>
          <t xml:space="preserve">small_craft</t>
        </is>
      </c>
      <c r="D4153" s="4">
        <v>0.07503789</v>
      </c>
      <c r="E4153" s="0" t="inlineStr">
        <is>
          <t xml:space="preserve">WILLARD MARINE, INC.</t>
        </is>
      </c>
      <c r="F4153" s="0" t="inlineStr">
        <is>
          <t xml:space="preserve">naics:336612</t>
        </is>
      </c>
    </row>
    <row r="4154">
      <c r="B4154" s="0" t="inlineStr">
        <is>
          <t xml:space="preserve">M0026317P0075</t>
        </is>
      </c>
      <c r="C4154" s="0" t="inlineStr">
        <is>
          <t xml:space="preserve">small_craft</t>
        </is>
      </c>
      <c r="D4154" s="4">
        <v>0.07492</v>
      </c>
      <c r="E4154" s="0" t="inlineStr">
        <is>
          <t xml:space="preserve">BUTLER MARINE INC</t>
        </is>
      </c>
      <c r="F4154" s="0" t="inlineStr">
        <is>
          <t xml:space="preserve">naics:336612; psc:1940</t>
        </is>
      </c>
    </row>
    <row r="4155">
      <c r="B4155" s="0" t="inlineStr">
        <is>
          <t xml:space="preserve">0010</t>
        </is>
      </c>
      <c r="C4155" s="0" t="inlineStr">
        <is>
          <t xml:space="preserve">small_craft</t>
        </is>
      </c>
      <c r="D4155" s="4">
        <v>0.07444342</v>
      </c>
      <c r="E4155" s="0" t="inlineStr">
        <is>
          <t xml:space="preserve">SAUNDERS ENGINE &amp; EQUIPMENT CO INC</t>
        </is>
      </c>
      <c r="F4155" s="0" t="inlineStr">
        <is>
          <t xml:space="preserve">naics:336612</t>
        </is>
      </c>
    </row>
    <row r="4156">
      <c r="B4156" s="0" t="inlineStr">
        <is>
          <t xml:space="preserve">N0010421PLC37</t>
        </is>
      </c>
      <c r="C4156" s="0" t="inlineStr">
        <is>
          <t xml:space="preserve">small_craft</t>
        </is>
      </c>
      <c r="D4156" s="4">
        <v>0.07392</v>
      </c>
      <c r="E4156" s="0" t="inlineStr">
        <is>
          <t xml:space="preserve">SORA POWER INC.</t>
        </is>
      </c>
      <c r="F4156" s="0" t="inlineStr">
        <is>
          <t xml:space="preserve">naics:336612</t>
        </is>
      </c>
    </row>
    <row r="4157">
      <c r="B4157" s="0" t="inlineStr">
        <is>
          <t xml:space="preserve">N6874225F0521</t>
        </is>
      </c>
      <c r="C4157" s="0" t="inlineStr">
        <is>
          <t xml:space="preserve">small_craft</t>
        </is>
      </c>
      <c r="D4157" s="4">
        <v>0.07373902</v>
      </c>
      <c r="E4157" s="0" t="inlineStr">
        <is>
          <t xml:space="preserve">NW BEND BOATS, LLC</t>
        </is>
      </c>
      <c r="F4157" s="0" t="inlineStr">
        <is>
          <t xml:space="preserve">naics:336612</t>
        </is>
      </c>
    </row>
    <row r="4158">
      <c r="B4158" s="0" t="inlineStr">
        <is>
          <t xml:space="preserve">0009</t>
        </is>
      </c>
      <c r="C4158" s="0" t="inlineStr">
        <is>
          <t xml:space="preserve">other_small</t>
        </is>
      </c>
      <c r="D4158" s="4">
        <v>0.07335045</v>
      </c>
      <c r="E4158" s="0" t="inlineStr">
        <is>
          <t xml:space="preserve">LAKE SHORE SYSTEMS, INC.</t>
        </is>
      </c>
      <c r="F4158" s="0" t="inlineStr">
        <is>
          <t xml:space="preserve">psc:1990</t>
        </is>
      </c>
    </row>
    <row r="4159">
      <c r="B4159" s="0" t="inlineStr">
        <is>
          <t xml:space="preserve">N3220519F7161</t>
        </is>
      </c>
      <c r="C4159" s="0" t="inlineStr">
        <is>
          <t xml:space="preserve">other_small</t>
        </is>
      </c>
      <c r="D4159" s="4">
        <v>0.07326594</v>
      </c>
      <c r="E4159" s="0" t="inlineStr">
        <is>
          <t xml:space="preserve">LAKE SHORE SYSTEMS, INC.</t>
        </is>
      </c>
      <c r="F4159" s="0" t="inlineStr">
        <is>
          <t xml:space="preserve">psc:1990</t>
        </is>
      </c>
    </row>
    <row r="4160">
      <c r="B4160" s="0" t="inlineStr">
        <is>
          <t xml:space="preserve">N0010424PNC40</t>
        </is>
      </c>
      <c r="C4160" s="0" t="inlineStr">
        <is>
          <t xml:space="preserve">small_craft</t>
        </is>
      </c>
      <c r="D4160" s="4">
        <v>0.07312225</v>
      </c>
      <c r="E4160" s="0" t="inlineStr">
        <is>
          <t xml:space="preserve">PRIME TECHNOLOGY LLC</t>
        </is>
      </c>
      <c r="F4160" s="0" t="inlineStr">
        <is>
          <t xml:space="preserve">naics:336612</t>
        </is>
      </c>
    </row>
    <row r="4161">
      <c r="B4161" s="0" t="inlineStr">
        <is>
          <t xml:space="preserve">N3220518P4279</t>
        </is>
      </c>
      <c r="C4161" s="0" t="inlineStr">
        <is>
          <t xml:space="preserve">small_craft</t>
        </is>
      </c>
      <c r="D4161" s="4">
        <v>0.07296</v>
      </c>
      <c r="E4161" s="0" t="inlineStr">
        <is>
          <t xml:space="preserve">VANE BROTHERS MARINE SAFETY &amp; SERVICES, INC.</t>
        </is>
      </c>
      <c r="F4161" s="0" t="inlineStr">
        <is>
          <t xml:space="preserve">naics:336612; psc:1940</t>
        </is>
      </c>
    </row>
    <row r="4162">
      <c r="B4162" s="0" t="inlineStr">
        <is>
          <t xml:space="preserve">N6600116P6780</t>
        </is>
      </c>
      <c r="C4162" s="0" t="inlineStr">
        <is>
          <t xml:space="preserve">small_craft</t>
        </is>
      </c>
      <c r="D4162" s="4">
        <v>0.072597</v>
      </c>
      <c r="E4162" s="0" t="inlineStr">
        <is>
          <t xml:space="preserve">SOLUTION ONE MARITIME, LLC</t>
        </is>
      </c>
      <c r="F4162" s="0" t="inlineStr">
        <is>
          <t xml:space="preserve">naics:336612</t>
        </is>
      </c>
    </row>
    <row r="4163">
      <c r="B4163" s="0" t="inlineStr">
        <is>
          <t xml:space="preserve">N0010420PLC13</t>
        </is>
      </c>
      <c r="C4163" s="0" t="inlineStr">
        <is>
          <t xml:space="preserve">small_craft</t>
        </is>
      </c>
      <c r="D4163" s="4">
        <v>0.072473</v>
      </c>
      <c r="E4163" s="0" t="inlineStr">
        <is>
          <t xml:space="preserve">L3HARRIS TECHNOLOGIES, INC</t>
        </is>
      </c>
      <c r="F4163" s="0" t="inlineStr">
        <is>
          <t xml:space="preserve">naics:336612</t>
        </is>
      </c>
    </row>
    <row r="4164">
      <c r="B4164" s="0" t="inlineStr">
        <is>
          <t xml:space="preserve">N0010423PF009</t>
        </is>
      </c>
      <c r="C4164" s="0" t="inlineStr">
        <is>
          <t xml:space="preserve">small_craft</t>
        </is>
      </c>
      <c r="D4164" s="4">
        <v>0.072264</v>
      </c>
      <c r="E4164" s="0" t="inlineStr">
        <is>
          <t xml:space="preserve">DEFENSE MARITIME SOLUTIONS, INC.</t>
        </is>
      </c>
      <c r="F4164" s="0" t="inlineStr">
        <is>
          <t xml:space="preserve">naics:336612</t>
        </is>
      </c>
    </row>
    <row r="4165">
      <c r="B4165" s="0" t="inlineStr">
        <is>
          <t xml:space="preserve">N0010423PXB94</t>
        </is>
      </c>
      <c r="C4165" s="0" t="inlineStr">
        <is>
          <t xml:space="preserve">small_craft</t>
        </is>
      </c>
      <c r="D4165" s="4">
        <v>0.072</v>
      </c>
      <c r="E4165" s="0" t="inlineStr">
        <is>
          <t xml:space="preserve">OHIO MACHINERY CO</t>
        </is>
      </c>
      <c r="F4165" s="0" t="inlineStr">
        <is>
          <t xml:space="preserve">naics:336612</t>
        </is>
      </c>
    </row>
    <row r="4166">
      <c r="B4166" s="0" t="inlineStr">
        <is>
          <t xml:space="preserve">N0010417PNF42</t>
        </is>
      </c>
      <c r="C4166" s="0" t="inlineStr">
        <is>
          <t xml:space="preserve">small_craft</t>
        </is>
      </c>
      <c r="D4166" s="4">
        <v>0.0716</v>
      </c>
      <c r="E4166" s="0" t="inlineStr">
        <is>
          <t xml:space="preserve">COILING TECHNOLOGIES, INC.</t>
        </is>
      </c>
      <c r="F4166" s="0" t="inlineStr">
        <is>
          <t xml:space="preserve">naics:336612</t>
        </is>
      </c>
    </row>
    <row r="4167">
      <c r="B4167" s="0" t="inlineStr">
        <is>
          <t xml:space="preserve">N0025307P0451</t>
        </is>
      </c>
      <c r="C4167" s="0" t="inlineStr">
        <is>
          <t xml:space="preserve">small_craft</t>
        </is>
      </c>
      <c r="D4167" s="4">
        <v>0.071412</v>
      </c>
      <c r="E4167" s="0" t="inlineStr">
        <is>
          <t xml:space="preserve">MARINE INDUSTRIES NORTHWEST, INC.</t>
        </is>
      </c>
      <c r="F4167" s="0" t="inlineStr">
        <is>
          <t xml:space="preserve">naics:336612</t>
        </is>
      </c>
    </row>
    <row r="4168">
      <c r="B4168" s="0" t="inlineStr">
        <is>
          <t xml:space="preserve">N6133125F1003</t>
        </is>
      </c>
      <c r="C4168" s="0" t="inlineStr">
        <is>
          <t xml:space="preserve">small_craft</t>
        </is>
      </c>
      <c r="D4168" s="4">
        <v>0.07115099</v>
      </c>
      <c r="E4168" s="0" t="inlineStr">
        <is>
          <t xml:space="preserve">OCEAN AERO, INC.</t>
        </is>
      </c>
      <c r="F4168" s="0" t="inlineStr">
        <is>
          <t xml:space="preserve">naics:336612; psc:1940</t>
        </is>
      </c>
    </row>
    <row r="4169">
      <c r="B4169" s="0" t="inlineStr">
        <is>
          <t xml:space="preserve">N0010421PCA34</t>
        </is>
      </c>
      <c r="C4169" s="0" t="inlineStr">
        <is>
          <t xml:space="preserve">small_craft</t>
        </is>
      </c>
      <c r="D4169" s="4">
        <v>0.07105</v>
      </c>
      <c r="E4169" s="0" t="inlineStr">
        <is>
          <t xml:space="preserve">KINGSBURY INC.</t>
        </is>
      </c>
      <c r="F4169" s="0" t="inlineStr">
        <is>
          <t xml:space="preserve">naics:336612</t>
        </is>
      </c>
    </row>
    <row r="4170">
      <c r="B4170" s="0" t="inlineStr">
        <is>
          <t xml:space="preserve">N0010421PCA33</t>
        </is>
      </c>
      <c r="C4170" s="0" t="inlineStr">
        <is>
          <t xml:space="preserve">small_craft</t>
        </is>
      </c>
      <c r="D4170" s="4">
        <v>0.07105</v>
      </c>
      <c r="E4170" s="0" t="inlineStr">
        <is>
          <t xml:space="preserve">KINGSBURY INC.</t>
        </is>
      </c>
      <c r="F4170" s="0" t="inlineStr">
        <is>
          <t xml:space="preserve">naics:336612</t>
        </is>
      </c>
    </row>
    <row r="4171">
      <c r="B4171" s="0" t="inlineStr">
        <is>
          <t xml:space="preserve">N0010424PCB01</t>
        </is>
      </c>
      <c r="C4171" s="0" t="inlineStr">
        <is>
          <t xml:space="preserve">small_craft</t>
        </is>
      </c>
      <c r="D4171" s="4">
        <v>0.0709509</v>
      </c>
      <c r="E4171" s="0" t="inlineStr">
        <is>
          <t xml:space="preserve">VERTEX LLC</t>
        </is>
      </c>
      <c r="F4171" s="0" t="inlineStr">
        <is>
          <t xml:space="preserve">naics:336612</t>
        </is>
      </c>
    </row>
    <row r="4172">
      <c r="B4172" s="0" t="inlineStr">
        <is>
          <t xml:space="preserve">N6227115M1421</t>
        </is>
      </c>
      <c r="C4172" s="0" t="inlineStr">
        <is>
          <t xml:space="preserve">usv_core</t>
        </is>
      </c>
      <c r="D4172" s="4">
        <v>0.070116</v>
      </c>
      <c r="E4172" s="0" t="inlineStr">
        <is>
          <t xml:space="preserve">CLEARPATH ROBOTICS INC.</t>
        </is>
      </c>
      <c r="F4172" s="0" t="inlineStr">
        <is>
          <t xml:space="preserve">keyword</t>
        </is>
      </c>
    </row>
    <row r="4173">
      <c r="B4173" s="0" t="inlineStr">
        <is>
          <t xml:space="preserve">N6893621P0487</t>
        </is>
      </c>
      <c r="C4173" s="0" t="inlineStr">
        <is>
          <t xml:space="preserve">small_craft</t>
        </is>
      </c>
      <c r="D4173" s="4">
        <v>0.06966958999999999</v>
      </c>
      <c r="E4173" s="0" t="inlineStr">
        <is>
          <t xml:space="preserve">COHERENT TECHNICAL SERVICES, INC.</t>
        </is>
      </c>
      <c r="F4173" s="0" t="inlineStr">
        <is>
          <t xml:space="preserve">naics:336612</t>
        </is>
      </c>
    </row>
    <row r="4174">
      <c r="B4174" s="0" t="inlineStr">
        <is>
          <t xml:space="preserve">N3220524P0050</t>
        </is>
      </c>
      <c r="C4174" s="0" t="inlineStr">
        <is>
          <t xml:space="preserve">small_craft</t>
        </is>
      </c>
      <c r="D4174" s="4">
        <v>0.06955</v>
      </c>
      <c r="E4174" s="0" t="inlineStr">
        <is>
          <t xml:space="preserve">FASSMER SERVICE AMERICA LLC</t>
        </is>
      </c>
      <c r="F4174" s="0" t="inlineStr">
        <is>
          <t xml:space="preserve">naics:336612; psc:1940</t>
        </is>
      </c>
    </row>
    <row r="4175">
      <c r="B4175" s="0" t="inlineStr">
        <is>
          <t xml:space="preserve">N0016716F0118</t>
        </is>
      </c>
      <c r="C4175" s="0" t="inlineStr">
        <is>
          <t xml:space="preserve">small_craft</t>
        </is>
      </c>
      <c r="D4175" s="4">
        <v>0.06912</v>
      </c>
      <c r="E4175" s="0" t="inlineStr">
        <is>
          <t xml:space="preserve">JDCI ENTERPRISES, INC.</t>
        </is>
      </c>
      <c r="F4175" s="0" t="inlineStr">
        <is>
          <t xml:space="preserve">naics:336612</t>
        </is>
      </c>
    </row>
    <row r="4176">
      <c r="B4176" s="0" t="inlineStr">
        <is>
          <t xml:space="preserve">SPRMM116PWF93</t>
        </is>
      </c>
      <c r="C4176" s="0" t="inlineStr">
        <is>
          <t xml:space="preserve">usv_core</t>
        </is>
      </c>
      <c r="D4176" s="4">
        <v>0.068859</v>
      </c>
      <c r="E4176" s="0" t="inlineStr">
        <is>
          <t xml:space="preserve">HII UNMANNED MARITIME SYSTEMS INC.</t>
        </is>
      </c>
      <c r="F4176" s="0" t="inlineStr">
        <is>
          <t xml:space="preserve">keyword</t>
        </is>
      </c>
    </row>
    <row r="4177">
      <c r="B4177" s="0" t="inlineStr">
        <is>
          <t xml:space="preserve">N0010422PLE61</t>
        </is>
      </c>
      <c r="C4177" s="0" t="inlineStr">
        <is>
          <t xml:space="preserve">small_craft</t>
        </is>
      </c>
      <c r="D4177" s="4">
        <v>0.06854605999999999</v>
      </c>
      <c r="E4177" s="0" t="inlineStr">
        <is>
          <t xml:space="preserve">JO-KELL INC.</t>
        </is>
      </c>
      <c r="F4177" s="0" t="inlineStr">
        <is>
          <t xml:space="preserve">naics:336612</t>
        </is>
      </c>
    </row>
    <row r="4178">
      <c r="B4178" s="0" t="inlineStr">
        <is>
          <t xml:space="preserve">N0010421PEL84</t>
        </is>
      </c>
      <c r="C4178" s="0" t="inlineStr">
        <is>
          <t xml:space="preserve">small_craft</t>
        </is>
      </c>
      <c r="D4178" s="4">
        <v>0.06840396</v>
      </c>
      <c r="E4178" s="0" t="inlineStr">
        <is>
          <t xml:space="preserve">KAMPI COMPONENTS CO INC</t>
        </is>
      </c>
      <c r="F4178" s="0" t="inlineStr">
        <is>
          <t xml:space="preserve">naics:336612</t>
        </is>
      </c>
    </row>
    <row r="4179">
      <c r="B4179" s="0" t="inlineStr">
        <is>
          <t xml:space="preserve">N5005424P0046</t>
        </is>
      </c>
      <c r="C4179" s="0" t="inlineStr">
        <is>
          <t xml:space="preserve">small_craft</t>
        </is>
      </c>
      <c r="D4179" s="4">
        <v>0.06824</v>
      </c>
      <c r="E4179" s="0" t="inlineStr">
        <is>
          <t xml:space="preserve">METALTEK INTERNATIONAL, INC.</t>
        </is>
      </c>
      <c r="F4179" s="0" t="inlineStr">
        <is>
          <t xml:space="preserve">naics:336612</t>
        </is>
      </c>
    </row>
    <row r="4180">
      <c r="B4180" s="0" t="inlineStr">
        <is>
          <t xml:space="preserve">N0010420PCE23</t>
        </is>
      </c>
      <c r="C4180" s="0" t="inlineStr">
        <is>
          <t xml:space="preserve">small_craft</t>
        </is>
      </c>
      <c r="D4180" s="4">
        <v>0.067965</v>
      </c>
      <c r="E4180" s="0" t="inlineStr">
        <is>
          <t xml:space="preserve">KINGSBURY INC.</t>
        </is>
      </c>
      <c r="F4180" s="0" t="inlineStr">
        <is>
          <t xml:space="preserve">naics:336612</t>
        </is>
      </c>
    </row>
    <row r="4181">
      <c r="B4181" s="0" t="inlineStr">
        <is>
          <t xml:space="preserve">N0010422PJD04</t>
        </is>
      </c>
      <c r="C4181" s="0" t="inlineStr">
        <is>
          <t xml:space="preserve">small_craft</t>
        </is>
      </c>
      <c r="D4181" s="4">
        <v>0.06793176</v>
      </c>
      <c r="E4181" s="0" t="inlineStr">
        <is>
          <t xml:space="preserve">GE AVIATION SYSTEMS LLC</t>
        </is>
      </c>
      <c r="F4181" s="0" t="inlineStr">
        <is>
          <t xml:space="preserve">naics:336612</t>
        </is>
      </c>
    </row>
    <row r="4182">
      <c r="B4182" s="0" t="inlineStr">
        <is>
          <t xml:space="preserve">N0040622P0324</t>
        </is>
      </c>
      <c r="C4182" s="0" t="inlineStr">
        <is>
          <t xml:space="preserve">small_craft</t>
        </is>
      </c>
      <c r="D4182" s="4">
        <v>0.067495</v>
      </c>
      <c r="E4182" s="0" t="inlineStr">
        <is>
          <t xml:space="preserve">JUNIPER ELBOW CO. INC.</t>
        </is>
      </c>
      <c r="F4182" s="0" t="inlineStr">
        <is>
          <t xml:space="preserve">naics:336612</t>
        </is>
      </c>
    </row>
    <row r="4183">
      <c r="B4183" s="0" t="inlineStr">
        <is>
          <t xml:space="preserve">0059</t>
        </is>
      </c>
      <c r="C4183" s="0" t="inlineStr">
        <is>
          <t xml:space="preserve">other_small</t>
        </is>
      </c>
      <c r="D4183" s="4">
        <v>0.06665224</v>
      </c>
      <c r="E4183" s="0" t="inlineStr">
        <is>
          <t xml:space="preserve">ROLLS-ROYCE SOLUTIONS AMERICA INC</t>
        </is>
      </c>
      <c r="F4183" s="0" t="inlineStr">
        <is>
          <t xml:space="preserve">psc:1990</t>
        </is>
      </c>
    </row>
    <row r="4184">
      <c r="B4184" s="0" t="inlineStr">
        <is>
          <t xml:space="preserve">N0040619P0652</t>
        </is>
      </c>
      <c r="C4184" s="0" t="inlineStr">
        <is>
          <t xml:space="preserve">small_craft</t>
        </is>
      </c>
      <c r="D4184" s="4">
        <v>0.0663965</v>
      </c>
      <c r="E4184" s="0" t="inlineStr">
        <is>
          <t xml:space="preserve">JUNIPER ELBOW CO. INC.</t>
        </is>
      </c>
      <c r="F4184" s="0" t="inlineStr">
        <is>
          <t xml:space="preserve">naics:336612</t>
        </is>
      </c>
    </row>
    <row r="4185">
      <c r="B4185" s="0" t="inlineStr">
        <is>
          <t xml:space="preserve">N0010425PFD81</t>
        </is>
      </c>
      <c r="C4185" s="0" t="inlineStr">
        <is>
          <t xml:space="preserve">small_craft</t>
        </is>
      </c>
      <c r="D4185" s="4">
        <v>0.066375</v>
      </c>
      <c r="E4185" s="0" t="inlineStr">
        <is>
          <t xml:space="preserve">ARCOS INDUSTRIES LLC</t>
        </is>
      </c>
      <c r="F4185" s="0" t="inlineStr">
        <is>
          <t xml:space="preserve">naics:336612</t>
        </is>
      </c>
    </row>
    <row r="4186">
      <c r="B4186" s="0" t="inlineStr">
        <is>
          <t xml:space="preserve">N6893626P5065</t>
        </is>
      </c>
      <c r="C4186" s="0" t="inlineStr">
        <is>
          <t xml:space="preserve">small_craft</t>
        </is>
      </c>
      <c r="D4186" s="4">
        <v>0.06555952</v>
      </c>
      <c r="E4186" s="0" t="inlineStr">
        <is>
          <t xml:space="preserve">ATLANTIC DIVING SUPPLY, INC.</t>
        </is>
      </c>
      <c r="F4186" s="0" t="inlineStr">
        <is>
          <t xml:space="preserve">naics:336612; psc:1940</t>
        </is>
      </c>
    </row>
    <row r="4187">
      <c r="B4187" s="0" t="inlineStr">
        <is>
          <t xml:space="preserve">N3220515P4290</t>
        </is>
      </c>
      <c r="C4187" s="0" t="inlineStr">
        <is>
          <t xml:space="preserve">other_small</t>
        </is>
      </c>
      <c r="D4187" s="4">
        <v>0.0655</v>
      </c>
      <c r="E4187" s="0" t="inlineStr">
        <is>
          <t xml:space="preserve">CDK MOBILE SYSTEMS INC</t>
        </is>
      </c>
      <c r="F4187" s="0" t="inlineStr">
        <is>
          <t xml:space="preserve">psc:1990</t>
        </is>
      </c>
    </row>
    <row r="4188">
      <c r="B4188" s="0" t="inlineStr">
        <is>
          <t xml:space="preserve">N0010425PBL83</t>
        </is>
      </c>
      <c r="C4188" s="0" t="inlineStr">
        <is>
          <t xml:space="preserve">small_craft</t>
        </is>
      </c>
      <c r="D4188" s="4">
        <v>0.0652275</v>
      </c>
      <c r="E4188" s="0" t="inlineStr">
        <is>
          <t xml:space="preserve">ADIRONDACK ELECTRONICS INC</t>
        </is>
      </c>
      <c r="F4188" s="0" t="inlineStr">
        <is>
          <t xml:space="preserve">naics:336612</t>
        </is>
      </c>
    </row>
    <row r="4189">
      <c r="B4189" s="0" t="inlineStr">
        <is>
          <t xml:space="preserve">N6328518P0082</t>
        </is>
      </c>
      <c r="C4189" s="0" t="inlineStr">
        <is>
          <t xml:space="preserve">small_craft</t>
        </is>
      </c>
      <c r="D4189" s="4">
        <v>0.064522</v>
      </c>
      <c r="E4189" s="0" t="inlineStr">
        <is>
          <t xml:space="preserve">WING INFLATABLES INC</t>
        </is>
      </c>
      <c r="F4189" s="0" t="inlineStr">
        <is>
          <t xml:space="preserve">naics:336612; psc:1940</t>
        </is>
      </c>
    </row>
    <row r="4190">
      <c r="B4190" s="0" t="inlineStr">
        <is>
          <t xml:space="preserve">N0018924P0224</t>
        </is>
      </c>
      <c r="C4190" s="0" t="inlineStr">
        <is>
          <t xml:space="preserve">small_craft</t>
        </is>
      </c>
      <c r="D4190" s="4">
        <v>0.0645</v>
      </c>
      <c r="E4190" s="0" t="inlineStr">
        <is>
          <t xml:space="preserve">BAKER SHEET METAL CORPORATION</t>
        </is>
      </c>
      <c r="F4190" s="0" t="inlineStr">
        <is>
          <t xml:space="preserve">psc:1940</t>
        </is>
      </c>
    </row>
    <row r="4191">
      <c r="B4191" s="0" t="inlineStr">
        <is>
          <t xml:space="preserve">N0024216F0095</t>
        </is>
      </c>
      <c r="C4191" s="0" t="inlineStr">
        <is>
          <t xml:space="preserve">small_craft</t>
        </is>
      </c>
      <c r="D4191" s="4">
        <v>0.06403199999999999</v>
      </c>
      <c r="E4191" s="0" t="inlineStr">
        <is>
          <t xml:space="preserve">NORTH RIVER BOATS INCORPORATED</t>
        </is>
      </c>
      <c r="F4191" s="0" t="inlineStr">
        <is>
          <t xml:space="preserve">naics:336612</t>
        </is>
      </c>
    </row>
    <row r="4192">
      <c r="B4192" s="0" t="inlineStr">
        <is>
          <t xml:space="preserve">N6133122P0188</t>
        </is>
      </c>
      <c r="C4192" s="0" t="inlineStr">
        <is>
          <t xml:space="preserve">usv_core</t>
        </is>
      </c>
      <c r="D4192" s="4">
        <v>0.06398</v>
      </c>
      <c r="E4192" s="0" t="inlineStr">
        <is>
          <t xml:space="preserve">CLEARPATH ROBOTICS INC.</t>
        </is>
      </c>
      <c r="F4192" s="0" t="inlineStr">
        <is>
          <t xml:space="preserve">keyword; psc:1990</t>
        </is>
      </c>
    </row>
    <row r="4193">
      <c r="B4193" s="0" t="inlineStr">
        <is>
          <t xml:space="preserve">N0010422PUA83</t>
        </is>
      </c>
      <c r="C4193" s="0" t="inlineStr">
        <is>
          <t xml:space="preserve">small_craft</t>
        </is>
      </c>
      <c r="D4193" s="4">
        <v>0.06376</v>
      </c>
      <c r="E4193" s="0" t="inlineStr">
        <is>
          <t xml:space="preserve">DYNALEC CORPORATION</t>
        </is>
      </c>
      <c r="F4193" s="0" t="inlineStr">
        <is>
          <t xml:space="preserve">naics:336612</t>
        </is>
      </c>
    </row>
    <row r="4194">
      <c r="B4194" s="0" t="inlineStr">
        <is>
          <t xml:space="preserve">N6883622P0227</t>
        </is>
      </c>
      <c r="C4194" s="0" t="inlineStr">
        <is>
          <t xml:space="preserve">broad_maritime</t>
        </is>
      </c>
      <c r="D4194" s="4">
        <v>0.063542</v>
      </c>
      <c r="E4194" s="0" t="inlineStr">
        <is>
          <t xml:space="preserve">CORNELL-CARR CO., INC.</t>
        </is>
      </c>
      <c r="F4194" s="0" t="inlineStr">
        <is>
          <t xml:space="preserve">psc:1905</t>
        </is>
      </c>
    </row>
    <row r="4195">
      <c r="B4195" s="0" t="inlineStr">
        <is>
          <t xml:space="preserve">N0002415C2202</t>
        </is>
      </c>
      <c r="C4195" s="0" t="inlineStr">
        <is>
          <t xml:space="preserve">small_craft</t>
        </is>
      </c>
      <c r="D4195" s="4">
        <v>0.06349515</v>
      </c>
      <c r="E4195" s="0" t="inlineStr">
        <is>
          <t xml:space="preserve">WING INFLATABLES INC</t>
        </is>
      </c>
      <c r="F4195" s="0" t="inlineStr">
        <is>
          <t xml:space="preserve">naics:336612; psc:1940</t>
        </is>
      </c>
    </row>
    <row r="4196">
      <c r="B4196" s="0" t="inlineStr">
        <is>
          <t xml:space="preserve">N0010424FY700</t>
        </is>
      </c>
      <c r="C4196" s="0" t="inlineStr">
        <is>
          <t xml:space="preserve">small_craft</t>
        </is>
      </c>
      <c r="D4196" s="4">
        <v>0.06344799999999999</v>
      </c>
      <c r="E4196" s="0" t="inlineStr">
        <is>
          <t xml:space="preserve">L3 TECHNOLOGIES, INC.</t>
        </is>
      </c>
      <c r="F4196" s="0" t="inlineStr">
        <is>
          <t xml:space="preserve">naics:336612</t>
        </is>
      </c>
    </row>
    <row r="4197">
      <c r="B4197" s="0" t="inlineStr">
        <is>
          <t xml:space="preserve">N0018924P0399</t>
        </is>
      </c>
      <c r="C4197" s="0" t="inlineStr">
        <is>
          <t xml:space="preserve">small_craft</t>
        </is>
      </c>
      <c r="D4197" s="4">
        <v>0.06314616</v>
      </c>
      <c r="E4197" s="0" t="inlineStr">
        <is>
          <t xml:space="preserve">WING INFLATABLES, INC.</t>
        </is>
      </c>
      <c r="F4197" s="0" t="inlineStr">
        <is>
          <t xml:space="preserve">psc:1940</t>
        </is>
      </c>
    </row>
    <row r="4198">
      <c r="B4198" s="0" t="inlineStr">
        <is>
          <t xml:space="preserve">N0010422PJB89</t>
        </is>
      </c>
      <c r="C4198" s="0" t="inlineStr">
        <is>
          <t xml:space="preserve">small_craft</t>
        </is>
      </c>
      <c r="D4198" s="4">
        <v>0.063028</v>
      </c>
      <c r="E4198" s="0" t="inlineStr">
        <is>
          <t xml:space="preserve">AQUA-CHEM, INC.</t>
        </is>
      </c>
      <c r="F4198" s="0" t="inlineStr">
        <is>
          <t xml:space="preserve">naics:336612</t>
        </is>
      </c>
    </row>
    <row r="4199">
      <c r="B4199" s="0" t="inlineStr">
        <is>
          <t xml:space="preserve">N0010424PFB78</t>
        </is>
      </c>
      <c r="C4199" s="0" t="inlineStr">
        <is>
          <t xml:space="preserve">small_craft</t>
        </is>
      </c>
      <c r="D4199" s="4">
        <v>0.06264399999999999</v>
      </c>
      <c r="E4199" s="0" t="inlineStr">
        <is>
          <t xml:space="preserve">TELEDYNE INSTRUMENTS INC</t>
        </is>
      </c>
      <c r="F4199" s="0" t="inlineStr">
        <is>
          <t xml:space="preserve">naics:336612</t>
        </is>
      </c>
    </row>
    <row r="4200">
      <c r="B4200" s="0" t="inlineStr">
        <is>
          <t xml:space="preserve">0008</t>
        </is>
      </c>
      <c r="C4200" s="0" t="inlineStr">
        <is>
          <t xml:space="preserve">other_small</t>
        </is>
      </c>
      <c r="D4200" s="4">
        <v>0.06261087</v>
      </c>
      <c r="E4200" s="0" t="inlineStr">
        <is>
          <t xml:space="preserve">LAKE SHORE SYSTEMS, INC.</t>
        </is>
      </c>
      <c r="F4200" s="0" t="inlineStr">
        <is>
          <t xml:space="preserve">psc:1990</t>
        </is>
      </c>
    </row>
    <row r="4201">
      <c r="B4201" s="0" t="inlineStr">
        <is>
          <t xml:space="preserve">LH50</t>
        </is>
      </c>
      <c r="C4201" s="0" t="inlineStr">
        <is>
          <t xml:space="preserve">other_small</t>
        </is>
      </c>
      <c r="D4201" s="4">
        <v>0.062349999999999996</v>
      </c>
      <c r="E4201" s="0" t="inlineStr">
        <is>
          <t xml:space="preserve">MCALLISTER TOWING AND TRANSPORTATION COMPANY, INC.</t>
        </is>
      </c>
      <c r="F4201" s="0" t="inlineStr">
        <is>
          <t xml:space="preserve">psc:1990</t>
        </is>
      </c>
    </row>
    <row r="4202">
      <c r="B4202" s="0" t="inlineStr">
        <is>
          <t xml:space="preserve">N0010424PLD19</t>
        </is>
      </c>
      <c r="C4202" s="0" t="inlineStr">
        <is>
          <t xml:space="preserve">small_craft</t>
        </is>
      </c>
      <c r="D4202" s="4">
        <v>0.062234</v>
      </c>
      <c r="E4202" s="0" t="inlineStr">
        <is>
          <t xml:space="preserve">KAMPI COMPONENTS CO INC</t>
        </is>
      </c>
      <c r="F4202" s="0" t="inlineStr">
        <is>
          <t xml:space="preserve">naics:336612</t>
        </is>
      </c>
    </row>
    <row r="4203">
      <c r="B4203" s="0" t="inlineStr">
        <is>
          <t xml:space="preserve">N6874223F0933</t>
        </is>
      </c>
      <c r="C4203" s="0" t="inlineStr">
        <is>
          <t xml:space="preserve">small_craft</t>
        </is>
      </c>
      <c r="D4203" s="4">
        <v>0.06218</v>
      </c>
      <c r="E4203" s="0" t="inlineStr">
        <is>
          <t xml:space="preserve">CENTRAL FLORIDA YAMAHA INC</t>
        </is>
      </c>
      <c r="F4203" s="0" t="inlineStr">
        <is>
          <t xml:space="preserve">naics:336612</t>
        </is>
      </c>
    </row>
    <row r="4204">
      <c r="B4204" s="0" t="inlineStr">
        <is>
          <t xml:space="preserve">N6278917F0018</t>
        </is>
      </c>
      <c r="C4204" s="0" t="inlineStr">
        <is>
          <t xml:space="preserve">broad_maritime</t>
        </is>
      </c>
      <c r="D4204" s="4">
        <v>0.062127999999999996</v>
      </c>
      <c r="E4204" s="0" t="inlineStr">
        <is>
          <t xml:space="preserve">ELECTRIC BOAT CORPORATION</t>
        </is>
      </c>
      <c r="F4204" s="0" t="inlineStr">
        <is>
          <t xml:space="preserve">psc:1905</t>
        </is>
      </c>
    </row>
    <row r="4205">
      <c r="B4205" s="0" t="inlineStr">
        <is>
          <t xml:space="preserve">N6883615P1042</t>
        </is>
      </c>
      <c r="C4205" s="0" t="inlineStr">
        <is>
          <t xml:space="preserve">small_craft</t>
        </is>
      </c>
      <c r="D4205" s="4">
        <v>0.062021999999999994</v>
      </c>
      <c r="E4205" s="0" t="inlineStr">
        <is>
          <t xml:space="preserve">WING INFLATABLES INC</t>
        </is>
      </c>
      <c r="F4205" s="0" t="inlineStr">
        <is>
          <t xml:space="preserve">naics:336612</t>
        </is>
      </c>
    </row>
    <row r="4206">
      <c r="B4206" s="0" t="inlineStr">
        <is>
          <t xml:space="preserve">N3220517F0612</t>
        </is>
      </c>
      <c r="C4206" s="0" t="inlineStr">
        <is>
          <t xml:space="preserve">other_small</t>
        </is>
      </c>
      <c r="D4206" s="4">
        <v>0.06130976</v>
      </c>
      <c r="E4206" s="0" t="inlineStr">
        <is>
          <t xml:space="preserve">LAKE SHORE SYSTEMS, INC.</t>
        </is>
      </c>
      <c r="F4206" s="0" t="inlineStr">
        <is>
          <t xml:space="preserve">psc:1990</t>
        </is>
      </c>
    </row>
    <row r="4207">
      <c r="B4207" s="0" t="inlineStr">
        <is>
          <t xml:space="preserve">0005</t>
        </is>
      </c>
      <c r="C4207" s="0" t="inlineStr">
        <is>
          <t xml:space="preserve">small_craft</t>
        </is>
      </c>
      <c r="D4207" s="4">
        <v>0.061147339999999994</v>
      </c>
      <c r="E4207" s="0" t="inlineStr">
        <is>
          <t xml:space="preserve">SAUNDERS ENGINE &amp; EQUIPMENT CO INC</t>
        </is>
      </c>
      <c r="F4207" s="0" t="inlineStr">
        <is>
          <t xml:space="preserve">naics:336612</t>
        </is>
      </c>
    </row>
    <row r="4208">
      <c r="B4208" s="0" t="inlineStr">
        <is>
          <t xml:space="preserve">N4044207P5446</t>
        </is>
      </c>
      <c r="C4208" s="0" t="inlineStr">
        <is>
          <t xml:space="preserve">other_small</t>
        </is>
      </c>
      <c r="D4208" s="4">
        <v>0.060929599999999993</v>
      </c>
      <c r="E4208" s="0" t="inlineStr">
        <is>
          <t xml:space="preserve">CANAM CIRCUIT BREAKER SERVICES INC</t>
        </is>
      </c>
      <c r="F4208" s="0" t="inlineStr">
        <is>
          <t xml:space="preserve">psc:1925</t>
        </is>
      </c>
    </row>
    <row r="4209">
      <c r="B4209" s="0" t="inlineStr">
        <is>
          <t xml:space="preserve">N0018920P0187</t>
        </is>
      </c>
      <c r="C4209" s="0" t="inlineStr">
        <is>
          <t xml:space="preserve">small_craft</t>
        </is>
      </c>
      <c r="D4209" s="4">
        <v>0.060877459999999994</v>
      </c>
      <c r="E4209" s="0" t="inlineStr">
        <is>
          <t xml:space="preserve">WING INFLATABLES INC</t>
        </is>
      </c>
      <c r="F4209" s="0" t="inlineStr">
        <is>
          <t xml:space="preserve">naics:336612</t>
        </is>
      </c>
    </row>
    <row r="4210">
      <c r="B4210" s="0" t="inlineStr">
        <is>
          <t xml:space="preserve">N0018917P1110</t>
        </is>
      </c>
      <c r="C4210" s="0" t="inlineStr">
        <is>
          <t xml:space="preserve">small_craft</t>
        </is>
      </c>
      <c r="D4210" s="4">
        <v>0.06082</v>
      </c>
      <c r="E4210" s="0" t="inlineStr">
        <is>
          <t xml:space="preserve">HUCO BLASTING SERVICES LLC</t>
        </is>
      </c>
      <c r="F4210" s="0" t="inlineStr">
        <is>
          <t xml:space="preserve">naics:336612</t>
        </is>
      </c>
    </row>
    <row r="4211">
      <c r="B4211" s="0" t="inlineStr">
        <is>
          <t xml:space="preserve">N0010423PXB98</t>
        </is>
      </c>
      <c r="C4211" s="0" t="inlineStr">
        <is>
          <t xml:space="preserve">small_craft</t>
        </is>
      </c>
      <c r="D4211" s="4">
        <v>0.060620999999999994</v>
      </c>
      <c r="E4211" s="0" t="inlineStr">
        <is>
          <t xml:space="preserve">DOMESTIC AWARDEES (UNDISCLOSED)</t>
        </is>
      </c>
      <c r="F4211" s="0" t="inlineStr">
        <is>
          <t xml:space="preserve">naics:336612</t>
        </is>
      </c>
    </row>
    <row r="4212">
      <c r="B4212" s="0" t="inlineStr">
        <is>
          <t xml:space="preserve">N3220520P4201</t>
        </is>
      </c>
      <c r="C4212" s="0" t="inlineStr">
        <is>
          <t xml:space="preserve">small_craft</t>
        </is>
      </c>
      <c r="D4212" s="4">
        <v>0.059995</v>
      </c>
      <c r="E4212" s="0" t="inlineStr">
        <is>
          <t xml:space="preserve">DONOVAN MARINE, INC.</t>
        </is>
      </c>
      <c r="F4212" s="0" t="inlineStr">
        <is>
          <t xml:space="preserve">naics:336612</t>
        </is>
      </c>
    </row>
    <row r="4213">
      <c r="B4213" s="0" t="inlineStr">
        <is>
          <t xml:space="preserve">N6600120P6486</t>
        </is>
      </c>
      <c r="C4213" s="0" t="inlineStr">
        <is>
          <t xml:space="preserve">small_craft</t>
        </is>
      </c>
      <c r="D4213" s="4">
        <v>0.059990999999999996</v>
      </c>
      <c r="E4213" s="0" t="inlineStr">
        <is>
          <t xml:space="preserve">WING INFLATABLES INC</t>
        </is>
      </c>
      <c r="F4213" s="0" t="inlineStr">
        <is>
          <t xml:space="preserve">naics:336612</t>
        </is>
      </c>
    </row>
    <row r="4214">
      <c r="B4214" s="0" t="inlineStr">
        <is>
          <t xml:space="preserve">N0040617P1135</t>
        </is>
      </c>
      <c r="C4214" s="0" t="inlineStr">
        <is>
          <t xml:space="preserve">small_craft</t>
        </is>
      </c>
      <c r="D4214" s="4">
        <v>0.059982</v>
      </c>
      <c r="E4214" s="0" t="inlineStr">
        <is>
          <t xml:space="preserve">DURAMAX MARINE, LLC</t>
        </is>
      </c>
      <c r="F4214" s="0" t="inlineStr">
        <is>
          <t xml:space="preserve">naics:336612</t>
        </is>
      </c>
    </row>
    <row r="4215">
      <c r="B4215" s="0" t="inlineStr">
        <is>
          <t xml:space="preserve">0022</t>
        </is>
      </c>
      <c r="C4215" s="0" t="inlineStr">
        <is>
          <t xml:space="preserve">broad_maritime</t>
        </is>
      </c>
      <c r="D4215" s="4">
        <v>0.059909</v>
      </c>
      <c r="E4215" s="0" t="inlineStr">
        <is>
          <t xml:space="preserve">GOODRICH CORPORATION</t>
        </is>
      </c>
      <c r="F4215" s="0" t="inlineStr">
        <is>
          <t xml:space="preserve">psc:1905</t>
        </is>
      </c>
    </row>
    <row r="4216">
      <c r="B4216" s="0" t="inlineStr">
        <is>
          <t xml:space="preserve">N0010423PLE33</t>
        </is>
      </c>
      <c r="C4216" s="0" t="inlineStr">
        <is>
          <t xml:space="preserve">small_craft</t>
        </is>
      </c>
      <c r="D4216" s="4">
        <v>0.059872999999999996</v>
      </c>
      <c r="E4216" s="0" t="inlineStr">
        <is>
          <t xml:space="preserve">PORTLAND VALVE LLC</t>
        </is>
      </c>
      <c r="F4216" s="0" t="inlineStr">
        <is>
          <t xml:space="preserve">naics:336612</t>
        </is>
      </c>
    </row>
    <row r="4217">
      <c r="B4217" s="0" t="inlineStr">
        <is>
          <t xml:space="preserve">N0010424PLE06</t>
        </is>
      </c>
      <c r="C4217" s="0" t="inlineStr">
        <is>
          <t xml:space="preserve">small_craft</t>
        </is>
      </c>
      <c r="D4217" s="4">
        <v>0.05980496</v>
      </c>
      <c r="E4217" s="0" t="inlineStr">
        <is>
          <t xml:space="preserve">STANDARD CALIBRATIONS INC</t>
        </is>
      </c>
      <c r="F4217" s="0" t="inlineStr">
        <is>
          <t xml:space="preserve">naics:336612</t>
        </is>
      </c>
    </row>
    <row r="4218">
      <c r="B4218" s="0" t="inlineStr">
        <is>
          <t xml:space="preserve">N6278920F0008</t>
        </is>
      </c>
      <c r="C4218" s="0" t="inlineStr">
        <is>
          <t xml:space="preserve">broad_maritime</t>
        </is>
      </c>
      <c r="D4218" s="4">
        <v>0.059609999999999996</v>
      </c>
      <c r="E4218" s="0" t="inlineStr">
        <is>
          <t xml:space="preserve">ELECTRIC BOAT CORPORATION</t>
        </is>
      </c>
      <c r="F4218" s="0" t="inlineStr">
        <is>
          <t xml:space="preserve">psc:1905</t>
        </is>
      </c>
    </row>
    <row r="4219">
      <c r="B4219" s="0" t="inlineStr">
        <is>
          <t xml:space="preserve">N0010423PLE59</t>
        </is>
      </c>
      <c r="C4219" s="0" t="inlineStr">
        <is>
          <t xml:space="preserve">small_craft</t>
        </is>
      </c>
      <c r="D4219" s="4">
        <v>0.059449999999999996</v>
      </c>
      <c r="E4219" s="0" t="inlineStr">
        <is>
          <t xml:space="preserve">PETROLAB, L.L.C.</t>
        </is>
      </c>
      <c r="F4219" s="0" t="inlineStr">
        <is>
          <t xml:space="preserve">naics:336612</t>
        </is>
      </c>
    </row>
    <row r="4220">
      <c r="B4220" s="0" t="inlineStr">
        <is>
          <t xml:space="preserve">N3220521P0013</t>
        </is>
      </c>
      <c r="C4220" s="0" t="inlineStr">
        <is>
          <t xml:space="preserve">small_craft</t>
        </is>
      </c>
      <c r="D4220" s="4">
        <v>0.05941</v>
      </c>
      <c r="E4220" s="0" t="inlineStr">
        <is>
          <t xml:space="preserve">PUGET SOUND INFLATABLES, INC.</t>
        </is>
      </c>
      <c r="F4220" s="0" t="inlineStr">
        <is>
          <t xml:space="preserve">naics:336612</t>
        </is>
      </c>
    </row>
    <row r="4221">
      <c r="B4221" s="0" t="inlineStr">
        <is>
          <t xml:space="preserve">N3220520F0110</t>
        </is>
      </c>
      <c r="C4221" s="0" t="inlineStr">
        <is>
          <t xml:space="preserve">other_small</t>
        </is>
      </c>
      <c r="D4221" s="4">
        <v>0.05940515</v>
      </c>
      <c r="E4221" s="0" t="inlineStr">
        <is>
          <t xml:space="preserve">LAKE SHORE SYSTEMS, INC.</t>
        </is>
      </c>
      <c r="F4221" s="0" t="inlineStr">
        <is>
          <t xml:space="preserve">psc:1990</t>
        </is>
      </c>
    </row>
    <row r="4222">
      <c r="B4222" s="0" t="inlineStr">
        <is>
          <t xml:space="preserve">0015</t>
        </is>
      </c>
      <c r="C4222" s="0" t="inlineStr">
        <is>
          <t xml:space="preserve">small_craft</t>
        </is>
      </c>
      <c r="D4222" s="4">
        <v>0.05934287</v>
      </c>
      <c r="E4222" s="0" t="inlineStr">
        <is>
          <t xml:space="preserve">SAUNDERS ENGINE &amp; EQUIPMENT CO INC</t>
        </is>
      </c>
      <c r="F4222" s="0" t="inlineStr">
        <is>
          <t xml:space="preserve">naics:336612</t>
        </is>
      </c>
    </row>
    <row r="4223">
      <c r="B4223" s="0" t="inlineStr">
        <is>
          <t xml:space="preserve">N0040625PS378</t>
        </is>
      </c>
      <c r="C4223" s="0" t="inlineStr">
        <is>
          <t xml:space="preserve">small_craft</t>
        </is>
      </c>
      <c r="D4223" s="4">
        <v>0.059198999999999995</v>
      </c>
      <c r="E4223" s="0" t="inlineStr">
        <is>
          <t xml:space="preserve">FED CREW INC</t>
        </is>
      </c>
      <c r="F4223" s="0" t="inlineStr">
        <is>
          <t xml:space="preserve">psc:1940</t>
        </is>
      </c>
    </row>
    <row r="4224">
      <c r="B4224" s="0" t="inlineStr">
        <is>
          <t xml:space="preserve">N6278923P0027</t>
        </is>
      </c>
      <c r="C4224" s="0" t="inlineStr">
        <is>
          <t xml:space="preserve">small_craft</t>
        </is>
      </c>
      <c r="D4224" s="4">
        <v>0.058926349999999995</v>
      </c>
      <c r="E4224" s="0" t="inlineStr">
        <is>
          <t xml:space="preserve">BOAT WORKS OF SOUTH WINDSOR, INC.</t>
        </is>
      </c>
      <c r="F4224" s="0" t="inlineStr">
        <is>
          <t xml:space="preserve">naics:336612</t>
        </is>
      </c>
    </row>
    <row r="4225">
      <c r="B4225" s="0" t="inlineStr">
        <is>
          <t xml:space="preserve">0020</t>
        </is>
      </c>
      <c r="C4225" s="0" t="inlineStr">
        <is>
          <t xml:space="preserve">broad_maritime</t>
        </is>
      </c>
      <c r="D4225" s="4">
        <v>0.058831999999999995</v>
      </c>
      <c r="E4225" s="0" t="inlineStr">
        <is>
          <t xml:space="preserve">GOODRICH CORPORATION</t>
        </is>
      </c>
      <c r="F4225" s="0" t="inlineStr">
        <is>
          <t xml:space="preserve">psc:1905</t>
        </is>
      </c>
    </row>
    <row r="4226">
      <c r="B4226" s="0" t="inlineStr">
        <is>
          <t xml:space="preserve">N0016719P0284</t>
        </is>
      </c>
      <c r="C4226" s="0" t="inlineStr">
        <is>
          <t xml:space="preserve">small_craft</t>
        </is>
      </c>
      <c r="D4226" s="4">
        <v>0.05871</v>
      </c>
      <c r="E4226" s="0" t="inlineStr">
        <is>
          <t xml:space="preserve">SOUDURE TECHNIK AL 13 INC</t>
        </is>
      </c>
      <c r="F4226" s="0" t="inlineStr">
        <is>
          <t xml:space="preserve">naics:336612</t>
        </is>
      </c>
    </row>
    <row r="4227">
      <c r="B4227" s="0" t="inlineStr">
        <is>
          <t xml:space="preserve">N6893620P0656</t>
        </is>
      </c>
      <c r="C4227" s="0" t="inlineStr">
        <is>
          <t xml:space="preserve">small_craft</t>
        </is>
      </c>
      <c r="D4227" s="4">
        <v>0.058592</v>
      </c>
      <c r="E4227" s="0" t="inlineStr">
        <is>
          <t xml:space="preserve">GOVERNMENT SUPPLY WAREHOUSE CORPORATION</t>
        </is>
      </c>
      <c r="F4227" s="0" t="inlineStr">
        <is>
          <t xml:space="preserve">psc:1940</t>
        </is>
      </c>
    </row>
    <row r="4228">
      <c r="B4228" s="0" t="inlineStr">
        <is>
          <t xml:space="preserve">N0010426PSA89</t>
        </is>
      </c>
      <c r="C4228" s="0" t="inlineStr">
        <is>
          <t xml:space="preserve">small_craft</t>
        </is>
      </c>
      <c r="D4228" s="4">
        <v>0.0584</v>
      </c>
      <c r="E4228" s="0" t="inlineStr">
        <is>
          <t xml:space="preserve">JUNIPER ELBOW CO. INC.</t>
        </is>
      </c>
      <c r="F4228" s="0" t="inlineStr">
        <is>
          <t xml:space="preserve">naics:336612</t>
        </is>
      </c>
    </row>
    <row r="4229">
      <c r="B4229" s="0" t="inlineStr">
        <is>
          <t xml:space="preserve">N0040624P0291</t>
        </is>
      </c>
      <c r="C4229" s="0" t="inlineStr">
        <is>
          <t xml:space="preserve">small_craft</t>
        </is>
      </c>
      <c r="D4229" s="4">
        <v>0.058000249999999996</v>
      </c>
      <c r="E4229" s="0" t="inlineStr">
        <is>
          <t xml:space="preserve">THE ENTWISTLE COMPANY LLC</t>
        </is>
      </c>
      <c r="F4229" s="0" t="inlineStr">
        <is>
          <t xml:space="preserve">naics:336612</t>
        </is>
      </c>
    </row>
    <row r="4230">
      <c r="B4230" s="0" t="inlineStr">
        <is>
          <t xml:space="preserve">N6883625PS004</t>
        </is>
      </c>
      <c r="C4230" s="0" t="inlineStr">
        <is>
          <t xml:space="preserve">small_craft</t>
        </is>
      </c>
      <c r="D4230" s="4">
        <v>0.057999999999999996</v>
      </c>
      <c r="E4230" s="0" t="inlineStr">
        <is>
          <t xml:space="preserve">ROLLS-ROYCE MARINE NORTH AMERICA INC.</t>
        </is>
      </c>
      <c r="F4230" s="0" t="inlineStr">
        <is>
          <t xml:space="preserve">naics:336612</t>
        </is>
      </c>
    </row>
    <row r="4231">
      <c r="B4231" s="0" t="inlineStr">
        <is>
          <t xml:space="preserve">N0010423PLE56</t>
        </is>
      </c>
      <c r="C4231" s="0" t="inlineStr">
        <is>
          <t xml:space="preserve">small_craft</t>
        </is>
      </c>
      <c r="D4231" s="4">
        <v>0.057999999999999996</v>
      </c>
      <c r="E4231" s="0" t="inlineStr">
        <is>
          <t xml:space="preserve">EATON CORPORATION</t>
        </is>
      </c>
      <c r="F4231" s="0" t="inlineStr">
        <is>
          <t xml:space="preserve">naics:336612</t>
        </is>
      </c>
    </row>
    <row r="4232">
      <c r="B4232" s="0" t="inlineStr">
        <is>
          <t xml:space="preserve">N0010423PCA12</t>
        </is>
      </c>
      <c r="C4232" s="0" t="inlineStr">
        <is>
          <t xml:space="preserve">small_craft</t>
        </is>
      </c>
      <c r="D4232" s="4">
        <v>0.05778501</v>
      </c>
      <c r="E4232" s="0" t="inlineStr">
        <is>
          <t xml:space="preserve">JERED LLC</t>
        </is>
      </c>
      <c r="F4232" s="0" t="inlineStr">
        <is>
          <t xml:space="preserve">naics:336612</t>
        </is>
      </c>
    </row>
    <row r="4233">
      <c r="B4233" s="0" t="inlineStr">
        <is>
          <t xml:space="preserve">1010</t>
        </is>
      </c>
      <c r="C4233" s="0" t="inlineStr">
        <is>
          <t xml:space="preserve">small_craft</t>
        </is>
      </c>
      <c r="D4233" s="4">
        <v>0.057718149999999996</v>
      </c>
      <c r="E4233" s="0" t="inlineStr">
        <is>
          <t xml:space="preserve">WING INFLATABLES INC</t>
        </is>
      </c>
      <c r="F4233" s="0" t="inlineStr">
        <is>
          <t xml:space="preserve">naics:336612; psc:1940</t>
        </is>
      </c>
    </row>
    <row r="4234">
      <c r="B4234" s="0" t="inlineStr">
        <is>
          <t xml:space="preserve">N3220518P1008</t>
        </is>
      </c>
      <c r="C4234" s="0" t="inlineStr">
        <is>
          <t xml:space="preserve">small_craft</t>
        </is>
      </c>
      <c r="D4234" s="4">
        <v>0.05701219999999999</v>
      </c>
      <c r="E4234" s="0" t="inlineStr">
        <is>
          <t xml:space="preserve">FASSMER SERVICE AMERICA LLC</t>
        </is>
      </c>
      <c r="F4234" s="0" t="inlineStr">
        <is>
          <t xml:space="preserve">naics:336612</t>
        </is>
      </c>
    </row>
    <row r="4235">
      <c r="B4235" s="0" t="inlineStr">
        <is>
          <t xml:space="preserve">N0040621P0177</t>
        </is>
      </c>
      <c r="C4235" s="0" t="inlineStr">
        <is>
          <t xml:space="preserve">small_craft</t>
        </is>
      </c>
      <c r="D4235" s="4">
        <v>0.05676</v>
      </c>
      <c r="E4235" s="0" t="inlineStr">
        <is>
          <t xml:space="preserve">BRIGHT LIGHTS USA, INC</t>
        </is>
      </c>
      <c r="F4235" s="0" t="inlineStr">
        <is>
          <t xml:space="preserve">naics:336612</t>
        </is>
      </c>
    </row>
    <row r="4236">
      <c r="B4236" s="0" t="inlineStr">
        <is>
          <t xml:space="preserve">0061</t>
        </is>
      </c>
      <c r="C4236" s="0" t="inlineStr">
        <is>
          <t xml:space="preserve">broad_maritime</t>
        </is>
      </c>
      <c r="D4236" s="4">
        <v>0.056722999999999996</v>
      </c>
      <c r="E4236" s="0" t="inlineStr">
        <is>
          <t xml:space="preserve">ELECTRIC BOAT CORPORATION</t>
        </is>
      </c>
      <c r="F4236" s="0" t="inlineStr">
        <is>
          <t xml:space="preserve">psc:1905</t>
        </is>
      </c>
    </row>
    <row r="4237">
      <c r="B4237" s="0" t="inlineStr">
        <is>
          <t xml:space="preserve">N0042116P0584</t>
        </is>
      </c>
      <c r="C4237" s="0" t="inlineStr">
        <is>
          <t xml:space="preserve">small_craft</t>
        </is>
      </c>
      <c r="D4237" s="4">
        <v>0.056718</v>
      </c>
      <c r="E4237" s="0" t="inlineStr">
        <is>
          <t xml:space="preserve">CENTRAL FLORIDA YAMAHA INC</t>
        </is>
      </c>
      <c r="F4237" s="0" t="inlineStr">
        <is>
          <t xml:space="preserve">naics:336612</t>
        </is>
      </c>
    </row>
    <row r="4238">
      <c r="B4238" s="0" t="inlineStr">
        <is>
          <t xml:space="preserve">N0010421PXC18</t>
        </is>
      </c>
      <c r="C4238" s="0" t="inlineStr">
        <is>
          <t xml:space="preserve">small_craft</t>
        </is>
      </c>
      <c r="D4238" s="4">
        <v>0.05665</v>
      </c>
      <c r="E4238" s="0" t="inlineStr">
        <is>
          <t xml:space="preserve">NEWVAC, LLC</t>
        </is>
      </c>
      <c r="F4238" s="0" t="inlineStr">
        <is>
          <t xml:space="preserve">naics:336612</t>
        </is>
      </c>
    </row>
    <row r="4239">
      <c r="B4239" s="0" t="inlineStr">
        <is>
          <t xml:space="preserve">N3220517P4726</t>
        </is>
      </c>
      <c r="C4239" s="0" t="inlineStr">
        <is>
          <t xml:space="preserve">small_craft</t>
        </is>
      </c>
      <c r="D4239" s="4">
        <v>0.05654019999999999</v>
      </c>
      <c r="E4239" s="0" t="inlineStr">
        <is>
          <t xml:space="preserve">FASSMER SERVICE AMERICA LLC</t>
        </is>
      </c>
      <c r="F4239" s="0" t="inlineStr">
        <is>
          <t xml:space="preserve">naics:336612</t>
        </is>
      </c>
    </row>
    <row r="4240">
      <c r="B4240" s="0" t="inlineStr">
        <is>
          <t xml:space="preserve">N6146320FLH08</t>
        </is>
      </c>
      <c r="C4240" s="0" t="inlineStr">
        <is>
          <t xml:space="preserve">other_small</t>
        </is>
      </c>
      <c r="D4240" s="4">
        <v>0.056088</v>
      </c>
      <c r="E4240" s="0" t="inlineStr">
        <is>
          <t xml:space="preserve">MCALLISTER TOWING AND TRANSPORTATION COMPANY, INC.</t>
        </is>
      </c>
      <c r="F4240" s="0" t="inlineStr">
        <is>
          <t xml:space="preserve">psc:1990</t>
        </is>
      </c>
    </row>
    <row r="4241">
      <c r="B4241" s="0" t="inlineStr">
        <is>
          <t xml:space="preserve">0012</t>
        </is>
      </c>
      <c r="C4241" s="0" t="inlineStr">
        <is>
          <t xml:space="preserve">small_craft</t>
        </is>
      </c>
      <c r="D4241" s="4">
        <v>0.05591325</v>
      </c>
      <c r="E4241" s="0" t="inlineStr">
        <is>
          <t xml:space="preserve">SAUNDERS ENGINE &amp; EQUIPMENT CO INC</t>
        </is>
      </c>
      <c r="F4241" s="0" t="inlineStr">
        <is>
          <t xml:space="preserve">naics:336612</t>
        </is>
      </c>
    </row>
    <row r="4242">
      <c r="B4242" s="0" t="inlineStr">
        <is>
          <t xml:space="preserve">0023</t>
        </is>
      </c>
      <c r="C4242" s="0" t="inlineStr">
        <is>
          <t xml:space="preserve">small_craft</t>
        </is>
      </c>
      <c r="D4242" s="4">
        <v>0.05575</v>
      </c>
      <c r="E4242" s="0" t="inlineStr">
        <is>
          <t xml:space="preserve">SAUNDERS ENGINE &amp; EQUIPMENT CO INC</t>
        </is>
      </c>
      <c r="F4242" s="0" t="inlineStr">
        <is>
          <t xml:space="preserve">naics:336612</t>
        </is>
      </c>
    </row>
    <row r="4243">
      <c r="B4243" s="0" t="inlineStr">
        <is>
          <t xml:space="preserve">N0018923P0734</t>
        </is>
      </c>
      <c r="C4243" s="0" t="inlineStr">
        <is>
          <t xml:space="preserve">other_small</t>
        </is>
      </c>
      <c r="D4243" s="4">
        <v>0.0557</v>
      </c>
      <c r="E4243" s="0" t="inlineStr">
        <is>
          <t xml:space="preserve">C W LAWLEY, INCORPORATED</t>
        </is>
      </c>
      <c r="F4243" s="0" t="inlineStr">
        <is>
          <t xml:space="preserve">psc:1990</t>
        </is>
      </c>
    </row>
    <row r="4244">
      <c r="B4244" s="0" t="inlineStr">
        <is>
          <t xml:space="preserve">N4044207P5341</t>
        </is>
      </c>
      <c r="C4244" s="0" t="inlineStr">
        <is>
          <t xml:space="preserve">other_small</t>
        </is>
      </c>
      <c r="D4244" s="4">
        <v>0.05563939</v>
      </c>
      <c r="E4244" s="0" t="inlineStr">
        <is>
          <t xml:space="preserve">MACKAY COMMUNICATIONS, INC</t>
        </is>
      </c>
      <c r="F4244" s="0" t="inlineStr">
        <is>
          <t xml:space="preserve">psc:1925</t>
        </is>
      </c>
    </row>
    <row r="4245">
      <c r="B4245" s="0" t="inlineStr">
        <is>
          <t xml:space="preserve">N6893625P5246</t>
        </is>
      </c>
      <c r="C4245" s="0" t="inlineStr">
        <is>
          <t xml:space="preserve">small_craft</t>
        </is>
      </c>
      <c r="D4245" s="4">
        <v>0.055118999999999994</v>
      </c>
      <c r="E4245" s="0" t="inlineStr">
        <is>
          <t xml:space="preserve">MANO LLC</t>
        </is>
      </c>
      <c r="F4245" s="0" t="inlineStr">
        <is>
          <t xml:space="preserve">naics:336612</t>
        </is>
      </c>
    </row>
    <row r="4246">
      <c r="B4246" s="0" t="inlineStr">
        <is>
          <t xml:space="preserve">N0040622P0290</t>
        </is>
      </c>
      <c r="C4246" s="0" t="inlineStr">
        <is>
          <t xml:space="preserve">small_craft</t>
        </is>
      </c>
      <c r="D4246" s="4">
        <v>0.055099999999999996</v>
      </c>
      <c r="E4246" s="0" t="inlineStr">
        <is>
          <t xml:space="preserve">CORNELL-CARR CO., INC.</t>
        </is>
      </c>
      <c r="F4246" s="0" t="inlineStr">
        <is>
          <t xml:space="preserve">naics:336612</t>
        </is>
      </c>
    </row>
    <row r="4247">
      <c r="B4247" s="0" t="inlineStr">
        <is>
          <t xml:space="preserve">N0010421PDE15</t>
        </is>
      </c>
      <c r="C4247" s="0" t="inlineStr">
        <is>
          <t xml:space="preserve">small_craft</t>
        </is>
      </c>
      <c r="D4247" s="4">
        <v>0.055099999999999996</v>
      </c>
      <c r="E4247" s="0" t="inlineStr">
        <is>
          <t xml:space="preserve">L3 TECHNOLOGIES, INC.</t>
        </is>
      </c>
      <c r="F4247" s="0" t="inlineStr">
        <is>
          <t xml:space="preserve">naics:336612</t>
        </is>
      </c>
    </row>
    <row r="4248">
      <c r="B4248" s="0" t="inlineStr">
        <is>
          <t xml:space="preserve">N3220520F0073</t>
        </is>
      </c>
      <c r="C4248" s="0" t="inlineStr">
        <is>
          <t xml:space="preserve">other_small</t>
        </is>
      </c>
      <c r="D4248" s="4">
        <v>0.054709959999999995</v>
      </c>
      <c r="E4248" s="0" t="inlineStr">
        <is>
          <t xml:space="preserve">LAKE SHORE SYSTEMS, INC.</t>
        </is>
      </c>
      <c r="F4248" s="0" t="inlineStr">
        <is>
          <t xml:space="preserve">psc:1990</t>
        </is>
      </c>
    </row>
    <row r="4249">
      <c r="B4249" s="0" t="inlineStr">
        <is>
          <t xml:space="preserve">N0018923P0627</t>
        </is>
      </c>
      <c r="C4249" s="0" t="inlineStr">
        <is>
          <t xml:space="preserve">small_craft</t>
        </is>
      </c>
      <c r="D4249" s="4">
        <v>0.0546896</v>
      </c>
      <c r="E4249" s="0" t="inlineStr">
        <is>
          <t xml:space="preserve">ARGONAUT INFLATABLE RESEARCH AND ENGINEERING, INC.</t>
        </is>
      </c>
      <c r="F4249" s="0" t="inlineStr">
        <is>
          <t xml:space="preserve">naics:336612; psc:1940</t>
        </is>
      </c>
    </row>
    <row r="4250">
      <c r="B4250" s="0" t="inlineStr">
        <is>
          <t xml:space="preserve">N6470922P0029</t>
        </is>
      </c>
      <c r="C4250" s="0" t="inlineStr">
        <is>
          <t xml:space="preserve">small_craft</t>
        </is>
      </c>
      <c r="D4250" s="4">
        <v>0.05453604</v>
      </c>
      <c r="E4250" s="0" t="inlineStr">
        <is>
          <t xml:space="preserve">SAFE BOATS INTERNATIONAL LLC</t>
        </is>
      </c>
      <c r="F4250" s="0" t="inlineStr">
        <is>
          <t xml:space="preserve">naics:336612; psc:1925</t>
        </is>
      </c>
    </row>
    <row r="4251">
      <c r="B4251" s="0" t="inlineStr">
        <is>
          <t xml:space="preserve">N3220520F2261</t>
        </is>
      </c>
      <c r="C4251" s="0" t="inlineStr">
        <is>
          <t xml:space="preserve">other_small</t>
        </is>
      </c>
      <c r="D4251" s="4">
        <v>0.0545</v>
      </c>
      <c r="E4251" s="0" t="inlineStr">
        <is>
          <t xml:space="preserve">LAKE SHORE SYSTEMS, INC.</t>
        </is>
      </c>
      <c r="F4251" s="0" t="inlineStr">
        <is>
          <t xml:space="preserve">psc:1990</t>
        </is>
      </c>
    </row>
    <row r="4252">
      <c r="B4252" s="0" t="inlineStr">
        <is>
          <t xml:space="preserve">N0040622P0210</t>
        </is>
      </c>
      <c r="C4252" s="0" t="inlineStr">
        <is>
          <t xml:space="preserve">broad_maritime</t>
        </is>
      </c>
      <c r="D4252" s="4">
        <v>0.054472</v>
      </c>
      <c r="E4252" s="0" t="inlineStr">
        <is>
          <t xml:space="preserve">AUSTAL USA, LLC</t>
        </is>
      </c>
      <c r="F4252" s="0" t="inlineStr">
        <is>
          <t xml:space="preserve">psc:1905</t>
        </is>
      </c>
    </row>
    <row r="4253">
      <c r="B4253" s="0" t="inlineStr">
        <is>
          <t xml:space="preserve">N0010423FY706</t>
        </is>
      </c>
      <c r="C4253" s="0" t="inlineStr">
        <is>
          <t xml:space="preserve">small_craft</t>
        </is>
      </c>
      <c r="D4253" s="4">
        <v>0.05409</v>
      </c>
      <c r="E4253" s="0" t="inlineStr">
        <is>
          <t xml:space="preserve">L3 TECHNOLOGIES, INC.</t>
        </is>
      </c>
      <c r="F4253" s="0" t="inlineStr">
        <is>
          <t xml:space="preserve">naics:336612</t>
        </is>
      </c>
    </row>
    <row r="4254">
      <c r="B4254" s="0" t="inlineStr">
        <is>
          <t xml:space="preserve">N0040622P0674</t>
        </is>
      </c>
      <c r="C4254" s="0" t="inlineStr">
        <is>
          <t xml:space="preserve">small_craft</t>
        </is>
      </c>
      <c r="D4254" s="4">
        <v>0.05395</v>
      </c>
      <c r="E4254" s="0" t="inlineStr">
        <is>
          <t xml:space="preserve">PIER SIDE SUPPLY INC</t>
        </is>
      </c>
      <c r="F4254" s="0" t="inlineStr">
        <is>
          <t xml:space="preserve">naics:336612</t>
        </is>
      </c>
    </row>
    <row r="4255">
      <c r="B4255" s="0" t="inlineStr">
        <is>
          <t xml:space="preserve">N4044207P5526</t>
        </is>
      </c>
      <c r="C4255" s="0" t="inlineStr">
        <is>
          <t xml:space="preserve">small_craft</t>
        </is>
      </c>
      <c r="D4255" s="4">
        <v>0.053926709999999996</v>
      </c>
      <c r="E4255" s="0" t="inlineStr">
        <is>
          <t xml:space="preserve">PALFINGER MARINE USA, LLC</t>
        </is>
      </c>
      <c r="F4255" s="0" t="inlineStr">
        <is>
          <t xml:space="preserve">naics:336612; psc:1925</t>
        </is>
      </c>
    </row>
    <row r="4256">
      <c r="B4256" s="0" t="inlineStr">
        <is>
          <t xml:space="preserve">N0040618P1771</t>
        </is>
      </c>
      <c r="C4256" s="0" t="inlineStr">
        <is>
          <t xml:space="preserve">small_craft</t>
        </is>
      </c>
      <c r="D4256" s="4">
        <v>0.0538</v>
      </c>
      <c r="E4256" s="0" t="inlineStr">
        <is>
          <t xml:space="preserve">RAILWAY SPECIALTIES CORP</t>
        </is>
      </c>
      <c r="F4256" s="0" t="inlineStr">
        <is>
          <t xml:space="preserve">naics:336612</t>
        </is>
      </c>
    </row>
    <row r="4257">
      <c r="B4257" s="0" t="inlineStr">
        <is>
          <t xml:space="preserve">N0010424PBB76</t>
        </is>
      </c>
      <c r="C4257" s="0" t="inlineStr">
        <is>
          <t xml:space="preserve">small_craft</t>
        </is>
      </c>
      <c r="D4257" s="4">
        <v>0.053436</v>
      </c>
      <c r="E4257" s="0" t="inlineStr">
        <is>
          <t xml:space="preserve">OKLAHOMA SAFETY EQUIPMENT CO INC</t>
        </is>
      </c>
      <c r="F4257" s="0" t="inlineStr">
        <is>
          <t xml:space="preserve">naics:336612</t>
        </is>
      </c>
    </row>
    <row r="4258">
      <c r="B4258" s="0" t="inlineStr">
        <is>
          <t xml:space="preserve">N5005420P0193</t>
        </is>
      </c>
      <c r="C4258" s="0" t="inlineStr">
        <is>
          <t xml:space="preserve">broad_maritime</t>
        </is>
      </c>
      <c r="D4258" s="4">
        <v>0.05313734999999999</v>
      </c>
      <c r="E4258" s="0" t="inlineStr">
        <is>
          <t xml:space="preserve">LAKE SHORE SYSTEMS, INC.</t>
        </is>
      </c>
      <c r="F4258" s="0" t="inlineStr">
        <is>
          <t xml:space="preserve">psc:1905</t>
        </is>
      </c>
    </row>
    <row r="4259">
      <c r="B4259" s="0" t="inlineStr">
        <is>
          <t xml:space="preserve">N0003924F1003</t>
        </is>
      </c>
      <c r="C4259" s="0" t="inlineStr">
        <is>
          <t xml:space="preserve">small_craft</t>
        </is>
      </c>
      <c r="D4259" s="4">
        <v>0.052934699999999994</v>
      </c>
      <c r="E4259" s="0" t="inlineStr">
        <is>
          <t xml:space="preserve">TELEDYNE BROWN ENGINEERING, INC.</t>
        </is>
      </c>
      <c r="F4259" s="0" t="inlineStr">
        <is>
          <t xml:space="preserve">psc:1940</t>
        </is>
      </c>
    </row>
    <row r="4260">
      <c r="B4260" s="0" t="inlineStr">
        <is>
          <t xml:space="preserve">0012</t>
        </is>
      </c>
      <c r="C4260" s="0" t="inlineStr">
        <is>
          <t xml:space="preserve">other_small</t>
        </is>
      </c>
      <c r="D4260" s="4">
        <v>0.052919</v>
      </c>
      <c r="E4260" s="0" t="inlineStr">
        <is>
          <t xml:space="preserve">LOCKHEED MARTIN CORPORATION</t>
        </is>
      </c>
      <c r="F4260" s="0" t="inlineStr">
        <is>
          <t xml:space="preserve">psc:1990</t>
        </is>
      </c>
    </row>
    <row r="4261">
      <c r="B4261" s="0" t="inlineStr">
        <is>
          <t xml:space="preserve">0003</t>
        </is>
      </c>
      <c r="C4261" s="0" t="inlineStr">
        <is>
          <t xml:space="preserve">other_small</t>
        </is>
      </c>
      <c r="D4261" s="4">
        <v>0.052258309999999995</v>
      </c>
      <c r="E4261" s="0" t="inlineStr">
        <is>
          <t xml:space="preserve">NATIONAL STEEL AND SHIPBUILDING COMPANY</t>
        </is>
      </c>
      <c r="F4261" s="0" t="inlineStr">
        <is>
          <t xml:space="preserve">psc:1990</t>
        </is>
      </c>
    </row>
    <row r="4262">
      <c r="B4262" s="0" t="inlineStr">
        <is>
          <t xml:space="preserve">N0010421PND56</t>
        </is>
      </c>
      <c r="C4262" s="0" t="inlineStr">
        <is>
          <t xml:space="preserve">small_craft</t>
        </is>
      </c>
      <c r="D4262" s="4">
        <v>0.052252</v>
      </c>
      <c r="E4262" s="0" t="inlineStr">
        <is>
          <t xml:space="preserve">CORNET TECHNOLOGY, INC.</t>
        </is>
      </c>
      <c r="F4262" s="0" t="inlineStr">
        <is>
          <t xml:space="preserve">naics:336612</t>
        </is>
      </c>
    </row>
    <row r="4263">
      <c r="B4263" s="0" t="inlineStr">
        <is>
          <t xml:space="preserve">N6600116P7039</t>
        </is>
      </c>
      <c r="C4263" s="0" t="inlineStr">
        <is>
          <t xml:space="preserve">small_craft</t>
        </is>
      </c>
      <c r="D4263" s="4">
        <v>0.051649999999999995</v>
      </c>
      <c r="E4263" s="0" t="inlineStr">
        <is>
          <t xml:space="preserve">WELLER RECREATION, INC</t>
        </is>
      </c>
      <c r="F4263" s="0" t="inlineStr">
        <is>
          <t xml:space="preserve">psc:1940</t>
        </is>
      </c>
    </row>
    <row r="4264">
      <c r="B4264" s="0" t="inlineStr">
        <is>
          <t xml:space="preserve">N6133116P0017</t>
        </is>
      </c>
      <c r="C4264" s="0" t="inlineStr">
        <is>
          <t xml:space="preserve">other_small</t>
        </is>
      </c>
      <c r="D4264" s="4">
        <v>0.051484550000000004</v>
      </c>
      <c r="E4264" s="0" t="inlineStr">
        <is>
          <t xml:space="preserve">HOWLAND MACHINE CORP</t>
        </is>
      </c>
      <c r="F4264" s="0" t="inlineStr">
        <is>
          <t xml:space="preserve">psc:1990</t>
        </is>
      </c>
    </row>
    <row r="4265">
      <c r="B4265" s="0" t="inlineStr">
        <is>
          <t xml:space="preserve">0009</t>
        </is>
      </c>
      <c r="C4265" s="0" t="inlineStr">
        <is>
          <t xml:space="preserve">small_craft</t>
        </is>
      </c>
      <c r="D4265" s="4">
        <v>0.05135284</v>
      </c>
      <c r="E4265" s="0" t="inlineStr">
        <is>
          <t xml:space="preserve">SAUNDERS ENGINE &amp; EQUIPMENT CO INC</t>
        </is>
      </c>
      <c r="F4265" s="0" t="inlineStr">
        <is>
          <t xml:space="preserve">naics:336612</t>
        </is>
      </c>
    </row>
    <row r="4266">
      <c r="B4266" s="0" t="inlineStr">
        <is>
          <t xml:space="preserve">N0010421PBW93</t>
        </is>
      </c>
      <c r="C4266" s="0" t="inlineStr">
        <is>
          <t xml:space="preserve">small_craft</t>
        </is>
      </c>
      <c r="D4266" s="4">
        <v>0.050787</v>
      </c>
      <c r="E4266" s="0" t="inlineStr">
        <is>
          <t xml:space="preserve">FLUIDYNE CORPORATION</t>
        </is>
      </c>
      <c r="F4266" s="0" t="inlineStr">
        <is>
          <t xml:space="preserve">naics:336612</t>
        </is>
      </c>
    </row>
    <row r="4267">
      <c r="B4267" s="0" t="inlineStr">
        <is>
          <t xml:space="preserve">N0018919P0464</t>
        </is>
      </c>
      <c r="C4267" s="0" t="inlineStr">
        <is>
          <t xml:space="preserve">small_craft</t>
        </is>
      </c>
      <c r="D4267" s="4">
        <v>0.050565</v>
      </c>
      <c r="E4267" s="0" t="inlineStr">
        <is>
          <t xml:space="preserve">SAFE BOATS INTERNATIONAL LLC</t>
        </is>
      </c>
      <c r="F4267" s="0" t="inlineStr">
        <is>
          <t xml:space="preserve">naics:336612</t>
        </is>
      </c>
    </row>
    <row r="4268">
      <c r="B4268" s="0" t="inlineStr">
        <is>
          <t xml:space="preserve">N5523622F9954</t>
        </is>
      </c>
      <c r="C4268" s="0" t="inlineStr">
        <is>
          <t xml:space="preserve">broad_maritime</t>
        </is>
      </c>
      <c r="D4268" s="4">
        <v>0.050451949999999995</v>
      </c>
      <c r="E4268" s="0" t="inlineStr">
        <is>
          <t xml:space="preserve">HII FLEET SUPPORT GROUP LLC</t>
        </is>
      </c>
      <c r="F4268" s="0" t="inlineStr">
        <is>
          <t xml:space="preserve">psc:1905</t>
        </is>
      </c>
    </row>
    <row r="4269">
      <c r="B4269" s="0" t="inlineStr">
        <is>
          <t xml:space="preserve">0041</t>
        </is>
      </c>
      <c r="C4269" s="0" t="inlineStr">
        <is>
          <t xml:space="preserve">broad_maritime</t>
        </is>
      </c>
      <c r="D4269" s="4">
        <v>0.049762</v>
      </c>
      <c r="E4269" s="0" t="inlineStr">
        <is>
          <t xml:space="preserve">ELECTRIC BOAT CORPORATION</t>
        </is>
      </c>
      <c r="F4269" s="0" t="inlineStr">
        <is>
          <t xml:space="preserve">psc:1905</t>
        </is>
      </c>
    </row>
    <row r="4270">
      <c r="B4270" s="0" t="inlineStr">
        <is>
          <t xml:space="preserve">N0040619P0088</t>
        </is>
      </c>
      <c r="C4270" s="0" t="inlineStr">
        <is>
          <t xml:space="preserve">small_craft</t>
        </is>
      </c>
      <c r="D4270" s="4">
        <v>0.049499999999999995</v>
      </c>
      <c r="E4270" s="0" t="inlineStr">
        <is>
          <t xml:space="preserve">WASHINGTON CHAIN &amp; SUPPLY, INC.</t>
        </is>
      </c>
      <c r="F4270" s="0" t="inlineStr">
        <is>
          <t xml:space="preserve">naics:336612</t>
        </is>
      </c>
    </row>
    <row r="4271">
      <c r="B4271" s="0" t="inlineStr">
        <is>
          <t xml:space="preserve">N3220517P4276</t>
        </is>
      </c>
      <c r="C4271" s="0" t="inlineStr">
        <is>
          <t xml:space="preserve">small_craft</t>
        </is>
      </c>
      <c r="D4271" s="4">
        <v>0.0491907</v>
      </c>
      <c r="E4271" s="0" t="inlineStr">
        <is>
          <t xml:space="preserve">FASSMER SERVICE AMERICA LLC</t>
        </is>
      </c>
      <c r="F4271" s="0" t="inlineStr">
        <is>
          <t xml:space="preserve">naics:336612</t>
        </is>
      </c>
    </row>
    <row r="4272">
      <c r="B4272" s="0" t="inlineStr">
        <is>
          <t xml:space="preserve">0052</t>
        </is>
      </c>
      <c r="C4272" s="0" t="inlineStr">
        <is>
          <t xml:space="preserve">broad_maritime</t>
        </is>
      </c>
      <c r="D4272" s="4">
        <v>0.048743999999999996</v>
      </c>
      <c r="E4272" s="0" t="inlineStr">
        <is>
          <t xml:space="preserve">ELECTRIC BOAT CORPORATION</t>
        </is>
      </c>
      <c r="F4272" s="0" t="inlineStr">
        <is>
          <t xml:space="preserve">psc:1905</t>
        </is>
      </c>
    </row>
    <row r="4273">
      <c r="B4273" s="0" t="inlineStr">
        <is>
          <t xml:space="preserve">N6264915P0287</t>
        </is>
      </c>
      <c r="C4273" s="0" t="inlineStr">
        <is>
          <t xml:space="preserve">small_craft</t>
        </is>
      </c>
      <c r="D4273" s="4">
        <v>0.04872087</v>
      </c>
      <c r="E4273" s="0" t="inlineStr">
        <is>
          <t xml:space="preserve">YOKOHAMA TSUSHO CO., LTD.</t>
        </is>
      </c>
      <c r="F4273" s="0" t="inlineStr">
        <is>
          <t xml:space="preserve">naics:336612</t>
        </is>
      </c>
    </row>
    <row r="4274">
      <c r="B4274" s="0" t="inlineStr">
        <is>
          <t xml:space="preserve">N6600116P6413</t>
        </is>
      </c>
      <c r="C4274" s="0" t="inlineStr">
        <is>
          <t xml:space="preserve">small_craft</t>
        </is>
      </c>
      <c r="D4274" s="4">
        <v>0.04868857</v>
      </c>
      <c r="E4274" s="0" t="inlineStr">
        <is>
          <t xml:space="preserve">LIQUID ROBOTICS, INC.</t>
        </is>
      </c>
      <c r="F4274" s="0" t="inlineStr">
        <is>
          <t xml:space="preserve">naics:336612</t>
        </is>
      </c>
    </row>
    <row r="4275">
      <c r="B4275" s="0" t="inlineStr">
        <is>
          <t xml:space="preserve">N0010421PNC05</t>
        </is>
      </c>
      <c r="C4275" s="0" t="inlineStr">
        <is>
          <t xml:space="preserve">small_craft</t>
        </is>
      </c>
      <c r="D4275" s="4">
        <v>0.0486628</v>
      </c>
      <c r="E4275" s="0" t="inlineStr">
        <is>
          <t xml:space="preserve">LAUREL TECHNOLOGIES PARTNERSHIP</t>
        </is>
      </c>
      <c r="F4275" s="0" t="inlineStr">
        <is>
          <t xml:space="preserve">naics:336612</t>
        </is>
      </c>
    </row>
    <row r="4276">
      <c r="B4276" s="0" t="inlineStr">
        <is>
          <t xml:space="preserve">N6893616F0392</t>
        </is>
      </c>
      <c r="C4276" s="0" t="inlineStr">
        <is>
          <t xml:space="preserve">small_craft</t>
        </is>
      </c>
      <c r="D4276" s="4">
        <v>0.048586</v>
      </c>
      <c r="E4276" s="0" t="inlineStr">
        <is>
          <t xml:space="preserve">BRP US INC</t>
        </is>
      </c>
      <c r="F4276" s="0" t="inlineStr">
        <is>
          <t xml:space="preserve">psc:1940</t>
        </is>
      </c>
    </row>
    <row r="4277">
      <c r="B4277" s="0" t="inlineStr">
        <is>
          <t xml:space="preserve">N6893625P5278</t>
        </is>
      </c>
      <c r="C4277" s="0" t="inlineStr">
        <is>
          <t xml:space="preserve">small_craft</t>
        </is>
      </c>
      <c r="D4277" s="4">
        <v>0.048545</v>
      </c>
      <c r="E4277" s="0" t="inlineStr">
        <is>
          <t xml:space="preserve">ANDERSON CUSTOM BOATS, LLC</t>
        </is>
      </c>
      <c r="F4277" s="0" t="inlineStr">
        <is>
          <t xml:space="preserve">naics:336612</t>
        </is>
      </c>
    </row>
    <row r="4278">
      <c r="B4278" s="0" t="inlineStr">
        <is>
          <t xml:space="preserve">N0010422PLD52</t>
        </is>
      </c>
      <c r="C4278" s="0" t="inlineStr">
        <is>
          <t xml:space="preserve">small_craft</t>
        </is>
      </c>
      <c r="D4278" s="4">
        <v>0.048419239999999995</v>
      </c>
      <c r="E4278" s="0" t="inlineStr">
        <is>
          <t xml:space="preserve">GLOBAL INCORPORATED</t>
        </is>
      </c>
      <c r="F4278" s="0" t="inlineStr">
        <is>
          <t xml:space="preserve">naics:336612</t>
        </is>
      </c>
    </row>
    <row r="4279">
      <c r="B4279" s="0" t="inlineStr">
        <is>
          <t xml:space="preserve">N0010417PEC59</t>
        </is>
      </c>
      <c r="C4279" s="0" t="inlineStr">
        <is>
          <t xml:space="preserve">small_craft</t>
        </is>
      </c>
      <c r="D4279" s="4">
        <v>0.048334999999999996</v>
      </c>
      <c r="E4279" s="0" t="inlineStr">
        <is>
          <t xml:space="preserve">III WILLIAMS LLC</t>
        </is>
      </c>
      <c r="F4279" s="0" t="inlineStr">
        <is>
          <t xml:space="preserve">naics:336612</t>
        </is>
      </c>
    </row>
    <row r="4280">
      <c r="B4280" s="0" t="inlineStr">
        <is>
          <t xml:space="preserve">N0040620P0552</t>
        </is>
      </c>
      <c r="C4280" s="0" t="inlineStr">
        <is>
          <t xml:space="preserve">small_craft</t>
        </is>
      </c>
      <c r="D4280" s="4">
        <v>0.04795</v>
      </c>
      <c r="E4280" s="0" t="inlineStr">
        <is>
          <t xml:space="preserve">J.D.A. MARITIME, INC.</t>
        </is>
      </c>
      <c r="F4280" s="0" t="inlineStr">
        <is>
          <t xml:space="preserve">naics:336612</t>
        </is>
      </c>
    </row>
    <row r="4281">
      <c r="B4281" s="0" t="inlineStr">
        <is>
          <t xml:space="preserve">N0040619P0590</t>
        </is>
      </c>
      <c r="C4281" s="0" t="inlineStr">
        <is>
          <t xml:space="preserve">small_craft</t>
        </is>
      </c>
      <c r="D4281" s="4">
        <v>0.047902</v>
      </c>
      <c r="E4281" s="0" t="inlineStr">
        <is>
          <t xml:space="preserve">JUNIPER ELBOW CO. INC.</t>
        </is>
      </c>
      <c r="F4281" s="0" t="inlineStr">
        <is>
          <t xml:space="preserve">naics:336612</t>
        </is>
      </c>
    </row>
    <row r="4282">
      <c r="B4282" s="0" t="inlineStr">
        <is>
          <t xml:space="preserve">N6133120P0108</t>
        </is>
      </c>
      <c r="C4282" s="0" t="inlineStr">
        <is>
          <t xml:space="preserve">usv_core</t>
        </is>
      </c>
      <c r="D4282" s="4">
        <v>0.04786908</v>
      </c>
      <c r="E4282" s="0" t="inlineStr">
        <is>
          <t xml:space="preserve">HII UNMANNED MARITIME SYSTEMS INC.</t>
        </is>
      </c>
      <c r="F4282" s="0" t="inlineStr">
        <is>
          <t xml:space="preserve">keyword</t>
        </is>
      </c>
    </row>
    <row r="4283">
      <c r="B4283" s="0" t="inlineStr">
        <is>
          <t xml:space="preserve">N0010421PDD79</t>
        </is>
      </c>
      <c r="C4283" s="0" t="inlineStr">
        <is>
          <t xml:space="preserve">small_craft</t>
        </is>
      </c>
      <c r="D4283" s="4">
        <v>0.0477</v>
      </c>
      <c r="E4283" s="0" t="inlineStr">
        <is>
          <t xml:space="preserve">CONCURRENT REAL-TIME, INC.</t>
        </is>
      </c>
      <c r="F4283" s="0" t="inlineStr">
        <is>
          <t xml:space="preserve">naics:336612</t>
        </is>
      </c>
    </row>
    <row r="4284">
      <c r="B4284" s="0" t="inlineStr">
        <is>
          <t xml:space="preserve">N0042124P0417</t>
        </is>
      </c>
      <c r="C4284" s="0" t="inlineStr">
        <is>
          <t xml:space="preserve">small_craft</t>
        </is>
      </c>
      <c r="D4284" s="4">
        <v>0.04763508999999999</v>
      </c>
      <c r="E4284" s="0" t="inlineStr">
        <is>
          <t xml:space="preserve">WING INFLATABLES INC</t>
        </is>
      </c>
      <c r="F4284" s="0" t="inlineStr">
        <is>
          <t xml:space="preserve">naics:336612</t>
        </is>
      </c>
    </row>
    <row r="4285">
      <c r="B4285" s="0" t="inlineStr">
        <is>
          <t xml:space="preserve">N6279323F0073</t>
        </is>
      </c>
      <c r="C4285" s="0" t="inlineStr">
        <is>
          <t xml:space="preserve">broad_maritime</t>
        </is>
      </c>
      <c r="D4285" s="4">
        <v>0.04762589</v>
      </c>
      <c r="E4285" s="0" t="inlineStr">
        <is>
          <t xml:space="preserve">HII FLEET SUPPORT GROUP LLC</t>
        </is>
      </c>
      <c r="F4285" s="0" t="inlineStr">
        <is>
          <t xml:space="preserve">psc:1905</t>
        </is>
      </c>
    </row>
    <row r="4286">
      <c r="B4286" s="0" t="inlineStr">
        <is>
          <t xml:space="preserve">0024</t>
        </is>
      </c>
      <c r="C4286" s="0" t="inlineStr">
        <is>
          <t xml:space="preserve">small_craft</t>
        </is>
      </c>
      <c r="D4286" s="4">
        <v>0.04759</v>
      </c>
      <c r="E4286" s="0" t="inlineStr">
        <is>
          <t xml:space="preserve">SAUNDERS ENGINE &amp; EQUIPMENT CO INC</t>
        </is>
      </c>
      <c r="F4286" s="0" t="inlineStr">
        <is>
          <t xml:space="preserve">naics:336612</t>
        </is>
      </c>
    </row>
    <row r="4287">
      <c r="B4287" s="0" t="inlineStr">
        <is>
          <t xml:space="preserve">N0010421PXC41</t>
        </is>
      </c>
      <c r="C4287" s="0" t="inlineStr">
        <is>
          <t xml:space="preserve">small_craft</t>
        </is>
      </c>
      <c r="D4287" s="4">
        <v>0.047549759999999996</v>
      </c>
      <c r="E4287" s="0" t="inlineStr">
        <is>
          <t xml:space="preserve">DEFENSE MARITIME SOLUTIONS, INC.</t>
        </is>
      </c>
      <c r="F4287" s="0" t="inlineStr">
        <is>
          <t xml:space="preserve">naics:336612</t>
        </is>
      </c>
    </row>
    <row r="4288">
      <c r="B4288" s="0" t="inlineStr">
        <is>
          <t xml:space="preserve">N3220517F7001</t>
        </is>
      </c>
      <c r="C4288" s="0" t="inlineStr">
        <is>
          <t xml:space="preserve">small_craft</t>
        </is>
      </c>
      <c r="D4288" s="4">
        <v>0.047264839999999995</v>
      </c>
      <c r="E4288" s="0" t="inlineStr">
        <is>
          <t xml:space="preserve">WATER-LAND MANUFACTURING, INC.</t>
        </is>
      </c>
      <c r="F4288" s="0" t="inlineStr">
        <is>
          <t xml:space="preserve">naics:336612</t>
        </is>
      </c>
    </row>
    <row r="4289">
      <c r="B4289" s="0" t="inlineStr">
        <is>
          <t xml:space="preserve">N6133116P0408</t>
        </is>
      </c>
      <c r="C4289" s="0" t="inlineStr">
        <is>
          <t xml:space="preserve">usv_core</t>
        </is>
      </c>
      <c r="D4289" s="4">
        <v>0.04721694</v>
      </c>
      <c r="E4289" s="0" t="inlineStr">
        <is>
          <t xml:space="preserve">HII UNMANNED MARITIME SYSTEMS INC.</t>
        </is>
      </c>
      <c r="F4289" s="0" t="inlineStr">
        <is>
          <t xml:space="preserve">keyword</t>
        </is>
      </c>
    </row>
    <row r="4290">
      <c r="B4290" s="0" t="inlineStr">
        <is>
          <t xml:space="preserve">N0040625P0062</t>
        </is>
      </c>
      <c r="C4290" s="0" t="inlineStr">
        <is>
          <t xml:space="preserve">small_craft</t>
        </is>
      </c>
      <c r="D4290" s="4">
        <v>0.047174999999999995</v>
      </c>
      <c r="E4290" s="0" t="inlineStr">
        <is>
          <t xml:space="preserve">PIER SIDE SUPPLY INC</t>
        </is>
      </c>
      <c r="F4290" s="0" t="inlineStr">
        <is>
          <t xml:space="preserve">naics:336612</t>
        </is>
      </c>
    </row>
    <row r="4291">
      <c r="B4291" s="0" t="inlineStr">
        <is>
          <t xml:space="preserve">N0024218F0027</t>
        </is>
      </c>
      <c r="C4291" s="0" t="inlineStr">
        <is>
          <t xml:space="preserve">small_craft</t>
        </is>
      </c>
      <c r="D4291" s="4">
        <v>0.047035999999999994</v>
      </c>
      <c r="E4291" s="0" t="inlineStr">
        <is>
          <t xml:space="preserve">NORTH RIVER BOATS INCORPORATED</t>
        </is>
      </c>
      <c r="F4291" s="0" t="inlineStr">
        <is>
          <t xml:space="preserve">naics:336612</t>
        </is>
      </c>
    </row>
    <row r="4292">
      <c r="B4292" s="0" t="inlineStr">
        <is>
          <t xml:space="preserve">N3220518P4467</t>
        </is>
      </c>
      <c r="C4292" s="0" t="inlineStr">
        <is>
          <t xml:space="preserve">small_craft</t>
        </is>
      </c>
      <c r="D4292" s="4">
        <v>0.04700805</v>
      </c>
      <c r="E4292" s="0" t="inlineStr">
        <is>
          <t xml:space="preserve">FASSMER SERVICE AMERICA LLC</t>
        </is>
      </c>
      <c r="F4292" s="0" t="inlineStr">
        <is>
          <t xml:space="preserve">naics:336612</t>
        </is>
      </c>
    </row>
    <row r="4293">
      <c r="B4293" s="0" t="inlineStr">
        <is>
          <t xml:space="preserve">N0040621P0089</t>
        </is>
      </c>
      <c r="C4293" s="0" t="inlineStr">
        <is>
          <t xml:space="preserve">small_craft</t>
        </is>
      </c>
      <c r="D4293" s="4">
        <v>0.04675</v>
      </c>
      <c r="E4293" s="0" t="inlineStr">
        <is>
          <t xml:space="preserve">CORNELL-CARR CO., INC.</t>
        </is>
      </c>
      <c r="F4293" s="0" t="inlineStr">
        <is>
          <t xml:space="preserve">naics:336612</t>
        </is>
      </c>
    </row>
    <row r="4294">
      <c r="B4294" s="0" t="inlineStr">
        <is>
          <t xml:space="preserve">N4044318P0213</t>
        </is>
      </c>
      <c r="C4294" s="0" t="inlineStr">
        <is>
          <t xml:space="preserve">small_craft</t>
        </is>
      </c>
      <c r="D4294" s="4">
        <v>0.04666963</v>
      </c>
      <c r="E4294" s="0" t="inlineStr">
        <is>
          <t xml:space="preserve">FASSMER SERVICE AMERICA LLC</t>
        </is>
      </c>
      <c r="F4294" s="0" t="inlineStr">
        <is>
          <t xml:space="preserve">naics:336612</t>
        </is>
      </c>
    </row>
    <row r="4295">
      <c r="B4295" s="0" t="inlineStr">
        <is>
          <t xml:space="preserve">N0010421PDC84</t>
        </is>
      </c>
      <c r="C4295" s="0" t="inlineStr">
        <is>
          <t xml:space="preserve">small_craft</t>
        </is>
      </c>
      <c r="D4295" s="4">
        <v>0.046485</v>
      </c>
      <c r="E4295" s="0" t="inlineStr">
        <is>
          <t xml:space="preserve">PRIME TECHNOLOGY LLC</t>
        </is>
      </c>
      <c r="F4295" s="0" t="inlineStr">
        <is>
          <t xml:space="preserve">naics:336612</t>
        </is>
      </c>
    </row>
    <row r="4296">
      <c r="B4296" s="0" t="inlineStr">
        <is>
          <t xml:space="preserve">N0010421PES31</t>
        </is>
      </c>
      <c r="C4296" s="0" t="inlineStr">
        <is>
          <t xml:space="preserve">small_craft</t>
        </is>
      </c>
      <c r="D4296" s="4">
        <v>0.04648</v>
      </c>
      <c r="E4296" s="0" t="inlineStr">
        <is>
          <t xml:space="preserve">ADIRONDACK ELECTRONICS INC</t>
        </is>
      </c>
      <c r="F4296" s="0" t="inlineStr">
        <is>
          <t xml:space="preserve">naics:336612</t>
        </is>
      </c>
    </row>
    <row r="4297">
      <c r="B4297" s="0" t="inlineStr">
        <is>
          <t xml:space="preserve">0013</t>
        </is>
      </c>
      <c r="C4297" s="0" t="inlineStr">
        <is>
          <t xml:space="preserve">small_craft</t>
        </is>
      </c>
      <c r="D4297" s="4">
        <v>0.04626391999999999</v>
      </c>
      <c r="E4297" s="0" t="inlineStr">
        <is>
          <t xml:space="preserve">SAUNDERS ENGINE &amp; EQUIPMENT CO INC</t>
        </is>
      </c>
      <c r="F4297" s="0" t="inlineStr">
        <is>
          <t xml:space="preserve">naics:336612</t>
        </is>
      </c>
    </row>
    <row r="4298">
      <c r="B4298" s="0" t="inlineStr">
        <is>
          <t xml:space="preserve">N0010417PDB58</t>
        </is>
      </c>
      <c r="C4298" s="0" t="inlineStr">
        <is>
          <t xml:space="preserve">small_craft</t>
        </is>
      </c>
      <c r="D4298" s="4">
        <v>0.04590708</v>
      </c>
      <c r="E4298" s="0" t="inlineStr">
        <is>
          <t xml:space="preserve">AMERICAN METAL BEARING CO</t>
        </is>
      </c>
      <c r="F4298" s="0" t="inlineStr">
        <is>
          <t xml:space="preserve">naics:336612</t>
        </is>
      </c>
    </row>
    <row r="4299">
      <c r="B4299" s="0" t="inlineStr">
        <is>
          <t xml:space="preserve">N0010423PUD15</t>
        </is>
      </c>
      <c r="C4299" s="0" t="inlineStr">
        <is>
          <t xml:space="preserve">small_craft</t>
        </is>
      </c>
      <c r="D4299" s="4">
        <v>0.04582</v>
      </c>
      <c r="E4299" s="0" t="inlineStr">
        <is>
          <t xml:space="preserve">LAUREL TECHNOLOGIES PARTNERSHIP</t>
        </is>
      </c>
      <c r="F4299" s="0" t="inlineStr">
        <is>
          <t xml:space="preserve">naics:336612</t>
        </is>
      </c>
    </row>
    <row r="4300">
      <c r="B4300" s="0" t="inlineStr">
        <is>
          <t xml:space="preserve">N0018915P0542</t>
        </is>
      </c>
      <c r="C4300" s="0" t="inlineStr">
        <is>
          <t xml:space="preserve">small_craft</t>
        </is>
      </c>
      <c r="D4300" s="4">
        <v>0.04580512999999999</v>
      </c>
      <c r="E4300" s="0" t="inlineStr">
        <is>
          <t xml:space="preserve">XRAM LIMITED</t>
        </is>
      </c>
      <c r="F4300" s="0" t="inlineStr">
        <is>
          <t xml:space="preserve">naics:336612</t>
        </is>
      </c>
    </row>
    <row r="4301">
      <c r="B4301" s="0" t="inlineStr">
        <is>
          <t xml:space="preserve">L818</t>
        </is>
      </c>
      <c r="C4301" s="0" t="inlineStr">
        <is>
          <t xml:space="preserve">broad_maritime</t>
        </is>
      </c>
      <c r="D4301" s="4">
        <v>0.045592999999999995</v>
      </c>
      <c r="E4301" s="0" t="inlineStr">
        <is>
          <t xml:space="preserve">ELECTRIC BOAT CORPORATION</t>
        </is>
      </c>
      <c r="F4301" s="0" t="inlineStr">
        <is>
          <t xml:space="preserve">psc:1905</t>
        </is>
      </c>
    </row>
    <row r="4302">
      <c r="B4302" s="0" t="inlineStr">
        <is>
          <t xml:space="preserve">N6893618P0476</t>
        </is>
      </c>
      <c r="C4302" s="0" t="inlineStr">
        <is>
          <t xml:space="preserve">small_craft</t>
        </is>
      </c>
      <c r="D4302" s="4">
        <v>0.045530999999999995</v>
      </c>
      <c r="E4302" s="0" t="inlineStr">
        <is>
          <t xml:space="preserve">BRP US INC</t>
        </is>
      </c>
      <c r="F4302" s="0" t="inlineStr">
        <is>
          <t xml:space="preserve">psc:1940</t>
        </is>
      </c>
    </row>
    <row r="4303">
      <c r="B4303" s="0" t="inlineStr">
        <is>
          <t xml:space="preserve">N6893618P0156</t>
        </is>
      </c>
      <c r="C4303" s="0" t="inlineStr">
        <is>
          <t xml:space="preserve">small_craft</t>
        </is>
      </c>
      <c r="D4303" s="4">
        <v>0.045530999999999995</v>
      </c>
      <c r="E4303" s="0" t="inlineStr">
        <is>
          <t xml:space="preserve">BRP US INC</t>
        </is>
      </c>
      <c r="F4303" s="0" t="inlineStr">
        <is>
          <t xml:space="preserve">psc:1940</t>
        </is>
      </c>
    </row>
    <row r="4304">
      <c r="B4304" s="0" t="inlineStr">
        <is>
          <t xml:space="preserve">N6133119P0173</t>
        </is>
      </c>
      <c r="C4304" s="0" t="inlineStr">
        <is>
          <t xml:space="preserve">small_craft</t>
        </is>
      </c>
      <c r="D4304" s="4">
        <v>0.045425</v>
      </c>
      <c r="E4304" s="0" t="inlineStr">
        <is>
          <t xml:space="preserve">DMR CONSULTING, INC.</t>
        </is>
      </c>
      <c r="F4304" s="0" t="inlineStr">
        <is>
          <t xml:space="preserve">naics:336612</t>
        </is>
      </c>
    </row>
    <row r="4305">
      <c r="B4305" s="0" t="inlineStr">
        <is>
          <t xml:space="preserve">N6817116P2050</t>
        </is>
      </c>
      <c r="C4305" s="0" t="inlineStr">
        <is>
          <t xml:space="preserve">small_craft</t>
        </is>
      </c>
      <c r="D4305" s="4">
        <v>0.04538623</v>
      </c>
      <c r="E4305" s="0" t="inlineStr">
        <is>
          <t xml:space="preserve">GAETA SHIP SUPPLY S.R.L.</t>
        </is>
      </c>
      <c r="F4305" s="0" t="inlineStr">
        <is>
          <t xml:space="preserve">naics:336612</t>
        </is>
      </c>
    </row>
    <row r="4306">
      <c r="B4306" s="0" t="inlineStr">
        <is>
          <t xml:space="preserve">1006</t>
        </is>
      </c>
      <c r="C4306" s="0" t="inlineStr">
        <is>
          <t xml:space="preserve">small_craft</t>
        </is>
      </c>
      <c r="D4306" s="4">
        <v>0.045328</v>
      </c>
      <c r="E4306" s="0" t="inlineStr">
        <is>
          <t xml:space="preserve">WING INFLATABLES INC</t>
        </is>
      </c>
      <c r="F4306" s="0" t="inlineStr">
        <is>
          <t xml:space="preserve">naics:336612; psc:1940</t>
        </is>
      </c>
    </row>
    <row r="4307">
      <c r="B4307" s="0" t="inlineStr">
        <is>
          <t xml:space="preserve">N6600116P6145</t>
        </is>
      </c>
      <c r="C4307" s="0" t="inlineStr">
        <is>
          <t xml:space="preserve">small_craft</t>
        </is>
      </c>
      <c r="D4307" s="4">
        <v>0.0453</v>
      </c>
      <c r="E4307" s="0" t="inlineStr">
        <is>
          <t xml:space="preserve">WELLER RECREATION, INC</t>
        </is>
      </c>
      <c r="F4307" s="0" t="inlineStr">
        <is>
          <t xml:space="preserve">psc:1940</t>
        </is>
      </c>
    </row>
    <row r="4308">
      <c r="B4308" s="0" t="inlineStr">
        <is>
          <t xml:space="preserve">N3220519F7793</t>
        </is>
      </c>
      <c r="C4308" s="0" t="inlineStr">
        <is>
          <t xml:space="preserve">other_small</t>
        </is>
      </c>
      <c r="D4308" s="4">
        <v>0.04522026999999999</v>
      </c>
      <c r="E4308" s="0" t="inlineStr">
        <is>
          <t xml:space="preserve">LAKE SHORE SYSTEMS, INC.</t>
        </is>
      </c>
      <c r="F4308" s="0" t="inlineStr">
        <is>
          <t xml:space="preserve">psc:1990</t>
        </is>
      </c>
    </row>
    <row r="4309">
      <c r="B4309" s="0" t="inlineStr">
        <is>
          <t xml:space="preserve">N0040625P0034</t>
        </is>
      </c>
      <c r="C4309" s="0" t="inlineStr">
        <is>
          <t xml:space="preserve">small_craft</t>
        </is>
      </c>
      <c r="D4309" s="4">
        <v>0.045085139999999996</v>
      </c>
      <c r="E4309" s="0" t="inlineStr">
        <is>
          <t xml:space="preserve">RFD BEAUFORT INC.</t>
        </is>
      </c>
      <c r="F4309" s="0" t="inlineStr">
        <is>
          <t xml:space="preserve">naics:336612</t>
        </is>
      </c>
    </row>
    <row r="4310">
      <c r="B4310" s="0" t="inlineStr">
        <is>
          <t xml:space="preserve">N0016717P0017</t>
        </is>
      </c>
      <c r="C4310" s="0" t="inlineStr">
        <is>
          <t xml:space="preserve">small_craft</t>
        </is>
      </c>
      <c r="D4310" s="4">
        <v>0.04495</v>
      </c>
      <c r="E4310" s="0" t="inlineStr">
        <is>
          <t xml:space="preserve">PACIFIC SKIFFS NW INC</t>
        </is>
      </c>
      <c r="F4310" s="0" t="inlineStr">
        <is>
          <t xml:space="preserve">naics:336612</t>
        </is>
      </c>
    </row>
    <row r="4311">
      <c r="B4311" s="0" t="inlineStr">
        <is>
          <t xml:space="preserve">N3220519F4014</t>
        </is>
      </c>
      <c r="C4311" s="0" t="inlineStr">
        <is>
          <t xml:space="preserve">other_small</t>
        </is>
      </c>
      <c r="D4311" s="4">
        <v>0.044858999999999996</v>
      </c>
      <c r="E4311" s="0" t="inlineStr">
        <is>
          <t xml:space="preserve">LAKE SHORE SYSTEMS, INC.</t>
        </is>
      </c>
      <c r="F4311" s="0" t="inlineStr">
        <is>
          <t xml:space="preserve">psc:1990</t>
        </is>
      </c>
    </row>
    <row r="4312">
      <c r="B4312" s="0" t="inlineStr">
        <is>
          <t xml:space="preserve">0001</t>
        </is>
      </c>
      <c r="C4312" s="0" t="inlineStr">
        <is>
          <t xml:space="preserve">broad_maritime</t>
        </is>
      </c>
      <c r="D4312" s="4">
        <v>0.0444948</v>
      </c>
      <c r="E4312" s="0" t="inlineStr">
        <is>
          <t xml:space="preserve">J &amp; N METAL PRODUCTS, LLC</t>
        </is>
      </c>
      <c r="F4312" s="0" t="inlineStr">
        <is>
          <t xml:space="preserve">psc:1905</t>
        </is>
      </c>
    </row>
    <row r="4313">
      <c r="B4313" s="0" t="inlineStr">
        <is>
          <t xml:space="preserve">N0060416P3194</t>
        </is>
      </c>
      <c r="C4313" s="0" t="inlineStr">
        <is>
          <t xml:space="preserve">small_craft</t>
        </is>
      </c>
      <c r="D4313" s="4">
        <v>0.044465</v>
      </c>
      <c r="E4313" s="0" t="inlineStr">
        <is>
          <t xml:space="preserve">ZODIAC OF NORTH AMERICA, INC.</t>
        </is>
      </c>
      <c r="F4313" s="0" t="inlineStr">
        <is>
          <t xml:space="preserve">naics:336612</t>
        </is>
      </c>
    </row>
    <row r="4314">
      <c r="B4314" s="0" t="inlineStr">
        <is>
          <t xml:space="preserve">N6833518P0328</t>
        </is>
      </c>
      <c r="C4314" s="0" t="inlineStr">
        <is>
          <t xml:space="preserve">broad_maritime</t>
        </is>
      </c>
      <c r="D4314" s="4">
        <v>0.04429253</v>
      </c>
      <c r="E4314" s="0" t="inlineStr">
        <is>
          <t xml:space="preserve">SUMMIT MARINE SERVICES LLC</t>
        </is>
      </c>
      <c r="F4314" s="0" t="inlineStr">
        <is>
          <t xml:space="preserve">psc:1905</t>
        </is>
      </c>
    </row>
    <row r="4315">
      <c r="B4315" s="0" t="inlineStr">
        <is>
          <t xml:space="preserve">N0010424PED25</t>
        </is>
      </c>
      <c r="C4315" s="0" t="inlineStr">
        <is>
          <t xml:space="preserve">small_craft</t>
        </is>
      </c>
      <c r="D4315" s="4">
        <v>0.04408</v>
      </c>
      <c r="E4315" s="0" t="inlineStr">
        <is>
          <t xml:space="preserve">PAR DEFENSE INDUSTRIES, LLC</t>
        </is>
      </c>
      <c r="F4315" s="0" t="inlineStr">
        <is>
          <t xml:space="preserve">naics:336612</t>
        </is>
      </c>
    </row>
    <row r="4316">
      <c r="B4316" s="0" t="inlineStr">
        <is>
          <t xml:space="preserve">N0010417PEC40</t>
        </is>
      </c>
      <c r="C4316" s="0" t="inlineStr">
        <is>
          <t xml:space="preserve">small_craft</t>
        </is>
      </c>
      <c r="D4316" s="4">
        <v>0.044</v>
      </c>
      <c r="E4316" s="0" t="inlineStr">
        <is>
          <t xml:space="preserve">NUFLO, INC.</t>
        </is>
      </c>
      <c r="F4316" s="0" t="inlineStr">
        <is>
          <t xml:space="preserve">naics:336612</t>
        </is>
      </c>
    </row>
    <row r="4317">
      <c r="B4317" s="0" t="inlineStr">
        <is>
          <t xml:space="preserve">N0010426PSA65</t>
        </is>
      </c>
      <c r="C4317" s="0" t="inlineStr">
        <is>
          <t xml:space="preserve">small_craft</t>
        </is>
      </c>
      <c r="D4317" s="4">
        <v>0.043699999999999996</v>
      </c>
      <c r="E4317" s="0" t="inlineStr">
        <is>
          <t xml:space="preserve">RAILWAY SPECIALTIES CORP</t>
        </is>
      </c>
      <c r="F4317" s="0" t="inlineStr">
        <is>
          <t xml:space="preserve">naics:336612</t>
        </is>
      </c>
    </row>
    <row r="4318">
      <c r="B4318" s="0" t="inlineStr">
        <is>
          <t xml:space="preserve">N0040616P3261</t>
        </is>
      </c>
      <c r="C4318" s="0" t="inlineStr">
        <is>
          <t xml:space="preserve">small_craft</t>
        </is>
      </c>
      <c r="D4318" s="4">
        <v>0.043623999999999996</v>
      </c>
      <c r="E4318" s="0" t="inlineStr">
        <is>
          <t xml:space="preserve">DURAMAX MARINE, LLC</t>
        </is>
      </c>
      <c r="F4318" s="0" t="inlineStr">
        <is>
          <t xml:space="preserve">naics:336612</t>
        </is>
      </c>
    </row>
    <row r="4319">
      <c r="B4319" s="0" t="inlineStr">
        <is>
          <t xml:space="preserve">N0010421PDD78</t>
        </is>
      </c>
      <c r="C4319" s="0" t="inlineStr">
        <is>
          <t xml:space="preserve">small_craft</t>
        </is>
      </c>
      <c r="D4319" s="4">
        <v>0.043584</v>
      </c>
      <c r="E4319" s="0" t="inlineStr">
        <is>
          <t xml:space="preserve">MMC METROLOGY LAB, INC.</t>
        </is>
      </c>
      <c r="F4319" s="0" t="inlineStr">
        <is>
          <t xml:space="preserve">naics:336612</t>
        </is>
      </c>
    </row>
    <row r="4320">
      <c r="B4320" s="0" t="inlineStr">
        <is>
          <t xml:space="preserve">N4044208P5088</t>
        </is>
      </c>
      <c r="C4320" s="0" t="inlineStr">
        <is>
          <t xml:space="preserve">other_small</t>
        </is>
      </c>
      <c r="D4320" s="4">
        <v>0.04352007</v>
      </c>
      <c r="E4320" s="0" t="inlineStr">
        <is>
          <t xml:space="preserve">US JOINER LLC</t>
        </is>
      </c>
      <c r="F4320" s="0" t="inlineStr">
        <is>
          <t xml:space="preserve">psc:1925</t>
        </is>
      </c>
    </row>
    <row r="4321">
      <c r="B4321" s="0" t="inlineStr">
        <is>
          <t xml:space="preserve">N0010424PDC72</t>
        </is>
      </c>
      <c r="C4321" s="0" t="inlineStr">
        <is>
          <t xml:space="preserve">small_craft</t>
        </is>
      </c>
      <c r="D4321" s="4">
        <v>0.04342793</v>
      </c>
      <c r="E4321" s="0" t="inlineStr">
        <is>
          <t xml:space="preserve">CEPEDA ASSOCIATES, INC.</t>
        </is>
      </c>
      <c r="F4321" s="0" t="inlineStr">
        <is>
          <t xml:space="preserve">naics:336612; psc:1940</t>
        </is>
      </c>
    </row>
    <row r="4322">
      <c r="B4322" s="0" t="inlineStr">
        <is>
          <t xml:space="preserve">N0010421PCF50</t>
        </is>
      </c>
      <c r="C4322" s="0" t="inlineStr">
        <is>
          <t xml:space="preserve">small_craft</t>
        </is>
      </c>
      <c r="D4322" s="4">
        <v>0.04328463</v>
      </c>
      <c r="E4322" s="0" t="inlineStr">
        <is>
          <t xml:space="preserve">RENK SYSTEMS CORP</t>
        </is>
      </c>
      <c r="F4322" s="0" t="inlineStr">
        <is>
          <t xml:space="preserve">naics:336612</t>
        </is>
      </c>
    </row>
    <row r="4323">
      <c r="B4323" s="0" t="inlineStr">
        <is>
          <t xml:space="preserve">N0018916P0388</t>
        </is>
      </c>
      <c r="C4323" s="0" t="inlineStr">
        <is>
          <t xml:space="preserve">small_craft</t>
        </is>
      </c>
      <c r="D4323" s="4">
        <v>0.04325887999999999</v>
      </c>
      <c r="E4323" s="0" t="inlineStr">
        <is>
          <t xml:space="preserve">XRAM LIMITED</t>
        </is>
      </c>
      <c r="F4323" s="0" t="inlineStr">
        <is>
          <t xml:space="preserve">naics:336612; psc:1940</t>
        </is>
      </c>
    </row>
    <row r="4324">
      <c r="B4324" s="0" t="inlineStr">
        <is>
          <t xml:space="preserve">N0010425PNC03</t>
        </is>
      </c>
      <c r="C4324" s="0" t="inlineStr">
        <is>
          <t xml:space="preserve">small_craft</t>
        </is>
      </c>
      <c r="D4324" s="4">
        <v>0.043122</v>
      </c>
      <c r="E4324" s="0" t="inlineStr">
        <is>
          <t xml:space="preserve">CAMERON ENERGY SERVICES CORP.</t>
        </is>
      </c>
      <c r="F4324" s="0" t="inlineStr">
        <is>
          <t xml:space="preserve">naics:336612</t>
        </is>
      </c>
    </row>
    <row r="4325">
      <c r="B4325" s="0" t="inlineStr">
        <is>
          <t xml:space="preserve">0046</t>
        </is>
      </c>
      <c r="C4325" s="0" t="inlineStr">
        <is>
          <t xml:space="preserve">broad_maritime</t>
        </is>
      </c>
      <c r="D4325" s="4">
        <v>0.043112</v>
      </c>
      <c r="E4325" s="0" t="inlineStr">
        <is>
          <t xml:space="preserve">ELECTRIC BOAT CORPORATION</t>
        </is>
      </c>
      <c r="F4325" s="0" t="inlineStr">
        <is>
          <t xml:space="preserve">psc:1905</t>
        </is>
      </c>
    </row>
    <row r="4326">
      <c r="B4326" s="0" t="inlineStr">
        <is>
          <t xml:space="preserve">M0026417P0078</t>
        </is>
      </c>
      <c r="C4326" s="0" t="inlineStr">
        <is>
          <t xml:space="preserve">small_craft</t>
        </is>
      </c>
      <c r="D4326" s="4">
        <v>0.043054749999999996</v>
      </c>
      <c r="E4326" s="0" t="inlineStr">
        <is>
          <t xml:space="preserve">THE WASHINGTON MARINA COMPANY</t>
        </is>
      </c>
      <c r="F4326" s="0" t="inlineStr">
        <is>
          <t xml:space="preserve">naics:336612</t>
        </is>
      </c>
    </row>
    <row r="4327">
      <c r="B4327" s="0" t="inlineStr">
        <is>
          <t xml:space="preserve">N0040617P2052</t>
        </is>
      </c>
      <c r="C4327" s="0" t="inlineStr">
        <is>
          <t xml:space="preserve">small_craft</t>
        </is>
      </c>
      <c r="D4327" s="4">
        <v>0.04285</v>
      </c>
      <c r="E4327" s="0" t="inlineStr">
        <is>
          <t xml:space="preserve">JUNIPER ELBOW CO. INC.</t>
        </is>
      </c>
      <c r="F4327" s="0" t="inlineStr">
        <is>
          <t xml:space="preserve">naics:336612</t>
        </is>
      </c>
    </row>
    <row r="4328">
      <c r="B4328" s="0" t="inlineStr">
        <is>
          <t xml:space="preserve">N6874224F0936</t>
        </is>
      </c>
      <c r="C4328" s="0" t="inlineStr">
        <is>
          <t xml:space="preserve">small_craft</t>
        </is>
      </c>
      <c r="D4328" s="4">
        <v>0.04284039</v>
      </c>
      <c r="E4328" s="0" t="inlineStr">
        <is>
          <t xml:space="preserve">NW BEND BOATS, LLC</t>
        </is>
      </c>
      <c r="F4328" s="0" t="inlineStr">
        <is>
          <t xml:space="preserve">naics:336612</t>
        </is>
      </c>
    </row>
    <row r="4329">
      <c r="B4329" s="0" t="inlineStr">
        <is>
          <t xml:space="preserve">N0010423PDC59</t>
        </is>
      </c>
      <c r="C4329" s="0" t="inlineStr">
        <is>
          <t xml:space="preserve">small_craft</t>
        </is>
      </c>
      <c r="D4329" s="4">
        <v>0.0426828</v>
      </c>
      <c r="E4329" s="0" t="inlineStr">
        <is>
          <t xml:space="preserve">LAKE SHORE SYSTEMS, INC.</t>
        </is>
      </c>
      <c r="F4329" s="0" t="inlineStr">
        <is>
          <t xml:space="preserve">naics:336612</t>
        </is>
      </c>
    </row>
    <row r="4330">
      <c r="B4330" s="0" t="inlineStr">
        <is>
          <t xml:space="preserve">N0010406PFK69</t>
        </is>
      </c>
      <c r="C4330" s="0" t="inlineStr">
        <is>
          <t xml:space="preserve">small_craft</t>
        </is>
      </c>
      <c r="D4330" s="4">
        <v>0.042596999999999996</v>
      </c>
      <c r="E4330" s="0" t="inlineStr">
        <is>
          <t xml:space="preserve">PORTLAND VALVE LLC</t>
        </is>
      </c>
      <c r="F4330" s="0" t="inlineStr">
        <is>
          <t xml:space="preserve">naics:336612</t>
        </is>
      </c>
    </row>
    <row r="4331">
      <c r="B4331" s="0" t="inlineStr">
        <is>
          <t xml:space="preserve">N6883623P0080</t>
        </is>
      </c>
      <c r="C4331" s="0" t="inlineStr">
        <is>
          <t xml:space="preserve">small_craft</t>
        </is>
      </c>
      <c r="D4331" s="4">
        <v>0.04252304</v>
      </c>
      <c r="E4331" s="0" t="inlineStr">
        <is>
          <t xml:space="preserve">RENK SYSTEMS CORP</t>
        </is>
      </c>
      <c r="F4331" s="0" t="inlineStr">
        <is>
          <t xml:space="preserve">naics:336612</t>
        </is>
      </c>
    </row>
    <row r="4332">
      <c r="B4332" s="0" t="inlineStr">
        <is>
          <t xml:space="preserve">N6600116P6315</t>
        </is>
      </c>
      <c r="C4332" s="0" t="inlineStr">
        <is>
          <t xml:space="preserve">small_craft</t>
        </is>
      </c>
      <c r="D4332" s="4">
        <v>0.04246</v>
      </c>
      <c r="E4332" s="0" t="inlineStr">
        <is>
          <t xml:space="preserve">POLARIS INFLATABLE BOATS (CANADA) LTD.</t>
        </is>
      </c>
      <c r="F4332" s="0" t="inlineStr">
        <is>
          <t xml:space="preserve">naics:336612</t>
        </is>
      </c>
    </row>
    <row r="4333">
      <c r="B4333" s="0" t="inlineStr">
        <is>
          <t xml:space="preserve">N0040616P3117</t>
        </is>
      </c>
      <c r="C4333" s="0" t="inlineStr">
        <is>
          <t xml:space="preserve">small_craft</t>
        </is>
      </c>
      <c r="D4333" s="4">
        <v>0.04242</v>
      </c>
      <c r="E4333" s="0" t="inlineStr">
        <is>
          <t xml:space="preserve">DURAMAX MARINE, LLC</t>
        </is>
      </c>
      <c r="F4333" s="0" t="inlineStr">
        <is>
          <t xml:space="preserve">naics:336612</t>
        </is>
      </c>
    </row>
    <row r="4334">
      <c r="B4334" s="0" t="inlineStr">
        <is>
          <t xml:space="preserve">N0010424PLA41</t>
        </is>
      </c>
      <c r="C4334" s="0" t="inlineStr">
        <is>
          <t xml:space="preserve">small_craft</t>
        </is>
      </c>
      <c r="D4334" s="4">
        <v>0.0422039</v>
      </c>
      <c r="E4334" s="0" t="inlineStr">
        <is>
          <t xml:space="preserve">ITL LLC</t>
        </is>
      </c>
      <c r="F4334" s="0" t="inlineStr">
        <is>
          <t xml:space="preserve">naics:336612</t>
        </is>
      </c>
    </row>
    <row r="4335">
      <c r="B4335" s="0" t="inlineStr">
        <is>
          <t xml:space="preserve">N0010417PBV14</t>
        </is>
      </c>
      <c r="C4335" s="0" t="inlineStr">
        <is>
          <t xml:space="preserve">small_craft</t>
        </is>
      </c>
      <c r="D4335" s="4">
        <v>0.04212</v>
      </c>
      <c r="E4335" s="0" t="inlineStr">
        <is>
          <t xml:space="preserve">TIGER-VAC INC.</t>
        </is>
      </c>
      <c r="F4335" s="0" t="inlineStr">
        <is>
          <t xml:space="preserve">naics:336612</t>
        </is>
      </c>
    </row>
    <row r="4336">
      <c r="B4336" s="0" t="inlineStr">
        <is>
          <t xml:space="preserve">N0040621P0242</t>
        </is>
      </c>
      <c r="C4336" s="0" t="inlineStr">
        <is>
          <t xml:space="preserve">small_craft</t>
        </is>
      </c>
      <c r="D4336" s="4">
        <v>0.041999999999999996</v>
      </c>
      <c r="E4336" s="0" t="inlineStr">
        <is>
          <t xml:space="preserve">RAILWAY SPECIALTIES CORP</t>
        </is>
      </c>
      <c r="F4336" s="0" t="inlineStr">
        <is>
          <t xml:space="preserve">naics:336612</t>
        </is>
      </c>
    </row>
    <row r="4337">
      <c r="B4337" s="0" t="inlineStr">
        <is>
          <t xml:space="preserve">N0010423PDA74</t>
        </is>
      </c>
      <c r="C4337" s="0" t="inlineStr">
        <is>
          <t xml:space="preserve">small_craft</t>
        </is>
      </c>
      <c r="D4337" s="4">
        <v>0.041912</v>
      </c>
      <c r="E4337" s="0" t="inlineStr">
        <is>
          <t xml:space="preserve">ROLLS-ROYCE MARINE NORTH AMERICA INC.</t>
        </is>
      </c>
      <c r="F4337" s="0" t="inlineStr">
        <is>
          <t xml:space="preserve">naics:336612</t>
        </is>
      </c>
    </row>
    <row r="4338">
      <c r="B4338" s="0" t="inlineStr">
        <is>
          <t xml:space="preserve">N0010422PCC90</t>
        </is>
      </c>
      <c r="C4338" s="0" t="inlineStr">
        <is>
          <t xml:space="preserve">small_craft</t>
        </is>
      </c>
      <c r="D4338" s="4">
        <v>0.04185</v>
      </c>
      <c r="E4338" s="0" t="inlineStr">
        <is>
          <t xml:space="preserve">ESI ACQUISITION CORP</t>
        </is>
      </c>
      <c r="F4338" s="0" t="inlineStr">
        <is>
          <t xml:space="preserve">naics:336612</t>
        </is>
      </c>
    </row>
    <row r="4339">
      <c r="B4339" s="0" t="inlineStr">
        <is>
          <t xml:space="preserve">N0010423PXC24</t>
        </is>
      </c>
      <c r="C4339" s="0" t="inlineStr">
        <is>
          <t xml:space="preserve">small_craft</t>
        </is>
      </c>
      <c r="D4339" s="4">
        <v>0.0418</v>
      </c>
      <c r="E4339" s="0" t="inlineStr">
        <is>
          <t xml:space="preserve">VIRGINIA ELECTRONIC SYSTEMS, INC.</t>
        </is>
      </c>
      <c r="F4339" s="0" t="inlineStr">
        <is>
          <t xml:space="preserve">psc:1940</t>
        </is>
      </c>
    </row>
    <row r="4340">
      <c r="B4340" s="0" t="inlineStr">
        <is>
          <t xml:space="preserve">N0010425PBC09</t>
        </is>
      </c>
      <c r="C4340" s="0" t="inlineStr">
        <is>
          <t xml:space="preserve">small_craft</t>
        </is>
      </c>
      <c r="D4340" s="4">
        <v>0.041677</v>
      </c>
      <c r="E4340" s="0" t="inlineStr">
        <is>
          <t xml:space="preserve">MDF TECHNOLOGIES INC</t>
        </is>
      </c>
      <c r="F4340" s="0" t="inlineStr">
        <is>
          <t xml:space="preserve">naics:336612</t>
        </is>
      </c>
    </row>
    <row r="4341">
      <c r="B4341" s="0" t="inlineStr">
        <is>
          <t xml:space="preserve">N0010418PX018</t>
        </is>
      </c>
      <c r="C4341" s="0" t="inlineStr">
        <is>
          <t xml:space="preserve">broad_maritime</t>
        </is>
      </c>
      <c r="D4341" s="4">
        <v>0.041544</v>
      </c>
      <c r="E4341" s="0" t="inlineStr">
        <is>
          <t xml:space="preserve">RAYTHEON COMPANY</t>
        </is>
      </c>
      <c r="F4341" s="0" t="inlineStr">
        <is>
          <t xml:space="preserve">psc:1905</t>
        </is>
      </c>
    </row>
    <row r="4342">
      <c r="B4342" s="0" t="inlineStr">
        <is>
          <t xml:space="preserve">N0040622P0348</t>
        </is>
      </c>
      <c r="C4342" s="0" t="inlineStr">
        <is>
          <t xml:space="preserve">small_craft</t>
        </is>
      </c>
      <c r="D4342" s="4">
        <v>0.041303519999999996</v>
      </c>
      <c r="E4342" s="0" t="inlineStr">
        <is>
          <t xml:space="preserve">CURTISS-WRIGHT ELECTRO-MECHANICAL CORPORATION</t>
        </is>
      </c>
      <c r="F4342" s="0" t="inlineStr">
        <is>
          <t xml:space="preserve">naics:336612</t>
        </is>
      </c>
    </row>
    <row r="4343">
      <c r="B4343" s="0" t="inlineStr">
        <is>
          <t xml:space="preserve">N4044207P5232</t>
        </is>
      </c>
      <c r="C4343" s="0" t="inlineStr">
        <is>
          <t xml:space="preserve">other_small</t>
        </is>
      </c>
      <c r="D4343" s="4">
        <v>0.04126149</v>
      </c>
      <c r="E4343" s="0" t="inlineStr">
        <is>
          <t xml:space="preserve">SHIPS MACHINERY INTERNATIONAL, INC.</t>
        </is>
      </c>
      <c r="F4343" s="0" t="inlineStr">
        <is>
          <t xml:space="preserve">psc:1925</t>
        </is>
      </c>
    </row>
    <row r="4344">
      <c r="B4344" s="0" t="inlineStr">
        <is>
          <t xml:space="preserve">0019</t>
        </is>
      </c>
      <c r="C4344" s="0" t="inlineStr">
        <is>
          <t xml:space="preserve">broad_maritime</t>
        </is>
      </c>
      <c r="D4344" s="4">
        <v>0.041254</v>
      </c>
      <c r="E4344" s="0" t="inlineStr">
        <is>
          <t xml:space="preserve">ELECTRIC BOAT CORPORATION</t>
        </is>
      </c>
      <c r="F4344" s="0" t="inlineStr">
        <is>
          <t xml:space="preserve">psc:1905</t>
        </is>
      </c>
    </row>
    <row r="4345">
      <c r="B4345" s="0" t="inlineStr">
        <is>
          <t xml:space="preserve">N0040616P0352</t>
        </is>
      </c>
      <c r="C4345" s="0" t="inlineStr">
        <is>
          <t xml:space="preserve">small_craft</t>
        </is>
      </c>
      <c r="D4345" s="4">
        <v>0.040979</v>
      </c>
      <c r="E4345" s="0" t="inlineStr">
        <is>
          <t xml:space="preserve">J.D.A. MARITIME, INC.</t>
        </is>
      </c>
      <c r="F4345" s="0" t="inlineStr">
        <is>
          <t xml:space="preserve">naics:336612</t>
        </is>
      </c>
    </row>
    <row r="4346">
      <c r="B4346" s="0" t="inlineStr">
        <is>
          <t xml:space="preserve">N0040621P0415</t>
        </is>
      </c>
      <c r="C4346" s="0" t="inlineStr">
        <is>
          <t xml:space="preserve">small_craft</t>
        </is>
      </c>
      <c r="D4346" s="4">
        <v>0.04093948</v>
      </c>
      <c r="E4346" s="0" t="inlineStr">
        <is>
          <t xml:space="preserve">DEFENSE MARITIME SOLUTIONS, INC.</t>
        </is>
      </c>
      <c r="F4346" s="0" t="inlineStr">
        <is>
          <t xml:space="preserve">naics:336612</t>
        </is>
      </c>
    </row>
    <row r="4347">
      <c r="B4347" s="0" t="inlineStr">
        <is>
          <t xml:space="preserve">N6146319FLH85</t>
        </is>
      </c>
      <c r="C4347" s="0" t="inlineStr">
        <is>
          <t xml:space="preserve">other_small</t>
        </is>
      </c>
      <c r="D4347" s="4">
        <v>0.040847999999999995</v>
      </c>
      <c r="E4347" s="0" t="inlineStr">
        <is>
          <t xml:space="preserve">MCALLISTER TOWING AND TRANSPORTATION COMPANY, INC.</t>
        </is>
      </c>
      <c r="F4347" s="0" t="inlineStr">
        <is>
          <t xml:space="preserve">psc:1990</t>
        </is>
      </c>
    </row>
    <row r="4348">
      <c r="B4348" s="0" t="inlineStr">
        <is>
          <t xml:space="preserve">N0010423PCB55</t>
        </is>
      </c>
      <c r="C4348" s="0" t="inlineStr">
        <is>
          <t xml:space="preserve">small_craft</t>
        </is>
      </c>
      <c r="D4348" s="4">
        <v>0.0405</v>
      </c>
      <c r="E4348" s="0" t="inlineStr">
        <is>
          <t xml:space="preserve">PROPULSION SYSTEMS, INC.</t>
        </is>
      </c>
      <c r="F4348" s="0" t="inlineStr">
        <is>
          <t xml:space="preserve">naics:336612</t>
        </is>
      </c>
    </row>
    <row r="4349">
      <c r="B4349" s="0" t="inlineStr">
        <is>
          <t xml:space="preserve">N0010421PDC15</t>
        </is>
      </c>
      <c r="C4349" s="0" t="inlineStr">
        <is>
          <t xml:space="preserve">small_craft</t>
        </is>
      </c>
      <c r="D4349" s="4">
        <v>0.0405</v>
      </c>
      <c r="E4349" s="0" t="inlineStr">
        <is>
          <t xml:space="preserve">VALCOM MANUFACTURING GROUP INC.</t>
        </is>
      </c>
      <c r="F4349" s="0" t="inlineStr">
        <is>
          <t xml:space="preserve">naics:336612</t>
        </is>
      </c>
    </row>
    <row r="4350">
      <c r="B4350" s="0" t="inlineStr">
        <is>
          <t xml:space="preserve">N0010423PLE32</t>
        </is>
      </c>
      <c r="C4350" s="0" t="inlineStr">
        <is>
          <t xml:space="preserve">small_craft</t>
        </is>
      </c>
      <c r="D4350" s="4">
        <v>0.04001011</v>
      </c>
      <c r="E4350" s="0" t="inlineStr">
        <is>
          <t xml:space="preserve">GRISWOLD INDUSTRIES</t>
        </is>
      </c>
      <c r="F4350" s="0" t="inlineStr">
        <is>
          <t xml:space="preserve">naics:336612</t>
        </is>
      </c>
    </row>
    <row r="4351">
      <c r="B4351" s="0" t="inlineStr">
        <is>
          <t xml:space="preserve">N0040616P2402</t>
        </is>
      </c>
      <c r="C4351" s="0" t="inlineStr">
        <is>
          <t xml:space="preserve">small_craft</t>
        </is>
      </c>
      <c r="D4351" s="4">
        <v>0.040005</v>
      </c>
      <c r="E4351" s="0" t="inlineStr">
        <is>
          <t xml:space="preserve">KLB ENTERPRISES CORP</t>
        </is>
      </c>
      <c r="F4351" s="0" t="inlineStr">
        <is>
          <t xml:space="preserve">naics:336612</t>
        </is>
      </c>
    </row>
    <row r="4352">
      <c r="B4352" s="0" t="inlineStr">
        <is>
          <t xml:space="preserve">0004</t>
        </is>
      </c>
      <c r="C4352" s="0" t="inlineStr">
        <is>
          <t xml:space="preserve">small_craft</t>
        </is>
      </c>
      <c r="D4352" s="4">
        <v>0.03987964</v>
      </c>
      <c r="E4352" s="0" t="inlineStr">
        <is>
          <t xml:space="preserve">SAUNDERS ENGINE &amp; EQUIPMENT CO INC</t>
        </is>
      </c>
      <c r="F4352" s="0" t="inlineStr">
        <is>
          <t xml:space="preserve">naics:336612</t>
        </is>
      </c>
    </row>
    <row r="4353">
      <c r="B4353" s="0" t="inlineStr">
        <is>
          <t xml:space="preserve">N0010421PLC16</t>
        </is>
      </c>
      <c r="C4353" s="0" t="inlineStr">
        <is>
          <t xml:space="preserve">small_craft</t>
        </is>
      </c>
      <c r="D4353" s="4">
        <v>0.039771230000000005</v>
      </c>
      <c r="E4353" s="0" t="inlineStr">
        <is>
          <t xml:space="preserve">KAMPI COMPONENTS CO INC</t>
        </is>
      </c>
      <c r="F4353" s="0" t="inlineStr">
        <is>
          <t xml:space="preserve">naics:336612</t>
        </is>
      </c>
    </row>
    <row r="4354">
      <c r="B4354" s="0" t="inlineStr">
        <is>
          <t xml:space="preserve">N0040618P1472</t>
        </is>
      </c>
      <c r="C4354" s="0" t="inlineStr">
        <is>
          <t xml:space="preserve">small_craft</t>
        </is>
      </c>
      <c r="D4354" s="4">
        <v>0.03972</v>
      </c>
      <c r="E4354" s="0" t="inlineStr">
        <is>
          <t xml:space="preserve">CORNELL-CARR CO., INC.</t>
        </is>
      </c>
      <c r="F4354" s="0" t="inlineStr">
        <is>
          <t xml:space="preserve">naics:336612</t>
        </is>
      </c>
    </row>
    <row r="4355">
      <c r="B4355" s="0" t="inlineStr">
        <is>
          <t xml:space="preserve">0018</t>
        </is>
      </c>
      <c r="C4355" s="0" t="inlineStr">
        <is>
          <t xml:space="preserve">small_craft</t>
        </is>
      </c>
      <c r="D4355" s="4">
        <v>0.03959919</v>
      </c>
      <c r="E4355" s="0" t="inlineStr">
        <is>
          <t xml:space="preserve">SAUNDERS ENGINE &amp; EQUIPMENT CO INC</t>
        </is>
      </c>
      <c r="F4355" s="0" t="inlineStr">
        <is>
          <t xml:space="preserve">naics:336612</t>
        </is>
      </c>
    </row>
    <row r="4356">
      <c r="B4356" s="0" t="inlineStr">
        <is>
          <t xml:space="preserve">N4044207P5524</t>
        </is>
      </c>
      <c r="C4356" s="0" t="inlineStr">
        <is>
          <t xml:space="preserve">other_small</t>
        </is>
      </c>
      <c r="D4356" s="4">
        <v>0.03959574</v>
      </c>
      <c r="E4356" s="0" t="inlineStr">
        <is>
          <t xml:space="preserve">EAN HOLDINGS, LLC</t>
        </is>
      </c>
      <c r="F4356" s="0" t="inlineStr">
        <is>
          <t xml:space="preserve">psc:1925</t>
        </is>
      </c>
    </row>
    <row r="4357">
      <c r="B4357" s="0" t="inlineStr">
        <is>
          <t xml:space="preserve">N6133123P0066</t>
        </is>
      </c>
      <c r="C4357" s="0" t="inlineStr">
        <is>
          <t xml:space="preserve">small_craft</t>
        </is>
      </c>
      <c r="D4357" s="4">
        <v>0.03947</v>
      </c>
      <c r="E4357" s="0" t="inlineStr">
        <is>
          <t xml:space="preserve">HYDRONALIX INC</t>
        </is>
      </c>
      <c r="F4357" s="0" t="inlineStr">
        <is>
          <t xml:space="preserve">naics:336612</t>
        </is>
      </c>
    </row>
    <row r="4358">
      <c r="B4358" s="0" t="inlineStr">
        <is>
          <t xml:space="preserve">N0024421P0438</t>
        </is>
      </c>
      <c r="C4358" s="0" t="inlineStr">
        <is>
          <t xml:space="preserve">small_craft</t>
        </is>
      </c>
      <c r="D4358" s="4">
        <v>0.039437679999999996</v>
      </c>
      <c r="E4358" s="0" t="inlineStr">
        <is>
          <t xml:space="preserve">JDCI ENTERPRISES, INC.</t>
        </is>
      </c>
      <c r="F4358" s="0" t="inlineStr">
        <is>
          <t xml:space="preserve">naics:336612</t>
        </is>
      </c>
    </row>
    <row r="4359">
      <c r="B4359" s="0" t="inlineStr">
        <is>
          <t xml:space="preserve">N0018919P0841</t>
        </is>
      </c>
      <c r="C4359" s="0" t="inlineStr">
        <is>
          <t xml:space="preserve">small_craft</t>
        </is>
      </c>
      <c r="D4359" s="4">
        <v>0.03910072</v>
      </c>
      <c r="E4359" s="0" t="inlineStr">
        <is>
          <t xml:space="preserve">SAFE BOATS INTERNATIONAL LLC</t>
        </is>
      </c>
      <c r="F4359" s="0" t="inlineStr">
        <is>
          <t xml:space="preserve">naics:336612</t>
        </is>
      </c>
    </row>
    <row r="4360">
      <c r="B4360" s="0" t="inlineStr">
        <is>
          <t xml:space="preserve">N0010425PSA88</t>
        </is>
      </c>
      <c r="C4360" s="0" t="inlineStr">
        <is>
          <t xml:space="preserve">small_craft</t>
        </is>
      </c>
      <c r="D4360" s="4">
        <v>0.039099999999999996</v>
      </c>
      <c r="E4360" s="0" t="inlineStr">
        <is>
          <t xml:space="preserve">CARVER PUMP COMPANY</t>
        </is>
      </c>
      <c r="F4360" s="0" t="inlineStr">
        <is>
          <t xml:space="preserve">naics:336612</t>
        </is>
      </c>
    </row>
    <row r="4361">
      <c r="B4361" s="0" t="inlineStr">
        <is>
          <t xml:space="preserve">4T06</t>
        </is>
      </c>
      <c r="C4361" s="0" t="inlineStr">
        <is>
          <t xml:space="preserve">broad_maritime</t>
        </is>
      </c>
      <c r="D4361" s="4">
        <v>0.03899336</v>
      </c>
      <c r="E4361" s="0" t="inlineStr">
        <is>
          <t xml:space="preserve">HUNTINGTON INGALLS INC</t>
        </is>
      </c>
      <c r="F4361" s="0" t="inlineStr">
        <is>
          <t xml:space="preserve">psc:1905</t>
        </is>
      </c>
    </row>
    <row r="4362">
      <c r="B4362" s="0" t="inlineStr">
        <is>
          <t xml:space="preserve">N6133122P0179</t>
        </is>
      </c>
      <c r="C4362" s="0" t="inlineStr">
        <is>
          <t xml:space="preserve">small_craft</t>
        </is>
      </c>
      <c r="D4362" s="4">
        <v>0.038779999999999995</v>
      </c>
      <c r="E4362" s="0" t="inlineStr">
        <is>
          <t xml:space="preserve">HYDRONALIX INC</t>
        </is>
      </c>
      <c r="F4362" s="0" t="inlineStr">
        <is>
          <t xml:space="preserve">naics:336612</t>
        </is>
      </c>
    </row>
    <row r="4363">
      <c r="B4363" s="0" t="inlineStr">
        <is>
          <t xml:space="preserve">N5005424P0019</t>
        </is>
      </c>
      <c r="C4363" s="0" t="inlineStr">
        <is>
          <t xml:space="preserve">small_craft</t>
        </is>
      </c>
      <c r="D4363" s="4">
        <v>0.038575</v>
      </c>
      <c r="E4363" s="0" t="inlineStr">
        <is>
          <t xml:space="preserve">SOUTHCOAST WELDING &amp; MANUFACTURING, LLC.</t>
        </is>
      </c>
      <c r="F4363" s="0" t="inlineStr">
        <is>
          <t xml:space="preserve">naics:336612</t>
        </is>
      </c>
    </row>
    <row r="4364">
      <c r="B4364" s="0" t="inlineStr">
        <is>
          <t xml:space="preserve">N6600119P6418</t>
        </is>
      </c>
      <c r="C4364" s="0" t="inlineStr">
        <is>
          <t xml:space="preserve">small_craft</t>
        </is>
      </c>
      <c r="D4364" s="4">
        <v>0.038563</v>
      </c>
      <c r="E4364" s="0" t="inlineStr">
        <is>
          <t xml:space="preserve">THRUSTMASTER OF TEXAS, INC</t>
        </is>
      </c>
      <c r="F4364" s="0" t="inlineStr">
        <is>
          <t xml:space="preserve">naics:336612</t>
        </is>
      </c>
    </row>
    <row r="4365">
      <c r="B4365" s="0" t="inlineStr">
        <is>
          <t xml:space="preserve">M6739924P0043</t>
        </is>
      </c>
      <c r="C4365" s="0" t="inlineStr">
        <is>
          <t xml:space="preserve">small_craft</t>
        </is>
      </c>
      <c r="D4365" s="4">
        <v>0.03851082</v>
      </c>
      <c r="E4365" s="0" t="inlineStr">
        <is>
          <t xml:space="preserve">NISD, LLC</t>
        </is>
      </c>
      <c r="F4365" s="0" t="inlineStr">
        <is>
          <t xml:space="preserve">psc:1940</t>
        </is>
      </c>
    </row>
    <row r="4366">
      <c r="B4366" s="0" t="inlineStr">
        <is>
          <t xml:space="preserve">M0068123P0053</t>
        </is>
      </c>
      <c r="C4366" s="0" t="inlineStr">
        <is>
          <t xml:space="preserve">small_craft</t>
        </is>
      </c>
      <c r="D4366" s="4">
        <v>0.0385</v>
      </c>
      <c r="E4366" s="0" t="inlineStr">
        <is>
          <t xml:space="preserve">NIGHTFALL CONSULTING, LLC</t>
        </is>
      </c>
      <c r="F4366" s="0" t="inlineStr">
        <is>
          <t xml:space="preserve">naics:336612</t>
        </is>
      </c>
    </row>
    <row r="4367">
      <c r="B4367" s="0" t="inlineStr">
        <is>
          <t xml:space="preserve">M6890919P7614</t>
        </is>
      </c>
      <c r="C4367" s="0" t="inlineStr">
        <is>
          <t xml:space="preserve">small_craft</t>
        </is>
      </c>
      <c r="D4367" s="4">
        <v>0.0384</v>
      </c>
      <c r="E4367" s="0" t="inlineStr">
        <is>
          <t xml:space="preserve">WING INFLATABLES INC</t>
        </is>
      </c>
      <c r="F4367" s="0" t="inlineStr">
        <is>
          <t xml:space="preserve">naics:336612; psc:1940</t>
        </is>
      </c>
    </row>
    <row r="4368">
      <c r="B4368" s="0" t="inlineStr">
        <is>
          <t xml:space="preserve">N0010425PEC22</t>
        </is>
      </c>
      <c r="C4368" s="0" t="inlineStr">
        <is>
          <t xml:space="preserve">small_craft</t>
        </is>
      </c>
      <c r="D4368" s="4">
        <v>0.038241</v>
      </c>
      <c r="E4368" s="0" t="inlineStr">
        <is>
          <t xml:space="preserve">JO-KELL INC.</t>
        </is>
      </c>
      <c r="F4368" s="0" t="inlineStr">
        <is>
          <t xml:space="preserve">naics:336612</t>
        </is>
      </c>
    </row>
    <row r="4369">
      <c r="B4369" s="0" t="inlineStr">
        <is>
          <t xml:space="preserve">0028</t>
        </is>
      </c>
      <c r="C4369" s="0" t="inlineStr">
        <is>
          <t xml:space="preserve">broad_maritime</t>
        </is>
      </c>
      <c r="D4369" s="4">
        <v>0.038174</v>
      </c>
      <c r="E4369" s="0" t="inlineStr">
        <is>
          <t xml:space="preserve">ELECTRIC BOAT CORPORATION</t>
        </is>
      </c>
      <c r="F4369" s="0" t="inlineStr">
        <is>
          <t xml:space="preserve">psc:1905</t>
        </is>
      </c>
    </row>
    <row r="4370">
      <c r="B4370" s="0" t="inlineStr">
        <is>
          <t xml:space="preserve">N4033924FS060</t>
        </is>
      </c>
      <c r="C4370" s="0" t="inlineStr">
        <is>
          <t xml:space="preserve">small_craft</t>
        </is>
      </c>
      <c r="D4370" s="4">
        <v>0.038095</v>
      </c>
      <c r="E4370" s="0" t="inlineStr">
        <is>
          <t xml:space="preserve">CENTRAL FLORIDA YAMAHA INC</t>
        </is>
      </c>
      <c r="F4370" s="0" t="inlineStr">
        <is>
          <t xml:space="preserve">naics:336612</t>
        </is>
      </c>
    </row>
    <row r="4371">
      <c r="B4371" s="0" t="inlineStr">
        <is>
          <t xml:space="preserve">N0010417PEC34</t>
        </is>
      </c>
      <c r="C4371" s="0" t="inlineStr">
        <is>
          <t xml:space="preserve">small_craft</t>
        </is>
      </c>
      <c r="D4371" s="4">
        <v>0.037758</v>
      </c>
      <c r="E4371" s="0" t="inlineStr">
        <is>
          <t xml:space="preserve">FLUIDYNE CORPORATION</t>
        </is>
      </c>
      <c r="F4371" s="0" t="inlineStr">
        <is>
          <t xml:space="preserve">naics:336612</t>
        </is>
      </c>
    </row>
    <row r="4372">
      <c r="B4372" s="0" t="inlineStr">
        <is>
          <t xml:space="preserve">N6833518P0380</t>
        </is>
      </c>
      <c r="C4372" s="0" t="inlineStr">
        <is>
          <t xml:space="preserve">broad_maritime</t>
        </is>
      </c>
      <c r="D4372" s="4">
        <v>0.03771</v>
      </c>
      <c r="E4372" s="0" t="inlineStr">
        <is>
          <t xml:space="preserve">CORNELL-CARR CO., INC.</t>
        </is>
      </c>
      <c r="F4372" s="0" t="inlineStr">
        <is>
          <t xml:space="preserve">psc:1905</t>
        </is>
      </c>
    </row>
    <row r="4373">
      <c r="B4373" s="0" t="inlineStr">
        <is>
          <t xml:space="preserve">N0010423PDC38</t>
        </is>
      </c>
      <c r="C4373" s="0" t="inlineStr">
        <is>
          <t xml:space="preserve">small_craft</t>
        </is>
      </c>
      <c r="D4373" s="4">
        <v>0.037543</v>
      </c>
      <c r="E4373" s="0" t="inlineStr">
        <is>
          <t xml:space="preserve">ROLLS-ROYCE MARINE NORTH AMERICA INC.</t>
        </is>
      </c>
      <c r="F4373" s="0" t="inlineStr">
        <is>
          <t xml:space="preserve">naics:336612</t>
        </is>
      </c>
    </row>
    <row r="4374">
      <c r="B4374" s="0" t="inlineStr">
        <is>
          <t xml:space="preserve">N3220525P5015</t>
        </is>
      </c>
      <c r="C4374" s="0" t="inlineStr">
        <is>
          <t xml:space="preserve">small_craft</t>
        </is>
      </c>
      <c r="D4374" s="4">
        <v>0.03754119</v>
      </c>
      <c r="E4374" s="0" t="inlineStr">
        <is>
          <t xml:space="preserve">FASSMER SERVICE AMERICA LLC</t>
        </is>
      </c>
      <c r="F4374" s="0" t="inlineStr">
        <is>
          <t xml:space="preserve">naics:336612; psc:1940</t>
        </is>
      </c>
    </row>
    <row r="4375">
      <c r="B4375" s="0" t="inlineStr">
        <is>
          <t xml:space="preserve">N4044617P0009</t>
        </is>
      </c>
      <c r="C4375" s="0" t="inlineStr">
        <is>
          <t xml:space="preserve">small_craft</t>
        </is>
      </c>
      <c r="D4375" s="4">
        <v>0.03739623</v>
      </c>
      <c r="E4375" s="0" t="inlineStr">
        <is>
          <t xml:space="preserve">WILLARD MARINE, INC.</t>
        </is>
      </c>
      <c r="F4375" s="0" t="inlineStr">
        <is>
          <t xml:space="preserve">naics:336612</t>
        </is>
      </c>
    </row>
    <row r="4376">
      <c r="B4376" s="0" t="inlineStr">
        <is>
          <t xml:space="preserve">0016</t>
        </is>
      </c>
      <c r="C4376" s="0" t="inlineStr">
        <is>
          <t xml:space="preserve">small_craft</t>
        </is>
      </c>
      <c r="D4376" s="4">
        <v>0.03729813</v>
      </c>
      <c r="E4376" s="0" t="inlineStr">
        <is>
          <t xml:space="preserve">SAUNDERS ENGINE &amp; EQUIPMENT CO INC</t>
        </is>
      </c>
      <c r="F4376" s="0" t="inlineStr">
        <is>
          <t xml:space="preserve">naics:336612</t>
        </is>
      </c>
    </row>
    <row r="4377">
      <c r="B4377" s="0" t="inlineStr">
        <is>
          <t xml:space="preserve">N6278914P0002</t>
        </is>
      </c>
      <c r="C4377" s="0" t="inlineStr">
        <is>
          <t xml:space="preserve">broad_maritime</t>
        </is>
      </c>
      <c r="D4377" s="4">
        <v>0.03718051</v>
      </c>
      <c r="E4377" s="0" t="inlineStr">
        <is>
          <t xml:space="preserve">YORK INTERNATIONAL CORPORATION</t>
        </is>
      </c>
      <c r="F4377" s="0" t="inlineStr">
        <is>
          <t xml:space="preserve">psc:1905</t>
        </is>
      </c>
    </row>
    <row r="4378">
      <c r="B4378" s="0" t="inlineStr">
        <is>
          <t xml:space="preserve">N0016720F0153</t>
        </is>
      </c>
      <c r="C4378" s="0" t="inlineStr">
        <is>
          <t xml:space="preserve">broad_maritime</t>
        </is>
      </c>
      <c r="D4378" s="4">
        <v>0.03713947</v>
      </c>
      <c r="E4378" s="0" t="inlineStr">
        <is>
          <t xml:space="preserve">QED SYSTEMS, INC.</t>
        </is>
      </c>
      <c r="F4378" s="0" t="inlineStr">
        <is>
          <t xml:space="preserve">psc:1905</t>
        </is>
      </c>
    </row>
    <row r="4379">
      <c r="B4379" s="0" t="inlineStr">
        <is>
          <t xml:space="preserve">N0040619P0598</t>
        </is>
      </c>
      <c r="C4379" s="0" t="inlineStr">
        <is>
          <t xml:space="preserve">small_craft</t>
        </is>
      </c>
      <c r="D4379" s="4">
        <v>0.037076519999999995</v>
      </c>
      <c r="E4379" s="0" t="inlineStr">
        <is>
          <t xml:space="preserve">KLB ENTERPRISES CORP</t>
        </is>
      </c>
      <c r="F4379" s="0" t="inlineStr">
        <is>
          <t xml:space="preserve">naics:336612</t>
        </is>
      </c>
    </row>
    <row r="4380">
      <c r="B4380" s="0" t="inlineStr">
        <is>
          <t xml:space="preserve">N0010426PSA97</t>
        </is>
      </c>
      <c r="C4380" s="0" t="inlineStr">
        <is>
          <t xml:space="preserve">small_craft</t>
        </is>
      </c>
      <c r="D4380" s="4">
        <v>0.036899999999999995</v>
      </c>
      <c r="E4380" s="0" t="inlineStr">
        <is>
          <t xml:space="preserve">RAILWAY SPECIALTIES CORP</t>
        </is>
      </c>
      <c r="F4380" s="0" t="inlineStr">
        <is>
          <t xml:space="preserve">naics:336612</t>
        </is>
      </c>
    </row>
    <row r="4381">
      <c r="B4381" s="0" t="inlineStr">
        <is>
          <t xml:space="preserve">N6893616P0823</t>
        </is>
      </c>
      <c r="C4381" s="0" t="inlineStr">
        <is>
          <t xml:space="preserve">small_craft</t>
        </is>
      </c>
      <c r="D4381" s="4">
        <v>0.03673</v>
      </c>
      <c r="E4381" s="0" t="inlineStr">
        <is>
          <t xml:space="preserve">WILSON PONTOONS INC</t>
        </is>
      </c>
      <c r="F4381" s="0" t="inlineStr">
        <is>
          <t xml:space="preserve">naics:336612</t>
        </is>
      </c>
    </row>
    <row r="4382">
      <c r="B4382" s="0" t="inlineStr">
        <is>
          <t xml:space="preserve">N3220519F1014</t>
        </is>
      </c>
      <c r="C4382" s="0" t="inlineStr">
        <is>
          <t xml:space="preserve">other_small</t>
        </is>
      </c>
      <c r="D4382" s="4">
        <v>0.036584559999999995</v>
      </c>
      <c r="E4382" s="0" t="inlineStr">
        <is>
          <t xml:space="preserve">LAKE SHORE SYSTEMS, INC.</t>
        </is>
      </c>
      <c r="F4382" s="0" t="inlineStr">
        <is>
          <t xml:space="preserve">psc:1990</t>
        </is>
      </c>
    </row>
    <row r="4383">
      <c r="B4383" s="0" t="inlineStr">
        <is>
          <t xml:space="preserve">N0010420PEL00</t>
        </is>
      </c>
      <c r="C4383" s="0" t="inlineStr">
        <is>
          <t xml:space="preserve">small_craft</t>
        </is>
      </c>
      <c r="D4383" s="4">
        <v>0.0365</v>
      </c>
      <c r="E4383" s="0" t="inlineStr">
        <is>
          <t xml:space="preserve">ADIRONDACK ELECTRONICS INC</t>
        </is>
      </c>
      <c r="F4383" s="0" t="inlineStr">
        <is>
          <t xml:space="preserve">naics:336612</t>
        </is>
      </c>
    </row>
    <row r="4384">
      <c r="B4384" s="0" t="inlineStr">
        <is>
          <t xml:space="preserve">N0010420PFA10</t>
        </is>
      </c>
      <c r="C4384" s="0" t="inlineStr">
        <is>
          <t xml:space="preserve">small_craft</t>
        </is>
      </c>
      <c r="D4384" s="4">
        <v>0.03625</v>
      </c>
      <c r="E4384" s="0" t="inlineStr">
        <is>
          <t xml:space="preserve">U.S.A. SPARES INC.</t>
        </is>
      </c>
      <c r="F4384" s="0" t="inlineStr">
        <is>
          <t xml:space="preserve">naics:336612</t>
        </is>
      </c>
    </row>
    <row r="4385">
      <c r="B4385" s="0" t="inlineStr">
        <is>
          <t xml:space="preserve">N0018923P0199</t>
        </is>
      </c>
      <c r="C4385" s="0" t="inlineStr">
        <is>
          <t xml:space="preserve">small_craft</t>
        </is>
      </c>
      <c r="D4385" s="4">
        <v>0.036117830000000004</v>
      </c>
      <c r="E4385" s="0" t="inlineStr">
        <is>
          <t xml:space="preserve">WING INFLATABLES, INC.</t>
        </is>
      </c>
      <c r="F4385" s="0" t="inlineStr">
        <is>
          <t xml:space="preserve">psc:1940</t>
        </is>
      </c>
    </row>
    <row r="4386">
      <c r="B4386" s="0" t="inlineStr">
        <is>
          <t xml:space="preserve">N4044317P0029</t>
        </is>
      </c>
      <c r="C4386" s="0" t="inlineStr">
        <is>
          <t xml:space="preserve">small_craft</t>
        </is>
      </c>
      <c r="D4386" s="4">
        <v>0.036049</v>
      </c>
      <c r="E4386" s="0" t="inlineStr">
        <is>
          <t xml:space="preserve">PALMER JOHNSON POWER SYSTEMS LLC</t>
        </is>
      </c>
      <c r="F4386" s="0" t="inlineStr">
        <is>
          <t xml:space="preserve">naics:336612</t>
        </is>
      </c>
    </row>
    <row r="4387">
      <c r="B4387" s="0" t="inlineStr">
        <is>
          <t xml:space="preserve">N0010416PND88</t>
        </is>
      </c>
      <c r="C4387" s="0" t="inlineStr">
        <is>
          <t xml:space="preserve">small_craft</t>
        </is>
      </c>
      <c r="D4387" s="4">
        <v>0.036</v>
      </c>
      <c r="E4387" s="0" t="inlineStr">
        <is>
          <t xml:space="preserve">DERBYSHIRE MACHINE &amp; TOOL CO</t>
        </is>
      </c>
      <c r="F4387" s="0" t="inlineStr">
        <is>
          <t xml:space="preserve">naics:336612</t>
        </is>
      </c>
    </row>
    <row r="4388">
      <c r="B4388" s="0" t="inlineStr">
        <is>
          <t xml:space="preserve">N0010417PEC35</t>
        </is>
      </c>
      <c r="C4388" s="0" t="inlineStr">
        <is>
          <t xml:space="preserve">small_craft</t>
        </is>
      </c>
      <c r="D4388" s="4">
        <v>0.035990999999999995</v>
      </c>
      <c r="E4388" s="0" t="inlineStr">
        <is>
          <t xml:space="preserve">FLUIDYNE CORPORATION</t>
        </is>
      </c>
      <c r="F4388" s="0" t="inlineStr">
        <is>
          <t xml:space="preserve">naics:336612</t>
        </is>
      </c>
    </row>
    <row r="4389">
      <c r="B4389" s="0" t="inlineStr">
        <is>
          <t xml:space="preserve">N4044210P8047</t>
        </is>
      </c>
      <c r="C4389" s="0" t="inlineStr">
        <is>
          <t xml:space="preserve">small_craft</t>
        </is>
      </c>
      <c r="D4389" s="4">
        <v>0.03595716</v>
      </c>
      <c r="E4389" s="0" t="inlineStr">
        <is>
          <t xml:space="preserve">PALFINGER MARINE USA, LLC</t>
        </is>
      </c>
      <c r="F4389" s="0" t="inlineStr">
        <is>
          <t xml:space="preserve">naics:336612</t>
        </is>
      </c>
    </row>
    <row r="4390">
      <c r="B4390" s="0" t="inlineStr">
        <is>
          <t xml:space="preserve">N0010426PSA63</t>
        </is>
      </c>
      <c r="C4390" s="0" t="inlineStr">
        <is>
          <t xml:space="preserve">small_craft</t>
        </is>
      </c>
      <c r="D4390" s="4">
        <v>0.0359</v>
      </c>
      <c r="E4390" s="0" t="inlineStr">
        <is>
          <t xml:space="preserve">RAILWAY SPECIALTIES CORP</t>
        </is>
      </c>
      <c r="F4390" s="0" t="inlineStr">
        <is>
          <t xml:space="preserve">naics:336612</t>
        </is>
      </c>
    </row>
    <row r="4391">
      <c r="B4391" s="0" t="inlineStr">
        <is>
          <t xml:space="preserve">N0002418F22T2</t>
        </is>
      </c>
      <c r="C4391" s="0" t="inlineStr">
        <is>
          <t xml:space="preserve">other_small</t>
        </is>
      </c>
      <c r="D4391" s="4">
        <v>0.035831999999999996</v>
      </c>
      <c r="E4391" s="0" t="inlineStr">
        <is>
          <t xml:space="preserve">AUSTAL USA, LLC</t>
        </is>
      </c>
      <c r="F4391" s="0" t="inlineStr">
        <is>
          <t xml:space="preserve">psc:1990</t>
        </is>
      </c>
    </row>
    <row r="4392">
      <c r="B4392" s="0" t="inlineStr">
        <is>
          <t xml:space="preserve">N0010421PBB59</t>
        </is>
      </c>
      <c r="C4392" s="0" t="inlineStr">
        <is>
          <t xml:space="preserve">small_craft</t>
        </is>
      </c>
      <c r="D4392" s="4">
        <v>0.035699999999999996</v>
      </c>
      <c r="E4392" s="0" t="inlineStr">
        <is>
          <t xml:space="preserve">SKOVIRA MACHINE CO</t>
        </is>
      </c>
      <c r="F4392" s="0" t="inlineStr">
        <is>
          <t xml:space="preserve">naics:336612; psc:1940</t>
        </is>
      </c>
    </row>
    <row r="4393">
      <c r="B4393" s="0" t="inlineStr">
        <is>
          <t xml:space="preserve">N0010417PF012</t>
        </is>
      </c>
      <c r="C4393" s="0" t="inlineStr">
        <is>
          <t xml:space="preserve">small_craft</t>
        </is>
      </c>
      <c r="D4393" s="4">
        <v>0.035608</v>
      </c>
      <c r="E4393" s="0" t="inlineStr">
        <is>
          <t xml:space="preserve">ERIE FORGE &amp; STEEL INC</t>
        </is>
      </c>
      <c r="F4393" s="0" t="inlineStr">
        <is>
          <t xml:space="preserve">naics:336612</t>
        </is>
      </c>
    </row>
    <row r="4394">
      <c r="B4394" s="0" t="inlineStr">
        <is>
          <t xml:space="preserve">N0010424PLD93</t>
        </is>
      </c>
      <c r="C4394" s="0" t="inlineStr">
        <is>
          <t xml:space="preserve">small_craft</t>
        </is>
      </c>
      <c r="D4394" s="4">
        <v>0.0356</v>
      </c>
      <c r="E4394" s="0" t="inlineStr">
        <is>
          <t xml:space="preserve">ESI ACQUISITION CORP</t>
        </is>
      </c>
      <c r="F4394" s="0" t="inlineStr">
        <is>
          <t xml:space="preserve">naics:336612</t>
        </is>
      </c>
    </row>
    <row r="4395">
      <c r="B4395" s="0" t="inlineStr">
        <is>
          <t xml:space="preserve">N0010414PNB37</t>
        </is>
      </c>
      <c r="C4395" s="0" t="inlineStr">
        <is>
          <t xml:space="preserve">small_craft</t>
        </is>
      </c>
      <c r="D4395" s="4">
        <v>0.035434</v>
      </c>
      <c r="E4395" s="0" t="inlineStr">
        <is>
          <t xml:space="preserve">DERBYSHIRE MACHINE &amp; TOOL CO</t>
        </is>
      </c>
      <c r="F4395" s="0" t="inlineStr">
        <is>
          <t xml:space="preserve">naics:336612</t>
        </is>
      </c>
    </row>
    <row r="4396">
      <c r="B4396" s="0" t="inlineStr">
        <is>
          <t xml:space="preserve">N0016722P0099</t>
        </is>
      </c>
      <c r="C4396" s="0" t="inlineStr">
        <is>
          <t xml:space="preserve">small_craft</t>
        </is>
      </c>
      <c r="D4396" s="4">
        <v>0.035273160000000005</v>
      </c>
      <c r="E4396" s="0" t="inlineStr">
        <is>
          <t xml:space="preserve">BEACH MARINE SERVICES INC</t>
        </is>
      </c>
      <c r="F4396" s="0" t="inlineStr">
        <is>
          <t xml:space="preserve">psc:1940</t>
        </is>
      </c>
    </row>
    <row r="4397">
      <c r="B4397" s="0" t="inlineStr">
        <is>
          <t xml:space="preserve">N0040621P0071</t>
        </is>
      </c>
      <c r="C4397" s="0" t="inlineStr">
        <is>
          <t xml:space="preserve">small_craft</t>
        </is>
      </c>
      <c r="D4397" s="4">
        <v>0.035172800000000004</v>
      </c>
      <c r="E4397" s="0" t="inlineStr">
        <is>
          <t xml:space="preserve">PIER SIDE SUPPLY INC</t>
        </is>
      </c>
      <c r="F4397" s="0" t="inlineStr">
        <is>
          <t xml:space="preserve">naics:336612</t>
        </is>
      </c>
    </row>
    <row r="4398">
      <c r="B4398" s="0" t="inlineStr">
        <is>
          <t xml:space="preserve">N0010421PCC86</t>
        </is>
      </c>
      <c r="C4398" s="0" t="inlineStr">
        <is>
          <t xml:space="preserve">small_craft</t>
        </is>
      </c>
      <c r="D4398" s="4">
        <v>0.0351</v>
      </c>
      <c r="E4398" s="0" t="inlineStr">
        <is>
          <t xml:space="preserve">P.S.I REPAIR SERVICES, INC.</t>
        </is>
      </c>
      <c r="F4398" s="0" t="inlineStr">
        <is>
          <t xml:space="preserve">naics:336612</t>
        </is>
      </c>
    </row>
    <row r="4399">
      <c r="B4399" s="0" t="inlineStr">
        <is>
          <t xml:space="preserve">N0010415PCE02</t>
        </is>
      </c>
      <c r="C4399" s="0" t="inlineStr">
        <is>
          <t xml:space="preserve">small_craft</t>
        </is>
      </c>
      <c r="D4399" s="4">
        <v>0.035035</v>
      </c>
      <c r="E4399" s="0" t="inlineStr">
        <is>
          <t xml:space="preserve">DEFENSE MARITIME SOLUTIONS, INC.</t>
        </is>
      </c>
      <c r="F4399" s="0" t="inlineStr">
        <is>
          <t xml:space="preserve">naics:336612</t>
        </is>
      </c>
    </row>
    <row r="4400">
      <c r="B4400" s="0" t="inlineStr">
        <is>
          <t xml:space="preserve">N3220526P5025</t>
        </is>
      </c>
      <c r="C4400" s="0" t="inlineStr">
        <is>
          <t xml:space="preserve">small_craft</t>
        </is>
      </c>
      <c r="D4400" s="4">
        <v>0.034995160000000004</v>
      </c>
      <c r="E4400" s="0" t="inlineStr">
        <is>
          <t xml:space="preserve">FASSMER SERVICE AMERICA LLC</t>
        </is>
      </c>
      <c r="F4400" s="0" t="inlineStr">
        <is>
          <t xml:space="preserve">naics:336612</t>
        </is>
      </c>
    </row>
    <row r="4401">
      <c r="B4401" s="0" t="inlineStr">
        <is>
          <t xml:space="preserve">N0010420PEA1W</t>
        </is>
      </c>
      <c r="C4401" s="0" t="inlineStr">
        <is>
          <t xml:space="preserve">small_craft</t>
        </is>
      </c>
      <c r="D4401" s="4">
        <v>0.034929999999999996</v>
      </c>
      <c r="E4401" s="0" t="inlineStr">
        <is>
          <t xml:space="preserve">ISA (WYOMING) CORP</t>
        </is>
      </c>
      <c r="F4401" s="0" t="inlineStr">
        <is>
          <t xml:space="preserve">naics:336612</t>
        </is>
      </c>
    </row>
    <row r="4402">
      <c r="B4402" s="0" t="inlineStr">
        <is>
          <t xml:space="preserve">N6893625F5110</t>
        </is>
      </c>
      <c r="C4402" s="0" t="inlineStr">
        <is>
          <t xml:space="preserve">small_craft</t>
        </is>
      </c>
      <c r="D4402" s="4">
        <v>0.03456962</v>
      </c>
      <c r="E4402" s="0" t="inlineStr">
        <is>
          <t xml:space="preserve">NW BEND BOATS, LLC</t>
        </is>
      </c>
      <c r="F4402" s="0" t="inlineStr">
        <is>
          <t xml:space="preserve">naics:336612</t>
        </is>
      </c>
    </row>
    <row r="4403">
      <c r="B4403" s="0" t="inlineStr">
        <is>
          <t xml:space="preserve">N0010425PBV82</t>
        </is>
      </c>
      <c r="C4403" s="0" t="inlineStr">
        <is>
          <t xml:space="preserve">small_craft</t>
        </is>
      </c>
      <c r="D4403" s="4">
        <v>0.034524</v>
      </c>
      <c r="E4403" s="0" t="inlineStr">
        <is>
          <t xml:space="preserve">GAFFEL EQUIPMENT</t>
        </is>
      </c>
      <c r="F4403" s="0" t="inlineStr">
        <is>
          <t xml:space="preserve">naics:336612</t>
        </is>
      </c>
    </row>
    <row r="4404">
      <c r="B4404" s="0" t="inlineStr">
        <is>
          <t xml:space="preserve">N3220520F2297</t>
        </is>
      </c>
      <c r="C4404" s="0" t="inlineStr">
        <is>
          <t xml:space="preserve">other_small</t>
        </is>
      </c>
      <c r="D4404" s="4">
        <v>0.034519999999999995</v>
      </c>
      <c r="E4404" s="0" t="inlineStr">
        <is>
          <t xml:space="preserve">LAKE SHORE SYSTEMS, INC.</t>
        </is>
      </c>
      <c r="F4404" s="0" t="inlineStr">
        <is>
          <t xml:space="preserve">psc:1990</t>
        </is>
      </c>
    </row>
    <row r="4405">
      <c r="B4405" s="0" t="inlineStr">
        <is>
          <t xml:space="preserve">N0010425PFC92</t>
        </is>
      </c>
      <c r="C4405" s="0" t="inlineStr">
        <is>
          <t xml:space="preserve">small_craft</t>
        </is>
      </c>
      <c r="D4405" s="4">
        <v>0.03447</v>
      </c>
      <c r="E4405" s="0" t="inlineStr">
        <is>
          <t xml:space="preserve">FLUIDYNE CORPORATION</t>
        </is>
      </c>
      <c r="F4405" s="0" t="inlineStr">
        <is>
          <t xml:space="preserve">naics:336612</t>
        </is>
      </c>
    </row>
    <row r="4406">
      <c r="B4406" s="0" t="inlineStr">
        <is>
          <t xml:space="preserve">N0024418P0488</t>
        </is>
      </c>
      <c r="C4406" s="0" t="inlineStr">
        <is>
          <t xml:space="preserve">small_craft</t>
        </is>
      </c>
      <c r="D4406" s="4">
        <v>0.03445</v>
      </c>
      <c r="E4406" s="0" t="inlineStr">
        <is>
          <t xml:space="preserve">DEMAREE INFLATABLE BOATS INC</t>
        </is>
      </c>
      <c r="F4406" s="0" t="inlineStr">
        <is>
          <t xml:space="preserve">naics:336612</t>
        </is>
      </c>
    </row>
    <row r="4407">
      <c r="B4407" s="0" t="inlineStr">
        <is>
          <t xml:space="preserve">N3220520P0303</t>
        </is>
      </c>
      <c r="C4407" s="0" t="inlineStr">
        <is>
          <t xml:space="preserve">small_craft</t>
        </is>
      </c>
      <c r="D4407" s="4">
        <v>0.034265</v>
      </c>
      <c r="E4407" s="0" t="inlineStr">
        <is>
          <t xml:space="preserve">PUGET SOUND INFLATABLES, INC.</t>
        </is>
      </c>
      <c r="F4407" s="0" t="inlineStr">
        <is>
          <t xml:space="preserve">naics:336612</t>
        </is>
      </c>
    </row>
    <row r="4408">
      <c r="B4408" s="0" t="inlineStr">
        <is>
          <t xml:space="preserve">N6278917F0013</t>
        </is>
      </c>
      <c r="C4408" s="0" t="inlineStr">
        <is>
          <t xml:space="preserve">broad_maritime</t>
        </is>
      </c>
      <c r="D4408" s="4">
        <v>0.034256</v>
      </c>
      <c r="E4408" s="0" t="inlineStr">
        <is>
          <t xml:space="preserve">ELECTRIC BOAT CORPORATION</t>
        </is>
      </c>
      <c r="F4408" s="0" t="inlineStr">
        <is>
          <t xml:space="preserve">psc:1905</t>
        </is>
      </c>
    </row>
    <row r="4409">
      <c r="B4409" s="0" t="inlineStr">
        <is>
          <t xml:space="preserve">N3220519P6194</t>
        </is>
      </c>
      <c r="C4409" s="0" t="inlineStr">
        <is>
          <t xml:space="preserve">small_craft</t>
        </is>
      </c>
      <c r="D4409" s="4">
        <v>0.03405673</v>
      </c>
      <c r="E4409" s="0" t="inlineStr">
        <is>
          <t xml:space="preserve">FASSMER SERVICE AMERICA LLC</t>
        </is>
      </c>
      <c r="F4409" s="0" t="inlineStr">
        <is>
          <t xml:space="preserve">naics:336612</t>
        </is>
      </c>
    </row>
    <row r="4410">
      <c r="B4410" s="0" t="inlineStr">
        <is>
          <t xml:space="preserve">N3943025P0007</t>
        </is>
      </c>
      <c r="C4410" s="0" t="inlineStr">
        <is>
          <t xml:space="preserve">other_small</t>
        </is>
      </c>
      <c r="D4410" s="4">
        <v>0.033999999999999996</v>
      </c>
      <c r="E4410" s="0" t="inlineStr">
        <is>
          <t xml:space="preserve">BRUSCO TUG &amp; BARGE, INC.</t>
        </is>
      </c>
      <c r="F4410" s="0" t="inlineStr">
        <is>
          <t xml:space="preserve">psc:1925</t>
        </is>
      </c>
    </row>
    <row r="4411">
      <c r="B4411" s="0" t="inlineStr">
        <is>
          <t xml:space="preserve">M6700115P1501</t>
        </is>
      </c>
      <c r="C4411" s="0" t="inlineStr">
        <is>
          <t xml:space="preserve">small_craft</t>
        </is>
      </c>
      <c r="D4411" s="4">
        <v>0.03392451999999999</v>
      </c>
      <c r="E4411" s="0" t="inlineStr">
        <is>
          <t xml:space="preserve">CENTRAL FLORIDA YAMAHA INC</t>
        </is>
      </c>
      <c r="F4411" s="0" t="inlineStr">
        <is>
          <t xml:space="preserve">naics:336612</t>
        </is>
      </c>
    </row>
    <row r="4412">
      <c r="B4412" s="0" t="inlineStr">
        <is>
          <t xml:space="preserve">N0010421PND60</t>
        </is>
      </c>
      <c r="C4412" s="0" t="inlineStr">
        <is>
          <t xml:space="preserve">small_craft</t>
        </is>
      </c>
      <c r="D4412" s="4">
        <v>0.033914</v>
      </c>
      <c r="E4412" s="0" t="inlineStr">
        <is>
          <t xml:space="preserve">ALLARD NAZARIAN GROUP, INC.</t>
        </is>
      </c>
      <c r="F4412" s="0" t="inlineStr">
        <is>
          <t xml:space="preserve">naics:336612</t>
        </is>
      </c>
    </row>
    <row r="4413">
      <c r="B4413" s="0" t="inlineStr">
        <is>
          <t xml:space="preserve">N0040619P0330</t>
        </is>
      </c>
      <c r="C4413" s="0" t="inlineStr">
        <is>
          <t xml:space="preserve">small_craft</t>
        </is>
      </c>
      <c r="D4413" s="4">
        <v>0.0339</v>
      </c>
      <c r="E4413" s="0" t="inlineStr">
        <is>
          <t xml:space="preserve">PIER SIDE SUPPLY INC</t>
        </is>
      </c>
      <c r="F4413" s="0" t="inlineStr">
        <is>
          <t xml:space="preserve">naics:336612</t>
        </is>
      </c>
    </row>
    <row r="4414">
      <c r="B4414" s="0" t="inlineStr">
        <is>
          <t xml:space="preserve">N6133123P0154</t>
        </is>
      </c>
      <c r="C4414" s="0" t="inlineStr">
        <is>
          <t xml:space="preserve">small_craft</t>
        </is>
      </c>
      <c r="D4414" s="4">
        <v>0.03378</v>
      </c>
      <c r="E4414" s="0" t="inlineStr">
        <is>
          <t xml:space="preserve">MIG GOV, LLC</t>
        </is>
      </c>
      <c r="F4414" s="0" t="inlineStr">
        <is>
          <t xml:space="preserve">naics:336612</t>
        </is>
      </c>
    </row>
    <row r="4415">
      <c r="B4415" s="0" t="inlineStr">
        <is>
          <t xml:space="preserve">N0024416P0489</t>
        </is>
      </c>
      <c r="C4415" s="0" t="inlineStr">
        <is>
          <t xml:space="preserve">small_craft</t>
        </is>
      </c>
      <c r="D4415" s="4">
        <v>0.033479999999999996</v>
      </c>
      <c r="E4415" s="0" t="inlineStr">
        <is>
          <t xml:space="preserve">MAURER MARINE, INC.</t>
        </is>
      </c>
      <c r="F4415" s="0" t="inlineStr">
        <is>
          <t xml:space="preserve">naics:336612</t>
        </is>
      </c>
    </row>
    <row r="4416">
      <c r="B4416" s="0" t="inlineStr">
        <is>
          <t xml:space="preserve">N0010425PBZ92</t>
        </is>
      </c>
      <c r="C4416" s="0" t="inlineStr">
        <is>
          <t xml:space="preserve">small_craft</t>
        </is>
      </c>
      <c r="D4416" s="4">
        <v>0.0334</v>
      </c>
      <c r="E4416" s="0" t="inlineStr">
        <is>
          <t xml:space="preserve">S I T CORPORATION</t>
        </is>
      </c>
      <c r="F4416" s="0" t="inlineStr">
        <is>
          <t xml:space="preserve">naics:336612</t>
        </is>
      </c>
    </row>
    <row r="4417">
      <c r="B4417" s="0" t="inlineStr">
        <is>
          <t xml:space="preserve">N0024421P0506</t>
        </is>
      </c>
      <c r="C4417" s="0" t="inlineStr">
        <is>
          <t xml:space="preserve">small_craft</t>
        </is>
      </c>
      <c r="D4417" s="4">
        <v>0.0334</v>
      </c>
      <c r="E4417" s="0" t="inlineStr">
        <is>
          <t xml:space="preserve">METCALF MARINE EXHAUST INC</t>
        </is>
      </c>
      <c r="F4417" s="0" t="inlineStr">
        <is>
          <t xml:space="preserve">naics:336612</t>
        </is>
      </c>
    </row>
    <row r="4418">
      <c r="B4418" s="0" t="inlineStr">
        <is>
          <t xml:space="preserve">M6786119P0012</t>
        </is>
      </c>
      <c r="C4418" s="0" t="inlineStr">
        <is>
          <t xml:space="preserve">small_craft</t>
        </is>
      </c>
      <c r="D4418" s="4">
        <v>0.033299999999999996</v>
      </c>
      <c r="E4418" s="0" t="inlineStr">
        <is>
          <t xml:space="preserve">PRO-LINE PROCUREMENT SERVICES LLC</t>
        </is>
      </c>
      <c r="F4418" s="0" t="inlineStr">
        <is>
          <t xml:space="preserve">naics:336612; psc:1940</t>
        </is>
      </c>
    </row>
    <row r="4419">
      <c r="B4419" s="0" t="inlineStr">
        <is>
          <t xml:space="preserve">N4044320P0127</t>
        </is>
      </c>
      <c r="C4419" s="0" t="inlineStr">
        <is>
          <t xml:space="preserve">small_craft</t>
        </is>
      </c>
      <c r="D4419" s="4">
        <v>0.03305353</v>
      </c>
      <c r="E4419" s="0" t="inlineStr">
        <is>
          <t xml:space="preserve">FASSMER SERVICE AMERICA LLC</t>
        </is>
      </c>
      <c r="F4419" s="0" t="inlineStr">
        <is>
          <t xml:space="preserve">naics:336612</t>
        </is>
      </c>
    </row>
    <row r="4420">
      <c r="B4420" s="0" t="inlineStr">
        <is>
          <t xml:space="preserve">N3220519F6711</t>
        </is>
      </c>
      <c r="C4420" s="0" t="inlineStr">
        <is>
          <t xml:space="preserve">other_small</t>
        </is>
      </c>
      <c r="D4420" s="4">
        <v>0.03303983</v>
      </c>
      <c r="E4420" s="0" t="inlineStr">
        <is>
          <t xml:space="preserve">LAKE SHORE SYSTEMS, INC.</t>
        </is>
      </c>
      <c r="F4420" s="0" t="inlineStr">
        <is>
          <t xml:space="preserve">psc:1990</t>
        </is>
      </c>
    </row>
    <row r="4421">
      <c r="B4421" s="0" t="inlineStr">
        <is>
          <t xml:space="preserve">N6874225F0968</t>
        </is>
      </c>
      <c r="C4421" s="0" t="inlineStr">
        <is>
          <t xml:space="preserve">small_craft</t>
        </is>
      </c>
      <c r="D4421" s="4">
        <v>0.032944339999999996</v>
      </c>
      <c r="E4421" s="0" t="inlineStr">
        <is>
          <t xml:space="preserve">NW BEND BOATS, LLC</t>
        </is>
      </c>
      <c r="F4421" s="0" t="inlineStr">
        <is>
          <t xml:space="preserve">naics:336612</t>
        </is>
      </c>
    </row>
    <row r="4422">
      <c r="B4422" s="0" t="inlineStr">
        <is>
          <t xml:space="preserve">0045</t>
        </is>
      </c>
      <c r="C4422" s="0" t="inlineStr">
        <is>
          <t xml:space="preserve">broad_maritime</t>
        </is>
      </c>
      <c r="D4422" s="4">
        <v>0.032896999999999996</v>
      </c>
      <c r="E4422" s="0" t="inlineStr">
        <is>
          <t xml:space="preserve">ELECTRIC BOAT CORPORATION</t>
        </is>
      </c>
      <c r="F4422" s="0" t="inlineStr">
        <is>
          <t xml:space="preserve">psc:1905</t>
        </is>
      </c>
    </row>
    <row r="4423">
      <c r="B4423" s="0" t="inlineStr">
        <is>
          <t xml:space="preserve">N0010426PUA05</t>
        </is>
      </c>
      <c r="C4423" s="0" t="inlineStr">
        <is>
          <t xml:space="preserve">small_craft</t>
        </is>
      </c>
      <c r="D4423" s="4">
        <v>0.032837</v>
      </c>
      <c r="E4423" s="0" t="inlineStr">
        <is>
          <t xml:space="preserve">TENCARVA MACHINERY COMPANY, LLC</t>
        </is>
      </c>
      <c r="F4423" s="0" t="inlineStr">
        <is>
          <t xml:space="preserve">naics:336612</t>
        </is>
      </c>
    </row>
    <row r="4424">
      <c r="B4424" s="0" t="inlineStr">
        <is>
          <t xml:space="preserve">N0040625PS485</t>
        </is>
      </c>
      <c r="C4424" s="0" t="inlineStr">
        <is>
          <t xml:space="preserve">small_craft</t>
        </is>
      </c>
      <c r="D4424" s="4">
        <v>0.032828300000000005</v>
      </c>
      <c r="E4424" s="0" t="inlineStr">
        <is>
          <t xml:space="preserve">RAILWAY SPECIALTIES CORP</t>
        </is>
      </c>
      <c r="F4424" s="0" t="inlineStr">
        <is>
          <t xml:space="preserve">naics:336612</t>
        </is>
      </c>
    </row>
    <row r="4425">
      <c r="B4425" s="0" t="inlineStr">
        <is>
          <t xml:space="preserve">N4044319P0184</t>
        </is>
      </c>
      <c r="C4425" s="0" t="inlineStr">
        <is>
          <t xml:space="preserve">small_craft</t>
        </is>
      </c>
      <c r="D4425" s="4">
        <v>0.032792</v>
      </c>
      <c r="E4425" s="0" t="inlineStr">
        <is>
          <t xml:space="preserve">FASSMER SERVICE AMERICA LLC</t>
        </is>
      </c>
      <c r="F4425" s="0" t="inlineStr">
        <is>
          <t xml:space="preserve">naics:336612</t>
        </is>
      </c>
    </row>
    <row r="4426">
      <c r="B4426" s="0" t="inlineStr">
        <is>
          <t xml:space="preserve">GA01</t>
        </is>
      </c>
      <c r="C4426" s="0" t="inlineStr">
        <is>
          <t xml:space="preserve">broad_maritime</t>
        </is>
      </c>
      <c r="D4426" s="4">
        <v>0.032487</v>
      </c>
      <c r="E4426" s="0" t="inlineStr">
        <is>
          <t xml:space="preserve">ELECTRIC BOAT CORPORATION</t>
        </is>
      </c>
      <c r="F4426" s="0" t="inlineStr">
        <is>
          <t xml:space="preserve">psc:1905</t>
        </is>
      </c>
    </row>
    <row r="4427">
      <c r="B4427" s="0" t="inlineStr">
        <is>
          <t xml:space="preserve">M6740017P0100</t>
        </is>
      </c>
      <c r="C4427" s="0" t="inlineStr">
        <is>
          <t xml:space="preserve">small_craft</t>
        </is>
      </c>
      <c r="D4427" s="4">
        <v>0.03233923</v>
      </c>
      <c r="E4427" s="0" t="inlineStr">
        <is>
          <t xml:space="preserve">MARINE LAND CO.,LTD.</t>
        </is>
      </c>
      <c r="F4427" s="0" t="inlineStr">
        <is>
          <t xml:space="preserve">naics:336612</t>
        </is>
      </c>
    </row>
    <row r="4428">
      <c r="B4428" s="0" t="inlineStr">
        <is>
          <t xml:space="preserve">N0002422P2205</t>
        </is>
      </c>
      <c r="C4428" s="0" t="inlineStr">
        <is>
          <t xml:space="preserve">small_craft</t>
        </is>
      </c>
      <c r="D4428" s="4">
        <v>0.032337</v>
      </c>
      <c r="E4428" s="0" t="inlineStr">
        <is>
          <t xml:space="preserve">GRAVOIS ALUMINUM BOATS LLC</t>
        </is>
      </c>
      <c r="F4428" s="0" t="inlineStr">
        <is>
          <t xml:space="preserve">naics:336612; psc:1940</t>
        </is>
      </c>
    </row>
    <row r="4429">
      <c r="B4429" s="0" t="inlineStr">
        <is>
          <t xml:space="preserve">N4523A22P0303</t>
        </is>
      </c>
      <c r="C4429" s="0" t="inlineStr">
        <is>
          <t xml:space="preserve">broad_maritime</t>
        </is>
      </c>
      <c r="D4429" s="4">
        <v>0.032256</v>
      </c>
      <c r="E4429" s="0" t="inlineStr">
        <is>
          <t xml:space="preserve">CURTISS-WRIGHT ELECTRO-MECHANICAL CORPORATION</t>
        </is>
      </c>
      <c r="F4429" s="0" t="inlineStr">
        <is>
          <t xml:space="preserve">psc:1905</t>
        </is>
      </c>
    </row>
    <row r="4430">
      <c r="B4430" s="0" t="inlineStr">
        <is>
          <t xml:space="preserve">N0010424PX035</t>
        </is>
      </c>
      <c r="C4430" s="0" t="inlineStr">
        <is>
          <t xml:space="preserve">small_craft</t>
        </is>
      </c>
      <c r="D4430" s="4">
        <v>0.032235599999999996</v>
      </c>
      <c r="E4430" s="0" t="inlineStr">
        <is>
          <t xml:space="preserve">PRAKTEK, INC.</t>
        </is>
      </c>
      <c r="F4430" s="0" t="inlineStr">
        <is>
          <t xml:space="preserve">naics:336612</t>
        </is>
      </c>
    </row>
    <row r="4431">
      <c r="B4431" s="0" t="inlineStr">
        <is>
          <t xml:space="preserve">0081</t>
        </is>
      </c>
      <c r="C4431" s="0" t="inlineStr">
        <is>
          <t xml:space="preserve">other_small</t>
        </is>
      </c>
      <c r="D4431" s="4">
        <v>0.03222424</v>
      </c>
      <c r="E4431" s="0" t="inlineStr">
        <is>
          <t xml:space="preserve">AUSTAL USA, LLC</t>
        </is>
      </c>
      <c r="F4431" s="0" t="inlineStr">
        <is>
          <t xml:space="preserve">psc:1990</t>
        </is>
      </c>
    </row>
    <row r="4432">
      <c r="B4432" s="0" t="inlineStr">
        <is>
          <t xml:space="preserve">N0010416PNG04</t>
        </is>
      </c>
      <c r="C4432" s="0" t="inlineStr">
        <is>
          <t xml:space="preserve">small_craft</t>
        </is>
      </c>
      <c r="D4432" s="4">
        <v>0.03219888</v>
      </c>
      <c r="E4432" s="0" t="inlineStr">
        <is>
          <t xml:space="preserve">D. L. MARTIN CO.</t>
        </is>
      </c>
      <c r="F4432" s="0" t="inlineStr">
        <is>
          <t xml:space="preserve">naics:336612</t>
        </is>
      </c>
    </row>
    <row r="4433">
      <c r="B4433" s="0" t="inlineStr">
        <is>
          <t xml:space="preserve">N6227119P5047</t>
        </is>
      </c>
      <c r="C4433" s="0" t="inlineStr">
        <is>
          <t xml:space="preserve">small_craft</t>
        </is>
      </c>
      <c r="D4433" s="4">
        <v>0.032</v>
      </c>
      <c r="E4433" s="0" t="inlineStr">
        <is>
          <t xml:space="preserve">TRAKKA USA LLC</t>
        </is>
      </c>
      <c r="F4433" s="0" t="inlineStr">
        <is>
          <t xml:space="preserve">psc:1940</t>
        </is>
      </c>
    </row>
    <row r="4434">
      <c r="B4434" s="0" t="inlineStr">
        <is>
          <t xml:space="preserve">N0040616P2336</t>
        </is>
      </c>
      <c r="C4434" s="0" t="inlineStr">
        <is>
          <t xml:space="preserve">small_craft</t>
        </is>
      </c>
      <c r="D4434" s="4">
        <v>0.031974999999999996</v>
      </c>
      <c r="E4434" s="0" t="inlineStr">
        <is>
          <t xml:space="preserve">J.D.A. MARITIME, INC.</t>
        </is>
      </c>
      <c r="F4434" s="0" t="inlineStr">
        <is>
          <t xml:space="preserve">naics:336612</t>
        </is>
      </c>
    </row>
    <row r="4435">
      <c r="B4435" s="0" t="inlineStr">
        <is>
          <t xml:space="preserve">N4523A20P0302</t>
        </is>
      </c>
      <c r="C4435" s="0" t="inlineStr">
        <is>
          <t xml:space="preserve">broad_maritime</t>
        </is>
      </c>
      <c r="D4435" s="4">
        <v>0.03195</v>
      </c>
      <c r="E4435" s="0" t="inlineStr">
        <is>
          <t xml:space="preserve">NU FLOW ALASKA LLC</t>
        </is>
      </c>
      <c r="F4435" s="0" t="inlineStr">
        <is>
          <t xml:space="preserve">psc:1905</t>
        </is>
      </c>
    </row>
    <row r="4436">
      <c r="B4436" s="0" t="inlineStr">
        <is>
          <t xml:space="preserve">M0031818P0032</t>
        </is>
      </c>
      <c r="C4436" s="0" t="inlineStr">
        <is>
          <t xml:space="preserve">small_craft</t>
        </is>
      </c>
      <c r="D4436" s="4">
        <v>0.03189351</v>
      </c>
      <c r="E4436" s="0" t="inlineStr">
        <is>
          <t xml:space="preserve">B &amp; H INTERNATIONAL LLC</t>
        </is>
      </c>
      <c r="F4436" s="0" t="inlineStr">
        <is>
          <t xml:space="preserve">psc:1940</t>
        </is>
      </c>
    </row>
    <row r="4437">
      <c r="B4437" s="0" t="inlineStr">
        <is>
          <t xml:space="preserve">N0017420P0053</t>
        </is>
      </c>
      <c r="C4437" s="0" t="inlineStr">
        <is>
          <t xml:space="preserve">other_small</t>
        </is>
      </c>
      <c r="D4437" s="4">
        <v>0.03184</v>
      </c>
      <c r="E4437" s="0" t="inlineStr">
        <is>
          <t xml:space="preserve">RESODYN ACOUSTIC MIXERS, INCORPORATED</t>
        </is>
      </c>
      <c r="F4437" s="0" t="inlineStr">
        <is>
          <t xml:space="preserve">psc:1990</t>
        </is>
      </c>
    </row>
    <row r="4438">
      <c r="B4438" s="0" t="inlineStr">
        <is>
          <t xml:space="preserve">N0040618P0644</t>
        </is>
      </c>
      <c r="C4438" s="0" t="inlineStr">
        <is>
          <t xml:space="preserve">small_craft</t>
        </is>
      </c>
      <c r="D4438" s="4">
        <v>0.031824</v>
      </c>
      <c r="E4438" s="0" t="inlineStr">
        <is>
          <t xml:space="preserve">JUNIPER ELBOW CO. INC.</t>
        </is>
      </c>
      <c r="F4438" s="0" t="inlineStr">
        <is>
          <t xml:space="preserve">naics:336612</t>
        </is>
      </c>
    </row>
    <row r="4439">
      <c r="B4439" s="0" t="inlineStr">
        <is>
          <t xml:space="preserve">N3220520F0590</t>
        </is>
      </c>
      <c r="C4439" s="0" t="inlineStr">
        <is>
          <t xml:space="preserve">other_small</t>
        </is>
      </c>
      <c r="D4439" s="4">
        <v>0.031792</v>
      </c>
      <c r="E4439" s="0" t="inlineStr">
        <is>
          <t xml:space="preserve">LAKE SHORE SYSTEMS, INC.</t>
        </is>
      </c>
      <c r="F4439" s="0" t="inlineStr">
        <is>
          <t xml:space="preserve">psc:1990</t>
        </is>
      </c>
    </row>
    <row r="4440">
      <c r="B4440" s="0" t="inlineStr">
        <is>
          <t xml:space="preserve">N4044617P0094</t>
        </is>
      </c>
      <c r="C4440" s="0" t="inlineStr">
        <is>
          <t xml:space="preserve">small_craft</t>
        </is>
      </c>
      <c r="D4440" s="4">
        <v>0.03172</v>
      </c>
      <c r="E4440" s="0" t="inlineStr">
        <is>
          <t xml:space="preserve">WILLARD MARINE, INC.</t>
        </is>
      </c>
      <c r="F4440" s="0" t="inlineStr">
        <is>
          <t xml:space="preserve">naics:336612; psc:1940</t>
        </is>
      </c>
    </row>
    <row r="4441">
      <c r="B4441" s="0" t="inlineStr">
        <is>
          <t xml:space="preserve">N6278917F0026</t>
        </is>
      </c>
      <c r="C4441" s="0" t="inlineStr">
        <is>
          <t xml:space="preserve">broad_maritime</t>
        </is>
      </c>
      <c r="D4441" s="4">
        <v>0.031494999999999995</v>
      </c>
      <c r="E4441" s="0" t="inlineStr">
        <is>
          <t xml:space="preserve">ELECTRIC BOAT CORPORATION</t>
        </is>
      </c>
      <c r="F4441" s="0" t="inlineStr">
        <is>
          <t xml:space="preserve">psc:1905</t>
        </is>
      </c>
    </row>
    <row r="4442">
      <c r="B4442" s="0" t="inlineStr">
        <is>
          <t xml:space="preserve">N0010422PLB15</t>
        </is>
      </c>
      <c r="C4442" s="0" t="inlineStr">
        <is>
          <t xml:space="preserve">small_craft</t>
        </is>
      </c>
      <c r="D4442" s="4">
        <v>0.03144051</v>
      </c>
      <c r="E4442" s="0" t="inlineStr">
        <is>
          <t xml:space="preserve">JA MOODY LLC</t>
        </is>
      </c>
      <c r="F4442" s="0" t="inlineStr">
        <is>
          <t xml:space="preserve">naics:336612</t>
        </is>
      </c>
    </row>
    <row r="4443">
      <c r="B4443" s="0" t="inlineStr">
        <is>
          <t xml:space="preserve">N0010422FY701</t>
        </is>
      </c>
      <c r="C4443" s="0" t="inlineStr">
        <is>
          <t xml:space="preserve">small_craft</t>
        </is>
      </c>
      <c r="D4443" s="4">
        <v>0.03136304</v>
      </c>
      <c r="E4443" s="0" t="inlineStr">
        <is>
          <t xml:space="preserve">L3 TECHNOLOGIES, INC.</t>
        </is>
      </c>
      <c r="F4443" s="0" t="inlineStr">
        <is>
          <t xml:space="preserve">naics:336612</t>
        </is>
      </c>
    </row>
    <row r="4444">
      <c r="B4444" s="0" t="inlineStr">
        <is>
          <t xml:space="preserve">N0010421PEF14</t>
        </is>
      </c>
      <c r="C4444" s="0" t="inlineStr">
        <is>
          <t xml:space="preserve">small_craft</t>
        </is>
      </c>
      <c r="D4444" s="4">
        <v>0.0312254</v>
      </c>
      <c r="E4444" s="0" t="inlineStr">
        <is>
          <t xml:space="preserve">DUTCH VALLEY SUPPLY CO.</t>
        </is>
      </c>
      <c r="F4444" s="0" t="inlineStr">
        <is>
          <t xml:space="preserve">naics:336612</t>
        </is>
      </c>
    </row>
    <row r="4445">
      <c r="B4445" s="0" t="inlineStr">
        <is>
          <t xml:space="preserve">N4044207P5460</t>
        </is>
      </c>
      <c r="C4445" s="0" t="inlineStr">
        <is>
          <t xml:space="preserve">other_small</t>
        </is>
      </c>
      <c r="D4445" s="4">
        <v>0.031224599999999998</v>
      </c>
      <c r="E4445" s="0" t="inlineStr">
        <is>
          <t xml:space="preserve">A W CHESTERTON CO</t>
        </is>
      </c>
      <c r="F4445" s="0" t="inlineStr">
        <is>
          <t xml:space="preserve">psc:1925</t>
        </is>
      </c>
    </row>
    <row r="4446">
      <c r="B4446" s="0" t="inlineStr">
        <is>
          <t xml:space="preserve">N0010422PDA40</t>
        </is>
      </c>
      <c r="C4446" s="0" t="inlineStr">
        <is>
          <t xml:space="preserve">small_craft</t>
        </is>
      </c>
      <c r="D4446" s="4">
        <v>0.03107755</v>
      </c>
      <c r="E4446" s="0" t="inlineStr">
        <is>
          <t xml:space="preserve">CONTINENTAL TIDE DEFENSE SYSTEMS, INC.</t>
        </is>
      </c>
      <c r="F4446" s="0" t="inlineStr">
        <is>
          <t xml:space="preserve">naics:336612</t>
        </is>
      </c>
    </row>
    <row r="4447">
      <c r="B4447" s="0" t="inlineStr">
        <is>
          <t xml:space="preserve">N0018915P1253</t>
        </is>
      </c>
      <c r="C4447" s="0" t="inlineStr">
        <is>
          <t xml:space="preserve">small_craft</t>
        </is>
      </c>
      <c r="D4447" s="4">
        <v>0.031016669999999996</v>
      </c>
      <c r="E4447" s="0" t="inlineStr">
        <is>
          <t xml:space="preserve">CENTRAL FLORIDA YAMAHA INC</t>
        </is>
      </c>
      <c r="F4447" s="0" t="inlineStr">
        <is>
          <t xml:space="preserve">naics:336612</t>
        </is>
      </c>
    </row>
    <row r="4448">
      <c r="B4448" s="0" t="inlineStr">
        <is>
          <t xml:space="preserve">N0024420P0019</t>
        </is>
      </c>
      <c r="C4448" s="0" t="inlineStr">
        <is>
          <t xml:space="preserve">small_craft</t>
        </is>
      </c>
      <c r="D4448" s="4">
        <v>0.03091845</v>
      </c>
      <c r="E4448" s="0" t="inlineStr">
        <is>
          <t xml:space="preserve">WELIN LAMBIE LIMITED</t>
        </is>
      </c>
      <c r="F4448" s="0" t="inlineStr">
        <is>
          <t xml:space="preserve">naics:336612</t>
        </is>
      </c>
    </row>
    <row r="4449">
      <c r="B4449" s="0" t="inlineStr">
        <is>
          <t xml:space="preserve">M6785417P1243</t>
        </is>
      </c>
      <c r="C4449" s="0" t="inlineStr">
        <is>
          <t xml:space="preserve">small_craft</t>
        </is>
      </c>
      <c r="D4449" s="4">
        <v>0.030831849999999997</v>
      </c>
      <c r="E4449" s="0" t="inlineStr">
        <is>
          <t xml:space="preserve">STIDD SYSTEMS, INC.</t>
        </is>
      </c>
      <c r="F4449" s="0" t="inlineStr">
        <is>
          <t xml:space="preserve">naics:336612; psc:1940</t>
        </is>
      </c>
    </row>
    <row r="4450">
      <c r="B4450" s="0" t="inlineStr">
        <is>
          <t xml:space="preserve">N6278918F0015</t>
        </is>
      </c>
      <c r="C4450" s="0" t="inlineStr">
        <is>
          <t xml:space="preserve">broad_maritime</t>
        </is>
      </c>
      <c r="D4450" s="4">
        <v>0.030698</v>
      </c>
      <c r="E4450" s="0" t="inlineStr">
        <is>
          <t xml:space="preserve">ELECTRIC BOAT CORPORATION</t>
        </is>
      </c>
      <c r="F4450" s="0" t="inlineStr">
        <is>
          <t xml:space="preserve">psc:1905</t>
        </is>
      </c>
    </row>
    <row r="4451">
      <c r="B4451" s="0" t="inlineStr">
        <is>
          <t xml:space="preserve">N0010425PUB87</t>
        </is>
      </c>
      <c r="C4451" s="0" t="inlineStr">
        <is>
          <t xml:space="preserve">small_craft</t>
        </is>
      </c>
      <c r="D4451" s="4">
        <v>0.03057954</v>
      </c>
      <c r="E4451" s="0" t="inlineStr">
        <is>
          <t xml:space="preserve">NORTHROP GRUMMAN SYSTEMS CORPORATION</t>
        </is>
      </c>
      <c r="F4451" s="0" t="inlineStr">
        <is>
          <t xml:space="preserve">naics:336612</t>
        </is>
      </c>
    </row>
    <row r="4452">
      <c r="B4452" s="0" t="inlineStr">
        <is>
          <t xml:space="preserve">N0010424PEE53</t>
        </is>
      </c>
      <c r="C4452" s="0" t="inlineStr">
        <is>
          <t xml:space="preserve">small_craft</t>
        </is>
      </c>
      <c r="D4452" s="4">
        <v>0.03051</v>
      </c>
      <c r="E4452" s="0" t="inlineStr">
        <is>
          <t xml:space="preserve">GAFFEL EQUIPMENT</t>
        </is>
      </c>
      <c r="F4452" s="0" t="inlineStr">
        <is>
          <t xml:space="preserve">naics:336612</t>
        </is>
      </c>
    </row>
    <row r="4453">
      <c r="B4453" s="0" t="inlineStr">
        <is>
          <t xml:space="preserve">N6600117P6864</t>
        </is>
      </c>
      <c r="C4453" s="0" t="inlineStr">
        <is>
          <t xml:space="preserve">small_craft</t>
        </is>
      </c>
      <c r="D4453" s="4">
        <v>0.030488499999999998</v>
      </c>
      <c r="E4453" s="0" t="inlineStr">
        <is>
          <t xml:space="preserve">MAURER MARINE, INC.</t>
        </is>
      </c>
      <c r="F4453" s="0" t="inlineStr">
        <is>
          <t xml:space="preserve">naics:336612</t>
        </is>
      </c>
    </row>
    <row r="4454">
      <c r="B4454" s="0" t="inlineStr">
        <is>
          <t xml:space="preserve">N0010424PZB22</t>
        </is>
      </c>
      <c r="C4454" s="0" t="inlineStr">
        <is>
          <t xml:space="preserve">small_craft</t>
        </is>
      </c>
      <c r="D4454" s="4">
        <v>0.03042</v>
      </c>
      <c r="E4454" s="0" t="inlineStr">
        <is>
          <t xml:space="preserve">MAROTTA CONTROLS INC</t>
        </is>
      </c>
      <c r="F4454" s="0" t="inlineStr">
        <is>
          <t xml:space="preserve">naics:336612</t>
        </is>
      </c>
    </row>
    <row r="4455">
      <c r="B4455" s="0" t="inlineStr">
        <is>
          <t xml:space="preserve">N0040619P0498</t>
        </is>
      </c>
      <c r="C4455" s="0" t="inlineStr">
        <is>
          <t xml:space="preserve">small_craft</t>
        </is>
      </c>
      <c r="D4455" s="4">
        <v>0.03036744</v>
      </c>
      <c r="E4455" s="0" t="inlineStr">
        <is>
          <t xml:space="preserve">ADVANTEC MANUFACTURING USA, INC.</t>
        </is>
      </c>
      <c r="F4455" s="0" t="inlineStr">
        <is>
          <t xml:space="preserve">naics:336612</t>
        </is>
      </c>
    </row>
    <row r="4456">
      <c r="B4456" s="0" t="inlineStr">
        <is>
          <t xml:space="preserve">N0060417P4047</t>
        </is>
      </c>
      <c r="C4456" s="0" t="inlineStr">
        <is>
          <t xml:space="preserve">small_craft</t>
        </is>
      </c>
      <c r="D4456" s="4">
        <v>0.03027656</v>
      </c>
      <c r="E4456" s="0" t="inlineStr">
        <is>
          <t xml:space="preserve">ZODIAC OF NORTH AMERICA, INC.</t>
        </is>
      </c>
      <c r="F4456" s="0" t="inlineStr">
        <is>
          <t xml:space="preserve">naics:336612</t>
        </is>
      </c>
    </row>
    <row r="4457">
      <c r="B4457" s="0" t="inlineStr">
        <is>
          <t xml:space="preserve">N3220517F1150</t>
        </is>
      </c>
      <c r="C4457" s="0" t="inlineStr">
        <is>
          <t xml:space="preserve">other_small</t>
        </is>
      </c>
      <c r="D4457" s="4">
        <v>0.030239</v>
      </c>
      <c r="E4457" s="0" t="inlineStr">
        <is>
          <t xml:space="preserve">LAKE SHORE SYSTEMS, INC.</t>
        </is>
      </c>
      <c r="F4457" s="0" t="inlineStr">
        <is>
          <t xml:space="preserve">psc:1990</t>
        </is>
      </c>
    </row>
    <row r="4458">
      <c r="B4458" s="0" t="inlineStr">
        <is>
          <t xml:space="preserve">0010</t>
        </is>
      </c>
      <c r="C4458" s="0" t="inlineStr">
        <is>
          <t xml:space="preserve">other_small</t>
        </is>
      </c>
      <c r="D4458" s="4">
        <v>0.030239</v>
      </c>
      <c r="E4458" s="0" t="inlineStr">
        <is>
          <t xml:space="preserve">LAKE SHORE SYSTEMS, INC.</t>
        </is>
      </c>
      <c r="F4458" s="0" t="inlineStr">
        <is>
          <t xml:space="preserve">psc:1990</t>
        </is>
      </c>
    </row>
    <row r="4459">
      <c r="B4459" s="0" t="inlineStr">
        <is>
          <t xml:space="preserve">N0010423FY704</t>
        </is>
      </c>
      <c r="C4459" s="0" t="inlineStr">
        <is>
          <t xml:space="preserve">small_craft</t>
        </is>
      </c>
      <c r="D4459" s="4">
        <v>0.030199999999999998</v>
      </c>
      <c r="E4459" s="0" t="inlineStr">
        <is>
          <t xml:space="preserve">L3 TECHNOLOGIES, INC.</t>
        </is>
      </c>
      <c r="F4459" s="0" t="inlineStr">
        <is>
          <t xml:space="preserve">naics:336612</t>
        </is>
      </c>
    </row>
    <row r="4460">
      <c r="B4460" s="0" t="inlineStr">
        <is>
          <t xml:space="preserve">N0010421PLC06</t>
        </is>
      </c>
      <c r="C4460" s="0" t="inlineStr">
        <is>
          <t xml:space="preserve">small_craft</t>
        </is>
      </c>
      <c r="D4460" s="4">
        <v>0.030192</v>
      </c>
      <c r="E4460" s="0" t="inlineStr">
        <is>
          <t xml:space="preserve">L3HARRIS TECHNOLOGIES, INC</t>
        </is>
      </c>
      <c r="F4460" s="0" t="inlineStr">
        <is>
          <t xml:space="preserve">naics:336612</t>
        </is>
      </c>
    </row>
    <row r="4461">
      <c r="B4461" s="0" t="inlineStr">
        <is>
          <t xml:space="preserve">L816</t>
        </is>
      </c>
      <c r="C4461" s="0" t="inlineStr">
        <is>
          <t xml:space="preserve">broad_maritime</t>
        </is>
      </c>
      <c r="D4461" s="4">
        <v>0.030081999999999998</v>
      </c>
      <c r="E4461" s="0" t="inlineStr">
        <is>
          <t xml:space="preserve">ELECTRIC BOAT CORPORATION</t>
        </is>
      </c>
      <c r="F4461" s="0" t="inlineStr">
        <is>
          <t xml:space="preserve">psc:1905</t>
        </is>
      </c>
    </row>
    <row r="4462">
      <c r="B4462" s="0" t="inlineStr">
        <is>
          <t xml:space="preserve">0013</t>
        </is>
      </c>
      <c r="C4462" s="0" t="inlineStr">
        <is>
          <t xml:space="preserve">small_craft</t>
        </is>
      </c>
      <c r="D4462" s="4">
        <v>0.03003765</v>
      </c>
      <c r="E4462" s="0" t="inlineStr">
        <is>
          <t xml:space="preserve">SAUNDERS ENGINE &amp; EQUIPMENT CO INC</t>
        </is>
      </c>
      <c r="F4462" s="0" t="inlineStr">
        <is>
          <t xml:space="preserve">naics:336612</t>
        </is>
      </c>
    </row>
    <row r="4463">
      <c r="B4463" s="0" t="inlineStr">
        <is>
          <t xml:space="preserve">N0040622P0650</t>
        </is>
      </c>
      <c r="C4463" s="0" t="inlineStr">
        <is>
          <t xml:space="preserve">small_craft</t>
        </is>
      </c>
      <c r="D4463" s="4">
        <v>0.02984412</v>
      </c>
      <c r="E4463" s="0" t="inlineStr">
        <is>
          <t xml:space="preserve">J. W. MARINE EQUIPMENT, INC.</t>
        </is>
      </c>
      <c r="F4463" s="0" t="inlineStr">
        <is>
          <t xml:space="preserve">naics:336612</t>
        </is>
      </c>
    </row>
    <row r="4464">
      <c r="B4464" s="0" t="inlineStr">
        <is>
          <t xml:space="preserve">N0010421PLC04</t>
        </is>
      </c>
      <c r="C4464" s="0" t="inlineStr">
        <is>
          <t xml:space="preserve">small_craft</t>
        </is>
      </c>
      <c r="D4464" s="4">
        <v>0.029775</v>
      </c>
      <c r="E4464" s="0" t="inlineStr">
        <is>
          <t xml:space="preserve">LARRY E. WILBUR</t>
        </is>
      </c>
      <c r="F4464" s="0" t="inlineStr">
        <is>
          <t xml:space="preserve">naics:336612</t>
        </is>
      </c>
    </row>
    <row r="4465">
      <c r="B4465" s="0" t="inlineStr">
        <is>
          <t xml:space="preserve">N0010422PLD00</t>
        </is>
      </c>
      <c r="C4465" s="0" t="inlineStr">
        <is>
          <t xml:space="preserve">small_craft</t>
        </is>
      </c>
      <c r="D4465" s="4">
        <v>0.02976913</v>
      </c>
      <c r="E4465" s="0" t="inlineStr">
        <is>
          <t xml:space="preserve">GLOBAL INCORPORATED</t>
        </is>
      </c>
      <c r="F4465" s="0" t="inlineStr">
        <is>
          <t xml:space="preserve">naics:336612</t>
        </is>
      </c>
    </row>
    <row r="4466">
      <c r="B4466" s="0" t="inlineStr">
        <is>
          <t xml:space="preserve">N0010424PBG16</t>
        </is>
      </c>
      <c r="C4466" s="0" t="inlineStr">
        <is>
          <t xml:space="preserve">small_craft</t>
        </is>
      </c>
      <c r="D4466" s="4">
        <v>0.02970056</v>
      </c>
      <c r="E4466" s="0" t="inlineStr">
        <is>
          <t xml:space="preserve">DUTCH VALLEY SUPPLY CO.</t>
        </is>
      </c>
      <c r="F4466" s="0" t="inlineStr">
        <is>
          <t xml:space="preserve">naics:336612</t>
        </is>
      </c>
    </row>
    <row r="4467">
      <c r="B4467" s="0" t="inlineStr">
        <is>
          <t xml:space="preserve">N0010417PEC46</t>
        </is>
      </c>
      <c r="C4467" s="0" t="inlineStr">
        <is>
          <t xml:space="preserve">small_craft</t>
        </is>
      </c>
      <c r="D4467" s="4">
        <v>0.029699999999999997</v>
      </c>
      <c r="E4467" s="0" t="inlineStr">
        <is>
          <t xml:space="preserve">NUFLO, INC.</t>
        </is>
      </c>
      <c r="F4467" s="0" t="inlineStr">
        <is>
          <t xml:space="preserve">naics:336612</t>
        </is>
      </c>
    </row>
    <row r="4468">
      <c r="B4468" s="0" t="inlineStr">
        <is>
          <t xml:space="preserve">N0010421PEL04</t>
        </is>
      </c>
      <c r="C4468" s="0" t="inlineStr">
        <is>
          <t xml:space="preserve">small_craft</t>
        </is>
      </c>
      <c r="D4468" s="4">
        <v>0.029660669999999997</v>
      </c>
      <c r="E4468" s="0" t="inlineStr">
        <is>
          <t xml:space="preserve">DIBERT VALVE AND FITTING COMPANY, INCORPORATED</t>
        </is>
      </c>
      <c r="F4468" s="0" t="inlineStr">
        <is>
          <t xml:space="preserve">naics:336612</t>
        </is>
      </c>
    </row>
    <row r="4469">
      <c r="B4469" s="0" t="inlineStr">
        <is>
          <t xml:space="preserve">N0040622P0500</t>
        </is>
      </c>
      <c r="C4469" s="0" t="inlineStr">
        <is>
          <t xml:space="preserve">small_craft</t>
        </is>
      </c>
      <c r="D4469" s="4">
        <v>0.0295</v>
      </c>
      <c r="E4469" s="0" t="inlineStr">
        <is>
          <t xml:space="preserve">PACIFIC MARITIME INDUSTRIES CORP.</t>
        </is>
      </c>
      <c r="F4469" s="0" t="inlineStr">
        <is>
          <t xml:space="preserve">naics:336612</t>
        </is>
      </c>
    </row>
    <row r="4470">
      <c r="B4470" s="0" t="inlineStr">
        <is>
          <t xml:space="preserve">N3220517P4331</t>
        </is>
      </c>
      <c r="C4470" s="0" t="inlineStr">
        <is>
          <t xml:space="preserve">small_craft</t>
        </is>
      </c>
      <c r="D4470" s="4">
        <v>0.029435</v>
      </c>
      <c r="E4470" s="0" t="inlineStr">
        <is>
          <t xml:space="preserve">J. W. MARINE EQUIPMENT, INC.</t>
        </is>
      </c>
      <c r="F4470" s="0" t="inlineStr">
        <is>
          <t xml:space="preserve">naics:336612</t>
        </is>
      </c>
    </row>
    <row r="4471">
      <c r="B4471" s="0" t="inlineStr">
        <is>
          <t xml:space="preserve">N0018919P0441</t>
        </is>
      </c>
      <c r="C4471" s="0" t="inlineStr">
        <is>
          <t xml:space="preserve">small_craft</t>
        </is>
      </c>
      <c r="D4471" s="4">
        <v>0.029362599999999996</v>
      </c>
      <c r="E4471" s="0" t="inlineStr">
        <is>
          <t xml:space="preserve">JDCI ENTERPRISES, INC.</t>
        </is>
      </c>
      <c r="F4471" s="0" t="inlineStr">
        <is>
          <t xml:space="preserve">naics:336612</t>
        </is>
      </c>
    </row>
    <row r="4472">
      <c r="B4472" s="0" t="inlineStr">
        <is>
          <t xml:space="preserve">N0010424PDC51</t>
        </is>
      </c>
      <c r="C4472" s="0" t="inlineStr">
        <is>
          <t xml:space="preserve">small_craft</t>
        </is>
      </c>
      <c r="D4472" s="4">
        <v>0.029325</v>
      </c>
      <c r="E4472" s="0" t="inlineStr">
        <is>
          <t xml:space="preserve">EVAC NORTH AMERICA INC</t>
        </is>
      </c>
      <c r="F4472" s="0" t="inlineStr">
        <is>
          <t xml:space="preserve">naics:336612; psc:1940</t>
        </is>
      </c>
    </row>
    <row r="4473">
      <c r="B4473" s="0" t="inlineStr">
        <is>
          <t xml:space="preserve">N3220515P3707</t>
        </is>
      </c>
      <c r="C4473" s="0" t="inlineStr">
        <is>
          <t xml:space="preserve">small_craft</t>
        </is>
      </c>
      <c r="D4473" s="4">
        <v>0.029314999999999997</v>
      </c>
      <c r="E4473" s="0" t="inlineStr">
        <is>
          <t xml:space="preserve">MOTOR-SERVICES HUGO STAMP, INC</t>
        </is>
      </c>
      <c r="F4473" s="0" t="inlineStr">
        <is>
          <t xml:space="preserve">naics:336612</t>
        </is>
      </c>
    </row>
    <row r="4474">
      <c r="B4474" s="0" t="inlineStr">
        <is>
          <t xml:space="preserve">N0040623P0704</t>
        </is>
      </c>
      <c r="C4474" s="0" t="inlineStr">
        <is>
          <t xml:space="preserve">small_craft</t>
        </is>
      </c>
      <c r="D4474" s="4">
        <v>0.0293</v>
      </c>
      <c r="E4474" s="0" t="inlineStr">
        <is>
          <t xml:space="preserve">FASSMER SERVICE AMERICA LLC</t>
        </is>
      </c>
      <c r="F4474" s="0" t="inlineStr">
        <is>
          <t xml:space="preserve">naics:336612</t>
        </is>
      </c>
    </row>
    <row r="4475">
      <c r="B4475" s="0" t="inlineStr">
        <is>
          <t xml:space="preserve">N6893615P0727</t>
        </is>
      </c>
      <c r="C4475" s="0" t="inlineStr">
        <is>
          <t xml:space="preserve">small_craft</t>
        </is>
      </c>
      <c r="D4475" s="4">
        <v>0.02915</v>
      </c>
      <c r="E4475" s="0" t="inlineStr">
        <is>
          <t xml:space="preserve">WILSON PONTOONS INC</t>
        </is>
      </c>
      <c r="F4475" s="0" t="inlineStr">
        <is>
          <t xml:space="preserve">naics:336612</t>
        </is>
      </c>
    </row>
    <row r="4476">
      <c r="B4476" s="0" t="inlineStr">
        <is>
          <t xml:space="preserve">N3220517P4309</t>
        </is>
      </c>
      <c r="C4476" s="0" t="inlineStr">
        <is>
          <t xml:space="preserve">small_craft</t>
        </is>
      </c>
      <c r="D4476" s="4">
        <v>0.02914</v>
      </c>
      <c r="E4476" s="0" t="inlineStr">
        <is>
          <t xml:space="preserve">J. W. MARINE EQUIPMENT, INC.</t>
        </is>
      </c>
      <c r="F4476" s="0" t="inlineStr">
        <is>
          <t xml:space="preserve">naics:336612</t>
        </is>
      </c>
    </row>
    <row r="4477">
      <c r="B4477" s="0" t="inlineStr">
        <is>
          <t xml:space="preserve">N0010418PFF44</t>
        </is>
      </c>
      <c r="C4477" s="0" t="inlineStr">
        <is>
          <t xml:space="preserve">small_craft</t>
        </is>
      </c>
      <c r="D4477" s="4">
        <v>0.029068999999999998</v>
      </c>
      <c r="E4477" s="0" t="inlineStr">
        <is>
          <t xml:space="preserve">CURTISS-WRIGHT ELECTRO-MECHANICAL CORPORATION</t>
        </is>
      </c>
      <c r="F4477" s="0" t="inlineStr">
        <is>
          <t xml:space="preserve">naics:336612</t>
        </is>
      </c>
    </row>
    <row r="4478">
      <c r="B4478" s="0" t="inlineStr">
        <is>
          <t xml:space="preserve">N6146316FN001</t>
        </is>
      </c>
      <c r="C4478" s="0" t="inlineStr">
        <is>
          <t xml:space="preserve">other_small</t>
        </is>
      </c>
      <c r="D4478" s="4">
        <v>0.029065499999999998</v>
      </c>
      <c r="E4478" s="0" t="inlineStr">
        <is>
          <t xml:space="preserve">MCALLISTER TOWING OF VIRGINIA INC</t>
        </is>
      </c>
      <c r="F4478" s="0" t="inlineStr">
        <is>
          <t xml:space="preserve">psc:1990</t>
        </is>
      </c>
    </row>
    <row r="4479">
      <c r="B4479" s="0" t="inlineStr">
        <is>
          <t xml:space="preserve">N3220519P4535</t>
        </is>
      </c>
      <c r="C4479" s="0" t="inlineStr">
        <is>
          <t xml:space="preserve">small_craft</t>
        </is>
      </c>
      <c r="D4479" s="4">
        <v>0.029054049999999998</v>
      </c>
      <c r="E4479" s="0" t="inlineStr">
        <is>
          <t xml:space="preserve">FASSMER SERVICE AMERICA LLC</t>
        </is>
      </c>
      <c r="F4479" s="0" t="inlineStr">
        <is>
          <t xml:space="preserve">naics:336612</t>
        </is>
      </c>
    </row>
    <row r="4480">
      <c r="B4480" s="0" t="inlineStr">
        <is>
          <t xml:space="preserve">N0010421PCD53</t>
        </is>
      </c>
      <c r="C4480" s="0" t="inlineStr">
        <is>
          <t xml:space="preserve">small_craft</t>
        </is>
      </c>
      <c r="D4480" s="4">
        <v>0.029013599999999997</v>
      </c>
      <c r="E4480" s="0" t="inlineStr">
        <is>
          <t xml:space="preserve">TRIMAN INDUSTRIES INC</t>
        </is>
      </c>
      <c r="F4480" s="0" t="inlineStr">
        <is>
          <t xml:space="preserve">naics:336612</t>
        </is>
      </c>
    </row>
    <row r="4481">
      <c r="B4481" s="0" t="inlineStr">
        <is>
          <t xml:space="preserve">N0010417PX079</t>
        </is>
      </c>
      <c r="C4481" s="0" t="inlineStr">
        <is>
          <t xml:space="preserve">broad_maritime</t>
        </is>
      </c>
      <c r="D4481" s="4">
        <v>0.028999999999999998</v>
      </c>
      <c r="E4481" s="0" t="inlineStr">
        <is>
          <t xml:space="preserve">RAYTHEON COMPANY</t>
        </is>
      </c>
      <c r="F4481" s="0" t="inlineStr">
        <is>
          <t xml:space="preserve">psc:1905</t>
        </is>
      </c>
    </row>
    <row r="4482">
      <c r="B4482" s="0" t="inlineStr">
        <is>
          <t xml:space="preserve">N0010421PCF85</t>
        </is>
      </c>
      <c r="C4482" s="0" t="inlineStr">
        <is>
          <t xml:space="preserve">small_craft</t>
        </is>
      </c>
      <c r="D4482" s="4">
        <v>0.028957999999999998</v>
      </c>
      <c r="E4482" s="0" t="inlineStr">
        <is>
          <t xml:space="preserve">EASTERN INDUSTRIAL PRODUCTS, INC.</t>
        </is>
      </c>
      <c r="F4482" s="0" t="inlineStr">
        <is>
          <t xml:space="preserve">naics:336612</t>
        </is>
      </c>
    </row>
    <row r="4483">
      <c r="B4483" s="0" t="inlineStr">
        <is>
          <t xml:space="preserve">N6883623P0161</t>
        </is>
      </c>
      <c r="C4483" s="0" t="inlineStr">
        <is>
          <t xml:space="preserve">small_craft</t>
        </is>
      </c>
      <c r="D4483" s="4">
        <v>0.028932509999999998</v>
      </c>
      <c r="E4483" s="0" t="inlineStr">
        <is>
          <t xml:space="preserve">SOCAL MARITIME SUPPORT LLC</t>
        </is>
      </c>
      <c r="F4483" s="0" t="inlineStr">
        <is>
          <t xml:space="preserve">naics:336612</t>
        </is>
      </c>
    </row>
    <row r="4484">
      <c r="B4484" s="0" t="inlineStr">
        <is>
          <t xml:space="preserve">0057</t>
        </is>
      </c>
      <c r="C4484" s="0" t="inlineStr">
        <is>
          <t xml:space="preserve">broad_maritime</t>
        </is>
      </c>
      <c r="D4484" s="4">
        <v>0.028919</v>
      </c>
      <c r="E4484" s="0" t="inlineStr">
        <is>
          <t xml:space="preserve">ELECTRIC BOAT CORPORATION</t>
        </is>
      </c>
      <c r="F4484" s="0" t="inlineStr">
        <is>
          <t xml:space="preserve">psc:1905</t>
        </is>
      </c>
    </row>
    <row r="4485">
      <c r="B4485" s="0" t="inlineStr">
        <is>
          <t xml:space="preserve">N0040615F0545</t>
        </is>
      </c>
      <c r="C4485" s="0" t="inlineStr">
        <is>
          <t xml:space="preserve">small_craft</t>
        </is>
      </c>
      <c r="D4485" s="4">
        <v>0.028911199999999998</v>
      </c>
      <c r="E4485" s="0" t="inlineStr">
        <is>
          <t xml:space="preserve">JDCI ENTERPRISES, INC.</t>
        </is>
      </c>
      <c r="F4485" s="0" t="inlineStr">
        <is>
          <t xml:space="preserve">naics:336612</t>
        </is>
      </c>
    </row>
    <row r="4486">
      <c r="B4486" s="0" t="inlineStr">
        <is>
          <t xml:space="preserve">N6600125P6106</t>
        </is>
      </c>
      <c r="C4486" s="0" t="inlineStr">
        <is>
          <t xml:space="preserve">small_craft</t>
        </is>
      </c>
      <c r="D4486" s="4">
        <v>0.028834669999999996</v>
      </c>
      <c r="E4486" s="0" t="inlineStr">
        <is>
          <t xml:space="preserve">HYDRA MARINE LLC</t>
        </is>
      </c>
      <c r="F4486" s="0" t="inlineStr">
        <is>
          <t xml:space="preserve">naics:336612</t>
        </is>
      </c>
    </row>
    <row r="4487">
      <c r="B4487" s="0" t="inlineStr">
        <is>
          <t xml:space="preserve">N4940016PG002</t>
        </is>
      </c>
      <c r="C4487" s="0" t="inlineStr">
        <is>
          <t xml:space="preserve">small_craft</t>
        </is>
      </c>
      <c r="D4487" s="4">
        <v>0.0288</v>
      </c>
      <c r="E4487" s="0" t="inlineStr">
        <is>
          <t xml:space="preserve">FELMAR MAINTENANCE SERVICES</t>
        </is>
      </c>
      <c r="F4487" s="0" t="inlineStr">
        <is>
          <t xml:space="preserve">naics:336612</t>
        </is>
      </c>
    </row>
    <row r="4488">
      <c r="B4488" s="0" t="inlineStr">
        <is>
          <t xml:space="preserve">0020</t>
        </is>
      </c>
      <c r="C4488" s="0" t="inlineStr">
        <is>
          <t xml:space="preserve">other_small</t>
        </is>
      </c>
      <c r="D4488" s="4">
        <v>0.02876651</v>
      </c>
      <c r="E4488" s="0" t="inlineStr">
        <is>
          <t xml:space="preserve">AUSTAL USA, LLC</t>
        </is>
      </c>
      <c r="F4488" s="0" t="inlineStr">
        <is>
          <t xml:space="preserve">psc:1990</t>
        </is>
      </c>
    </row>
    <row r="4489">
      <c r="B4489" s="0" t="inlineStr">
        <is>
          <t xml:space="preserve">N0010421PDC38</t>
        </is>
      </c>
      <c r="C4489" s="0" t="inlineStr">
        <is>
          <t xml:space="preserve">small_craft</t>
        </is>
      </c>
      <c r="D4489" s="4">
        <v>0.02864</v>
      </c>
      <c r="E4489" s="0" t="inlineStr">
        <is>
          <t xml:space="preserve">R F PRODUCTS, INC</t>
        </is>
      </c>
      <c r="F4489" s="0" t="inlineStr">
        <is>
          <t xml:space="preserve">naics:336612</t>
        </is>
      </c>
    </row>
    <row r="4490">
      <c r="B4490" s="0" t="inlineStr">
        <is>
          <t xml:space="preserve">N0040623P0619</t>
        </is>
      </c>
      <c r="C4490" s="0" t="inlineStr">
        <is>
          <t xml:space="preserve">small_craft</t>
        </is>
      </c>
      <c r="D4490" s="4">
        <v>0.02857096</v>
      </c>
      <c r="E4490" s="0" t="inlineStr">
        <is>
          <t xml:space="preserve">WING INFLATABLES INC</t>
        </is>
      </c>
      <c r="F4490" s="0" t="inlineStr">
        <is>
          <t xml:space="preserve">naics:336612</t>
        </is>
      </c>
    </row>
    <row r="4491">
      <c r="B4491" s="0" t="inlineStr">
        <is>
          <t xml:space="preserve">LH54</t>
        </is>
      </c>
      <c r="C4491" s="0" t="inlineStr">
        <is>
          <t xml:space="preserve">other_small</t>
        </is>
      </c>
      <c r="D4491" s="4">
        <v>0.028485</v>
      </c>
      <c r="E4491" s="0" t="inlineStr">
        <is>
          <t xml:space="preserve">MCALLISTER TOWING OF VIRGINIA INC</t>
        </is>
      </c>
      <c r="F4491" s="0" t="inlineStr">
        <is>
          <t xml:space="preserve">psc:1990</t>
        </is>
      </c>
    </row>
    <row r="4492">
      <c r="B4492" s="0" t="inlineStr">
        <is>
          <t xml:space="preserve">N3220517P4725</t>
        </is>
      </c>
      <c r="C4492" s="0" t="inlineStr">
        <is>
          <t xml:space="preserve">small_craft</t>
        </is>
      </c>
      <c r="D4492" s="4">
        <v>0.02846</v>
      </c>
      <c r="E4492" s="0" t="inlineStr">
        <is>
          <t xml:space="preserve">J. W. MARINE EQUIPMENT, INC.</t>
        </is>
      </c>
      <c r="F4492" s="0" t="inlineStr">
        <is>
          <t xml:space="preserve">naics:336612</t>
        </is>
      </c>
    </row>
    <row r="4493">
      <c r="B4493" s="0" t="inlineStr">
        <is>
          <t xml:space="preserve">N0010421PCA62</t>
        </is>
      </c>
      <c r="C4493" s="0" t="inlineStr">
        <is>
          <t xml:space="preserve">small_craft</t>
        </is>
      </c>
      <c r="D4493" s="4">
        <v>0.0282</v>
      </c>
      <c r="E4493" s="0" t="inlineStr">
        <is>
          <t xml:space="preserve">POWERSTAR INC</t>
        </is>
      </c>
      <c r="F4493" s="0" t="inlineStr">
        <is>
          <t xml:space="preserve">naics:336612</t>
        </is>
      </c>
    </row>
    <row r="4494">
      <c r="B4494" s="0" t="inlineStr">
        <is>
          <t xml:space="preserve">N0010418PCE98</t>
        </is>
      </c>
      <c r="C4494" s="0" t="inlineStr">
        <is>
          <t xml:space="preserve">small_craft</t>
        </is>
      </c>
      <c r="D4494" s="4">
        <v>0.02803309</v>
      </c>
      <c r="E4494" s="0" t="inlineStr">
        <is>
          <t xml:space="preserve">JERED LLC</t>
        </is>
      </c>
      <c r="F4494" s="0" t="inlineStr">
        <is>
          <t xml:space="preserve">naics:336612</t>
        </is>
      </c>
    </row>
    <row r="4495">
      <c r="B4495" s="0" t="inlineStr">
        <is>
          <t xml:space="preserve">N4523A20P0301</t>
        </is>
      </c>
      <c r="C4495" s="0" t="inlineStr">
        <is>
          <t xml:space="preserve">broad_maritime</t>
        </is>
      </c>
      <c r="D4495" s="4">
        <v>0.0280292</v>
      </c>
      <c r="E4495" s="0" t="inlineStr">
        <is>
          <t xml:space="preserve">TIMKEN GEARS &amp; SERVICES INC.</t>
        </is>
      </c>
      <c r="F4495" s="0" t="inlineStr">
        <is>
          <t xml:space="preserve">psc:1905</t>
        </is>
      </c>
    </row>
    <row r="4496">
      <c r="B4496" s="0" t="inlineStr">
        <is>
          <t xml:space="preserve">N0001420P4003</t>
        </is>
      </c>
      <c r="C4496" s="0" t="inlineStr">
        <is>
          <t xml:space="preserve">usv_core</t>
        </is>
      </c>
      <c r="D4496" s="4">
        <v>0.027999999999999997</v>
      </c>
      <c r="E4496" s="0" t="inlineStr">
        <is>
          <t xml:space="preserve">SANDESTIN INVESTMENTS LLC</t>
        </is>
      </c>
      <c r="F4496" s="0" t="inlineStr">
        <is>
          <t xml:space="preserve">keyword</t>
        </is>
      </c>
    </row>
    <row r="4497">
      <c r="B4497" s="0" t="inlineStr">
        <is>
          <t xml:space="preserve">LH52</t>
        </is>
      </c>
      <c r="C4497" s="0" t="inlineStr">
        <is>
          <t xml:space="preserve">other_small</t>
        </is>
      </c>
      <c r="D4497" s="4">
        <v>0.027854999999999998</v>
      </c>
      <c r="E4497" s="0" t="inlineStr">
        <is>
          <t xml:space="preserve">MCALLISTER TOWING OF VIRGINIA INC</t>
        </is>
      </c>
      <c r="F4497" s="0" t="inlineStr">
        <is>
          <t xml:space="preserve">psc:1990</t>
        </is>
      </c>
    </row>
    <row r="4498">
      <c r="B4498" s="0" t="inlineStr">
        <is>
          <t xml:space="preserve">N0040619P0107</t>
        </is>
      </c>
      <c r="C4498" s="0" t="inlineStr">
        <is>
          <t xml:space="preserve">small_craft</t>
        </is>
      </c>
      <c r="D4498" s="4">
        <v>0.027819999999999998</v>
      </c>
      <c r="E4498" s="0" t="inlineStr">
        <is>
          <t xml:space="preserve">J.D.A. MARITIME, INC.</t>
        </is>
      </c>
      <c r="F4498" s="0" t="inlineStr">
        <is>
          <t xml:space="preserve">naics:336612</t>
        </is>
      </c>
    </row>
    <row r="4499">
      <c r="B4499" s="0" t="inlineStr">
        <is>
          <t xml:space="preserve">N3220519P6529</t>
        </is>
      </c>
      <c r="C4499" s="0" t="inlineStr">
        <is>
          <t xml:space="preserve">small_craft</t>
        </is>
      </c>
      <c r="D4499" s="4">
        <v>0.027733999999999998</v>
      </c>
      <c r="E4499" s="0" t="inlineStr">
        <is>
          <t xml:space="preserve">J. W. MARINE EQUIPMENT, INC.</t>
        </is>
      </c>
      <c r="F4499" s="0" t="inlineStr">
        <is>
          <t xml:space="preserve">naics:336612</t>
        </is>
      </c>
    </row>
    <row r="4500">
      <c r="B4500" s="0" t="inlineStr">
        <is>
          <t xml:space="preserve">N0010426PFA48</t>
        </is>
      </c>
      <c r="C4500" s="0" t="inlineStr">
        <is>
          <t xml:space="preserve">small_craft</t>
        </is>
      </c>
      <c r="D4500" s="4">
        <v>0.0277</v>
      </c>
      <c r="E4500" s="0" t="inlineStr">
        <is>
          <t xml:space="preserve">SAE MANUFACTURING SPECIALTIES CORP.</t>
        </is>
      </c>
      <c r="F4500" s="0" t="inlineStr">
        <is>
          <t xml:space="preserve">naics:336612</t>
        </is>
      </c>
    </row>
    <row r="4501">
      <c r="B4501" s="0" t="inlineStr">
        <is>
          <t xml:space="preserve">N0017422P0175</t>
        </is>
      </c>
      <c r="C4501" s="0" t="inlineStr">
        <is>
          <t xml:space="preserve">small_craft</t>
        </is>
      </c>
      <c r="D4501" s="4">
        <v>0.027502569999999997</v>
      </c>
      <c r="E4501" s="0" t="inlineStr">
        <is>
          <t xml:space="preserve">ATLANTIC DIVING SUPPLY, INC.</t>
        </is>
      </c>
      <c r="F4501" s="0" t="inlineStr">
        <is>
          <t xml:space="preserve">naics:336612</t>
        </is>
      </c>
    </row>
    <row r="4502">
      <c r="B4502" s="0" t="inlineStr">
        <is>
          <t xml:space="preserve">LH53</t>
        </is>
      </c>
      <c r="C4502" s="0" t="inlineStr">
        <is>
          <t xml:space="preserve">other_small</t>
        </is>
      </c>
      <c r="D4502" s="4">
        <v>0.02745</v>
      </c>
      <c r="E4502" s="0" t="inlineStr">
        <is>
          <t xml:space="preserve">MCALLISTER TOWING OF VIRGINIA INC</t>
        </is>
      </c>
      <c r="F4502" s="0" t="inlineStr">
        <is>
          <t xml:space="preserve">psc:1990</t>
        </is>
      </c>
    </row>
    <row r="4503">
      <c r="B4503" s="0" t="inlineStr">
        <is>
          <t xml:space="preserve">N0010423FY702</t>
        </is>
      </c>
      <c r="C4503" s="0" t="inlineStr">
        <is>
          <t xml:space="preserve">small_craft</t>
        </is>
      </c>
      <c r="D4503" s="4">
        <v>0.027319999999999997</v>
      </c>
      <c r="E4503" s="0" t="inlineStr">
        <is>
          <t xml:space="preserve">L3 TECHNOLOGIES, INC.</t>
        </is>
      </c>
      <c r="F4503" s="0" t="inlineStr">
        <is>
          <t xml:space="preserve">naics:336612</t>
        </is>
      </c>
    </row>
    <row r="4504">
      <c r="B4504" s="0" t="inlineStr">
        <is>
          <t xml:space="preserve">N3220519P4055</t>
        </is>
      </c>
      <c r="C4504" s="0" t="inlineStr">
        <is>
          <t xml:space="preserve">small_craft</t>
        </is>
      </c>
      <c r="D4504" s="4">
        <v>0.027063999999999998</v>
      </c>
      <c r="E4504" s="0" t="inlineStr">
        <is>
          <t xml:space="preserve">WING INFLATABLES INC</t>
        </is>
      </c>
      <c r="F4504" s="0" t="inlineStr">
        <is>
          <t xml:space="preserve">naics:336612</t>
        </is>
      </c>
    </row>
    <row r="4505">
      <c r="B4505" s="0" t="inlineStr">
        <is>
          <t xml:space="preserve">N0040616P3277</t>
        </is>
      </c>
      <c r="C4505" s="0" t="inlineStr">
        <is>
          <t xml:space="preserve">small_craft</t>
        </is>
      </c>
      <c r="D4505" s="4">
        <v>0.0269922</v>
      </c>
      <c r="E4505" s="0" t="inlineStr">
        <is>
          <t xml:space="preserve">WING INFLATABLES INC</t>
        </is>
      </c>
      <c r="F4505" s="0" t="inlineStr">
        <is>
          <t xml:space="preserve">naics:336612</t>
        </is>
      </c>
    </row>
    <row r="4506">
      <c r="B4506" s="0" t="inlineStr">
        <is>
          <t xml:space="preserve">N4044319P0162</t>
        </is>
      </c>
      <c r="C4506" s="0" t="inlineStr">
        <is>
          <t xml:space="preserve">small_craft</t>
        </is>
      </c>
      <c r="D4506" s="4">
        <v>0.02678075</v>
      </c>
      <c r="E4506" s="0" t="inlineStr">
        <is>
          <t xml:space="preserve">FASSMER SERVICE AMERICA LLC</t>
        </is>
      </c>
      <c r="F4506" s="0" t="inlineStr">
        <is>
          <t xml:space="preserve">naics:336612</t>
        </is>
      </c>
    </row>
    <row r="4507">
      <c r="B4507" s="0" t="inlineStr">
        <is>
          <t xml:space="preserve">N5005421P0161</t>
        </is>
      </c>
      <c r="C4507" s="0" t="inlineStr">
        <is>
          <t xml:space="preserve">small_craft</t>
        </is>
      </c>
      <c r="D4507" s="4">
        <v>0.0267764</v>
      </c>
      <c r="E4507" s="0" t="inlineStr">
        <is>
          <t xml:space="preserve">BATH IRON WORKS CORPORATION</t>
        </is>
      </c>
      <c r="F4507" s="0" t="inlineStr">
        <is>
          <t xml:space="preserve">naics:336612</t>
        </is>
      </c>
    </row>
    <row r="4508">
      <c r="B4508" s="0" t="inlineStr">
        <is>
          <t xml:space="preserve">N0018920P0318</t>
        </is>
      </c>
      <c r="C4508" s="0" t="inlineStr">
        <is>
          <t xml:space="preserve">small_craft</t>
        </is>
      </c>
      <c r="D4508" s="4">
        <v>0.02676306</v>
      </c>
      <c r="E4508" s="0" t="inlineStr">
        <is>
          <t xml:space="preserve">WING INFLATABLES INC</t>
        </is>
      </c>
      <c r="F4508" s="0" t="inlineStr">
        <is>
          <t xml:space="preserve">naics:336612; psc:1940</t>
        </is>
      </c>
    </row>
    <row r="4509">
      <c r="B4509" s="0" t="inlineStr">
        <is>
          <t xml:space="preserve">N6883617P1012</t>
        </is>
      </c>
      <c r="C4509" s="0" t="inlineStr">
        <is>
          <t xml:space="preserve">small_craft</t>
        </is>
      </c>
      <c r="D4509" s="4">
        <v>0.02674536</v>
      </c>
      <c r="E4509" s="0" t="inlineStr">
        <is>
          <t xml:space="preserve">JET DOCK SYSTEMS INC</t>
        </is>
      </c>
      <c r="F4509" s="0" t="inlineStr">
        <is>
          <t xml:space="preserve">naics:336612</t>
        </is>
      </c>
    </row>
    <row r="4510">
      <c r="B4510" s="0" t="inlineStr">
        <is>
          <t xml:space="preserve">N5523625F9967</t>
        </is>
      </c>
      <c r="C4510" s="0" t="inlineStr">
        <is>
          <t xml:space="preserve">broad_maritime</t>
        </is>
      </c>
      <c r="D4510" s="4">
        <v>0.026744999999999998</v>
      </c>
      <c r="E4510" s="0" t="inlineStr">
        <is>
          <t xml:space="preserve">HII FLEET SUPPORT GROUP LLC</t>
        </is>
      </c>
      <c r="F4510" s="0" t="inlineStr">
        <is>
          <t xml:space="preserve">psc:1905</t>
        </is>
      </c>
    </row>
    <row r="4511">
      <c r="B4511" s="0" t="inlineStr">
        <is>
          <t xml:space="preserve">N6278921F0004</t>
        </is>
      </c>
      <c r="C4511" s="0" t="inlineStr">
        <is>
          <t xml:space="preserve">broad_maritime</t>
        </is>
      </c>
      <c r="D4511" s="4">
        <v>0.026535999999999997</v>
      </c>
      <c r="E4511" s="0" t="inlineStr">
        <is>
          <t xml:space="preserve">ELECTRIC BOAT CORPORATION</t>
        </is>
      </c>
      <c r="F4511" s="0" t="inlineStr">
        <is>
          <t xml:space="preserve">psc:1905</t>
        </is>
      </c>
    </row>
    <row r="4512">
      <c r="B4512" s="0" t="inlineStr">
        <is>
          <t xml:space="preserve">N0010420PCA04</t>
        </is>
      </c>
      <c r="C4512" s="0" t="inlineStr">
        <is>
          <t xml:space="preserve">small_craft</t>
        </is>
      </c>
      <c r="D4512" s="4">
        <v>0.0262933</v>
      </c>
      <c r="E4512" s="0" t="inlineStr">
        <is>
          <t xml:space="preserve">ITL LLC</t>
        </is>
      </c>
      <c r="F4512" s="0" t="inlineStr">
        <is>
          <t xml:space="preserve">naics:336612</t>
        </is>
      </c>
    </row>
    <row r="4513">
      <c r="B4513" s="0" t="inlineStr">
        <is>
          <t xml:space="preserve">M6740019P0021</t>
        </is>
      </c>
      <c r="C4513" s="0" t="inlineStr">
        <is>
          <t xml:space="preserve">broad_maritime</t>
        </is>
      </c>
      <c r="D4513" s="4">
        <v>0.026248</v>
      </c>
      <c r="E4513" s="0" t="inlineStr">
        <is>
          <t xml:space="preserve">CRYOGENIC PLASTICS INC</t>
        </is>
      </c>
      <c r="F4513" s="0" t="inlineStr">
        <is>
          <t xml:space="preserve">psc:1905</t>
        </is>
      </c>
    </row>
    <row r="4514">
      <c r="B4514" s="0" t="inlineStr">
        <is>
          <t xml:space="preserve">N3220513P1395</t>
        </is>
      </c>
      <c r="C4514" s="0" t="inlineStr">
        <is>
          <t xml:space="preserve">small_craft</t>
        </is>
      </c>
      <c r="D4514" s="4">
        <v>0.026243279999999997</v>
      </c>
      <c r="E4514" s="0" t="inlineStr">
        <is>
          <t xml:space="preserve">MARINE SYSTEMS, INC.</t>
        </is>
      </c>
      <c r="F4514" s="0" t="inlineStr">
        <is>
          <t xml:space="preserve">naics:336612</t>
        </is>
      </c>
    </row>
    <row r="4515">
      <c r="B4515" s="0" t="inlineStr">
        <is>
          <t xml:space="preserve">N5005420P0117</t>
        </is>
      </c>
      <c r="C4515" s="0" t="inlineStr">
        <is>
          <t xml:space="preserve">broad_maritime</t>
        </is>
      </c>
      <c r="D4515" s="4">
        <v>0.02614622</v>
      </c>
      <c r="E4515" s="0" t="inlineStr">
        <is>
          <t xml:space="preserve">LAKE SHORE SYSTEMS, INC.</t>
        </is>
      </c>
      <c r="F4515" s="0" t="inlineStr">
        <is>
          <t xml:space="preserve">psc:1905</t>
        </is>
      </c>
    </row>
    <row r="4516">
      <c r="B4516" s="0" t="inlineStr">
        <is>
          <t xml:space="preserve">N0040616P3092</t>
        </is>
      </c>
      <c r="C4516" s="0" t="inlineStr">
        <is>
          <t xml:space="preserve">small_craft</t>
        </is>
      </c>
      <c r="D4516" s="4">
        <v>0.026099999999999998</v>
      </c>
      <c r="E4516" s="0" t="inlineStr">
        <is>
          <t xml:space="preserve">J.D.A. MARITIME, INC.</t>
        </is>
      </c>
      <c r="F4516" s="0" t="inlineStr">
        <is>
          <t xml:space="preserve">naics:336612</t>
        </is>
      </c>
    </row>
    <row r="4517">
      <c r="B4517" s="0" t="inlineStr">
        <is>
          <t xml:space="preserve">N0018922P0802</t>
        </is>
      </c>
      <c r="C4517" s="0" t="inlineStr">
        <is>
          <t xml:space="preserve">usv_core</t>
        </is>
      </c>
      <c r="D4517" s="4">
        <v>0.026</v>
      </c>
      <c r="E4517" s="0" t="inlineStr">
        <is>
          <t xml:space="preserve">C W LAWLEY, INCORPORATED</t>
        </is>
      </c>
      <c r="F4517" s="0" t="inlineStr">
        <is>
          <t xml:space="preserve">keyword; psc:1990</t>
        </is>
      </c>
    </row>
    <row r="4518">
      <c r="B4518" s="0" t="inlineStr">
        <is>
          <t xml:space="preserve">M0068116P0135</t>
        </is>
      </c>
      <c r="C4518" s="0" t="inlineStr">
        <is>
          <t xml:space="preserve">small_craft</t>
        </is>
      </c>
      <c r="D4518" s="4">
        <v>0.025936999999999998</v>
      </c>
      <c r="E4518" s="0" t="inlineStr">
        <is>
          <t xml:space="preserve">SOUTH BAY MOTORSPORTS</t>
        </is>
      </c>
      <c r="F4518" s="0" t="inlineStr">
        <is>
          <t xml:space="preserve">psc:1940</t>
        </is>
      </c>
    </row>
    <row r="4519">
      <c r="B4519" s="0" t="inlineStr">
        <is>
          <t xml:space="preserve">N0010421PBV81</t>
        </is>
      </c>
      <c r="C4519" s="0" t="inlineStr">
        <is>
          <t xml:space="preserve">small_craft</t>
        </is>
      </c>
      <c r="D4519" s="4">
        <v>0.0258</v>
      </c>
      <c r="E4519" s="0" t="inlineStr">
        <is>
          <t xml:space="preserve">MDF TECHNOLOGIES INC</t>
        </is>
      </c>
      <c r="F4519" s="0" t="inlineStr">
        <is>
          <t xml:space="preserve">naics:336612</t>
        </is>
      </c>
    </row>
    <row r="4520">
      <c r="B4520" s="0" t="inlineStr">
        <is>
          <t xml:space="preserve">N0040619P0402</t>
        </is>
      </c>
      <c r="C4520" s="0" t="inlineStr">
        <is>
          <t xml:space="preserve">small_craft</t>
        </is>
      </c>
      <c r="D4520" s="4">
        <v>0.02569477</v>
      </c>
      <c r="E4520" s="0" t="inlineStr">
        <is>
          <t xml:space="preserve">JUNIPER ELBOW CO. INC.</t>
        </is>
      </c>
      <c r="F4520" s="0" t="inlineStr">
        <is>
          <t xml:space="preserve">naics:336612</t>
        </is>
      </c>
    </row>
    <row r="4521">
      <c r="B4521" s="0" t="inlineStr">
        <is>
          <t xml:space="preserve">N0010421PEJ02</t>
        </is>
      </c>
      <c r="C4521" s="0" t="inlineStr">
        <is>
          <t xml:space="preserve">small_craft</t>
        </is>
      </c>
      <c r="D4521" s="4">
        <v>0.02560104</v>
      </c>
      <c r="E4521" s="0" t="inlineStr">
        <is>
          <t xml:space="preserve">HAN-BOONE INTERNATIONAL, INC.</t>
        </is>
      </c>
      <c r="F4521" s="0" t="inlineStr">
        <is>
          <t xml:space="preserve">naics:336612</t>
        </is>
      </c>
    </row>
    <row r="4522">
      <c r="B4522" s="0" t="inlineStr">
        <is>
          <t xml:space="preserve">N0010420PXC00</t>
        </is>
      </c>
      <c r="C4522" s="0" t="inlineStr">
        <is>
          <t xml:space="preserve">small_craft</t>
        </is>
      </c>
      <c r="D4522" s="4">
        <v>0.02555</v>
      </c>
      <c r="E4522" s="0" t="inlineStr">
        <is>
          <t xml:space="preserve">VIRGINIA ELECTRONIC SYSTEMS, INC.</t>
        </is>
      </c>
      <c r="F4522" s="0" t="inlineStr">
        <is>
          <t xml:space="preserve">psc:1940</t>
        </is>
      </c>
    </row>
    <row r="4523">
      <c r="B4523" s="0" t="inlineStr">
        <is>
          <t xml:space="preserve">N0040619P0740</t>
        </is>
      </c>
      <c r="C4523" s="0" t="inlineStr">
        <is>
          <t xml:space="preserve">small_craft</t>
        </is>
      </c>
      <c r="D4523" s="4">
        <v>0.02543406</v>
      </c>
      <c r="E4523" s="0" t="inlineStr">
        <is>
          <t xml:space="preserve">KLB ENTERPRISES CORP</t>
        </is>
      </c>
      <c r="F4523" s="0" t="inlineStr">
        <is>
          <t xml:space="preserve">naics:336612</t>
        </is>
      </c>
    </row>
    <row r="4524">
      <c r="B4524" s="0" t="inlineStr">
        <is>
          <t xml:space="preserve">N0010418PNB86</t>
        </is>
      </c>
      <c r="C4524" s="0" t="inlineStr">
        <is>
          <t xml:space="preserve">small_craft</t>
        </is>
      </c>
      <c r="D4524" s="4">
        <v>0.025398999999999998</v>
      </c>
      <c r="E4524" s="0" t="inlineStr">
        <is>
          <t xml:space="preserve">GK MECHANICAL SYSTEMS LLC</t>
        </is>
      </c>
      <c r="F4524" s="0" t="inlineStr">
        <is>
          <t xml:space="preserve">naics:336612</t>
        </is>
      </c>
    </row>
    <row r="4525">
      <c r="B4525" s="0" t="inlineStr">
        <is>
          <t xml:space="preserve">N0010421PCD87</t>
        </is>
      </c>
      <c r="C4525" s="0" t="inlineStr">
        <is>
          <t xml:space="preserve">small_craft</t>
        </is>
      </c>
      <c r="D4525" s="4">
        <v>0.02527497</v>
      </c>
      <c r="E4525" s="0" t="inlineStr">
        <is>
          <t xml:space="preserve">NORTHROP GRUMMAN SYSTEMS CORPORATION</t>
        </is>
      </c>
      <c r="F4525" s="0" t="inlineStr">
        <is>
          <t xml:space="preserve">naics:336612</t>
        </is>
      </c>
    </row>
    <row r="4526">
      <c r="B4526" s="0" t="inlineStr">
        <is>
          <t xml:space="preserve">M6700422P1028</t>
        </is>
      </c>
      <c r="C4526" s="0" t="inlineStr">
        <is>
          <t xml:space="preserve">small_craft</t>
        </is>
      </c>
      <c r="D4526" s="4">
        <v>0.025269599999999996</v>
      </c>
      <c r="E4526" s="0" t="inlineStr">
        <is>
          <t xml:space="preserve">CANNON MARINE PARTNERS, LLC</t>
        </is>
      </c>
      <c r="F4526" s="0" t="inlineStr">
        <is>
          <t xml:space="preserve">naics:336612</t>
        </is>
      </c>
    </row>
    <row r="4527">
      <c r="B4527" s="0" t="inlineStr">
        <is>
          <t xml:space="preserve">N6883622P0195</t>
        </is>
      </c>
      <c r="C4527" s="0" t="inlineStr">
        <is>
          <t xml:space="preserve">small_craft</t>
        </is>
      </c>
      <c r="D4527" s="4">
        <v>0.0251967</v>
      </c>
      <c r="E4527" s="0" t="inlineStr">
        <is>
          <t xml:space="preserve">ADI TECHNOLOGIES INC.</t>
        </is>
      </c>
      <c r="F4527" s="0" t="inlineStr">
        <is>
          <t xml:space="preserve">naics:336612</t>
        </is>
      </c>
    </row>
    <row r="4528">
      <c r="B4528" s="0" t="inlineStr">
        <is>
          <t xml:space="preserve">N0010424PEA47</t>
        </is>
      </c>
      <c r="C4528" s="0" t="inlineStr">
        <is>
          <t xml:space="preserve">small_craft</t>
        </is>
      </c>
      <c r="D4528" s="4">
        <v>0.025131999999999998</v>
      </c>
      <c r="E4528" s="0" t="inlineStr">
        <is>
          <t xml:space="preserve">GENERAL NUCLEAR CORP</t>
        </is>
      </c>
      <c r="F4528" s="0" t="inlineStr">
        <is>
          <t xml:space="preserve">naics:336612</t>
        </is>
      </c>
    </row>
    <row r="4529">
      <c r="B4529" s="0" t="inlineStr">
        <is>
          <t xml:space="preserve">0012</t>
        </is>
      </c>
      <c r="C4529" s="0" t="inlineStr">
        <is>
          <t xml:space="preserve">other_small</t>
        </is>
      </c>
      <c r="D4529" s="4">
        <v>0.025090259999999996</v>
      </c>
      <c r="E4529" s="0" t="inlineStr">
        <is>
          <t xml:space="preserve">LAKE SHORE SYSTEMS, INC.</t>
        </is>
      </c>
      <c r="F4529" s="0" t="inlineStr">
        <is>
          <t xml:space="preserve">psc:1990</t>
        </is>
      </c>
    </row>
    <row r="4530">
      <c r="B4530" s="0" t="inlineStr">
        <is>
          <t xml:space="preserve">N0010420PEL25</t>
        </is>
      </c>
      <c r="C4530" s="0" t="inlineStr">
        <is>
          <t xml:space="preserve">small_craft</t>
        </is>
      </c>
      <c r="D4530" s="4">
        <v>0.025056</v>
      </c>
      <c r="E4530" s="0" t="inlineStr">
        <is>
          <t xml:space="preserve">JTF BUSINESS SYSTEMS CORPORATION</t>
        </is>
      </c>
      <c r="F4530" s="0" t="inlineStr">
        <is>
          <t xml:space="preserve">naics:336612</t>
        </is>
      </c>
    </row>
    <row r="4531">
      <c r="B4531" s="0" t="inlineStr">
        <is>
          <t xml:space="preserve">N0010426PTA15</t>
        </is>
      </c>
      <c r="C4531" s="0" t="inlineStr">
        <is>
          <t xml:space="preserve">small_craft</t>
        </is>
      </c>
      <c r="D4531" s="4">
        <v>0.02500939</v>
      </c>
      <c r="E4531" s="0" t="inlineStr">
        <is>
          <t xml:space="preserve">NOBLES WORLDWIDE, INC.</t>
        </is>
      </c>
      <c r="F4531" s="0" t="inlineStr">
        <is>
          <t xml:space="preserve">naics:336612</t>
        </is>
      </c>
    </row>
    <row r="4532">
      <c r="B4532" s="0" t="inlineStr">
        <is>
          <t xml:space="preserve">N0002417P2203</t>
        </is>
      </c>
      <c r="C4532" s="0" t="inlineStr">
        <is>
          <t xml:space="preserve">small_craft</t>
        </is>
      </c>
      <c r="D4532" s="4">
        <v>0.024999999999999998</v>
      </c>
      <c r="E4532" s="0" t="inlineStr">
        <is>
          <t xml:space="preserve">GRAVOIS ALUMINUM BOATS LLC</t>
        </is>
      </c>
      <c r="F4532" s="0" t="inlineStr">
        <is>
          <t xml:space="preserve">naics:336612</t>
        </is>
      </c>
    </row>
    <row r="4533">
      <c r="B4533" s="0" t="inlineStr">
        <is>
          <t xml:space="preserve">N0040619P0760</t>
        </is>
      </c>
      <c r="C4533" s="0" t="inlineStr">
        <is>
          <t xml:space="preserve">small_craft</t>
        </is>
      </c>
      <c r="D4533" s="4">
        <v>0.024999</v>
      </c>
      <c r="E4533" s="0" t="inlineStr">
        <is>
          <t xml:space="preserve">JUNIPER ELBOW CO. INC.</t>
        </is>
      </c>
      <c r="F4533" s="0" t="inlineStr">
        <is>
          <t xml:space="preserve">naics:336612</t>
        </is>
      </c>
    </row>
    <row r="4534">
      <c r="B4534" s="0" t="inlineStr">
        <is>
          <t xml:space="preserve">N6874219F0005</t>
        </is>
      </c>
      <c r="C4534" s="0" t="inlineStr">
        <is>
          <t xml:space="preserve">other_small</t>
        </is>
      </c>
      <c r="D4534" s="4">
        <v>0.024996499999999998</v>
      </c>
      <c r="E4534" s="0" t="inlineStr">
        <is>
          <t xml:space="preserve">MACGYVER SOLUTIONS, INC.</t>
        </is>
      </c>
      <c r="F4534" s="0" t="inlineStr">
        <is>
          <t xml:space="preserve">psc:1925</t>
        </is>
      </c>
    </row>
    <row r="4535">
      <c r="B4535" s="0" t="inlineStr">
        <is>
          <t xml:space="preserve">N0040617P2213</t>
        </is>
      </c>
      <c r="C4535" s="0" t="inlineStr">
        <is>
          <t xml:space="preserve">small_craft</t>
        </is>
      </c>
      <c r="D4535" s="4">
        <v>0.024995</v>
      </c>
      <c r="E4535" s="0" t="inlineStr">
        <is>
          <t xml:space="preserve">J.D.A. MARITIME, INC.</t>
        </is>
      </c>
      <c r="F4535" s="0" t="inlineStr">
        <is>
          <t xml:space="preserve">naics:336612</t>
        </is>
      </c>
    </row>
    <row r="4536">
      <c r="B4536" s="0" t="inlineStr">
        <is>
          <t xml:space="preserve">N0010422PDA18</t>
        </is>
      </c>
      <c r="C4536" s="0" t="inlineStr">
        <is>
          <t xml:space="preserve">small_craft</t>
        </is>
      </c>
      <c r="D4536" s="4">
        <v>0.024856</v>
      </c>
      <c r="E4536" s="0" t="inlineStr">
        <is>
          <t xml:space="preserve">DURAMAX MARINE, LLC</t>
        </is>
      </c>
      <c r="F4536" s="0" t="inlineStr">
        <is>
          <t xml:space="preserve">naics:336612</t>
        </is>
      </c>
    </row>
    <row r="4537">
      <c r="B4537" s="0" t="inlineStr">
        <is>
          <t xml:space="preserve">N0003925F1011</t>
        </is>
      </c>
      <c r="C4537" s="0" t="inlineStr">
        <is>
          <t xml:space="preserve">small_craft</t>
        </is>
      </c>
      <c r="D4537" s="4">
        <v>0.02484127</v>
      </c>
      <c r="E4537" s="0" t="inlineStr">
        <is>
          <t xml:space="preserve">TELEDYNE BROWN ENGINEERING, INC.</t>
        </is>
      </c>
      <c r="F4537" s="0" t="inlineStr">
        <is>
          <t xml:space="preserve">psc:1940</t>
        </is>
      </c>
    </row>
    <row r="4538">
      <c r="B4538" s="0" t="inlineStr">
        <is>
          <t xml:space="preserve">N0016725F0036</t>
        </is>
      </c>
      <c r="C4538" s="0" t="inlineStr">
        <is>
          <t xml:space="preserve">small_craft</t>
        </is>
      </c>
      <c r="D4538" s="4">
        <v>0.02481281</v>
      </c>
      <c r="E4538" s="0" t="inlineStr">
        <is>
          <t xml:space="preserve">UNITED STATES MARINE INC</t>
        </is>
      </c>
      <c r="F4538" s="0" t="inlineStr">
        <is>
          <t xml:space="preserve">naics:336612</t>
        </is>
      </c>
    </row>
    <row r="4539">
      <c r="B4539" s="0" t="inlineStr">
        <is>
          <t xml:space="preserve">N0024419F0039</t>
        </is>
      </c>
      <c r="C4539" s="0" t="inlineStr">
        <is>
          <t xml:space="preserve">small_craft</t>
        </is>
      </c>
      <c r="D4539" s="4">
        <v>0.02476833</v>
      </c>
      <c r="E4539" s="0" t="inlineStr">
        <is>
          <t xml:space="preserve">STIDD SYSTEMS, INC.</t>
        </is>
      </c>
      <c r="F4539" s="0" t="inlineStr">
        <is>
          <t xml:space="preserve">naics:336612</t>
        </is>
      </c>
    </row>
    <row r="4540">
      <c r="B4540" s="0" t="inlineStr">
        <is>
          <t xml:space="preserve">M6785417P1301</t>
        </is>
      </c>
      <c r="C4540" s="0" t="inlineStr">
        <is>
          <t xml:space="preserve">small_craft</t>
        </is>
      </c>
      <c r="D4540" s="4">
        <v>0.024651</v>
      </c>
      <c r="E4540" s="0" t="inlineStr">
        <is>
          <t xml:space="preserve">STIDD SYSTEMS, INC.</t>
        </is>
      </c>
      <c r="F4540" s="0" t="inlineStr">
        <is>
          <t xml:space="preserve">naics:336612; psc:1940</t>
        </is>
      </c>
    </row>
    <row r="4541">
      <c r="B4541" s="0" t="inlineStr">
        <is>
          <t xml:space="preserve">N0018918P1218</t>
        </is>
      </c>
      <c r="C4541" s="0" t="inlineStr">
        <is>
          <t xml:space="preserve">small_craft</t>
        </is>
      </c>
      <c r="D4541" s="4">
        <v>0.02465</v>
      </c>
      <c r="E4541" s="0" t="inlineStr">
        <is>
          <t xml:space="preserve">WING INFLATABLES INC</t>
        </is>
      </c>
      <c r="F4541" s="0" t="inlineStr">
        <is>
          <t xml:space="preserve">naics:336612; psc:1940</t>
        </is>
      </c>
    </row>
    <row r="4542">
      <c r="B4542" s="0" t="inlineStr">
        <is>
          <t xml:space="preserve">N4044207P5850</t>
        </is>
      </c>
      <c r="C4542" s="0" t="inlineStr">
        <is>
          <t xml:space="preserve">small_craft</t>
        </is>
      </c>
      <c r="D4542" s="4">
        <v>0.024628999999999998</v>
      </c>
      <c r="E4542" s="0" t="inlineStr">
        <is>
          <t xml:space="preserve">ALLIGATOR MARINE INC</t>
        </is>
      </c>
      <c r="F4542" s="0" t="inlineStr">
        <is>
          <t xml:space="preserve">naics:336612</t>
        </is>
      </c>
    </row>
    <row r="4543">
      <c r="B4543" s="0" t="inlineStr">
        <is>
          <t xml:space="preserve">N0040616P0333</t>
        </is>
      </c>
      <c r="C4543" s="0" t="inlineStr">
        <is>
          <t xml:space="preserve">small_craft</t>
        </is>
      </c>
      <c r="D4543" s="4">
        <v>0.024624999999999998</v>
      </c>
      <c r="E4543" s="0" t="inlineStr">
        <is>
          <t xml:space="preserve">J.D.A. MARITIME, INC.</t>
        </is>
      </c>
      <c r="F4543" s="0" t="inlineStr">
        <is>
          <t xml:space="preserve">naics:336612</t>
        </is>
      </c>
    </row>
    <row r="4544">
      <c r="B4544" s="0" t="inlineStr">
        <is>
          <t xml:space="preserve">N0010423PXC10</t>
        </is>
      </c>
      <c r="C4544" s="0" t="inlineStr">
        <is>
          <t xml:space="preserve">small_craft</t>
        </is>
      </c>
      <c r="D4544" s="4">
        <v>0.0246</v>
      </c>
      <c r="E4544" s="0" t="inlineStr">
        <is>
          <t xml:space="preserve">OHIO MACHINERY CO</t>
        </is>
      </c>
      <c r="F4544" s="0" t="inlineStr">
        <is>
          <t xml:space="preserve">naics:336612</t>
        </is>
      </c>
    </row>
    <row r="4545">
      <c r="B4545" s="0" t="inlineStr">
        <is>
          <t xml:space="preserve">0018</t>
        </is>
      </c>
      <c r="C4545" s="0" t="inlineStr">
        <is>
          <t xml:space="preserve">broad_maritime</t>
        </is>
      </c>
      <c r="D4545" s="4">
        <v>0.024595</v>
      </c>
      <c r="E4545" s="0" t="inlineStr">
        <is>
          <t xml:space="preserve">ELECTRIC BOAT CORPORATION</t>
        </is>
      </c>
      <c r="F4545" s="0" t="inlineStr">
        <is>
          <t xml:space="preserve">psc:1905</t>
        </is>
      </c>
    </row>
    <row r="4546">
      <c r="B4546" s="0" t="inlineStr">
        <is>
          <t xml:space="preserve">N3220518F2581</t>
        </is>
      </c>
      <c r="C4546" s="0" t="inlineStr">
        <is>
          <t xml:space="preserve">other_small</t>
        </is>
      </c>
      <c r="D4546" s="4">
        <v>0.024554</v>
      </c>
      <c r="E4546" s="0" t="inlineStr">
        <is>
          <t xml:space="preserve">LAKE SHORE SYSTEMS, INC.</t>
        </is>
      </c>
      <c r="F4546" s="0" t="inlineStr">
        <is>
          <t xml:space="preserve">psc:1990</t>
        </is>
      </c>
    </row>
    <row r="4547">
      <c r="B4547" s="0" t="inlineStr">
        <is>
          <t xml:space="preserve">M0031822P0009</t>
        </is>
      </c>
      <c r="C4547" s="0" t="inlineStr">
        <is>
          <t xml:space="preserve">small_craft</t>
        </is>
      </c>
      <c r="D4547" s="4">
        <v>0.02451148</v>
      </c>
      <c r="E4547" s="0" t="inlineStr">
        <is>
          <t xml:space="preserve">SAFE BOATS INTERNATIONAL LLC</t>
        </is>
      </c>
      <c r="F4547" s="0" t="inlineStr">
        <is>
          <t xml:space="preserve">naics:336612</t>
        </is>
      </c>
    </row>
    <row r="4548">
      <c r="B4548" s="0" t="inlineStr">
        <is>
          <t xml:space="preserve">M6786125P0029</t>
        </is>
      </c>
      <c r="C4548" s="0" t="inlineStr">
        <is>
          <t xml:space="preserve">small_craft</t>
        </is>
      </c>
      <c r="D4548" s="4">
        <v>0.0244745</v>
      </c>
      <c r="E4548" s="0" t="inlineStr">
        <is>
          <t xml:space="preserve">NR FRAGRANCES &amp; COSMETICS INC</t>
        </is>
      </c>
      <c r="F4548" s="0" t="inlineStr">
        <is>
          <t xml:space="preserve">psc:1940</t>
        </is>
      </c>
    </row>
    <row r="4549">
      <c r="B4549" s="0" t="inlineStr">
        <is>
          <t xml:space="preserve">N0018923P0545</t>
        </is>
      </c>
      <c r="C4549" s="0" t="inlineStr">
        <is>
          <t xml:space="preserve">small_craft</t>
        </is>
      </c>
      <c r="D4549" s="4">
        <v>0.024422199999999998</v>
      </c>
      <c r="E4549" s="0" t="inlineStr">
        <is>
          <t xml:space="preserve">BLIND AND VISION IMPAIRED, VIRGINIA DEPARTMENT FOR THE</t>
        </is>
      </c>
      <c r="F4549" s="0" t="inlineStr">
        <is>
          <t xml:space="preserve">naics:336612; psc:1940</t>
        </is>
      </c>
    </row>
    <row r="4550">
      <c r="B4550" s="0" t="inlineStr">
        <is>
          <t xml:space="preserve">N0040618P0928</t>
        </is>
      </c>
      <c r="C4550" s="0" t="inlineStr">
        <is>
          <t xml:space="preserve">small_craft</t>
        </is>
      </c>
      <c r="D4550" s="4">
        <v>0.0243491</v>
      </c>
      <c r="E4550" s="0" t="inlineStr">
        <is>
          <t xml:space="preserve">STRONGWELL CORPORATION</t>
        </is>
      </c>
      <c r="F4550" s="0" t="inlineStr">
        <is>
          <t xml:space="preserve">naics:336612</t>
        </is>
      </c>
    </row>
    <row r="4551">
      <c r="B4551" s="0" t="inlineStr">
        <is>
          <t xml:space="preserve">N3220518P2047</t>
        </is>
      </c>
      <c r="C4551" s="0" t="inlineStr">
        <is>
          <t xml:space="preserve">small_craft</t>
        </is>
      </c>
      <c r="D4551" s="4">
        <v>0.024249999999999997</v>
      </c>
      <c r="E4551" s="0" t="inlineStr">
        <is>
          <t xml:space="preserve">WING INFLATABLES INC</t>
        </is>
      </c>
      <c r="F4551" s="0" t="inlineStr">
        <is>
          <t xml:space="preserve">naics:336612</t>
        </is>
      </c>
    </row>
    <row r="4552">
      <c r="B4552" s="0" t="inlineStr">
        <is>
          <t xml:space="preserve">N0040620P0554</t>
        </is>
      </c>
      <c r="C4552" s="0" t="inlineStr">
        <is>
          <t xml:space="preserve">small_craft</t>
        </is>
      </c>
      <c r="D4552" s="4">
        <v>0.02414502</v>
      </c>
      <c r="E4552" s="0" t="inlineStr">
        <is>
          <t xml:space="preserve">DEFENSE MARITIME SOLUTIONS, INC.</t>
        </is>
      </c>
      <c r="F4552" s="0" t="inlineStr">
        <is>
          <t xml:space="preserve">naics:336612</t>
        </is>
      </c>
    </row>
    <row r="4553">
      <c r="B4553" s="0" t="inlineStr">
        <is>
          <t xml:space="preserve">N6227115M1118</t>
        </is>
      </c>
      <c r="C4553" s="0" t="inlineStr">
        <is>
          <t xml:space="preserve">other_small</t>
        </is>
      </c>
      <c r="D4553" s="4">
        <v>0.024095</v>
      </c>
      <c r="E4553" s="0" t="inlineStr">
        <is>
          <t xml:space="preserve">MOORING SYSTEMS, INCORPORATED</t>
        </is>
      </c>
      <c r="F4553" s="0" t="inlineStr">
        <is>
          <t xml:space="preserve">psc:1990</t>
        </is>
      </c>
    </row>
    <row r="4554">
      <c r="B4554" s="0" t="inlineStr">
        <is>
          <t xml:space="preserve">L834</t>
        </is>
      </c>
      <c r="C4554" s="0" t="inlineStr">
        <is>
          <t xml:space="preserve">broad_maritime</t>
        </is>
      </c>
      <c r="D4554" s="4">
        <v>0.024005</v>
      </c>
      <c r="E4554" s="0" t="inlineStr">
        <is>
          <t xml:space="preserve">ELECTRIC BOAT CORPORATION</t>
        </is>
      </c>
      <c r="F4554" s="0" t="inlineStr">
        <is>
          <t xml:space="preserve">psc:1905</t>
        </is>
      </c>
    </row>
    <row r="4555">
      <c r="B4555" s="0" t="inlineStr">
        <is>
          <t xml:space="preserve">L812</t>
        </is>
      </c>
      <c r="C4555" s="0" t="inlineStr">
        <is>
          <t xml:space="preserve">broad_maritime</t>
        </is>
      </c>
      <c r="D4555" s="4">
        <v>0.024003</v>
      </c>
      <c r="E4555" s="0" t="inlineStr">
        <is>
          <t xml:space="preserve">ELECTRIC BOAT CORPORATION</t>
        </is>
      </c>
      <c r="F4555" s="0" t="inlineStr">
        <is>
          <t xml:space="preserve">psc:1905</t>
        </is>
      </c>
    </row>
    <row r="4556">
      <c r="B4556" s="0" t="inlineStr">
        <is>
          <t xml:space="preserve">M6016914PSA26</t>
        </is>
      </c>
      <c r="C4556" s="0" t="inlineStr">
        <is>
          <t xml:space="preserve">small_craft</t>
        </is>
      </c>
      <c r="D4556" s="4">
        <v>0.024</v>
      </c>
      <c r="E4556" s="0" t="inlineStr">
        <is>
          <t xml:space="preserve">MCELVEEN, RICHARD K</t>
        </is>
      </c>
      <c r="F4556" s="0" t="inlineStr">
        <is>
          <t xml:space="preserve">naics:336612</t>
        </is>
      </c>
    </row>
    <row r="4557">
      <c r="B4557" s="0" t="inlineStr">
        <is>
          <t xml:space="preserve">N0010422PDA15</t>
        </is>
      </c>
      <c r="C4557" s="0" t="inlineStr">
        <is>
          <t xml:space="preserve">small_craft</t>
        </is>
      </c>
      <c r="D4557" s="4">
        <v>0.02392</v>
      </c>
      <c r="E4557" s="0" t="inlineStr">
        <is>
          <t xml:space="preserve">DURAMAX MARINE, LLC</t>
        </is>
      </c>
      <c r="F4557" s="0" t="inlineStr">
        <is>
          <t xml:space="preserve">naics:336612</t>
        </is>
      </c>
    </row>
    <row r="4558">
      <c r="B4558" s="0" t="inlineStr">
        <is>
          <t xml:space="preserve">0025</t>
        </is>
      </c>
      <c r="C4558" s="0" t="inlineStr">
        <is>
          <t xml:space="preserve">broad_maritime</t>
        </is>
      </c>
      <c r="D4558" s="4">
        <v>0.023805999999999997</v>
      </c>
      <c r="E4558" s="0" t="inlineStr">
        <is>
          <t xml:space="preserve">ELECTRIC BOAT CORPORATION</t>
        </is>
      </c>
      <c r="F4558" s="0" t="inlineStr">
        <is>
          <t xml:space="preserve">psc:1905</t>
        </is>
      </c>
    </row>
    <row r="4559">
      <c r="B4559" s="0" t="inlineStr">
        <is>
          <t xml:space="preserve">N0010422PDA39</t>
        </is>
      </c>
      <c r="C4559" s="0" t="inlineStr">
        <is>
          <t xml:space="preserve">small_craft</t>
        </is>
      </c>
      <c r="D4559" s="4">
        <v>0.023794</v>
      </c>
      <c r="E4559" s="0" t="inlineStr">
        <is>
          <t xml:space="preserve">L3 TECHNOLOGIES, INC.</t>
        </is>
      </c>
      <c r="F4559" s="0" t="inlineStr">
        <is>
          <t xml:space="preserve">naics:336612</t>
        </is>
      </c>
    </row>
    <row r="4560">
      <c r="B4560" s="0" t="inlineStr">
        <is>
          <t xml:space="preserve">N0018920P0028</t>
        </is>
      </c>
      <c r="C4560" s="0" t="inlineStr">
        <is>
          <t xml:space="preserve">small_craft</t>
        </is>
      </c>
      <c r="D4560" s="4">
        <v>0.0237262</v>
      </c>
      <c r="E4560" s="0" t="inlineStr">
        <is>
          <t xml:space="preserve">BEACH MARINE SERVICES INC</t>
        </is>
      </c>
      <c r="F4560" s="0" t="inlineStr">
        <is>
          <t xml:space="preserve">naics:336612; psc:1940</t>
        </is>
      </c>
    </row>
    <row r="4561">
      <c r="B4561" s="0" t="inlineStr">
        <is>
          <t xml:space="preserve">N4033920PD005</t>
        </is>
      </c>
      <c r="C4561" s="0" t="inlineStr">
        <is>
          <t xml:space="preserve">small_craft</t>
        </is>
      </c>
      <c r="D4561" s="4">
        <v>0.023504999999999998</v>
      </c>
      <c r="E4561" s="0" t="inlineStr">
        <is>
          <t xml:space="preserve">EVERLLENCE MIDDLE EAST AND AFRICA L.L.C</t>
        </is>
      </c>
      <c r="F4561" s="0" t="inlineStr">
        <is>
          <t xml:space="preserve">naics:336612</t>
        </is>
      </c>
    </row>
    <row r="4562">
      <c r="B4562" s="0" t="inlineStr">
        <is>
          <t xml:space="preserve">N3220516P7494</t>
        </is>
      </c>
      <c r="C4562" s="0" t="inlineStr">
        <is>
          <t xml:space="preserve">small_craft</t>
        </is>
      </c>
      <c r="D4562" s="4">
        <v>0.0235</v>
      </c>
      <c r="E4562" s="0" t="inlineStr">
        <is>
          <t xml:space="preserve">VANE BROTHERS MARINE SAFETY &amp; SERVICES, INC</t>
        </is>
      </c>
      <c r="F4562" s="0" t="inlineStr">
        <is>
          <t xml:space="preserve">naics:336612; psc:1990</t>
        </is>
      </c>
    </row>
    <row r="4563">
      <c r="B4563" s="0" t="inlineStr">
        <is>
          <t xml:space="preserve">N0040621P0519</t>
        </is>
      </c>
      <c r="C4563" s="0" t="inlineStr">
        <is>
          <t xml:space="preserve">small_craft</t>
        </is>
      </c>
      <c r="D4563" s="4">
        <v>0.0234195</v>
      </c>
      <c r="E4563" s="0" t="inlineStr">
        <is>
          <t xml:space="preserve">COMMERCIAL &amp; MARINE PRODUCTS CORP</t>
        </is>
      </c>
      <c r="F4563" s="0" t="inlineStr">
        <is>
          <t xml:space="preserve">naics:336612</t>
        </is>
      </c>
    </row>
    <row r="4564">
      <c r="B4564" s="0" t="inlineStr">
        <is>
          <t xml:space="preserve">N0040621P0017</t>
        </is>
      </c>
      <c r="C4564" s="0" t="inlineStr">
        <is>
          <t xml:space="preserve">small_craft</t>
        </is>
      </c>
      <c r="D4564" s="4">
        <v>0.023389319999999998</v>
      </c>
      <c r="E4564" s="0" t="inlineStr">
        <is>
          <t xml:space="preserve">SAFE BOATS INTERNATIONAL LLC</t>
        </is>
      </c>
      <c r="F4564" s="0" t="inlineStr">
        <is>
          <t xml:space="preserve">naics:336612</t>
        </is>
      </c>
    </row>
    <row r="4565">
      <c r="B4565" s="0" t="inlineStr">
        <is>
          <t xml:space="preserve">0030</t>
        </is>
      </c>
      <c r="C4565" s="0" t="inlineStr">
        <is>
          <t xml:space="preserve">broad_maritime</t>
        </is>
      </c>
      <c r="D4565" s="4">
        <v>0.023357</v>
      </c>
      <c r="E4565" s="0" t="inlineStr">
        <is>
          <t xml:space="preserve">ELECTRIC BOAT CORPORATION</t>
        </is>
      </c>
      <c r="F4565" s="0" t="inlineStr">
        <is>
          <t xml:space="preserve">psc:1905</t>
        </is>
      </c>
    </row>
    <row r="4566">
      <c r="B4566" s="0" t="inlineStr">
        <is>
          <t xml:space="preserve">N6264923F0298</t>
        </is>
      </c>
      <c r="C4566" s="0" t="inlineStr">
        <is>
          <t xml:space="preserve">small_craft</t>
        </is>
      </c>
      <c r="D4566" s="4">
        <v>0.023326339999999997</v>
      </c>
      <c r="E4566" s="0" t="inlineStr">
        <is>
          <t xml:space="preserve">MISCELLANEOUS FOREIGN AWARDEES</t>
        </is>
      </c>
      <c r="F4566" s="0" t="inlineStr">
        <is>
          <t xml:space="preserve">naics:336612</t>
        </is>
      </c>
    </row>
    <row r="4567">
      <c r="B4567" s="0" t="inlineStr">
        <is>
          <t xml:space="preserve">N4008521P0046</t>
        </is>
      </c>
      <c r="C4567" s="0" t="inlineStr">
        <is>
          <t xml:space="preserve">small_craft</t>
        </is>
      </c>
      <c r="D4567" s="4">
        <v>0.02329386</v>
      </c>
      <c r="E4567" s="0" t="inlineStr">
        <is>
          <t xml:space="preserve">ATLANTIC MARINE, LLC</t>
        </is>
      </c>
      <c r="F4567" s="0" t="inlineStr">
        <is>
          <t xml:space="preserve">naics:336612</t>
        </is>
      </c>
    </row>
    <row r="4568">
      <c r="B4568" s="0" t="inlineStr">
        <is>
          <t xml:space="preserve">N0010421PLC85</t>
        </is>
      </c>
      <c r="C4568" s="0" t="inlineStr">
        <is>
          <t xml:space="preserve">small_craft</t>
        </is>
      </c>
      <c r="D4568" s="4">
        <v>0.023273</v>
      </c>
      <c r="E4568" s="0" t="inlineStr">
        <is>
          <t xml:space="preserve">GENERAL DYNAMICS-OTS, INC.</t>
        </is>
      </c>
      <c r="F4568" s="0" t="inlineStr">
        <is>
          <t xml:space="preserve">naics:336612</t>
        </is>
      </c>
    </row>
    <row r="4569">
      <c r="B4569" s="0" t="inlineStr">
        <is>
          <t xml:space="preserve">N0010422PDD70</t>
        </is>
      </c>
      <c r="C4569" s="0" t="inlineStr">
        <is>
          <t xml:space="preserve">small_craft</t>
        </is>
      </c>
      <c r="D4569" s="4">
        <v>0.0232</v>
      </c>
      <c r="E4569" s="0" t="inlineStr">
        <is>
          <t xml:space="preserve">WALZ &amp; KRENZER INC</t>
        </is>
      </c>
      <c r="F4569" s="0" t="inlineStr">
        <is>
          <t xml:space="preserve">naics:336612</t>
        </is>
      </c>
    </row>
    <row r="4570">
      <c r="B4570" s="0" t="inlineStr">
        <is>
          <t xml:space="preserve">N6523626PE004</t>
        </is>
      </c>
      <c r="C4570" s="0" t="inlineStr">
        <is>
          <t xml:space="preserve">usv_core</t>
        </is>
      </c>
      <c r="D4570" s="4">
        <v>0.023198999999999997</v>
      </c>
      <c r="E4570" s="0" t="inlineStr">
        <is>
          <t xml:space="preserve">FOXTROT RESEARCH CORP</t>
        </is>
      </c>
      <c r="F4570" s="0" t="inlineStr">
        <is>
          <t xml:space="preserve">keyword</t>
        </is>
      </c>
    </row>
    <row r="4571">
      <c r="B4571" s="0" t="inlineStr">
        <is>
          <t xml:space="preserve">N0010412PCG37</t>
        </is>
      </c>
      <c r="C4571" s="0" t="inlineStr">
        <is>
          <t xml:space="preserve">small_craft</t>
        </is>
      </c>
      <c r="D4571" s="4">
        <v>0.023169580000000002</v>
      </c>
      <c r="E4571" s="0" t="inlineStr">
        <is>
          <t xml:space="preserve">GLOBAL INCORPORATED</t>
        </is>
      </c>
      <c r="F4571" s="0" t="inlineStr">
        <is>
          <t xml:space="preserve">naics:336612</t>
        </is>
      </c>
    </row>
    <row r="4572">
      <c r="B4572" s="0" t="inlineStr">
        <is>
          <t xml:space="preserve">N0003923F1026</t>
        </is>
      </c>
      <c r="C4572" s="0" t="inlineStr">
        <is>
          <t xml:space="preserve">small_craft</t>
        </is>
      </c>
      <c r="D4572" s="4">
        <v>0.02305038</v>
      </c>
      <c r="E4572" s="0" t="inlineStr">
        <is>
          <t xml:space="preserve">TELEDYNE BROWN ENGINEERING, INC.</t>
        </is>
      </c>
      <c r="F4572" s="0" t="inlineStr">
        <is>
          <t xml:space="preserve">psc:1940</t>
        </is>
      </c>
    </row>
    <row r="4573">
      <c r="B4573" s="0" t="inlineStr">
        <is>
          <t xml:space="preserve">0059</t>
        </is>
      </c>
      <c r="C4573" s="0" t="inlineStr">
        <is>
          <t xml:space="preserve">broad_maritime</t>
        </is>
      </c>
      <c r="D4573" s="4">
        <v>0.022886999999999998</v>
      </c>
      <c r="E4573" s="0" t="inlineStr">
        <is>
          <t xml:space="preserve">ELECTRIC BOAT CORPORATION</t>
        </is>
      </c>
      <c r="F4573" s="0" t="inlineStr">
        <is>
          <t xml:space="preserve">psc:1905</t>
        </is>
      </c>
    </row>
    <row r="4574">
      <c r="B4574" s="0" t="inlineStr">
        <is>
          <t xml:space="preserve">N6227114M1147</t>
        </is>
      </c>
      <c r="C4574" s="0" t="inlineStr">
        <is>
          <t xml:space="preserve">other_small</t>
        </is>
      </c>
      <c r="D4574" s="4">
        <v>0.022853</v>
      </c>
      <c r="E4574" s="0" t="inlineStr">
        <is>
          <t xml:space="preserve">WOODS HOLE OCEANOGRAPHIC INSTITUTION</t>
        </is>
      </c>
      <c r="F4574" s="0" t="inlineStr">
        <is>
          <t xml:space="preserve">psc:1990</t>
        </is>
      </c>
    </row>
    <row r="4575">
      <c r="B4575" s="0" t="inlineStr">
        <is>
          <t xml:space="preserve">N0010421PDD37</t>
        </is>
      </c>
      <c r="C4575" s="0" t="inlineStr">
        <is>
          <t xml:space="preserve">small_craft</t>
        </is>
      </c>
      <c r="D4575" s="4">
        <v>0.022785</v>
      </c>
      <c r="E4575" s="0" t="inlineStr">
        <is>
          <t xml:space="preserve">LEIDOS, INC.</t>
        </is>
      </c>
      <c r="F4575" s="0" t="inlineStr">
        <is>
          <t xml:space="preserve">naics:336612</t>
        </is>
      </c>
    </row>
    <row r="4576">
      <c r="B4576" s="0" t="inlineStr">
        <is>
          <t xml:space="preserve">1007</t>
        </is>
      </c>
      <c r="C4576" s="0" t="inlineStr">
        <is>
          <t xml:space="preserve">small_craft</t>
        </is>
      </c>
      <c r="D4576" s="4">
        <v>0.022664</v>
      </c>
      <c r="E4576" s="0" t="inlineStr">
        <is>
          <t xml:space="preserve">WING INFLATABLES INC</t>
        </is>
      </c>
      <c r="F4576" s="0" t="inlineStr">
        <is>
          <t xml:space="preserve">naics:336612; psc:1940</t>
        </is>
      </c>
    </row>
    <row r="4577">
      <c r="B4577" s="0" t="inlineStr">
        <is>
          <t xml:space="preserve">1004</t>
        </is>
      </c>
      <c r="C4577" s="0" t="inlineStr">
        <is>
          <t xml:space="preserve">small_craft</t>
        </is>
      </c>
      <c r="D4577" s="4">
        <v>0.022664</v>
      </c>
      <c r="E4577" s="0" t="inlineStr">
        <is>
          <t xml:space="preserve">WING INFLATABLES INC</t>
        </is>
      </c>
      <c r="F4577" s="0" t="inlineStr">
        <is>
          <t xml:space="preserve">naics:336612; psc:1940</t>
        </is>
      </c>
    </row>
    <row r="4578">
      <c r="B4578" s="0" t="inlineStr">
        <is>
          <t xml:space="preserve">N0018916P1678</t>
        </is>
      </c>
      <c r="C4578" s="0" t="inlineStr">
        <is>
          <t xml:space="preserve">small_craft</t>
        </is>
      </c>
      <c r="D4578" s="4">
        <v>0.022534799999999997</v>
      </c>
      <c r="E4578" s="0" t="inlineStr">
        <is>
          <t xml:space="preserve">XRAM LIMITED</t>
        </is>
      </c>
      <c r="F4578" s="0" t="inlineStr">
        <is>
          <t xml:space="preserve">naics:336612; psc:1940</t>
        </is>
      </c>
    </row>
    <row r="4579">
      <c r="B4579" s="0" t="inlineStr">
        <is>
          <t xml:space="preserve">N0040620P0053</t>
        </is>
      </c>
      <c r="C4579" s="0" t="inlineStr">
        <is>
          <t xml:space="preserve">small_craft</t>
        </is>
      </c>
      <c r="D4579" s="4">
        <v>0.022439999999999998</v>
      </c>
      <c r="E4579" s="0" t="inlineStr">
        <is>
          <t xml:space="preserve">WASHINGTON CHAIN &amp; SUPPLY, INC.</t>
        </is>
      </c>
      <c r="F4579" s="0" t="inlineStr">
        <is>
          <t xml:space="preserve">naics:336612</t>
        </is>
      </c>
    </row>
    <row r="4580">
      <c r="B4580" s="0" t="inlineStr">
        <is>
          <t xml:space="preserve">N0010422FY700</t>
        </is>
      </c>
      <c r="C4580" s="0" t="inlineStr">
        <is>
          <t xml:space="preserve">small_craft</t>
        </is>
      </c>
      <c r="D4580" s="4">
        <v>0.02242178</v>
      </c>
      <c r="E4580" s="0" t="inlineStr">
        <is>
          <t xml:space="preserve">L3 TECHNOLOGIES, INC.</t>
        </is>
      </c>
      <c r="F4580" s="0" t="inlineStr">
        <is>
          <t xml:space="preserve">naics:336612</t>
        </is>
      </c>
    </row>
    <row r="4581">
      <c r="B4581" s="0" t="inlineStr">
        <is>
          <t xml:space="preserve">N0010421PCA60</t>
        </is>
      </c>
      <c r="C4581" s="0" t="inlineStr">
        <is>
          <t xml:space="preserve">small_craft</t>
        </is>
      </c>
      <c r="D4581" s="4">
        <v>0.022361</v>
      </c>
      <c r="E4581" s="0" t="inlineStr">
        <is>
          <t xml:space="preserve">DYNALEC CORPORATION</t>
        </is>
      </c>
      <c r="F4581" s="0" t="inlineStr">
        <is>
          <t xml:space="preserve">naics:336612</t>
        </is>
      </c>
    </row>
    <row r="4582">
      <c r="B4582" s="0" t="inlineStr">
        <is>
          <t xml:space="preserve">N0040616P3204</t>
        </is>
      </c>
      <c r="C4582" s="0" t="inlineStr">
        <is>
          <t xml:space="preserve">small_craft</t>
        </is>
      </c>
      <c r="D4582" s="4">
        <v>0.022291</v>
      </c>
      <c r="E4582" s="0" t="inlineStr">
        <is>
          <t xml:space="preserve">WING INFLATABLES, INC.</t>
        </is>
      </c>
      <c r="F4582" s="0" t="inlineStr">
        <is>
          <t xml:space="preserve">naics:336612</t>
        </is>
      </c>
    </row>
    <row r="4583">
      <c r="B4583" s="0" t="inlineStr">
        <is>
          <t xml:space="preserve">N0018915P0520</t>
        </is>
      </c>
      <c r="C4583" s="0" t="inlineStr">
        <is>
          <t xml:space="preserve">small_craft</t>
        </is>
      </c>
      <c r="D4583" s="4">
        <v>0.0222224</v>
      </c>
      <c r="E4583" s="0" t="inlineStr">
        <is>
          <t xml:space="preserve">GRAVOIS ALUMINUM BOATS LLC</t>
        </is>
      </c>
      <c r="F4583" s="0" t="inlineStr">
        <is>
          <t xml:space="preserve">naics:336612</t>
        </is>
      </c>
    </row>
    <row r="4584">
      <c r="B4584" s="0" t="inlineStr">
        <is>
          <t xml:space="preserve">N0018923P0502</t>
        </is>
      </c>
      <c r="C4584" s="0" t="inlineStr">
        <is>
          <t xml:space="preserve">small_craft</t>
        </is>
      </c>
      <c r="D4584" s="4">
        <v>0.022199999999999998</v>
      </c>
      <c r="E4584" s="0" t="inlineStr">
        <is>
          <t xml:space="preserve">LIFE RAFT &amp; SURVIVAL EQUIPMENT, INC.</t>
        </is>
      </c>
      <c r="F4584" s="0" t="inlineStr">
        <is>
          <t xml:space="preserve">naics:336612</t>
        </is>
      </c>
    </row>
    <row r="4585">
      <c r="B4585" s="0" t="inlineStr">
        <is>
          <t xml:space="preserve">N6227115M1403</t>
        </is>
      </c>
      <c r="C4585" s="0" t="inlineStr">
        <is>
          <t xml:space="preserve">other_small</t>
        </is>
      </c>
      <c r="D4585" s="4">
        <v>0.022174</v>
      </c>
      <c r="E4585" s="0" t="inlineStr">
        <is>
          <t xml:space="preserve">HII UNMANNED SYSTEMS, INC</t>
        </is>
      </c>
      <c r="F4585" s="0" t="inlineStr">
        <is>
          <t xml:space="preserve">psc:1990</t>
        </is>
      </c>
    </row>
    <row r="4586">
      <c r="B4586" s="0" t="inlineStr">
        <is>
          <t xml:space="preserve">N6893616P0327</t>
        </is>
      </c>
      <c r="C4586" s="0" t="inlineStr">
        <is>
          <t xml:space="preserve">small_craft</t>
        </is>
      </c>
      <c r="D4586" s="4">
        <v>0.022099999999999998</v>
      </c>
      <c r="E4586" s="0" t="inlineStr">
        <is>
          <t xml:space="preserve">WEST MARINE PRODUCTS, INC.</t>
        </is>
      </c>
      <c r="F4586" s="0" t="inlineStr">
        <is>
          <t xml:space="preserve">naics:336612</t>
        </is>
      </c>
    </row>
    <row r="4587">
      <c r="B4587" s="0" t="inlineStr">
        <is>
          <t xml:space="preserve">N6883616P0213</t>
        </is>
      </c>
      <c r="C4587" s="0" t="inlineStr">
        <is>
          <t xml:space="preserve">small_craft</t>
        </is>
      </c>
      <c r="D4587" s="4">
        <v>0.022077</v>
      </c>
      <c r="E4587" s="0" t="inlineStr">
        <is>
          <t xml:space="preserve">PEMCO-NAVAL ENGINEERING WORKS INC</t>
        </is>
      </c>
      <c r="F4587" s="0" t="inlineStr">
        <is>
          <t xml:space="preserve">psc:1940</t>
        </is>
      </c>
    </row>
    <row r="4588">
      <c r="B4588" s="0" t="inlineStr">
        <is>
          <t xml:space="preserve">N0010421PNA30</t>
        </is>
      </c>
      <c r="C4588" s="0" t="inlineStr">
        <is>
          <t xml:space="preserve">small_craft</t>
        </is>
      </c>
      <c r="D4588" s="4">
        <v>0.022013099999999997</v>
      </c>
      <c r="E4588" s="0" t="inlineStr">
        <is>
          <t xml:space="preserve">MINOR RUBBER CO INC</t>
        </is>
      </c>
      <c r="F4588" s="0" t="inlineStr">
        <is>
          <t xml:space="preserve">naics:336612</t>
        </is>
      </c>
    </row>
    <row r="4589">
      <c r="B4589" s="0" t="inlineStr">
        <is>
          <t xml:space="preserve">N0040620P0259</t>
        </is>
      </c>
      <c r="C4589" s="0" t="inlineStr">
        <is>
          <t xml:space="preserve">small_craft</t>
        </is>
      </c>
      <c r="D4589" s="4">
        <v>0.022</v>
      </c>
      <c r="E4589" s="0" t="inlineStr">
        <is>
          <t xml:space="preserve">CORNELL-CARR CO., INC.</t>
        </is>
      </c>
      <c r="F4589" s="0" t="inlineStr">
        <is>
          <t xml:space="preserve">naics:336612</t>
        </is>
      </c>
    </row>
    <row r="4590">
      <c r="B4590" s="0" t="inlineStr">
        <is>
          <t xml:space="preserve">LH81</t>
        </is>
      </c>
      <c r="C4590" s="0" t="inlineStr">
        <is>
          <t xml:space="preserve">other_small</t>
        </is>
      </c>
      <c r="D4590" s="4">
        <v>0.021995</v>
      </c>
      <c r="E4590" s="0" t="inlineStr">
        <is>
          <t xml:space="preserve">MCALLISTER TOWING AND TRANSPORTATION COMPANY, INC.</t>
        </is>
      </c>
      <c r="F4590" s="0" t="inlineStr">
        <is>
          <t xml:space="preserve">psc:1990</t>
        </is>
      </c>
    </row>
    <row r="4591">
      <c r="B4591" s="0" t="inlineStr">
        <is>
          <t xml:space="preserve">N5005419P0025</t>
        </is>
      </c>
      <c r="C4591" s="0" t="inlineStr">
        <is>
          <t xml:space="preserve">small_craft</t>
        </is>
      </c>
      <c r="D4591" s="4">
        <v>0.021968389999999997</v>
      </c>
      <c r="E4591" s="0" t="inlineStr">
        <is>
          <t xml:space="preserve">OCEAN MARINE INC.</t>
        </is>
      </c>
      <c r="F4591" s="0" t="inlineStr">
        <is>
          <t xml:space="preserve">psc:1940</t>
        </is>
      </c>
    </row>
    <row r="4592">
      <c r="B4592" s="0" t="inlineStr">
        <is>
          <t xml:space="preserve">N0010422PUA97</t>
        </is>
      </c>
      <c r="C4592" s="0" t="inlineStr">
        <is>
          <t xml:space="preserve">small_craft</t>
        </is>
      </c>
      <c r="D4592" s="4">
        <v>0.0219254</v>
      </c>
      <c r="E4592" s="0" t="inlineStr">
        <is>
          <t xml:space="preserve">DYNALEC CORPORATION</t>
        </is>
      </c>
      <c r="F4592" s="0" t="inlineStr">
        <is>
          <t xml:space="preserve">naics:336612</t>
        </is>
      </c>
    </row>
    <row r="4593">
      <c r="B4593" s="0" t="inlineStr">
        <is>
          <t xml:space="preserve">N0040621P0478</t>
        </is>
      </c>
      <c r="C4593" s="0" t="inlineStr">
        <is>
          <t xml:space="preserve">small_craft</t>
        </is>
      </c>
      <c r="D4593" s="4">
        <v>0.021834589999999997</v>
      </c>
      <c r="E4593" s="0" t="inlineStr">
        <is>
          <t xml:space="preserve">ROYAL MEDIA NETWORK, INC.</t>
        </is>
      </c>
      <c r="F4593" s="0" t="inlineStr">
        <is>
          <t xml:space="preserve">naics:336612</t>
        </is>
      </c>
    </row>
    <row r="4594">
      <c r="B4594" s="0" t="inlineStr">
        <is>
          <t xml:space="preserve">N6449816P5306</t>
        </is>
      </c>
      <c r="C4594" s="0" t="inlineStr">
        <is>
          <t xml:space="preserve">other_small</t>
        </is>
      </c>
      <c r="D4594" s="4">
        <v>0.02180896</v>
      </c>
      <c r="E4594" s="0" t="inlineStr">
        <is>
          <t xml:space="preserve">ROBONATION INC.</t>
        </is>
      </c>
      <c r="F4594" s="0" t="inlineStr">
        <is>
          <t xml:space="preserve">psc:1990</t>
        </is>
      </c>
    </row>
    <row r="4595">
      <c r="B4595" s="0" t="inlineStr">
        <is>
          <t xml:space="preserve">N0010421PEK01</t>
        </is>
      </c>
      <c r="C4595" s="0" t="inlineStr">
        <is>
          <t xml:space="preserve">small_craft</t>
        </is>
      </c>
      <c r="D4595" s="4">
        <v>0.0217317</v>
      </c>
      <c r="E4595" s="0" t="inlineStr">
        <is>
          <t xml:space="preserve">III WILLIAMS LLC</t>
        </is>
      </c>
      <c r="F4595" s="0" t="inlineStr">
        <is>
          <t xml:space="preserve">naics:336612</t>
        </is>
      </c>
    </row>
    <row r="4596">
      <c r="B4596" s="0" t="inlineStr">
        <is>
          <t xml:space="preserve">N0010423PDB34</t>
        </is>
      </c>
      <c r="C4596" s="0" t="inlineStr">
        <is>
          <t xml:space="preserve">small_craft</t>
        </is>
      </c>
      <c r="D4596" s="4">
        <v>0.02155998</v>
      </c>
      <c r="E4596" s="0" t="inlineStr">
        <is>
          <t xml:space="preserve">FAIRBANKS MORSE, LLC</t>
        </is>
      </c>
      <c r="F4596" s="0" t="inlineStr">
        <is>
          <t xml:space="preserve">naics:336612</t>
        </is>
      </c>
    </row>
    <row r="4597">
      <c r="B4597" s="0" t="inlineStr">
        <is>
          <t xml:space="preserve">N0040620P0268</t>
        </is>
      </c>
      <c r="C4597" s="0" t="inlineStr">
        <is>
          <t xml:space="preserve">small_craft</t>
        </is>
      </c>
      <c r="D4597" s="4">
        <v>0.021446999999999997</v>
      </c>
      <c r="E4597" s="0" t="inlineStr">
        <is>
          <t xml:space="preserve">ADVANTEC MANUFACTURING USA, INC.</t>
        </is>
      </c>
      <c r="F4597" s="0" t="inlineStr">
        <is>
          <t xml:space="preserve">naics:336612</t>
        </is>
      </c>
    </row>
    <row r="4598">
      <c r="B4598" s="0" t="inlineStr">
        <is>
          <t xml:space="preserve">N0040621P0267</t>
        </is>
      </c>
      <c r="C4598" s="0" t="inlineStr">
        <is>
          <t xml:space="preserve">small_craft</t>
        </is>
      </c>
      <c r="D4598" s="4">
        <v>0.021443</v>
      </c>
      <c r="E4598" s="0" t="inlineStr">
        <is>
          <t xml:space="preserve">ROLLS-ROYCE MARINE NORTH AMERICA INC.</t>
        </is>
      </c>
      <c r="F4598" s="0" t="inlineStr">
        <is>
          <t xml:space="preserve">naics:336612</t>
        </is>
      </c>
    </row>
    <row r="4599">
      <c r="B4599" s="0" t="inlineStr">
        <is>
          <t xml:space="preserve">N0010422PZB02</t>
        </is>
      </c>
      <c r="C4599" s="0" t="inlineStr">
        <is>
          <t xml:space="preserve">small_craft</t>
        </is>
      </c>
      <c r="D4599" s="4">
        <v>0.021335</v>
      </c>
      <c r="E4599" s="0" t="inlineStr">
        <is>
          <t xml:space="preserve">ELECTRIC BOAT CORPORATION</t>
        </is>
      </c>
      <c r="F4599" s="0" t="inlineStr">
        <is>
          <t xml:space="preserve">naics:336612</t>
        </is>
      </c>
    </row>
    <row r="4600">
      <c r="B4600" s="0" t="inlineStr">
        <is>
          <t xml:space="preserve">N4033918PD077</t>
        </is>
      </c>
      <c r="C4600" s="0" t="inlineStr">
        <is>
          <t xml:space="preserve">small_craft</t>
        </is>
      </c>
      <c r="D4600" s="4">
        <v>0.021305249999999998</v>
      </c>
      <c r="E4600" s="0" t="inlineStr">
        <is>
          <t xml:space="preserve">GRANDWELD(BRANCH OF ATOS INTERNATIONAL)L.L.C</t>
        </is>
      </c>
      <c r="F4600" s="0" t="inlineStr">
        <is>
          <t xml:space="preserve">naics:336612</t>
        </is>
      </c>
    </row>
    <row r="4601">
      <c r="B4601" s="0" t="inlineStr">
        <is>
          <t xml:space="preserve">N0040620P0060</t>
        </is>
      </c>
      <c r="C4601" s="0" t="inlineStr">
        <is>
          <t xml:space="preserve">small_craft</t>
        </is>
      </c>
      <c r="D4601" s="4">
        <v>0.02124558</v>
      </c>
      <c r="E4601" s="0" t="inlineStr">
        <is>
          <t xml:space="preserve">ADVANTEC MANUFACTURING USA, INC.</t>
        </is>
      </c>
      <c r="F4601" s="0" t="inlineStr">
        <is>
          <t xml:space="preserve">naics:336612; psc:1940</t>
        </is>
      </c>
    </row>
    <row r="4602">
      <c r="B4602" s="0" t="inlineStr">
        <is>
          <t xml:space="preserve">N0010422PSA91</t>
        </is>
      </c>
      <c r="C4602" s="0" t="inlineStr">
        <is>
          <t xml:space="preserve">small_craft</t>
        </is>
      </c>
      <c r="D4602" s="4">
        <v>0.0211925</v>
      </c>
      <c r="E4602" s="0" t="inlineStr">
        <is>
          <t xml:space="preserve">KAMPI COMPONENTS CO INC</t>
        </is>
      </c>
      <c r="F4602" s="0" t="inlineStr">
        <is>
          <t xml:space="preserve">naics:336612</t>
        </is>
      </c>
    </row>
    <row r="4603">
      <c r="B4603" s="0" t="inlineStr">
        <is>
          <t xml:space="preserve">N6883622P0156</t>
        </is>
      </c>
      <c r="C4603" s="0" t="inlineStr">
        <is>
          <t xml:space="preserve">small_craft</t>
        </is>
      </c>
      <c r="D4603" s="4">
        <v>0.02117262</v>
      </c>
      <c r="E4603" s="0" t="inlineStr">
        <is>
          <t xml:space="preserve">SAUER COMPRESSORS USA, INC.</t>
        </is>
      </c>
      <c r="F4603" s="0" t="inlineStr">
        <is>
          <t xml:space="preserve">naics:336612</t>
        </is>
      </c>
    </row>
    <row r="4604">
      <c r="B4604" s="0" t="inlineStr">
        <is>
          <t xml:space="preserve">N6278920F0007</t>
        </is>
      </c>
      <c r="C4604" s="0" t="inlineStr">
        <is>
          <t xml:space="preserve">broad_maritime</t>
        </is>
      </c>
      <c r="D4604" s="4">
        <v>0.021169999999999998</v>
      </c>
      <c r="E4604" s="0" t="inlineStr">
        <is>
          <t xml:space="preserve">HUNTINGTON INGALLS INC</t>
        </is>
      </c>
      <c r="F4604" s="0" t="inlineStr">
        <is>
          <t xml:space="preserve">psc:1905</t>
        </is>
      </c>
    </row>
    <row r="4605">
      <c r="B4605" s="0" t="inlineStr">
        <is>
          <t xml:space="preserve">M0068115P0144</t>
        </is>
      </c>
      <c r="C4605" s="0" t="inlineStr">
        <is>
          <t xml:space="preserve">small_craft</t>
        </is>
      </c>
      <c r="D4605" s="4">
        <v>0.02099415</v>
      </c>
      <c r="E4605" s="0" t="inlineStr">
        <is>
          <t xml:space="preserve">TEMECULA MOTORSPORTS, INC.</t>
        </is>
      </c>
      <c r="F4605" s="0" t="inlineStr">
        <is>
          <t xml:space="preserve">psc:1940</t>
        </is>
      </c>
    </row>
    <row r="4606">
      <c r="B4606" s="0" t="inlineStr">
        <is>
          <t xml:space="preserve">0053</t>
        </is>
      </c>
      <c r="C4606" s="0" t="inlineStr">
        <is>
          <t xml:space="preserve">broad_maritime</t>
        </is>
      </c>
      <c r="D4606" s="4">
        <v>0.020957</v>
      </c>
      <c r="E4606" s="0" t="inlineStr">
        <is>
          <t xml:space="preserve">ELECTRIC BOAT CORPORATION</t>
        </is>
      </c>
      <c r="F4606" s="0" t="inlineStr">
        <is>
          <t xml:space="preserve">psc:1905</t>
        </is>
      </c>
    </row>
    <row r="4607">
      <c r="B4607" s="0" t="inlineStr">
        <is>
          <t xml:space="preserve">N0040615P2688</t>
        </is>
      </c>
      <c r="C4607" s="0" t="inlineStr">
        <is>
          <t xml:space="preserve">small_craft</t>
        </is>
      </c>
      <c r="D4607" s="4">
        <v>0.02093</v>
      </c>
      <c r="E4607" s="0" t="inlineStr">
        <is>
          <t xml:space="preserve">RAILWAY SPECIALTIES CORP</t>
        </is>
      </c>
      <c r="F4607" s="0" t="inlineStr">
        <is>
          <t xml:space="preserve">naics:336612</t>
        </is>
      </c>
    </row>
    <row r="4608">
      <c r="B4608" s="0" t="inlineStr">
        <is>
          <t xml:space="preserve">N0040622P0537</t>
        </is>
      </c>
      <c r="C4608" s="0" t="inlineStr">
        <is>
          <t xml:space="preserve">small_craft</t>
        </is>
      </c>
      <c r="D4608" s="4">
        <v>0.02089</v>
      </c>
      <c r="E4608" s="0" t="inlineStr">
        <is>
          <t xml:space="preserve">JUNIPER ELBOW CO. INC.</t>
        </is>
      </c>
      <c r="F4608" s="0" t="inlineStr">
        <is>
          <t xml:space="preserve">naics:336612</t>
        </is>
      </c>
    </row>
    <row r="4609">
      <c r="B4609" s="0" t="inlineStr">
        <is>
          <t xml:space="preserve">LH72</t>
        </is>
      </c>
      <c r="C4609" s="0" t="inlineStr">
        <is>
          <t xml:space="preserve">other_small</t>
        </is>
      </c>
      <c r="D4609" s="4">
        <v>0.02086047</v>
      </c>
      <c r="E4609" s="0" t="inlineStr">
        <is>
          <t xml:space="preserve">MCALLISTER TOWING AND TRANSPORTATION COMPANY, INC.</t>
        </is>
      </c>
      <c r="F4609" s="0" t="inlineStr">
        <is>
          <t xml:space="preserve">psc:1990</t>
        </is>
      </c>
    </row>
    <row r="4610">
      <c r="B4610" s="0" t="inlineStr">
        <is>
          <t xml:space="preserve">N0010422PXB60</t>
        </is>
      </c>
      <c r="C4610" s="0" t="inlineStr">
        <is>
          <t xml:space="preserve">small_craft</t>
        </is>
      </c>
      <c r="D4610" s="4">
        <v>0.0208</v>
      </c>
      <c r="E4610" s="0" t="inlineStr">
        <is>
          <t xml:space="preserve">VIRGINIA ELECTRONIC SYSTEMS, INC.</t>
        </is>
      </c>
      <c r="F4610" s="0" t="inlineStr">
        <is>
          <t xml:space="preserve">psc:1940</t>
        </is>
      </c>
    </row>
    <row r="4611">
      <c r="B4611" s="0" t="inlineStr">
        <is>
          <t xml:space="preserve">N0010421PFB49</t>
        </is>
      </c>
      <c r="C4611" s="0" t="inlineStr">
        <is>
          <t xml:space="preserve">small_craft</t>
        </is>
      </c>
      <c r="D4611" s="4">
        <v>0.020755</v>
      </c>
      <c r="E4611" s="0" t="inlineStr">
        <is>
          <t xml:space="preserve">CUNICO CORPORATION</t>
        </is>
      </c>
      <c r="F4611" s="0" t="inlineStr">
        <is>
          <t xml:space="preserve">naics:336612</t>
        </is>
      </c>
    </row>
    <row r="4612">
      <c r="B4612" s="0" t="inlineStr">
        <is>
          <t xml:space="preserve">M0031822P0029</t>
        </is>
      </c>
      <c r="C4612" s="0" t="inlineStr">
        <is>
          <t xml:space="preserve">small_craft</t>
        </is>
      </c>
      <c r="D4612" s="4">
        <v>0.020723</v>
      </c>
      <c r="E4612" s="0" t="inlineStr">
        <is>
          <t xml:space="preserve">HYDRONALIX INC</t>
        </is>
      </c>
      <c r="F4612" s="0" t="inlineStr">
        <is>
          <t xml:space="preserve">naics:336612</t>
        </is>
      </c>
    </row>
    <row r="4613">
      <c r="B4613" s="0" t="inlineStr">
        <is>
          <t xml:space="preserve">N0010423PXC03</t>
        </is>
      </c>
      <c r="C4613" s="0" t="inlineStr">
        <is>
          <t xml:space="preserve">small_craft</t>
        </is>
      </c>
      <c r="D4613" s="4">
        <v>0.02064657</v>
      </c>
      <c r="E4613" s="0" t="inlineStr">
        <is>
          <t xml:space="preserve">WING INFLATABLES INC</t>
        </is>
      </c>
      <c r="F4613" s="0" t="inlineStr">
        <is>
          <t xml:space="preserve">psc:1940</t>
        </is>
      </c>
    </row>
    <row r="4614">
      <c r="B4614" s="0" t="inlineStr">
        <is>
          <t xml:space="preserve">N0040617P1304</t>
        </is>
      </c>
      <c r="C4614" s="0" t="inlineStr">
        <is>
          <t xml:space="preserve">small_craft</t>
        </is>
      </c>
      <c r="D4614" s="4">
        <v>0.020607999999999998</v>
      </c>
      <c r="E4614" s="0" t="inlineStr">
        <is>
          <t xml:space="preserve">WING INFLATABLES INC</t>
        </is>
      </c>
      <c r="F4614" s="0" t="inlineStr">
        <is>
          <t xml:space="preserve">naics:336612</t>
        </is>
      </c>
    </row>
    <row r="4615">
      <c r="B4615" s="0" t="inlineStr">
        <is>
          <t xml:space="preserve">LH60</t>
        </is>
      </c>
      <c r="C4615" s="0" t="inlineStr">
        <is>
          <t xml:space="preserve">other_small</t>
        </is>
      </c>
      <c r="D4615" s="4">
        <v>0.020576999999999998</v>
      </c>
      <c r="E4615" s="0" t="inlineStr">
        <is>
          <t xml:space="preserve">MCALLISTER TOWING AND TRANSPORTATION COMPANY, INC.</t>
        </is>
      </c>
      <c r="F4615" s="0" t="inlineStr">
        <is>
          <t xml:space="preserve">psc:1990</t>
        </is>
      </c>
    </row>
    <row r="4616">
      <c r="B4616" s="0" t="inlineStr">
        <is>
          <t xml:space="preserve">N3220518P1037</t>
        </is>
      </c>
      <c r="C4616" s="0" t="inlineStr">
        <is>
          <t xml:space="preserve">small_craft</t>
        </is>
      </c>
      <c r="D4616" s="4">
        <v>0.02056</v>
      </c>
      <c r="E4616" s="0" t="inlineStr">
        <is>
          <t xml:space="preserve">PALFINGER MARINE USA, LLC</t>
        </is>
      </c>
      <c r="F4616" s="0" t="inlineStr">
        <is>
          <t xml:space="preserve">naics:336612</t>
        </is>
      </c>
    </row>
    <row r="4617">
      <c r="B4617" s="0" t="inlineStr">
        <is>
          <t xml:space="preserve">N0040616F0248</t>
        </is>
      </c>
      <c r="C4617" s="0" t="inlineStr">
        <is>
          <t xml:space="preserve">small_craft</t>
        </is>
      </c>
      <c r="D4617" s="4">
        <v>0.02051</v>
      </c>
      <c r="E4617" s="0" t="inlineStr">
        <is>
          <t xml:space="preserve">SUNSET MARINE, INC.</t>
        </is>
      </c>
      <c r="F4617" s="0" t="inlineStr">
        <is>
          <t xml:space="preserve">psc:1940</t>
        </is>
      </c>
    </row>
    <row r="4618">
      <c r="B4618" s="0" t="inlineStr">
        <is>
          <t xml:space="preserve">N0040625PS519</t>
        </is>
      </c>
      <c r="C4618" s="0" t="inlineStr">
        <is>
          <t xml:space="preserve">small_craft</t>
        </is>
      </c>
      <c r="D4618" s="4">
        <v>0.0202</v>
      </c>
      <c r="E4618" s="0" t="inlineStr">
        <is>
          <t xml:space="preserve">PIER SIDE SUPPLY INC</t>
        </is>
      </c>
      <c r="F4618" s="0" t="inlineStr">
        <is>
          <t xml:space="preserve">naics:336612</t>
        </is>
      </c>
    </row>
    <row r="4619">
      <c r="B4619" s="0" t="inlineStr">
        <is>
          <t xml:space="preserve">N0010423PUA47</t>
        </is>
      </c>
      <c r="C4619" s="0" t="inlineStr">
        <is>
          <t xml:space="preserve">small_craft</t>
        </is>
      </c>
      <c r="D4619" s="4">
        <v>0.0201</v>
      </c>
      <c r="E4619" s="0" t="inlineStr">
        <is>
          <t xml:space="preserve">IXI TECHNOLOGY INC</t>
        </is>
      </c>
      <c r="F4619" s="0" t="inlineStr">
        <is>
          <t xml:space="preserve">naics:336612</t>
        </is>
      </c>
    </row>
    <row r="4620">
      <c r="B4620" s="0" t="inlineStr">
        <is>
          <t xml:space="preserve">N0010416PEA51</t>
        </is>
      </c>
      <c r="C4620" s="0" t="inlineStr">
        <is>
          <t xml:space="preserve">small_craft</t>
        </is>
      </c>
      <c r="D4620" s="4">
        <v>0.0201</v>
      </c>
      <c r="E4620" s="0" t="inlineStr">
        <is>
          <t xml:space="preserve">PEERLESS MFG CO</t>
        </is>
      </c>
      <c r="F4620" s="0" t="inlineStr">
        <is>
          <t xml:space="preserve">naics:336612</t>
        </is>
      </c>
    </row>
    <row r="4621">
      <c r="B4621" s="0" t="inlineStr">
        <is>
          <t xml:space="preserve">N6600115P6729</t>
        </is>
      </c>
      <c r="C4621" s="0" t="inlineStr">
        <is>
          <t xml:space="preserve">small_craft</t>
        </is>
      </c>
      <c r="D4621" s="4">
        <v>0.02009614</v>
      </c>
      <c r="E4621" s="0" t="inlineStr">
        <is>
          <t xml:space="preserve">NW BEND BOATS, LLC</t>
        </is>
      </c>
      <c r="F4621" s="0" t="inlineStr">
        <is>
          <t xml:space="preserve">naics:336612</t>
        </is>
      </c>
    </row>
    <row r="4622">
      <c r="B4622" s="0" t="inlineStr">
        <is>
          <t xml:space="preserve">N6146319FLH84</t>
        </is>
      </c>
      <c r="C4622" s="0" t="inlineStr">
        <is>
          <t xml:space="preserve">other_small</t>
        </is>
      </c>
      <c r="D4622" s="4">
        <v>0.020012</v>
      </c>
      <c r="E4622" s="0" t="inlineStr">
        <is>
          <t xml:space="preserve">MCALLISTER TOWING AND TRANSPORTATION COMPANY, INC.</t>
        </is>
      </c>
      <c r="F4622" s="0" t="inlineStr">
        <is>
          <t xml:space="preserve">psc:1990</t>
        </is>
      </c>
    </row>
    <row r="4623">
      <c r="B4623" s="0" t="inlineStr">
        <is>
          <t xml:space="preserve">N0001418P4005</t>
        </is>
      </c>
      <c r="C4623" s="0" t="inlineStr">
        <is>
          <t xml:space="preserve">usv_core</t>
        </is>
      </c>
      <c r="D4623" s="4">
        <v>0.02</v>
      </c>
      <c r="E4623" s="0" t="inlineStr">
        <is>
          <t xml:space="preserve">SANDESTIN INVESTMENTS LLC</t>
        </is>
      </c>
      <c r="F4623" s="0" t="inlineStr">
        <is>
          <t xml:space="preserve">keyword</t>
        </is>
      </c>
    </row>
    <row r="4624">
      <c r="B4624" s="0" t="inlineStr">
        <is>
          <t xml:space="preserve">N0010425PYB29</t>
        </is>
      </c>
      <c r="C4624" s="0" t="inlineStr">
        <is>
          <t xml:space="preserve">small_craft</t>
        </is>
      </c>
      <c r="D4624" s="4">
        <v>0.02</v>
      </c>
      <c r="E4624" s="0" t="inlineStr">
        <is>
          <t xml:space="preserve">ASTRO MACHINE &amp; TOOL WORKS, LLC</t>
        </is>
      </c>
      <c r="F4624" s="0" t="inlineStr">
        <is>
          <t xml:space="preserve">naics:336612</t>
        </is>
      </c>
    </row>
    <row r="4625">
      <c r="B4625" s="0" t="inlineStr">
        <is>
          <t xml:space="preserve">N0040619P0272</t>
        </is>
      </c>
      <c r="C4625" s="0" t="inlineStr">
        <is>
          <t xml:space="preserve">small_craft</t>
        </is>
      </c>
      <c r="D4625" s="4">
        <v>0.019986</v>
      </c>
      <c r="E4625" s="0" t="inlineStr">
        <is>
          <t xml:space="preserve">JUNIPER ELBOW CO. INC.</t>
        </is>
      </c>
      <c r="F4625" s="0" t="inlineStr">
        <is>
          <t xml:space="preserve">naics:336612</t>
        </is>
      </c>
    </row>
    <row r="4626">
      <c r="B4626" s="0" t="inlineStr">
        <is>
          <t xml:space="preserve">N0010423PQC02</t>
        </is>
      </c>
      <c r="C4626" s="0" t="inlineStr">
        <is>
          <t xml:space="preserve">small_craft</t>
        </is>
      </c>
      <c r="D4626" s="4">
        <v>0.019968</v>
      </c>
      <c r="E4626" s="0" t="inlineStr">
        <is>
          <t xml:space="preserve">CORNET TECHNOLOGY, INC.</t>
        </is>
      </c>
      <c r="F4626" s="0" t="inlineStr">
        <is>
          <t xml:space="preserve">naics:336612</t>
        </is>
      </c>
    </row>
    <row r="4627">
      <c r="B4627" s="0" t="inlineStr">
        <is>
          <t xml:space="preserve">N6133124P1092</t>
        </is>
      </c>
      <c r="C4627" s="0" t="inlineStr">
        <is>
          <t xml:space="preserve">usv_core</t>
        </is>
      </c>
      <c r="D4627" s="4">
        <v>0.019925</v>
      </c>
      <c r="E4627" s="0" t="inlineStr">
        <is>
          <t xml:space="preserve">AMERICAN POLYFILM, INC.</t>
        </is>
      </c>
      <c r="F4627" s="0" t="inlineStr">
        <is>
          <t xml:space="preserve">keyword</t>
        </is>
      </c>
    </row>
    <row r="4628">
      <c r="B4628" s="0" t="inlineStr">
        <is>
          <t xml:space="preserve">N0010426PYB15</t>
        </is>
      </c>
      <c r="C4628" s="0" t="inlineStr">
        <is>
          <t xml:space="preserve">small_craft</t>
        </is>
      </c>
      <c r="D4628" s="4">
        <v>0.019912</v>
      </c>
      <c r="E4628" s="0" t="inlineStr">
        <is>
          <t xml:space="preserve">NORTHROP GRUMMAN SYSTEMS CORPORATION</t>
        </is>
      </c>
      <c r="F4628" s="0" t="inlineStr">
        <is>
          <t xml:space="preserve">naics:336612</t>
        </is>
      </c>
    </row>
    <row r="4629">
      <c r="B4629" s="0" t="inlineStr">
        <is>
          <t xml:space="preserve">N0040624P0764</t>
        </is>
      </c>
      <c r="C4629" s="0" t="inlineStr">
        <is>
          <t xml:space="preserve">small_craft</t>
        </is>
      </c>
      <c r="D4629" s="4">
        <v>0.019837999999999998</v>
      </c>
      <c r="E4629" s="0" t="inlineStr">
        <is>
          <t xml:space="preserve">FASSMER SERVICE AMERICA LLC</t>
        </is>
      </c>
      <c r="F4629" s="0" t="inlineStr">
        <is>
          <t xml:space="preserve">naics:336612</t>
        </is>
      </c>
    </row>
    <row r="4630">
      <c r="B4630" s="0" t="inlineStr">
        <is>
          <t xml:space="preserve">N0040623P0105</t>
        </is>
      </c>
      <c r="C4630" s="0" t="inlineStr">
        <is>
          <t xml:space="preserve">small_craft</t>
        </is>
      </c>
      <c r="D4630" s="4">
        <v>0.019762139999999997</v>
      </c>
      <c r="E4630" s="0" t="inlineStr">
        <is>
          <t xml:space="preserve">JUNIPER ELBOW CO. INC.</t>
        </is>
      </c>
      <c r="F4630" s="0" t="inlineStr">
        <is>
          <t xml:space="preserve">naics:336612</t>
        </is>
      </c>
    </row>
    <row r="4631">
      <c r="B4631" s="0" t="inlineStr">
        <is>
          <t xml:space="preserve">N3220518P4164</t>
        </is>
      </c>
      <c r="C4631" s="0" t="inlineStr">
        <is>
          <t xml:space="preserve">other_small</t>
        </is>
      </c>
      <c r="D4631" s="4">
        <v>0.01974538</v>
      </c>
      <c r="E4631" s="0" t="inlineStr">
        <is>
          <t xml:space="preserve">SAUER COMPRESSORS USA, INC.</t>
        </is>
      </c>
      <c r="F4631" s="0" t="inlineStr">
        <is>
          <t xml:space="preserve">psc:1990</t>
        </is>
      </c>
    </row>
    <row r="4632">
      <c r="B4632" s="0" t="inlineStr">
        <is>
          <t xml:space="preserve">N4044207P5563</t>
        </is>
      </c>
      <c r="C4632" s="0" t="inlineStr">
        <is>
          <t xml:space="preserve">other_small</t>
        </is>
      </c>
      <c r="D4632" s="4">
        <v>0.019688</v>
      </c>
      <c r="E4632" s="0" t="inlineStr">
        <is>
          <t xml:space="preserve">RENK CORP</t>
        </is>
      </c>
      <c r="F4632" s="0" t="inlineStr">
        <is>
          <t xml:space="preserve">psc:1925</t>
        </is>
      </c>
    </row>
    <row r="4633">
      <c r="B4633" s="0" t="inlineStr">
        <is>
          <t xml:space="preserve">M6700115P1297</t>
        </is>
      </c>
      <c r="C4633" s="0" t="inlineStr">
        <is>
          <t xml:space="preserve">small_craft</t>
        </is>
      </c>
      <c r="D4633" s="4">
        <v>0.019656999999999997</v>
      </c>
      <c r="E4633" s="0" t="inlineStr">
        <is>
          <t xml:space="preserve">PERFORMANCE EAST, INC</t>
        </is>
      </c>
      <c r="F4633" s="0" t="inlineStr">
        <is>
          <t xml:space="preserve">naics:336612; psc:1990</t>
        </is>
      </c>
    </row>
    <row r="4634">
      <c r="B4634" s="0" t="inlineStr">
        <is>
          <t xml:space="preserve">SPRMM118PWD03</t>
        </is>
      </c>
      <c r="C4634" s="0" t="inlineStr">
        <is>
          <t xml:space="preserve">usv_core</t>
        </is>
      </c>
      <c r="D4634" s="4">
        <v>0.0195752</v>
      </c>
      <c r="E4634" s="0" t="inlineStr">
        <is>
          <t xml:space="preserve">HII UNMANNED MARITIME SYSTEMS INC.</t>
        </is>
      </c>
      <c r="F4634" s="0" t="inlineStr">
        <is>
          <t xml:space="preserve">keyword</t>
        </is>
      </c>
    </row>
    <row r="4635">
      <c r="B4635" s="0" t="inlineStr">
        <is>
          <t xml:space="preserve">N0010420PCA56</t>
        </is>
      </c>
      <c r="C4635" s="0" t="inlineStr">
        <is>
          <t xml:space="preserve">small_craft</t>
        </is>
      </c>
      <c r="D4635" s="4">
        <v>0.01955752</v>
      </c>
      <c r="E4635" s="0" t="inlineStr">
        <is>
          <t xml:space="preserve">ADVANCED TURBINE SERVICES, L.L.C.</t>
        </is>
      </c>
      <c r="F4635" s="0" t="inlineStr">
        <is>
          <t xml:space="preserve">naics:336612</t>
        </is>
      </c>
    </row>
    <row r="4636">
      <c r="B4636" s="0" t="inlineStr">
        <is>
          <t xml:space="preserve">N0010420PCA51</t>
        </is>
      </c>
      <c r="C4636" s="0" t="inlineStr">
        <is>
          <t xml:space="preserve">small_craft</t>
        </is>
      </c>
      <c r="D4636" s="4">
        <v>0.01955752</v>
      </c>
      <c r="E4636" s="0" t="inlineStr">
        <is>
          <t xml:space="preserve">ADVANCED TURBINE SERVICES, L.L.C.</t>
        </is>
      </c>
      <c r="F4636" s="0" t="inlineStr">
        <is>
          <t xml:space="preserve">naics:336612</t>
        </is>
      </c>
    </row>
    <row r="4637">
      <c r="B4637" s="0" t="inlineStr">
        <is>
          <t xml:space="preserve">0049</t>
        </is>
      </c>
      <c r="C4637" s="0" t="inlineStr">
        <is>
          <t xml:space="preserve">broad_maritime</t>
        </is>
      </c>
      <c r="D4637" s="4">
        <v>0.019346</v>
      </c>
      <c r="E4637" s="0" t="inlineStr">
        <is>
          <t xml:space="preserve">ELECTRIC BOAT CORPORATION</t>
        </is>
      </c>
      <c r="F4637" s="0" t="inlineStr">
        <is>
          <t xml:space="preserve">psc:1905</t>
        </is>
      </c>
    </row>
    <row r="4638">
      <c r="B4638" s="0" t="inlineStr">
        <is>
          <t xml:space="preserve">N6449821P5172</t>
        </is>
      </c>
      <c r="C4638" s="0" t="inlineStr">
        <is>
          <t xml:space="preserve">small_craft</t>
        </is>
      </c>
      <c r="D4638" s="4">
        <v>0.019337999999999998</v>
      </c>
      <c r="E4638" s="0" t="inlineStr">
        <is>
          <t xml:space="preserve">ROLLS-ROYCE MARINE NORTH AMERICA INC.</t>
        </is>
      </c>
      <c r="F4638" s="0" t="inlineStr">
        <is>
          <t xml:space="preserve">naics:336612</t>
        </is>
      </c>
    </row>
    <row r="4639">
      <c r="B4639" s="0" t="inlineStr">
        <is>
          <t xml:space="preserve">LH58</t>
        </is>
      </c>
      <c r="C4639" s="0" t="inlineStr">
        <is>
          <t xml:space="preserve">other_small</t>
        </is>
      </c>
      <c r="D4639" s="4">
        <v>0.019334999999999998</v>
      </c>
      <c r="E4639" s="0" t="inlineStr">
        <is>
          <t xml:space="preserve">MCALLISTER TOWING OF VIRGINIA INC</t>
        </is>
      </c>
      <c r="F4639" s="0" t="inlineStr">
        <is>
          <t xml:space="preserve">psc:1990</t>
        </is>
      </c>
    </row>
    <row r="4640">
      <c r="B4640" s="0" t="inlineStr">
        <is>
          <t xml:space="preserve">N6133116P4593</t>
        </is>
      </c>
      <c r="C4640" s="0" t="inlineStr">
        <is>
          <t xml:space="preserve">small_craft</t>
        </is>
      </c>
      <c r="D4640" s="4">
        <v>0.019288319999999998</v>
      </c>
      <c r="E4640" s="0" t="inlineStr">
        <is>
          <t xml:space="preserve">BRUNSWICK COMMERCIAL &amp; GOVERNMENT PRODUCTS, INC.</t>
        </is>
      </c>
      <c r="F4640" s="0" t="inlineStr">
        <is>
          <t xml:space="preserve">naics:336612</t>
        </is>
      </c>
    </row>
    <row r="4641">
      <c r="B4641" s="0" t="inlineStr">
        <is>
          <t xml:space="preserve">N0016721F0038</t>
        </is>
      </c>
      <c r="C4641" s="0" t="inlineStr">
        <is>
          <t xml:space="preserve">small_craft</t>
        </is>
      </c>
      <c r="D4641" s="4">
        <v>0.019240419999999998</v>
      </c>
      <c r="E4641" s="0" t="inlineStr">
        <is>
          <t xml:space="preserve">ANCHOR INNOVATION, INC.</t>
        </is>
      </c>
      <c r="F4641" s="0" t="inlineStr">
        <is>
          <t xml:space="preserve">psc:1940</t>
        </is>
      </c>
    </row>
    <row r="4642">
      <c r="B4642" s="0" t="inlineStr">
        <is>
          <t xml:space="preserve">N6133116P4532</t>
        </is>
      </c>
      <c r="C4642" s="0" t="inlineStr">
        <is>
          <t xml:space="preserve">small_craft</t>
        </is>
      </c>
      <c r="D4642" s="4">
        <v>0.019230119999999996</v>
      </c>
      <c r="E4642" s="0" t="inlineStr">
        <is>
          <t xml:space="preserve">NVISION SOLUTIONS INC</t>
        </is>
      </c>
      <c r="F4642" s="0" t="inlineStr">
        <is>
          <t xml:space="preserve">psc:1940</t>
        </is>
      </c>
    </row>
    <row r="4643">
      <c r="B4643" s="0" t="inlineStr">
        <is>
          <t xml:space="preserve">N0010423PCB64</t>
        </is>
      </c>
      <c r="C4643" s="0" t="inlineStr">
        <is>
          <t xml:space="preserve">small_craft</t>
        </is>
      </c>
      <c r="D4643" s="4">
        <v>0.01916</v>
      </c>
      <c r="E4643" s="0" t="inlineStr">
        <is>
          <t xml:space="preserve">H &amp; P TECHNOLOGIES INC.</t>
        </is>
      </c>
      <c r="F4643" s="0" t="inlineStr">
        <is>
          <t xml:space="preserve">naics:336612</t>
        </is>
      </c>
    </row>
    <row r="4644">
      <c r="B4644" s="0" t="inlineStr">
        <is>
          <t xml:space="preserve">N0040615P2844</t>
        </is>
      </c>
      <c r="C4644" s="0" t="inlineStr">
        <is>
          <t xml:space="preserve">small_craft</t>
        </is>
      </c>
      <c r="D4644" s="4">
        <v>0.01902</v>
      </c>
      <c r="E4644" s="0" t="inlineStr">
        <is>
          <t xml:space="preserve">WILLARD MARINE, INC.</t>
        </is>
      </c>
      <c r="F4644" s="0" t="inlineStr">
        <is>
          <t xml:space="preserve">naics:336612</t>
        </is>
      </c>
    </row>
    <row r="4645">
      <c r="B4645" s="0" t="inlineStr">
        <is>
          <t xml:space="preserve">N4019216P7060</t>
        </is>
      </c>
      <c r="C4645" s="0" t="inlineStr">
        <is>
          <t xml:space="preserve">small_craft</t>
        </is>
      </c>
      <c r="D4645" s="4">
        <v>0.018997999999999998</v>
      </c>
      <c r="E4645" s="0" t="inlineStr">
        <is>
          <t xml:space="preserve">INTERNATIONAL ROYAL INC</t>
        </is>
      </c>
      <c r="F4645" s="0" t="inlineStr">
        <is>
          <t xml:space="preserve">psc:1940</t>
        </is>
      </c>
    </row>
    <row r="4646">
      <c r="B4646" s="0" t="inlineStr">
        <is>
          <t xml:space="preserve">N0010420PXB79</t>
        </is>
      </c>
      <c r="C4646" s="0" t="inlineStr">
        <is>
          <t xml:space="preserve">small_craft</t>
        </is>
      </c>
      <c r="D4646" s="4">
        <v>0.01893737</v>
      </c>
      <c r="E4646" s="0" t="inlineStr">
        <is>
          <t xml:space="preserve">WING INFLATABLES INC</t>
        </is>
      </c>
      <c r="F4646" s="0" t="inlineStr">
        <is>
          <t xml:space="preserve">naics:336612; psc:1940</t>
        </is>
      </c>
    </row>
    <row r="4647">
      <c r="B4647" s="0" t="inlineStr">
        <is>
          <t xml:space="preserve">N6133115P0046</t>
        </is>
      </c>
      <c r="C4647" s="0" t="inlineStr">
        <is>
          <t xml:space="preserve">small_craft</t>
        </is>
      </c>
      <c r="D4647" s="4">
        <v>0.01892</v>
      </c>
      <c r="E4647" s="0" t="inlineStr">
        <is>
          <t xml:space="preserve">ASTRO MACHINE WORKS INC</t>
        </is>
      </c>
      <c r="F4647" s="0" t="inlineStr">
        <is>
          <t xml:space="preserve">psc:1940</t>
        </is>
      </c>
    </row>
    <row r="4648">
      <c r="B4648" s="0" t="inlineStr">
        <is>
          <t xml:space="preserve">N0010426PFA42</t>
        </is>
      </c>
      <c r="C4648" s="0" t="inlineStr">
        <is>
          <t xml:space="preserve">small_craft</t>
        </is>
      </c>
      <c r="D4648" s="4">
        <v>0.018886999999999998</v>
      </c>
      <c r="E4648" s="0" t="inlineStr">
        <is>
          <t xml:space="preserve">MARMETAL INDUSTRIES, LLC</t>
        </is>
      </c>
      <c r="F4648" s="0" t="inlineStr">
        <is>
          <t xml:space="preserve">naics:336612</t>
        </is>
      </c>
    </row>
    <row r="4649">
      <c r="B4649" s="0" t="inlineStr">
        <is>
          <t xml:space="preserve">N3220518F2075</t>
        </is>
      </c>
      <c r="C4649" s="0" t="inlineStr">
        <is>
          <t xml:space="preserve">other_small</t>
        </is>
      </c>
      <c r="D4649" s="4">
        <v>0.01884184</v>
      </c>
      <c r="E4649" s="0" t="inlineStr">
        <is>
          <t xml:space="preserve">LAKE SHORE SYSTEMS, INC.</t>
        </is>
      </c>
      <c r="F4649" s="0" t="inlineStr">
        <is>
          <t xml:space="preserve">psc:1990</t>
        </is>
      </c>
    </row>
    <row r="4650">
      <c r="B4650" s="0" t="inlineStr">
        <is>
          <t xml:space="preserve">N0040622P0569</t>
        </is>
      </c>
      <c r="C4650" s="0" t="inlineStr">
        <is>
          <t xml:space="preserve">small_craft</t>
        </is>
      </c>
      <c r="D4650" s="4">
        <v>0.01884</v>
      </c>
      <c r="E4650" s="0" t="inlineStr">
        <is>
          <t xml:space="preserve">PIER SIDE SUPPLY INC</t>
        </is>
      </c>
      <c r="F4650" s="0" t="inlineStr">
        <is>
          <t xml:space="preserve">naics:336612</t>
        </is>
      </c>
    </row>
    <row r="4651">
      <c r="B4651" s="0" t="inlineStr">
        <is>
          <t xml:space="preserve">N3220518P4475</t>
        </is>
      </c>
      <c r="C4651" s="0" t="inlineStr">
        <is>
          <t xml:space="preserve">small_craft</t>
        </is>
      </c>
      <c r="D4651" s="4">
        <v>0.018797599999999998</v>
      </c>
      <c r="E4651" s="0" t="inlineStr">
        <is>
          <t xml:space="preserve">FASSMER SERVICE AMERICA LLC</t>
        </is>
      </c>
      <c r="F4651" s="0" t="inlineStr">
        <is>
          <t xml:space="preserve">naics:336612</t>
        </is>
      </c>
    </row>
    <row r="4652">
      <c r="B4652" s="0" t="inlineStr">
        <is>
          <t xml:space="preserve">N0024423P0136</t>
        </is>
      </c>
      <c r="C4652" s="0" t="inlineStr">
        <is>
          <t xml:space="preserve">small_craft</t>
        </is>
      </c>
      <c r="D4652" s="4">
        <v>0.01879289</v>
      </c>
      <c r="E4652" s="0" t="inlineStr">
        <is>
          <t xml:space="preserve">WING INFLATABLES, INC.</t>
        </is>
      </c>
      <c r="F4652" s="0" t="inlineStr">
        <is>
          <t xml:space="preserve">naics:336612; psc:1940</t>
        </is>
      </c>
    </row>
    <row r="4653">
      <c r="B4653" s="0" t="inlineStr">
        <is>
          <t xml:space="preserve">N0040620P0545</t>
        </is>
      </c>
      <c r="C4653" s="0" t="inlineStr">
        <is>
          <t xml:space="preserve">small_craft</t>
        </is>
      </c>
      <c r="D4653" s="4">
        <v>0.018777</v>
      </c>
      <c r="E4653" s="0" t="inlineStr">
        <is>
          <t xml:space="preserve">CONTRACTOR SUPPLY SOLUTIONS LLC</t>
        </is>
      </c>
      <c r="F4653" s="0" t="inlineStr">
        <is>
          <t xml:space="preserve">naics:336612</t>
        </is>
      </c>
    </row>
    <row r="4654">
      <c r="B4654" s="0" t="inlineStr">
        <is>
          <t xml:space="preserve">N0040620P0274</t>
        </is>
      </c>
      <c r="C4654" s="0" t="inlineStr">
        <is>
          <t xml:space="preserve">small_craft</t>
        </is>
      </c>
      <c r="D4654" s="4">
        <v>0.01877</v>
      </c>
      <c r="E4654" s="0" t="inlineStr">
        <is>
          <t xml:space="preserve">RAILWAY SPECIALTIES CORP</t>
        </is>
      </c>
      <c r="F4654" s="0" t="inlineStr">
        <is>
          <t xml:space="preserve">naics:336612</t>
        </is>
      </c>
    </row>
    <row r="4655">
      <c r="B4655" s="0" t="inlineStr">
        <is>
          <t xml:space="preserve">N5523618P0215</t>
        </is>
      </c>
      <c r="C4655" s="0" t="inlineStr">
        <is>
          <t xml:space="preserve">broad_maritime</t>
        </is>
      </c>
      <c r="D4655" s="4">
        <v>0.018709</v>
      </c>
      <c r="E4655" s="0" t="inlineStr">
        <is>
          <t xml:space="preserve">THE ENTWISTLE COMPANY LLC</t>
        </is>
      </c>
      <c r="F4655" s="0" t="inlineStr">
        <is>
          <t xml:space="preserve">psc:1905</t>
        </is>
      </c>
    </row>
    <row r="4656">
      <c r="B4656" s="0" t="inlineStr">
        <is>
          <t xml:space="preserve">N0040615P3966</t>
        </is>
      </c>
      <c r="C4656" s="0" t="inlineStr">
        <is>
          <t xml:space="preserve">small_craft</t>
        </is>
      </c>
      <c r="D4656" s="4">
        <v>0.018675</v>
      </c>
      <c r="E4656" s="0" t="inlineStr">
        <is>
          <t xml:space="preserve">J.D.A. MARITIME, INC.</t>
        </is>
      </c>
      <c r="F4656" s="0" t="inlineStr">
        <is>
          <t xml:space="preserve">naics:336612</t>
        </is>
      </c>
    </row>
    <row r="4657">
      <c r="B4657" s="0" t="inlineStr">
        <is>
          <t xml:space="preserve">N0040619P0770</t>
        </is>
      </c>
      <c r="C4657" s="0" t="inlineStr">
        <is>
          <t xml:space="preserve">small_craft</t>
        </is>
      </c>
      <c r="D4657" s="4">
        <v>0.018591069999999998</v>
      </c>
      <c r="E4657" s="0" t="inlineStr">
        <is>
          <t xml:space="preserve">JUNIPER ELBOW CO. INC.</t>
        </is>
      </c>
      <c r="F4657" s="0" t="inlineStr">
        <is>
          <t xml:space="preserve">naics:336612</t>
        </is>
      </c>
    </row>
    <row r="4658">
      <c r="B4658" s="0" t="inlineStr">
        <is>
          <t xml:space="preserve">N0040615P2993</t>
        </is>
      </c>
      <c r="C4658" s="0" t="inlineStr">
        <is>
          <t xml:space="preserve">small_craft</t>
        </is>
      </c>
      <c r="D4658" s="4">
        <v>0.01855</v>
      </c>
      <c r="E4658" s="0" t="inlineStr">
        <is>
          <t xml:space="preserve">WING INFLATABLES INC</t>
        </is>
      </c>
      <c r="F4658" s="0" t="inlineStr">
        <is>
          <t xml:space="preserve">naics:336612</t>
        </is>
      </c>
    </row>
    <row r="4659">
      <c r="B4659" s="0" t="inlineStr">
        <is>
          <t xml:space="preserve">M6890916P7620</t>
        </is>
      </c>
      <c r="C4659" s="0" t="inlineStr">
        <is>
          <t xml:space="preserve">small_craft</t>
        </is>
      </c>
      <c r="D4659" s="4">
        <v>0.018503799999999997</v>
      </c>
      <c r="E4659" s="0" t="inlineStr">
        <is>
          <t xml:space="preserve">KRUGER INDUSTRIES, INC.</t>
        </is>
      </c>
      <c r="F4659" s="0" t="inlineStr">
        <is>
          <t xml:space="preserve">naics:336612</t>
        </is>
      </c>
    </row>
    <row r="4660">
      <c r="B4660" s="0" t="inlineStr">
        <is>
          <t xml:space="preserve">N6146319FLH86</t>
        </is>
      </c>
      <c r="C4660" s="0" t="inlineStr">
        <is>
          <t xml:space="preserve">other_small</t>
        </is>
      </c>
      <c r="D4660" s="4">
        <v>0.018491999999999998</v>
      </c>
      <c r="E4660" s="0" t="inlineStr">
        <is>
          <t xml:space="preserve">MCALLISTER TOWING AND TRANSPORTATION COMPANY, INC.</t>
        </is>
      </c>
      <c r="F4660" s="0" t="inlineStr">
        <is>
          <t xml:space="preserve">psc:1990</t>
        </is>
      </c>
    </row>
    <row r="4661">
      <c r="B4661" s="0" t="inlineStr">
        <is>
          <t xml:space="preserve">N0010416PEA43</t>
        </is>
      </c>
      <c r="C4661" s="0" t="inlineStr">
        <is>
          <t xml:space="preserve">small_craft</t>
        </is>
      </c>
      <c r="D4661" s="4">
        <v>0.018439999999999998</v>
      </c>
      <c r="E4661" s="0" t="inlineStr">
        <is>
          <t xml:space="preserve">PEERLESS MFG CO</t>
        </is>
      </c>
      <c r="F4661" s="0" t="inlineStr">
        <is>
          <t xml:space="preserve">naics:336612</t>
        </is>
      </c>
    </row>
    <row r="4662">
      <c r="B4662" s="0" t="inlineStr">
        <is>
          <t xml:space="preserve">N0018919P0474</t>
        </is>
      </c>
      <c r="C4662" s="0" t="inlineStr">
        <is>
          <t xml:space="preserve">small_craft</t>
        </is>
      </c>
      <c r="D4662" s="4">
        <v>0.018434</v>
      </c>
      <c r="E4662" s="0" t="inlineStr">
        <is>
          <t xml:space="preserve">SAFE BOATS INTERNATIONAL LLC</t>
        </is>
      </c>
      <c r="F4662" s="0" t="inlineStr">
        <is>
          <t xml:space="preserve">naics:336612; psc:1990</t>
        </is>
      </c>
    </row>
    <row r="4663">
      <c r="B4663" s="0" t="inlineStr">
        <is>
          <t xml:space="preserve">N0040620P0164</t>
        </is>
      </c>
      <c r="C4663" s="0" t="inlineStr">
        <is>
          <t xml:space="preserve">small_craft</t>
        </is>
      </c>
      <c r="D4663" s="4">
        <v>0.0184205</v>
      </c>
      <c r="E4663" s="0" t="inlineStr">
        <is>
          <t xml:space="preserve">THE ENTWISTLE COMPANY LLC</t>
        </is>
      </c>
      <c r="F4663" s="0" t="inlineStr">
        <is>
          <t xml:space="preserve">naics:336612</t>
        </is>
      </c>
    </row>
    <row r="4664">
      <c r="B4664" s="0" t="inlineStr">
        <is>
          <t xml:space="preserve">N3220521P4118</t>
        </is>
      </c>
      <c r="C4664" s="0" t="inlineStr">
        <is>
          <t xml:space="preserve">small_craft</t>
        </is>
      </c>
      <c r="D4664" s="4">
        <v>0.01827225</v>
      </c>
      <c r="E4664" s="0" t="inlineStr">
        <is>
          <t xml:space="preserve">WILLARD MARINE, INC.</t>
        </is>
      </c>
      <c r="F4664" s="0" t="inlineStr">
        <is>
          <t xml:space="preserve">naics:336612</t>
        </is>
      </c>
    </row>
    <row r="4665">
      <c r="B4665" s="0" t="inlineStr">
        <is>
          <t xml:space="preserve">N0010421PDB96</t>
        </is>
      </c>
      <c r="C4665" s="0" t="inlineStr">
        <is>
          <t xml:space="preserve">small_craft</t>
        </is>
      </c>
      <c r="D4665" s="4">
        <v>0.018259499999999998</v>
      </c>
      <c r="E4665" s="0" t="inlineStr">
        <is>
          <t xml:space="preserve">TELEDYNE RESON INC</t>
        </is>
      </c>
      <c r="F4665" s="0" t="inlineStr">
        <is>
          <t xml:space="preserve">naics:336612</t>
        </is>
      </c>
    </row>
    <row r="4666">
      <c r="B4666" s="0" t="inlineStr">
        <is>
          <t xml:space="preserve">0037</t>
        </is>
      </c>
      <c r="C4666" s="0" t="inlineStr">
        <is>
          <t xml:space="preserve">broad_maritime</t>
        </is>
      </c>
      <c r="D4666" s="4">
        <v>0.01821</v>
      </c>
      <c r="E4666" s="0" t="inlineStr">
        <is>
          <t xml:space="preserve">ELECTRIC BOAT CORPORATION</t>
        </is>
      </c>
      <c r="F4666" s="0" t="inlineStr">
        <is>
          <t xml:space="preserve">psc:1905</t>
        </is>
      </c>
    </row>
    <row r="4667">
      <c r="B4667" s="0" t="inlineStr">
        <is>
          <t xml:space="preserve">0035</t>
        </is>
      </c>
      <c r="C4667" s="0" t="inlineStr">
        <is>
          <t xml:space="preserve">broad_maritime</t>
        </is>
      </c>
      <c r="D4667" s="4">
        <v>0.01821</v>
      </c>
      <c r="E4667" s="0" t="inlineStr">
        <is>
          <t xml:space="preserve">ELECTRIC BOAT CORPORATION</t>
        </is>
      </c>
      <c r="F4667" s="0" t="inlineStr">
        <is>
          <t xml:space="preserve">psc:1905</t>
        </is>
      </c>
    </row>
    <row r="4668">
      <c r="B4668" s="0" t="inlineStr">
        <is>
          <t xml:space="preserve">N0040616P2236</t>
        </is>
      </c>
      <c r="C4668" s="0" t="inlineStr">
        <is>
          <t xml:space="preserve">small_craft</t>
        </is>
      </c>
      <c r="D4668" s="4">
        <v>0.0182</v>
      </c>
      <c r="E4668" s="0" t="inlineStr">
        <is>
          <t xml:space="preserve">PACIFIC MARITIME INDUSTRIES CORP.</t>
        </is>
      </c>
      <c r="F4668" s="0" t="inlineStr">
        <is>
          <t xml:space="preserve">naics:336612</t>
        </is>
      </c>
    </row>
    <row r="4669">
      <c r="B4669" s="0" t="inlineStr">
        <is>
          <t xml:space="preserve">0058</t>
        </is>
      </c>
      <c r="C4669" s="0" t="inlineStr">
        <is>
          <t xml:space="preserve">other_small</t>
        </is>
      </c>
      <c r="D4669" s="4">
        <v>0.018174299999999997</v>
      </c>
      <c r="E4669" s="0" t="inlineStr">
        <is>
          <t xml:space="preserve">ROLLS-ROYCE SOLUTIONS AMERICA INC</t>
        </is>
      </c>
      <c r="F4669" s="0" t="inlineStr">
        <is>
          <t xml:space="preserve">psc:1990</t>
        </is>
      </c>
    </row>
    <row r="4670">
      <c r="B4670" s="0" t="inlineStr">
        <is>
          <t xml:space="preserve">N0017816V0015</t>
        </is>
      </c>
      <c r="C4670" s="0" t="inlineStr">
        <is>
          <t xml:space="preserve">small_craft</t>
        </is>
      </c>
      <c r="D4670" s="4">
        <v>0.018154999999999998</v>
      </c>
      <c r="E4670" s="0" t="inlineStr">
        <is>
          <t xml:space="preserve">GOLDSBOROUGH INC</t>
        </is>
      </c>
      <c r="F4670" s="0" t="inlineStr">
        <is>
          <t xml:space="preserve">psc:1940</t>
        </is>
      </c>
    </row>
    <row r="4671">
      <c r="B4671" s="0" t="inlineStr">
        <is>
          <t xml:space="preserve">N0010425PLA23</t>
        </is>
      </c>
      <c r="C4671" s="0" t="inlineStr">
        <is>
          <t xml:space="preserve">small_craft</t>
        </is>
      </c>
      <c r="D4671" s="4">
        <v>0.018130999999999998</v>
      </c>
      <c r="E4671" s="0" t="inlineStr">
        <is>
          <t xml:space="preserve">HOWDEN NORTH AMERICA INC</t>
        </is>
      </c>
      <c r="F4671" s="0" t="inlineStr">
        <is>
          <t xml:space="preserve">naics:336612</t>
        </is>
      </c>
    </row>
    <row r="4672">
      <c r="B4672" s="0" t="inlineStr">
        <is>
          <t xml:space="preserve">N0010426PBN89</t>
        </is>
      </c>
      <c r="C4672" s="0" t="inlineStr">
        <is>
          <t xml:space="preserve">small_craft</t>
        </is>
      </c>
      <c r="D4672" s="4">
        <v>0.0181125</v>
      </c>
      <c r="E4672" s="0" t="inlineStr">
        <is>
          <t xml:space="preserve">ADIRONDACK ELECTRONICS INC</t>
        </is>
      </c>
      <c r="F4672" s="0" t="inlineStr">
        <is>
          <t xml:space="preserve">naics:336612</t>
        </is>
      </c>
    </row>
    <row r="4673">
      <c r="B4673" s="0" t="inlineStr">
        <is>
          <t xml:space="preserve">N0016420P0068</t>
        </is>
      </c>
      <c r="C4673" s="0" t="inlineStr">
        <is>
          <t xml:space="preserve">small_craft</t>
        </is>
      </c>
      <c r="D4673" s="4">
        <v>0.01809096</v>
      </c>
      <c r="E4673" s="0" t="inlineStr">
        <is>
          <t xml:space="preserve">POSEIDON,LLC</t>
        </is>
      </c>
      <c r="F4673" s="0" t="inlineStr">
        <is>
          <t xml:space="preserve">naics:336612</t>
        </is>
      </c>
    </row>
    <row r="4674">
      <c r="B4674" s="0" t="inlineStr">
        <is>
          <t xml:space="preserve">N3220520F2432</t>
        </is>
      </c>
      <c r="C4674" s="0" t="inlineStr">
        <is>
          <t xml:space="preserve">other_small</t>
        </is>
      </c>
      <c r="D4674" s="4">
        <v>0.018064359999999998</v>
      </c>
      <c r="E4674" s="0" t="inlineStr">
        <is>
          <t xml:space="preserve">LAKE SHORE SYSTEMS, INC.</t>
        </is>
      </c>
      <c r="F4674" s="0" t="inlineStr">
        <is>
          <t xml:space="preserve">psc:1990</t>
        </is>
      </c>
    </row>
    <row r="4675">
      <c r="B4675" s="0" t="inlineStr">
        <is>
          <t xml:space="preserve">N4019215P7038</t>
        </is>
      </c>
      <c r="C4675" s="0" t="inlineStr">
        <is>
          <t xml:space="preserve">small_craft</t>
        </is>
      </c>
      <c r="D4675" s="4">
        <v>0.017998</v>
      </c>
      <c r="E4675" s="0" t="inlineStr">
        <is>
          <t xml:space="preserve">INTERNATIONAL ROYAL INC</t>
        </is>
      </c>
      <c r="F4675" s="0" t="inlineStr">
        <is>
          <t xml:space="preserve">psc:1940</t>
        </is>
      </c>
    </row>
    <row r="4676">
      <c r="B4676" s="0" t="inlineStr">
        <is>
          <t xml:space="preserve">0042</t>
        </is>
      </c>
      <c r="C4676" s="0" t="inlineStr">
        <is>
          <t xml:space="preserve">broad_maritime</t>
        </is>
      </c>
      <c r="D4676" s="4">
        <v>0.017994</v>
      </c>
      <c r="E4676" s="0" t="inlineStr">
        <is>
          <t xml:space="preserve">ELECTRIC BOAT CORPORATION</t>
        </is>
      </c>
      <c r="F4676" s="0" t="inlineStr">
        <is>
          <t xml:space="preserve">psc:1905</t>
        </is>
      </c>
    </row>
    <row r="4677">
      <c r="B4677" s="0" t="inlineStr">
        <is>
          <t xml:space="preserve">N6600122P6111</t>
        </is>
      </c>
      <c r="C4677" s="0" t="inlineStr">
        <is>
          <t xml:space="preserve">usv_core</t>
        </is>
      </c>
      <c r="D4677" s="4">
        <v>0.01795658</v>
      </c>
      <c r="E4677" s="0" t="inlineStr">
        <is>
          <t xml:space="preserve">EVERGREEN FIRE ALARMS LLC</t>
        </is>
      </c>
      <c r="F4677" s="0" t="inlineStr">
        <is>
          <t xml:space="preserve">keyword</t>
        </is>
      </c>
    </row>
    <row r="4678">
      <c r="B4678" s="0" t="inlineStr">
        <is>
          <t xml:space="preserve">M6890916P7657</t>
        </is>
      </c>
      <c r="C4678" s="0" t="inlineStr">
        <is>
          <t xml:space="preserve">small_craft</t>
        </is>
      </c>
      <c r="D4678" s="4">
        <v>0.01792824</v>
      </c>
      <c r="E4678" s="0" t="inlineStr">
        <is>
          <t xml:space="preserve">WILLARD MARINE, INC.</t>
        </is>
      </c>
      <c r="F4678" s="0" t="inlineStr">
        <is>
          <t xml:space="preserve">naics:336612; psc:1940</t>
        </is>
      </c>
    </row>
    <row r="4679">
      <c r="B4679" s="0" t="inlineStr">
        <is>
          <t xml:space="preserve">N0010421PXB62</t>
        </is>
      </c>
      <c r="C4679" s="0" t="inlineStr">
        <is>
          <t xml:space="preserve">small_craft</t>
        </is>
      </c>
      <c r="D4679" s="4">
        <v>0.01792</v>
      </c>
      <c r="E4679" s="0" t="inlineStr">
        <is>
          <t xml:space="preserve">WING INFLATABLES INC</t>
        </is>
      </c>
      <c r="F4679" s="0" t="inlineStr">
        <is>
          <t xml:space="preserve">naics:336612; psc:1940</t>
        </is>
      </c>
    </row>
    <row r="4680">
      <c r="B4680" s="0" t="inlineStr">
        <is>
          <t xml:space="preserve">0041</t>
        </is>
      </c>
      <c r="C4680" s="0" t="inlineStr">
        <is>
          <t xml:space="preserve">broad_maritime</t>
        </is>
      </c>
      <c r="D4680" s="4">
        <v>0.017901999999999998</v>
      </c>
      <c r="E4680" s="0" t="inlineStr">
        <is>
          <t xml:space="preserve">ELECTRIC BOAT CORPORATION</t>
        </is>
      </c>
      <c r="F4680" s="0" t="inlineStr">
        <is>
          <t xml:space="preserve">psc:1905</t>
        </is>
      </c>
    </row>
    <row r="4681">
      <c r="B4681" s="0" t="inlineStr">
        <is>
          <t xml:space="preserve">N0010420PED73</t>
        </is>
      </c>
      <c r="C4681" s="0" t="inlineStr">
        <is>
          <t xml:space="preserve">small_craft</t>
        </is>
      </c>
      <c r="D4681" s="4">
        <v>0.01789</v>
      </c>
      <c r="E4681" s="0" t="inlineStr">
        <is>
          <t xml:space="preserve">AQUAPHOENIX SCIENTIFIC, LLC</t>
        </is>
      </c>
      <c r="F4681" s="0" t="inlineStr">
        <is>
          <t xml:space="preserve">naics:336612</t>
        </is>
      </c>
    </row>
    <row r="4682">
      <c r="B4682" s="0" t="inlineStr">
        <is>
          <t xml:space="preserve">N0018916P0691</t>
        </is>
      </c>
      <c r="C4682" s="0" t="inlineStr">
        <is>
          <t xml:space="preserve">small_craft</t>
        </is>
      </c>
      <c r="D4682" s="4">
        <v>0.01781827</v>
      </c>
      <c r="E4682" s="0" t="inlineStr">
        <is>
          <t xml:space="preserve">STIDD SYSTEMS, INC.</t>
        </is>
      </c>
      <c r="F4682" s="0" t="inlineStr">
        <is>
          <t xml:space="preserve">naics:336612</t>
        </is>
      </c>
    </row>
    <row r="4683">
      <c r="B4683" s="0" t="inlineStr">
        <is>
          <t xml:space="preserve">N0040624P0130</t>
        </is>
      </c>
      <c r="C4683" s="0" t="inlineStr">
        <is>
          <t xml:space="preserve">small_craft</t>
        </is>
      </c>
      <c r="D4683" s="4">
        <v>0.017750009999999997</v>
      </c>
      <c r="E4683" s="0" t="inlineStr">
        <is>
          <t xml:space="preserve">PACIFIC MARINE DISTRIBUTORS ACQUISITION, LLC</t>
        </is>
      </c>
      <c r="F4683" s="0" t="inlineStr">
        <is>
          <t xml:space="preserve">naics:336612</t>
        </is>
      </c>
    </row>
    <row r="4684">
      <c r="B4684" s="0" t="inlineStr">
        <is>
          <t xml:space="preserve">N0040621P0599</t>
        </is>
      </c>
      <c r="C4684" s="0" t="inlineStr">
        <is>
          <t xml:space="preserve">small_craft</t>
        </is>
      </c>
      <c r="D4684" s="4">
        <v>0.017742</v>
      </c>
      <c r="E4684" s="0" t="inlineStr">
        <is>
          <t xml:space="preserve">BLACKBERRY SERVICES LLC</t>
        </is>
      </c>
      <c r="F4684" s="0" t="inlineStr">
        <is>
          <t xml:space="preserve">naics:336612</t>
        </is>
      </c>
    </row>
    <row r="4685">
      <c r="B4685" s="0" t="inlineStr">
        <is>
          <t xml:space="preserve">N0010426PQA58</t>
        </is>
      </c>
      <c r="C4685" s="0" t="inlineStr">
        <is>
          <t xml:space="preserve">small_craft</t>
        </is>
      </c>
      <c r="D4685" s="4">
        <v>0.017731999999999998</v>
      </c>
      <c r="E4685" s="0" t="inlineStr">
        <is>
          <t xml:space="preserve">CORNET TECHNOLOGY, INC.</t>
        </is>
      </c>
      <c r="F4685" s="0" t="inlineStr">
        <is>
          <t xml:space="preserve">naics:336612</t>
        </is>
      </c>
    </row>
    <row r="4686">
      <c r="B4686" s="0" t="inlineStr">
        <is>
          <t xml:space="preserve">N0010421PDD87</t>
        </is>
      </c>
      <c r="C4686" s="0" t="inlineStr">
        <is>
          <t xml:space="preserve">small_craft</t>
        </is>
      </c>
      <c r="D4686" s="4">
        <v>0.017716</v>
      </c>
      <c r="E4686" s="0" t="inlineStr">
        <is>
          <t xml:space="preserve">TIMKEN GEARS &amp; SERVICES INC.</t>
        </is>
      </c>
      <c r="F4686" s="0" t="inlineStr">
        <is>
          <t xml:space="preserve">naics:336612</t>
        </is>
      </c>
    </row>
    <row r="4687">
      <c r="B4687" s="0" t="inlineStr">
        <is>
          <t xml:space="preserve">0016</t>
        </is>
      </c>
      <c r="C4687" s="0" t="inlineStr">
        <is>
          <t xml:space="preserve">broad_maritime</t>
        </is>
      </c>
      <c r="D4687" s="4">
        <v>0.017677</v>
      </c>
      <c r="E4687" s="0" t="inlineStr">
        <is>
          <t xml:space="preserve">ELECTRIC BOAT CORPORATION</t>
        </is>
      </c>
      <c r="F4687" s="0" t="inlineStr">
        <is>
          <t xml:space="preserve">psc:1905</t>
        </is>
      </c>
    </row>
    <row r="4688">
      <c r="B4688" s="0" t="inlineStr">
        <is>
          <t xml:space="preserve">0048</t>
        </is>
      </c>
      <c r="C4688" s="0" t="inlineStr">
        <is>
          <t xml:space="preserve">broad_maritime</t>
        </is>
      </c>
      <c r="D4688" s="4">
        <v>0.017641999999999998</v>
      </c>
      <c r="E4688" s="0" t="inlineStr">
        <is>
          <t xml:space="preserve">ELECTRIC BOAT CORPORATION</t>
        </is>
      </c>
      <c r="F4688" s="0" t="inlineStr">
        <is>
          <t xml:space="preserve">psc:1905</t>
        </is>
      </c>
    </row>
    <row r="4689">
      <c r="B4689" s="0" t="inlineStr">
        <is>
          <t xml:space="preserve">N0016722P0170</t>
        </is>
      </c>
      <c r="C4689" s="0" t="inlineStr">
        <is>
          <t xml:space="preserve">small_craft</t>
        </is>
      </c>
      <c r="D4689" s="4">
        <v>0.01761536</v>
      </c>
      <c r="E4689" s="0" t="inlineStr">
        <is>
          <t xml:space="preserve">WING INFLATABLES INC</t>
        </is>
      </c>
      <c r="F4689" s="0" t="inlineStr">
        <is>
          <t xml:space="preserve">naics:336612</t>
        </is>
      </c>
    </row>
    <row r="4690">
      <c r="B4690" s="0" t="inlineStr">
        <is>
          <t xml:space="preserve">N0040617P0249</t>
        </is>
      </c>
      <c r="C4690" s="0" t="inlineStr">
        <is>
          <t xml:space="preserve">small_craft</t>
        </is>
      </c>
      <c r="D4690" s="4">
        <v>0.017599999999999998</v>
      </c>
      <c r="E4690" s="0" t="inlineStr">
        <is>
          <t xml:space="preserve">PACIFIC MARITIME INDUSTRIES CORP.</t>
        </is>
      </c>
      <c r="F4690" s="0" t="inlineStr">
        <is>
          <t xml:space="preserve">naics:336612</t>
        </is>
      </c>
    </row>
    <row r="4691">
      <c r="B4691" s="0" t="inlineStr">
        <is>
          <t xml:space="preserve">N0010422PNC74</t>
        </is>
      </c>
      <c r="C4691" s="0" t="inlineStr">
        <is>
          <t xml:space="preserve">small_craft</t>
        </is>
      </c>
      <c r="D4691" s="4">
        <v>0.017599999999999998</v>
      </c>
      <c r="E4691" s="0" t="inlineStr">
        <is>
          <t xml:space="preserve">CHESAPEAKE MARINE REFRIGERATION CORP</t>
        </is>
      </c>
      <c r="F4691" s="0" t="inlineStr">
        <is>
          <t xml:space="preserve">naics:336612</t>
        </is>
      </c>
    </row>
    <row r="4692">
      <c r="B4692" s="0" t="inlineStr">
        <is>
          <t xml:space="preserve">N0060420P4039</t>
        </is>
      </c>
      <c r="C4692" s="0" t="inlineStr">
        <is>
          <t xml:space="preserve">small_craft</t>
        </is>
      </c>
      <c r="D4692" s="4">
        <v>0.017490349999999998</v>
      </c>
      <c r="E4692" s="0" t="inlineStr">
        <is>
          <t xml:space="preserve">WING INFLATABLES INC</t>
        </is>
      </c>
      <c r="F4692" s="0" t="inlineStr">
        <is>
          <t xml:space="preserve">naics:336612</t>
        </is>
      </c>
    </row>
    <row r="4693">
      <c r="B4693" s="0" t="inlineStr">
        <is>
          <t xml:space="preserve">N0024422P0265</t>
        </is>
      </c>
      <c r="C4693" s="0" t="inlineStr">
        <is>
          <t xml:space="preserve">small_craft</t>
        </is>
      </c>
      <c r="D4693" s="4">
        <v>0.01741536</v>
      </c>
      <c r="E4693" s="0" t="inlineStr">
        <is>
          <t xml:space="preserve">WING INFLATABLES, INC.</t>
        </is>
      </c>
      <c r="F4693" s="0" t="inlineStr">
        <is>
          <t xml:space="preserve">naics:336612</t>
        </is>
      </c>
    </row>
    <row r="4694">
      <c r="B4694" s="0" t="inlineStr">
        <is>
          <t xml:space="preserve">N0010419PCA18</t>
        </is>
      </c>
      <c r="C4694" s="0" t="inlineStr">
        <is>
          <t xml:space="preserve">small_craft</t>
        </is>
      </c>
      <c r="D4694" s="4">
        <v>0.01741397</v>
      </c>
      <c r="E4694" s="0" t="inlineStr">
        <is>
          <t xml:space="preserve">KONRAD MARINE INC</t>
        </is>
      </c>
      <c r="F4694" s="0" t="inlineStr">
        <is>
          <t xml:space="preserve">naics:336612</t>
        </is>
      </c>
    </row>
    <row r="4695">
      <c r="B4695" s="0" t="inlineStr">
        <is>
          <t xml:space="preserve">N0010420PBQ85</t>
        </is>
      </c>
      <c r="C4695" s="0" t="inlineStr">
        <is>
          <t xml:space="preserve">small_craft</t>
        </is>
      </c>
      <c r="D4695" s="4">
        <v>0.017406599999999998</v>
      </c>
      <c r="E4695" s="0" t="inlineStr">
        <is>
          <t xml:space="preserve">NASCO AEROSPACE AND ELECTRONICS LLC</t>
        </is>
      </c>
      <c r="F4695" s="0" t="inlineStr">
        <is>
          <t xml:space="preserve">naics:336612</t>
        </is>
      </c>
    </row>
    <row r="4696">
      <c r="B4696" s="0" t="inlineStr">
        <is>
          <t xml:space="preserve">N0010416PEA49</t>
        </is>
      </c>
      <c r="C4696" s="0" t="inlineStr">
        <is>
          <t xml:space="preserve">small_craft</t>
        </is>
      </c>
      <c r="D4696" s="4">
        <v>0.017339999999999998</v>
      </c>
      <c r="E4696" s="0" t="inlineStr">
        <is>
          <t xml:space="preserve">PEERLESS MFG CO</t>
        </is>
      </c>
      <c r="F4696" s="0" t="inlineStr">
        <is>
          <t xml:space="preserve">naics:336612</t>
        </is>
      </c>
    </row>
    <row r="4697">
      <c r="B4697" s="0" t="inlineStr">
        <is>
          <t xml:space="preserve">N0010420PDD04</t>
        </is>
      </c>
      <c r="C4697" s="0" t="inlineStr">
        <is>
          <t xml:space="preserve">small_craft</t>
        </is>
      </c>
      <c r="D4697" s="4">
        <v>0.01731785</v>
      </c>
      <c r="E4697" s="0" t="inlineStr">
        <is>
          <t xml:space="preserve">JERED LLC</t>
        </is>
      </c>
      <c r="F4697" s="0" t="inlineStr">
        <is>
          <t xml:space="preserve">naics:336612</t>
        </is>
      </c>
    </row>
    <row r="4698">
      <c r="B4698" s="0" t="inlineStr">
        <is>
          <t xml:space="preserve">N0010421PCE88</t>
        </is>
      </c>
      <c r="C4698" s="0" t="inlineStr">
        <is>
          <t xml:space="preserve">small_craft</t>
        </is>
      </c>
      <c r="D4698" s="4">
        <v>0.017315999999999998</v>
      </c>
      <c r="E4698" s="0" t="inlineStr">
        <is>
          <t xml:space="preserve">CURTISS-WRIGHT ELECTRO-MECHANICAL CORP</t>
        </is>
      </c>
      <c r="F4698" s="0" t="inlineStr">
        <is>
          <t xml:space="preserve">naics:336612</t>
        </is>
      </c>
    </row>
    <row r="4699">
      <c r="B4699" s="0" t="inlineStr">
        <is>
          <t xml:space="preserve">N0040622P0373</t>
        </is>
      </c>
      <c r="C4699" s="0" t="inlineStr">
        <is>
          <t xml:space="preserve">small_craft</t>
        </is>
      </c>
      <c r="D4699" s="4">
        <v>0.01714</v>
      </c>
      <c r="E4699" s="0" t="inlineStr">
        <is>
          <t xml:space="preserve">RAILWAY SPECIALTIES CORP</t>
        </is>
      </c>
      <c r="F4699" s="0" t="inlineStr">
        <is>
          <t xml:space="preserve">naics:336612</t>
        </is>
      </c>
    </row>
    <row r="4700">
      <c r="B4700" s="0" t="inlineStr">
        <is>
          <t xml:space="preserve">N0010423PEF53</t>
        </is>
      </c>
      <c r="C4700" s="0" t="inlineStr">
        <is>
          <t xml:space="preserve">small_craft</t>
        </is>
      </c>
      <c r="D4700" s="4">
        <v>0.01713177</v>
      </c>
      <c r="E4700" s="0" t="inlineStr">
        <is>
          <t xml:space="preserve">DBR INDUSTRIES, INC.</t>
        </is>
      </c>
      <c r="F4700" s="0" t="inlineStr">
        <is>
          <t xml:space="preserve">naics:336612</t>
        </is>
      </c>
    </row>
    <row r="4701">
      <c r="B4701" s="0" t="inlineStr">
        <is>
          <t xml:space="preserve">0044</t>
        </is>
      </c>
      <c r="C4701" s="0" t="inlineStr">
        <is>
          <t xml:space="preserve">broad_maritime</t>
        </is>
      </c>
      <c r="D4701" s="4">
        <v>0.017128</v>
      </c>
      <c r="E4701" s="0" t="inlineStr">
        <is>
          <t xml:space="preserve">ELECTRIC BOAT CORPORATION</t>
        </is>
      </c>
      <c r="F4701" s="0" t="inlineStr">
        <is>
          <t xml:space="preserve">psc:1905</t>
        </is>
      </c>
    </row>
    <row r="4702">
      <c r="B4702" s="0" t="inlineStr">
        <is>
          <t xml:space="preserve">N0002420F2211</t>
        </is>
      </c>
      <c r="C4702" s="0" t="inlineStr">
        <is>
          <t xml:space="preserve">small_craft</t>
        </is>
      </c>
      <c r="D4702" s="4">
        <v>0.01712524</v>
      </c>
      <c r="E4702" s="0" t="inlineStr">
        <is>
          <t xml:space="preserve">GRAVOIS ALUMINUM BOATS LLC</t>
        </is>
      </c>
      <c r="F4702" s="0" t="inlineStr">
        <is>
          <t xml:space="preserve">naics:336612; psc:1940</t>
        </is>
      </c>
    </row>
    <row r="4703">
      <c r="B4703" s="0" t="inlineStr">
        <is>
          <t xml:space="preserve">N0040618P1799</t>
        </is>
      </c>
      <c r="C4703" s="0" t="inlineStr">
        <is>
          <t xml:space="preserve">small_craft</t>
        </is>
      </c>
      <c r="D4703" s="4">
        <v>0.0171</v>
      </c>
      <c r="E4703" s="0" t="inlineStr">
        <is>
          <t xml:space="preserve">RAILWAY SPECIALTIES CORP</t>
        </is>
      </c>
      <c r="F4703" s="0" t="inlineStr">
        <is>
          <t xml:space="preserve">naics:336612</t>
        </is>
      </c>
    </row>
    <row r="4704">
      <c r="B4704" s="0" t="inlineStr">
        <is>
          <t xml:space="preserve">0008</t>
        </is>
      </c>
      <c r="C4704" s="0" t="inlineStr">
        <is>
          <t xml:space="preserve">broad_maritime</t>
        </is>
      </c>
      <c r="D4704" s="4">
        <v>0.017071</v>
      </c>
      <c r="E4704" s="0" t="inlineStr">
        <is>
          <t xml:space="preserve">ELECTRIC BOAT CORPORATION</t>
        </is>
      </c>
      <c r="F4704" s="0" t="inlineStr">
        <is>
          <t xml:space="preserve">psc:1905</t>
        </is>
      </c>
    </row>
    <row r="4705">
      <c r="B4705" s="0" t="inlineStr">
        <is>
          <t xml:space="preserve">N0010424PEE35</t>
        </is>
      </c>
      <c r="C4705" s="0" t="inlineStr">
        <is>
          <t xml:space="preserve">small_craft</t>
        </is>
      </c>
      <c r="D4705" s="4">
        <v>0.017024400000000002</v>
      </c>
      <c r="E4705" s="0" t="inlineStr">
        <is>
          <t xml:space="preserve">DUTCH VALLEY SUPPLY CO.</t>
        </is>
      </c>
      <c r="F4705" s="0" t="inlineStr">
        <is>
          <t xml:space="preserve">naics:336612</t>
        </is>
      </c>
    </row>
    <row r="4706">
      <c r="B4706" s="0" t="inlineStr">
        <is>
          <t xml:space="preserve">N0010426PSA61</t>
        </is>
      </c>
      <c r="C4706" s="0" t="inlineStr">
        <is>
          <t xml:space="preserve">small_craft</t>
        </is>
      </c>
      <c r="D4706" s="4">
        <v>0.016999999999999998</v>
      </c>
      <c r="E4706" s="0" t="inlineStr">
        <is>
          <t xml:space="preserve">RAILWAY SPECIALTIES CORP</t>
        </is>
      </c>
      <c r="F4706" s="0" t="inlineStr">
        <is>
          <t xml:space="preserve">naics:336612</t>
        </is>
      </c>
    </row>
    <row r="4707">
      <c r="B4707" s="0" t="inlineStr">
        <is>
          <t xml:space="preserve">0078</t>
        </is>
      </c>
      <c r="C4707" s="0" t="inlineStr">
        <is>
          <t xml:space="preserve">other_small</t>
        </is>
      </c>
      <c r="D4707" s="4">
        <v>0.01695795</v>
      </c>
      <c r="E4707" s="0" t="inlineStr">
        <is>
          <t xml:space="preserve">AUSTAL USA, LLC</t>
        </is>
      </c>
      <c r="F4707" s="0" t="inlineStr">
        <is>
          <t xml:space="preserve">psc:1990</t>
        </is>
      </c>
    </row>
    <row r="4708">
      <c r="B4708" s="0" t="inlineStr">
        <is>
          <t xml:space="preserve">N0040622P0178</t>
        </is>
      </c>
      <c r="C4708" s="0" t="inlineStr">
        <is>
          <t xml:space="preserve">small_craft</t>
        </is>
      </c>
      <c r="D4708" s="4">
        <v>0.01695</v>
      </c>
      <c r="E4708" s="0" t="inlineStr">
        <is>
          <t xml:space="preserve">JUNIPER ELBOW CO. INC.</t>
        </is>
      </c>
      <c r="F4708" s="0" t="inlineStr">
        <is>
          <t xml:space="preserve">naics:336612</t>
        </is>
      </c>
    </row>
    <row r="4709">
      <c r="B4709" s="0" t="inlineStr">
        <is>
          <t xml:space="preserve">N0040615P1970</t>
        </is>
      </c>
      <c r="C4709" s="0" t="inlineStr">
        <is>
          <t xml:space="preserve">small_craft</t>
        </is>
      </c>
      <c r="D4709" s="4">
        <v>0.0169</v>
      </c>
      <c r="E4709" s="0" t="inlineStr">
        <is>
          <t xml:space="preserve">RAILWAY SPECIALTIES CORP</t>
        </is>
      </c>
      <c r="F4709" s="0" t="inlineStr">
        <is>
          <t xml:space="preserve">naics:336612</t>
        </is>
      </c>
    </row>
    <row r="4710">
      <c r="B4710" s="0" t="inlineStr">
        <is>
          <t xml:space="preserve">N6660415P0863</t>
        </is>
      </c>
      <c r="C4710" s="0" t="inlineStr">
        <is>
          <t xml:space="preserve">other_small</t>
        </is>
      </c>
      <c r="D4710" s="4">
        <v>0.0169</v>
      </c>
      <c r="E4710" s="0" t="inlineStr">
        <is>
          <t xml:space="preserve">ROBONATION INC.</t>
        </is>
      </c>
      <c r="F4710" s="0" t="inlineStr">
        <is>
          <t xml:space="preserve">psc:1990</t>
        </is>
      </c>
    </row>
    <row r="4711">
      <c r="B4711" s="0" t="inlineStr">
        <is>
          <t xml:space="preserve">M2710025P0001</t>
        </is>
      </c>
      <c r="C4711" s="0" t="inlineStr">
        <is>
          <t xml:space="preserve">small_craft</t>
        </is>
      </c>
      <c r="D4711" s="4">
        <v>0.01683964</v>
      </c>
      <c r="E4711" s="0" t="inlineStr">
        <is>
          <t xml:space="preserve">MISCELLANEOUS FOREIGN AWARDEES</t>
        </is>
      </c>
      <c r="F4711" s="0" t="inlineStr">
        <is>
          <t xml:space="preserve">naics:336612</t>
        </is>
      </c>
    </row>
    <row r="4712">
      <c r="B4712" s="0" t="inlineStr">
        <is>
          <t xml:space="preserve">N0010424PUC26</t>
        </is>
      </c>
      <c r="C4712" s="0" t="inlineStr">
        <is>
          <t xml:space="preserve">small_craft</t>
        </is>
      </c>
      <c r="D4712" s="4">
        <v>0.016834</v>
      </c>
      <c r="E4712" s="0" t="inlineStr">
        <is>
          <t xml:space="preserve">MCNALLY INDUSTRIES, LLC</t>
        </is>
      </c>
      <c r="F4712" s="0" t="inlineStr">
        <is>
          <t xml:space="preserve">naics:336612</t>
        </is>
      </c>
    </row>
    <row r="4713">
      <c r="B4713" s="0" t="inlineStr">
        <is>
          <t xml:space="preserve">N0010425PXB92</t>
        </is>
      </c>
      <c r="C4713" s="0" t="inlineStr">
        <is>
          <t xml:space="preserve">small_craft</t>
        </is>
      </c>
      <c r="D4713" s="4">
        <v>0.016732999999999998</v>
      </c>
      <c r="E4713" s="0" t="inlineStr">
        <is>
          <t xml:space="preserve">L3HARRIS TECHNOLOGIES, INC.</t>
        </is>
      </c>
      <c r="F4713" s="0" t="inlineStr">
        <is>
          <t xml:space="preserve">naics:336612</t>
        </is>
      </c>
    </row>
    <row r="4714">
      <c r="B4714" s="0" t="inlineStr">
        <is>
          <t xml:space="preserve">N0010416PFD04</t>
        </is>
      </c>
      <c r="C4714" s="0" t="inlineStr">
        <is>
          <t xml:space="preserve">small_craft</t>
        </is>
      </c>
      <c r="D4714" s="4">
        <v>0.016715999999999998</v>
      </c>
      <c r="E4714" s="0" t="inlineStr">
        <is>
          <t xml:space="preserve">GUILL TOOL &amp; ENGINEERING CO INC</t>
        </is>
      </c>
      <c r="F4714" s="0" t="inlineStr">
        <is>
          <t xml:space="preserve">naics:336612</t>
        </is>
      </c>
    </row>
    <row r="4715">
      <c r="B4715" s="0" t="inlineStr">
        <is>
          <t xml:space="preserve">N0010419FK404</t>
        </is>
      </c>
      <c r="C4715" s="0" t="inlineStr">
        <is>
          <t xml:space="preserve">small_craft</t>
        </is>
      </c>
      <c r="D4715" s="4">
        <v>0.0167022</v>
      </c>
      <c r="E4715" s="0" t="inlineStr">
        <is>
          <t xml:space="preserve">WING INFLATABLES INC</t>
        </is>
      </c>
      <c r="F4715" s="0" t="inlineStr">
        <is>
          <t xml:space="preserve">naics:336612</t>
        </is>
      </c>
    </row>
    <row r="4716">
      <c r="B4716" s="0" t="inlineStr">
        <is>
          <t xml:space="preserve">N0010426PSA67</t>
        </is>
      </c>
      <c r="C4716" s="0" t="inlineStr">
        <is>
          <t xml:space="preserve">small_craft</t>
        </is>
      </c>
      <c r="D4716" s="4">
        <v>0.0167</v>
      </c>
      <c r="E4716" s="0" t="inlineStr">
        <is>
          <t xml:space="preserve">RAILWAY SPECIALTIES CORP</t>
        </is>
      </c>
      <c r="F4716" s="0" t="inlineStr">
        <is>
          <t xml:space="preserve">naics:336612</t>
        </is>
      </c>
    </row>
    <row r="4717">
      <c r="B4717" s="0" t="inlineStr">
        <is>
          <t xml:space="preserve">LH64</t>
        </is>
      </c>
      <c r="C4717" s="0" t="inlineStr">
        <is>
          <t xml:space="preserve">other_small</t>
        </is>
      </c>
      <c r="D4717" s="4">
        <v>0.016692</v>
      </c>
      <c r="E4717" s="0" t="inlineStr">
        <is>
          <t xml:space="preserve">MCALLISTER TOWING AND TRANSPORTATION COMPANY, INC.</t>
        </is>
      </c>
      <c r="F4717" s="0" t="inlineStr">
        <is>
          <t xml:space="preserve">psc:1990</t>
        </is>
      </c>
    </row>
    <row r="4718">
      <c r="B4718" s="0" t="inlineStr">
        <is>
          <t xml:space="preserve">LH63</t>
        </is>
      </c>
      <c r="C4718" s="0" t="inlineStr">
        <is>
          <t xml:space="preserve">other_small</t>
        </is>
      </c>
      <c r="D4718" s="4">
        <v>0.016692</v>
      </c>
      <c r="E4718" s="0" t="inlineStr">
        <is>
          <t xml:space="preserve">MCALLISTER TOWING AND TRANSPORTATION COMPANY, INC.</t>
        </is>
      </c>
      <c r="F4718" s="0" t="inlineStr">
        <is>
          <t xml:space="preserve">psc:1990</t>
        </is>
      </c>
    </row>
    <row r="4719">
      <c r="B4719" s="0" t="inlineStr">
        <is>
          <t xml:space="preserve">M6890915M7626</t>
        </is>
      </c>
      <c r="C4719" s="0" t="inlineStr">
        <is>
          <t xml:space="preserve">small_craft</t>
        </is>
      </c>
      <c r="D4719" s="4">
        <v>0.016686</v>
      </c>
      <c r="E4719" s="0" t="inlineStr">
        <is>
          <t xml:space="preserve">SOUTH BAY MOTORSPORTS</t>
        </is>
      </c>
      <c r="F4719" s="0" t="inlineStr">
        <is>
          <t xml:space="preserve">naics:336612; psc:1940</t>
        </is>
      </c>
    </row>
    <row r="4720">
      <c r="B4720" s="0" t="inlineStr">
        <is>
          <t xml:space="preserve">LH49</t>
        </is>
      </c>
      <c r="C4720" s="0" t="inlineStr">
        <is>
          <t xml:space="preserve">other_small</t>
        </is>
      </c>
      <c r="D4720" s="4">
        <v>0.016642</v>
      </c>
      <c r="E4720" s="0" t="inlineStr">
        <is>
          <t xml:space="preserve">MCALLISTER TOWING AND TRANSPORTATION COMPANY, INC.</t>
        </is>
      </c>
      <c r="F4720" s="0" t="inlineStr">
        <is>
          <t xml:space="preserve">psc:1990</t>
        </is>
      </c>
    </row>
    <row r="4721">
      <c r="B4721" s="0" t="inlineStr">
        <is>
          <t xml:space="preserve">N6278920P0004</t>
        </is>
      </c>
      <c r="C4721" s="0" t="inlineStr">
        <is>
          <t xml:space="preserve">broad_maritime</t>
        </is>
      </c>
      <c r="D4721" s="4">
        <v>0.016588040000000002</v>
      </c>
      <c r="E4721" s="0" t="inlineStr">
        <is>
          <t xml:space="preserve">ELECTRIC BOAT CORPORATION</t>
        </is>
      </c>
      <c r="F4721" s="0" t="inlineStr">
        <is>
          <t xml:space="preserve">psc:1905</t>
        </is>
      </c>
    </row>
    <row r="4722">
      <c r="B4722" s="0" t="inlineStr">
        <is>
          <t xml:space="preserve">N4940015PG002</t>
        </is>
      </c>
      <c r="C4722" s="0" t="inlineStr">
        <is>
          <t xml:space="preserve">small_craft</t>
        </is>
      </c>
      <c r="D4722" s="4">
        <v>0.01658645</v>
      </c>
      <c r="E4722" s="0" t="inlineStr">
        <is>
          <t xml:space="preserve">AJM KOOHEJI GROUP BSC CLOSED</t>
        </is>
      </c>
      <c r="F4722" s="0" t="inlineStr">
        <is>
          <t xml:space="preserve">naics:336612</t>
        </is>
      </c>
    </row>
    <row r="4723">
      <c r="B4723" s="0" t="inlineStr">
        <is>
          <t xml:space="preserve">N3220520P0252</t>
        </is>
      </c>
      <c r="C4723" s="0" t="inlineStr">
        <is>
          <t xml:space="preserve">small_craft</t>
        </is>
      </c>
      <c r="D4723" s="4">
        <v>0.01647368</v>
      </c>
      <c r="E4723" s="0" t="inlineStr">
        <is>
          <t xml:space="preserve">WILLARD MARINE, INC.</t>
        </is>
      </c>
      <c r="F4723" s="0" t="inlineStr">
        <is>
          <t xml:space="preserve">naics:336612</t>
        </is>
      </c>
    </row>
    <row r="4724">
      <c r="B4724" s="0" t="inlineStr">
        <is>
          <t xml:space="preserve">N6278922P0007</t>
        </is>
      </c>
      <c r="C4724" s="0" t="inlineStr">
        <is>
          <t xml:space="preserve">broad_maritime</t>
        </is>
      </c>
      <c r="D4724" s="4">
        <v>0.016413</v>
      </c>
      <c r="E4724" s="0" t="inlineStr">
        <is>
          <t xml:space="preserve">EMS DEVELOPMENT CORPORATION</t>
        </is>
      </c>
      <c r="F4724" s="0" t="inlineStr">
        <is>
          <t xml:space="preserve">psc:1905</t>
        </is>
      </c>
    </row>
    <row r="4725">
      <c r="B4725" s="0" t="inlineStr">
        <is>
          <t xml:space="preserve">N0010420PXB88</t>
        </is>
      </c>
      <c r="C4725" s="0" t="inlineStr">
        <is>
          <t xml:space="preserve">small_craft</t>
        </is>
      </c>
      <c r="D4725" s="4">
        <v>0.01641237</v>
      </c>
      <c r="E4725" s="0" t="inlineStr">
        <is>
          <t xml:space="preserve">WING INFLATABLES INC</t>
        </is>
      </c>
      <c r="F4725" s="0" t="inlineStr">
        <is>
          <t xml:space="preserve">psc:1940</t>
        </is>
      </c>
    </row>
    <row r="4726">
      <c r="B4726" s="0" t="inlineStr">
        <is>
          <t xml:space="preserve">N6133118P0042</t>
        </is>
      </c>
      <c r="C4726" s="0" t="inlineStr">
        <is>
          <t xml:space="preserve">small_craft</t>
        </is>
      </c>
      <c r="D4726" s="4">
        <v>0.0163625</v>
      </c>
      <c r="E4726" s="0" t="inlineStr">
        <is>
          <t xml:space="preserve">DMR CONSULTING, INC.</t>
        </is>
      </c>
      <c r="F4726" s="0" t="inlineStr">
        <is>
          <t xml:space="preserve">psc:1940</t>
        </is>
      </c>
    </row>
    <row r="4727">
      <c r="B4727" s="0" t="inlineStr">
        <is>
          <t xml:space="preserve">N0040618P0385</t>
        </is>
      </c>
      <c r="C4727" s="0" t="inlineStr">
        <is>
          <t xml:space="preserve">small_craft</t>
        </is>
      </c>
      <c r="D4727" s="4">
        <v>0.01628</v>
      </c>
      <c r="E4727" s="0" t="inlineStr">
        <is>
          <t xml:space="preserve">J.D.A. MARITIME, INC.</t>
        </is>
      </c>
      <c r="F4727" s="0" t="inlineStr">
        <is>
          <t xml:space="preserve">naics:336612</t>
        </is>
      </c>
    </row>
    <row r="4728">
      <c r="B4728" s="0" t="inlineStr">
        <is>
          <t xml:space="preserve">N0010416PEA53</t>
        </is>
      </c>
      <c r="C4728" s="0" t="inlineStr">
        <is>
          <t xml:space="preserve">small_craft</t>
        </is>
      </c>
      <c r="D4728" s="4">
        <v>0.01618</v>
      </c>
      <c r="E4728" s="0" t="inlineStr">
        <is>
          <t xml:space="preserve">PEERLESS MFG CO</t>
        </is>
      </c>
      <c r="F4728" s="0" t="inlineStr">
        <is>
          <t xml:space="preserve">naics:336612</t>
        </is>
      </c>
    </row>
    <row r="4729">
      <c r="B4729" s="0" t="inlineStr">
        <is>
          <t xml:space="preserve">L835</t>
        </is>
      </c>
      <c r="C4729" s="0" t="inlineStr">
        <is>
          <t xml:space="preserve">broad_maritime</t>
        </is>
      </c>
      <c r="D4729" s="4">
        <v>0.016153</v>
      </c>
      <c r="E4729" s="0" t="inlineStr">
        <is>
          <t xml:space="preserve">ELECTRIC BOAT CORPORATION</t>
        </is>
      </c>
      <c r="F4729" s="0" t="inlineStr">
        <is>
          <t xml:space="preserve">psc:1905</t>
        </is>
      </c>
    </row>
    <row r="4730">
      <c r="B4730" s="0" t="inlineStr">
        <is>
          <t xml:space="preserve">N0010425PQC43</t>
        </is>
      </c>
      <c r="C4730" s="0" t="inlineStr">
        <is>
          <t xml:space="preserve">small_craft</t>
        </is>
      </c>
      <c r="D4730" s="4">
        <v>0.01614535</v>
      </c>
      <c r="E4730" s="0" t="inlineStr">
        <is>
          <t xml:space="preserve">COMTECH SATELLITE NETWORK TECHNOLOGIES, INC</t>
        </is>
      </c>
      <c r="F4730" s="0" t="inlineStr">
        <is>
          <t xml:space="preserve">naics:336612</t>
        </is>
      </c>
    </row>
    <row r="4731">
      <c r="B4731" s="0" t="inlineStr">
        <is>
          <t xml:space="preserve">N0018924P0285</t>
        </is>
      </c>
      <c r="C4731" s="0" t="inlineStr">
        <is>
          <t xml:space="preserve">small_craft</t>
        </is>
      </c>
      <c r="D4731" s="4">
        <v>0.0161</v>
      </c>
      <c r="E4731" s="0" t="inlineStr">
        <is>
          <t xml:space="preserve">WINSLOW MARINE PRODUCTS CORPORATION</t>
        </is>
      </c>
      <c r="F4731" s="0" t="inlineStr">
        <is>
          <t xml:space="preserve">naics:336612</t>
        </is>
      </c>
    </row>
    <row r="4732">
      <c r="B4732" s="0" t="inlineStr">
        <is>
          <t xml:space="preserve">N0017315P0504</t>
        </is>
      </c>
      <c r="C4732" s="0" t="inlineStr">
        <is>
          <t xml:space="preserve">small_craft</t>
        </is>
      </c>
      <c r="D4732" s="4">
        <v>0.0161</v>
      </c>
      <c r="E4732" s="0" t="inlineStr">
        <is>
          <t xml:space="preserve">WE THREE CO INC</t>
        </is>
      </c>
      <c r="F4732" s="0" t="inlineStr">
        <is>
          <t xml:space="preserve">psc:1940</t>
        </is>
      </c>
    </row>
    <row r="4733">
      <c r="B4733" s="0" t="inlineStr">
        <is>
          <t xml:space="preserve">N0010423PDA28</t>
        </is>
      </c>
      <c r="C4733" s="0" t="inlineStr">
        <is>
          <t xml:space="preserve">small_craft</t>
        </is>
      </c>
      <c r="D4733" s="4">
        <v>0.016056</v>
      </c>
      <c r="E4733" s="0" t="inlineStr">
        <is>
          <t xml:space="preserve">ROLLS-ROYCE MARINE NORTH AMERICA INC.</t>
        </is>
      </c>
      <c r="F4733" s="0" t="inlineStr">
        <is>
          <t xml:space="preserve">naics:336612</t>
        </is>
      </c>
    </row>
    <row r="4734">
      <c r="B4734" s="0" t="inlineStr">
        <is>
          <t xml:space="preserve">N6931626F2000</t>
        </is>
      </c>
      <c r="C4734" s="0" t="inlineStr">
        <is>
          <t xml:space="preserve">broad_maritime</t>
        </is>
      </c>
      <c r="D4734" s="4">
        <v>0.01602976</v>
      </c>
      <c r="E4734" s="0" t="inlineStr">
        <is>
          <t xml:space="preserve">TEXTRON SYSTEMS CORP</t>
        </is>
      </c>
      <c r="F4734" s="0" t="inlineStr">
        <is>
          <t xml:space="preserve">psc:1905</t>
        </is>
      </c>
    </row>
    <row r="4735">
      <c r="B4735" s="0" t="inlineStr">
        <is>
          <t xml:space="preserve">N0040616P2818</t>
        </is>
      </c>
      <c r="C4735" s="0" t="inlineStr">
        <is>
          <t xml:space="preserve">small_craft</t>
        </is>
      </c>
      <c r="D4735" s="4">
        <v>0.01600325</v>
      </c>
      <c r="E4735" s="0" t="inlineStr">
        <is>
          <t xml:space="preserve">LAKE SHORE SYSTEMS, INC.</t>
        </is>
      </c>
      <c r="F4735" s="0" t="inlineStr">
        <is>
          <t xml:space="preserve">naics:336612</t>
        </is>
      </c>
    </row>
    <row r="4736">
      <c r="B4736" s="0" t="inlineStr">
        <is>
          <t xml:space="preserve">N4940016PG001</t>
        </is>
      </c>
      <c r="C4736" s="0" t="inlineStr">
        <is>
          <t xml:space="preserve">small_craft</t>
        </is>
      </c>
      <c r="D4736" s="4">
        <v>0.016</v>
      </c>
      <c r="E4736" s="0" t="inlineStr">
        <is>
          <t xml:space="preserve">UCO ENGINEERING W.L.L.</t>
        </is>
      </c>
      <c r="F4736" s="0" t="inlineStr">
        <is>
          <t xml:space="preserve">naics:336612</t>
        </is>
      </c>
    </row>
    <row r="4737">
      <c r="B4737" s="0" t="inlineStr">
        <is>
          <t xml:space="preserve">N0040615P3984</t>
        </is>
      </c>
      <c r="C4737" s="0" t="inlineStr">
        <is>
          <t xml:space="preserve">small_craft</t>
        </is>
      </c>
      <c r="D4737" s="4">
        <v>0.016</v>
      </c>
      <c r="E4737" s="0" t="inlineStr">
        <is>
          <t xml:space="preserve">VES CO, INC</t>
        </is>
      </c>
      <c r="F4737" s="0" t="inlineStr">
        <is>
          <t xml:space="preserve">naics:336612; psc:1940</t>
        </is>
      </c>
    </row>
    <row r="4738">
      <c r="B4738" s="0" t="inlineStr">
        <is>
          <t xml:space="preserve">N6883622P0264</t>
        </is>
      </c>
      <c r="C4738" s="0" t="inlineStr">
        <is>
          <t xml:space="preserve">small_craft</t>
        </is>
      </c>
      <c r="D4738" s="4">
        <v>0.015981</v>
      </c>
      <c r="E4738" s="0" t="inlineStr">
        <is>
          <t xml:space="preserve">STIDD SYSTEMS, INC.</t>
        </is>
      </c>
      <c r="F4738" s="0" t="inlineStr">
        <is>
          <t xml:space="preserve">naics:336612</t>
        </is>
      </c>
    </row>
    <row r="4739">
      <c r="B4739" s="0" t="inlineStr">
        <is>
          <t xml:space="preserve">N0010425PBZ94</t>
        </is>
      </c>
      <c r="C4739" s="0" t="inlineStr">
        <is>
          <t xml:space="preserve">small_craft</t>
        </is>
      </c>
      <c r="D4739" s="4">
        <v>0.015806499999999998</v>
      </c>
      <c r="E4739" s="0" t="inlineStr">
        <is>
          <t xml:space="preserve">ARGO TURBOSERVE CORPORATION</t>
        </is>
      </c>
      <c r="F4739" s="0" t="inlineStr">
        <is>
          <t xml:space="preserve">naics:336612</t>
        </is>
      </c>
    </row>
    <row r="4740">
      <c r="B4740" s="0" t="inlineStr">
        <is>
          <t xml:space="preserve">N0040619P0290</t>
        </is>
      </c>
      <c r="C4740" s="0" t="inlineStr">
        <is>
          <t xml:space="preserve">small_craft</t>
        </is>
      </c>
      <c r="D4740" s="4">
        <v>0.015799999999999998</v>
      </c>
      <c r="E4740" s="0" t="inlineStr">
        <is>
          <t xml:space="preserve">PIER SIDE SUPPLY INC</t>
        </is>
      </c>
      <c r="F4740" s="0" t="inlineStr">
        <is>
          <t xml:space="preserve">naics:336612</t>
        </is>
      </c>
    </row>
    <row r="4741">
      <c r="B4741" s="0" t="inlineStr">
        <is>
          <t xml:space="preserve">N0040616P0416</t>
        </is>
      </c>
      <c r="C4741" s="0" t="inlineStr">
        <is>
          <t xml:space="preserve">small_craft</t>
        </is>
      </c>
      <c r="D4741" s="4">
        <v>0.015799999999999998</v>
      </c>
      <c r="E4741" s="0" t="inlineStr">
        <is>
          <t xml:space="preserve">PACIFIC MARITIME INDUSTRIES CORP.</t>
        </is>
      </c>
      <c r="F4741" s="0" t="inlineStr">
        <is>
          <t xml:space="preserve">naics:336612</t>
        </is>
      </c>
    </row>
    <row r="4742">
      <c r="B4742" s="0" t="inlineStr">
        <is>
          <t xml:space="preserve">N0040622P0253</t>
        </is>
      </c>
      <c r="C4742" s="0" t="inlineStr">
        <is>
          <t xml:space="preserve">small_craft</t>
        </is>
      </c>
      <c r="D4742" s="4">
        <v>0.015725</v>
      </c>
      <c r="E4742" s="0" t="inlineStr">
        <is>
          <t xml:space="preserve">J.D.A. MARITIME, INC.</t>
        </is>
      </c>
      <c r="F4742" s="0" t="inlineStr">
        <is>
          <t xml:space="preserve">naics:336612</t>
        </is>
      </c>
    </row>
    <row r="4743">
      <c r="B4743" s="0" t="inlineStr">
        <is>
          <t xml:space="preserve">N0024420P0247</t>
        </is>
      </c>
      <c r="C4743" s="0" t="inlineStr">
        <is>
          <t xml:space="preserve">small_craft</t>
        </is>
      </c>
      <c r="D4743" s="4">
        <v>0.01566993</v>
      </c>
      <c r="E4743" s="0" t="inlineStr">
        <is>
          <t xml:space="preserve">STRATEGOS CONSULTING LLC</t>
        </is>
      </c>
      <c r="F4743" s="0" t="inlineStr">
        <is>
          <t xml:space="preserve">naics:336612</t>
        </is>
      </c>
    </row>
    <row r="4744">
      <c r="B4744" s="0" t="inlineStr">
        <is>
          <t xml:space="preserve">N0010418PX043</t>
        </is>
      </c>
      <c r="C4744" s="0" t="inlineStr">
        <is>
          <t xml:space="preserve">broad_maritime</t>
        </is>
      </c>
      <c r="D4744" s="4">
        <v>0.015619999999999998</v>
      </c>
      <c r="E4744" s="0" t="inlineStr">
        <is>
          <t xml:space="preserve">ETHOSENERGY ACCESSORIES AND COMPONENTS, LLC</t>
        </is>
      </c>
      <c r="F4744" s="0" t="inlineStr">
        <is>
          <t xml:space="preserve">psc:1905</t>
        </is>
      </c>
    </row>
    <row r="4745">
      <c r="B4745" s="0" t="inlineStr">
        <is>
          <t xml:space="preserve">N0010421PXB18</t>
        </is>
      </c>
      <c r="C4745" s="0" t="inlineStr">
        <is>
          <t xml:space="preserve">small_craft</t>
        </is>
      </c>
      <c r="D4745" s="4">
        <v>0.01561854</v>
      </c>
      <c r="E4745" s="0" t="inlineStr">
        <is>
          <t xml:space="preserve">WING INFLATABLES INC</t>
        </is>
      </c>
      <c r="F4745" s="0" t="inlineStr">
        <is>
          <t xml:space="preserve">naics:336612; psc:1940</t>
        </is>
      </c>
    </row>
    <row r="4746">
      <c r="B4746" s="0" t="inlineStr">
        <is>
          <t xml:space="preserve">N4033918PD061</t>
        </is>
      </c>
      <c r="C4746" s="0" t="inlineStr">
        <is>
          <t xml:space="preserve">small_craft</t>
        </is>
      </c>
      <c r="D4746" s="4">
        <v>0.01556</v>
      </c>
      <c r="E4746" s="0" t="inlineStr">
        <is>
          <t xml:space="preserve">NICO INTERNATIONAL (DUBAI BRANCH)</t>
        </is>
      </c>
      <c r="F4746" s="0" t="inlineStr">
        <is>
          <t xml:space="preserve">naics:336612</t>
        </is>
      </c>
    </row>
    <row r="4747">
      <c r="B4747" s="0" t="inlineStr">
        <is>
          <t xml:space="preserve">N0024419P0488</t>
        </is>
      </c>
      <c r="C4747" s="0" t="inlineStr">
        <is>
          <t xml:space="preserve">small_craft</t>
        </is>
      </c>
      <c r="D4747" s="4">
        <v>0.015553019999999999</v>
      </c>
      <c r="E4747" s="0" t="inlineStr">
        <is>
          <t xml:space="preserve">RIGWORKS, INC.</t>
        </is>
      </c>
      <c r="F4747" s="0" t="inlineStr">
        <is>
          <t xml:space="preserve">naics:336612</t>
        </is>
      </c>
    </row>
    <row r="4748">
      <c r="B4748" s="0" t="inlineStr">
        <is>
          <t xml:space="preserve">N0010421PXC61</t>
        </is>
      </c>
      <c r="C4748" s="0" t="inlineStr">
        <is>
          <t xml:space="preserve">small_craft</t>
        </is>
      </c>
      <c r="D4748" s="4">
        <v>0.015536719999999999</v>
      </c>
      <c r="E4748" s="0" t="inlineStr">
        <is>
          <t xml:space="preserve">VALKYRIE ENTERPRISES LLC</t>
        </is>
      </c>
      <c r="F4748" s="0" t="inlineStr">
        <is>
          <t xml:space="preserve">naics:336612</t>
        </is>
      </c>
    </row>
    <row r="4749">
      <c r="B4749" s="0" t="inlineStr">
        <is>
          <t xml:space="preserve">N0010422PCC40</t>
        </is>
      </c>
      <c r="C4749" s="0" t="inlineStr">
        <is>
          <t xml:space="preserve">small_craft</t>
        </is>
      </c>
      <c r="D4749" s="4">
        <v>0.01546</v>
      </c>
      <c r="E4749" s="0" t="inlineStr">
        <is>
          <t xml:space="preserve">MARINE ELECTRIC SYSTEMS INC</t>
        </is>
      </c>
      <c r="F4749" s="0" t="inlineStr">
        <is>
          <t xml:space="preserve">naics:336612</t>
        </is>
      </c>
    </row>
    <row r="4750">
      <c r="B4750" s="0" t="inlineStr">
        <is>
          <t xml:space="preserve">N4044318P0319</t>
        </is>
      </c>
      <c r="C4750" s="0" t="inlineStr">
        <is>
          <t xml:space="preserve">small_craft</t>
        </is>
      </c>
      <c r="D4750" s="4">
        <v>0.0154296</v>
      </c>
      <c r="E4750" s="0" t="inlineStr">
        <is>
          <t xml:space="preserve">AVALON RAFTS SALES &amp; SERVICE INC</t>
        </is>
      </c>
      <c r="F4750" s="0" t="inlineStr">
        <is>
          <t xml:space="preserve">naics:336612</t>
        </is>
      </c>
    </row>
    <row r="4751">
      <c r="B4751" s="0" t="inlineStr">
        <is>
          <t xml:space="preserve">N3220515P5270</t>
        </is>
      </c>
      <c r="C4751" s="0" t="inlineStr">
        <is>
          <t xml:space="preserve">small_craft</t>
        </is>
      </c>
      <c r="D4751" s="4">
        <v>0.015415479999999999</v>
      </c>
      <c r="E4751" s="0" t="inlineStr">
        <is>
          <t xml:space="preserve">WILLARD MARINE, INC.</t>
        </is>
      </c>
      <c r="F4751" s="0" t="inlineStr">
        <is>
          <t xml:space="preserve">naics:336612; psc:1940</t>
        </is>
      </c>
    </row>
    <row r="4752">
      <c r="B4752" s="0" t="inlineStr">
        <is>
          <t xml:space="preserve">N0018921P0454</t>
        </is>
      </c>
      <c r="C4752" s="0" t="inlineStr">
        <is>
          <t xml:space="preserve">small_craft</t>
        </is>
      </c>
      <c r="D4752" s="4">
        <v>0.01540345</v>
      </c>
      <c r="E4752" s="0" t="inlineStr">
        <is>
          <t xml:space="preserve">WING INFLATABLES INC</t>
        </is>
      </c>
      <c r="F4752" s="0" t="inlineStr">
        <is>
          <t xml:space="preserve">naics:336612; psc:1940</t>
        </is>
      </c>
    </row>
    <row r="4753">
      <c r="B4753" s="0" t="inlineStr">
        <is>
          <t xml:space="preserve">LH48</t>
        </is>
      </c>
      <c r="C4753" s="0" t="inlineStr">
        <is>
          <t xml:space="preserve">other_small</t>
        </is>
      </c>
      <c r="D4753" s="4">
        <v>0.015373999999999999</v>
      </c>
      <c r="E4753" s="0" t="inlineStr">
        <is>
          <t xml:space="preserve">MCALLISTER TOWING AND TRANSPORTATION COMPANY, INC.</t>
        </is>
      </c>
      <c r="F4753" s="0" t="inlineStr">
        <is>
          <t xml:space="preserve">psc:1990</t>
        </is>
      </c>
    </row>
    <row r="4754">
      <c r="B4754" s="0" t="inlineStr">
        <is>
          <t xml:space="preserve">M0031822P0021</t>
        </is>
      </c>
      <c r="C4754" s="0" t="inlineStr">
        <is>
          <t xml:space="preserve">small_craft</t>
        </is>
      </c>
      <c r="D4754" s="4">
        <v>0.015184</v>
      </c>
      <c r="E4754" s="0" t="inlineStr">
        <is>
          <t xml:space="preserve">CYCLE CITY LTD</t>
        </is>
      </c>
      <c r="F4754" s="0" t="inlineStr">
        <is>
          <t xml:space="preserve">psc:1940</t>
        </is>
      </c>
    </row>
    <row r="4755">
      <c r="B4755" s="0" t="inlineStr">
        <is>
          <t xml:space="preserve">N6893616P0716</t>
        </is>
      </c>
      <c r="C4755" s="0" t="inlineStr">
        <is>
          <t xml:space="preserve">small_craft</t>
        </is>
      </c>
      <c r="D4755" s="4">
        <v>0.015179999999999999</v>
      </c>
      <c r="E4755" s="0" t="inlineStr">
        <is>
          <t xml:space="preserve">WING INFLATABLES, INC.</t>
        </is>
      </c>
      <c r="F4755" s="0" t="inlineStr">
        <is>
          <t xml:space="preserve">naics:336612</t>
        </is>
      </c>
    </row>
    <row r="4756">
      <c r="B4756" s="0" t="inlineStr">
        <is>
          <t xml:space="preserve">0047</t>
        </is>
      </c>
      <c r="C4756" s="0" t="inlineStr">
        <is>
          <t xml:space="preserve">broad_maritime</t>
        </is>
      </c>
      <c r="D4756" s="4">
        <v>0.015162</v>
      </c>
      <c r="E4756" s="0" t="inlineStr">
        <is>
          <t xml:space="preserve">ELECTRIC BOAT CORPORATION</t>
        </is>
      </c>
      <c r="F4756" s="0" t="inlineStr">
        <is>
          <t xml:space="preserve">psc:1905</t>
        </is>
      </c>
    </row>
    <row r="4757">
      <c r="B4757" s="0" t="inlineStr">
        <is>
          <t xml:space="preserve">M6739925P0021</t>
        </is>
      </c>
      <c r="C4757" s="0" t="inlineStr">
        <is>
          <t xml:space="preserve">other_small</t>
        </is>
      </c>
      <c r="D4757" s="4">
        <v>0.01511045</v>
      </c>
      <c r="E4757" s="0" t="inlineStr">
        <is>
          <t xml:space="preserve">GOVAGE, INC.</t>
        </is>
      </c>
      <c r="F4757" s="0" t="inlineStr">
        <is>
          <t xml:space="preserve">psc:1990</t>
        </is>
      </c>
    </row>
    <row r="4758">
      <c r="B4758" s="0" t="inlineStr">
        <is>
          <t xml:space="preserve">N0018918P0752</t>
        </is>
      </c>
      <c r="C4758" s="0" t="inlineStr">
        <is>
          <t xml:space="preserve">small_craft</t>
        </is>
      </c>
      <c r="D4758" s="4">
        <v>0.015081069999999999</v>
      </c>
      <c r="E4758" s="0" t="inlineStr">
        <is>
          <t xml:space="preserve">BRUNSWICK CORP</t>
        </is>
      </c>
      <c r="F4758" s="0" t="inlineStr">
        <is>
          <t xml:space="preserve">naics:336612</t>
        </is>
      </c>
    </row>
    <row r="4759">
      <c r="B4759" s="0" t="inlineStr">
        <is>
          <t xml:space="preserve">N0016722P0267</t>
        </is>
      </c>
      <c r="C4759" s="0" t="inlineStr">
        <is>
          <t xml:space="preserve">small_craft</t>
        </is>
      </c>
      <c r="D4759" s="4">
        <v>0.015</v>
      </c>
      <c r="E4759" s="0" t="inlineStr">
        <is>
          <t xml:space="preserve">TAYLORMADE 4 LIFE STAFFING L L C</t>
        </is>
      </c>
      <c r="F4759" s="0" t="inlineStr">
        <is>
          <t xml:space="preserve">psc:1940</t>
        </is>
      </c>
    </row>
    <row r="4760">
      <c r="B4760" s="0" t="inlineStr">
        <is>
          <t xml:space="preserve">N0010426PAA06</t>
        </is>
      </c>
      <c r="C4760" s="0" t="inlineStr">
        <is>
          <t xml:space="preserve">small_craft</t>
        </is>
      </c>
      <c r="D4760" s="4">
        <v>0.01491</v>
      </c>
      <c r="E4760" s="0" t="inlineStr">
        <is>
          <t xml:space="preserve">ADIRONDACK ELECTRONICS INC</t>
        </is>
      </c>
      <c r="F4760" s="0" t="inlineStr">
        <is>
          <t xml:space="preserve">naics:336612</t>
        </is>
      </c>
    </row>
    <row r="4761">
      <c r="B4761" s="0" t="inlineStr">
        <is>
          <t xml:space="preserve">N0010421PXA55</t>
        </is>
      </c>
      <c r="C4761" s="0" t="inlineStr">
        <is>
          <t xml:space="preserve">small_craft</t>
        </is>
      </c>
      <c r="D4761" s="4">
        <v>0.01485743</v>
      </c>
      <c r="E4761" s="0" t="inlineStr">
        <is>
          <t xml:space="preserve">JDCI ENTERPRISES, INC.</t>
        </is>
      </c>
      <c r="F4761" s="0" t="inlineStr">
        <is>
          <t xml:space="preserve">naics:336612</t>
        </is>
      </c>
    </row>
    <row r="4762">
      <c r="B4762" s="0" t="inlineStr">
        <is>
          <t xml:space="preserve">N0040620P0587</t>
        </is>
      </c>
      <c r="C4762" s="0" t="inlineStr">
        <is>
          <t xml:space="preserve">small_craft</t>
        </is>
      </c>
      <c r="D4762" s="4">
        <v>0.014834</v>
      </c>
      <c r="E4762" s="0" t="inlineStr">
        <is>
          <t xml:space="preserve">JUNIPER ELBOW CO. INC.</t>
        </is>
      </c>
      <c r="F4762" s="0" t="inlineStr">
        <is>
          <t xml:space="preserve">naics:336612</t>
        </is>
      </c>
    </row>
    <row r="4763">
      <c r="B4763" s="0" t="inlineStr">
        <is>
          <t xml:space="preserve">N0010426PBP10</t>
        </is>
      </c>
      <c r="C4763" s="0" t="inlineStr">
        <is>
          <t xml:space="preserve">small_craft</t>
        </is>
      </c>
      <c r="D4763" s="4">
        <v>0.014816999999999999</v>
      </c>
      <c r="E4763" s="0" t="inlineStr">
        <is>
          <t xml:space="preserve">PAINTER TOOL INCORPORATED</t>
        </is>
      </c>
      <c r="F4763" s="0" t="inlineStr">
        <is>
          <t xml:space="preserve">naics:336612</t>
        </is>
      </c>
    </row>
    <row r="4764">
      <c r="B4764" s="0" t="inlineStr">
        <is>
          <t xml:space="preserve">N0040622P0696</t>
        </is>
      </c>
      <c r="C4764" s="0" t="inlineStr">
        <is>
          <t xml:space="preserve">small_craft</t>
        </is>
      </c>
      <c r="D4764" s="4">
        <v>0.014799999999999999</v>
      </c>
      <c r="E4764" s="0" t="inlineStr">
        <is>
          <t xml:space="preserve">PACIFIC MARITIME INDUSTRIES CORP.</t>
        </is>
      </c>
      <c r="F4764" s="0" t="inlineStr">
        <is>
          <t xml:space="preserve">naics:336612</t>
        </is>
      </c>
    </row>
    <row r="4765">
      <c r="B4765" s="0" t="inlineStr">
        <is>
          <t xml:space="preserve">N0001415P5072</t>
        </is>
      </c>
      <c r="C4765" s="0" t="inlineStr">
        <is>
          <t xml:space="preserve">usv_core</t>
        </is>
      </c>
      <c r="D4765" s="4">
        <v>0.014771159999999998</v>
      </c>
      <c r="E4765" s="0" t="inlineStr">
        <is>
          <t xml:space="preserve">SANDESTIN INVESTMENTS LLC</t>
        </is>
      </c>
      <c r="F4765" s="0" t="inlineStr">
        <is>
          <t xml:space="preserve">keyword</t>
        </is>
      </c>
    </row>
    <row r="4766">
      <c r="B4766" s="0" t="inlineStr">
        <is>
          <t xml:space="preserve">N4044207P5632</t>
        </is>
      </c>
      <c r="C4766" s="0" t="inlineStr">
        <is>
          <t xml:space="preserve">other_small</t>
        </is>
      </c>
      <c r="D4766" s="4">
        <v>0.01476978</v>
      </c>
      <c r="E4766" s="0" t="inlineStr">
        <is>
          <t xml:space="preserve">JO-KELL INC.</t>
        </is>
      </c>
      <c r="F4766" s="0" t="inlineStr">
        <is>
          <t xml:space="preserve">psc:1925</t>
        </is>
      </c>
    </row>
    <row r="4767">
      <c r="B4767" s="0" t="inlineStr">
        <is>
          <t xml:space="preserve">N5005421P0111</t>
        </is>
      </c>
      <c r="C4767" s="0" t="inlineStr">
        <is>
          <t xml:space="preserve">broad_maritime</t>
        </is>
      </c>
      <c r="D4767" s="4">
        <v>0.014724999999999999</v>
      </c>
      <c r="E4767" s="0" t="inlineStr">
        <is>
          <t xml:space="preserve">THE ROWLAND COMPANY</t>
        </is>
      </c>
      <c r="F4767" s="0" t="inlineStr">
        <is>
          <t xml:space="preserve">psc:1905</t>
        </is>
      </c>
    </row>
    <row r="4768">
      <c r="B4768" s="0" t="inlineStr">
        <is>
          <t xml:space="preserve">N0010422PDE03</t>
        </is>
      </c>
      <c r="C4768" s="0" t="inlineStr">
        <is>
          <t xml:space="preserve">small_craft</t>
        </is>
      </c>
      <c r="D4768" s="4">
        <v>0.01469592</v>
      </c>
      <c r="E4768" s="0" t="inlineStr">
        <is>
          <t xml:space="preserve">DURAMAX MARINE, LLC</t>
        </is>
      </c>
      <c r="F4768" s="0" t="inlineStr">
        <is>
          <t xml:space="preserve">naics:336612</t>
        </is>
      </c>
    </row>
    <row r="4769">
      <c r="B4769" s="0" t="inlineStr">
        <is>
          <t xml:space="preserve">N0010422PXC10</t>
        </is>
      </c>
      <c r="C4769" s="0" t="inlineStr">
        <is>
          <t xml:space="preserve">small_craft</t>
        </is>
      </c>
      <c r="D4769" s="4">
        <v>0.014648879999999998</v>
      </c>
      <c r="E4769" s="0" t="inlineStr">
        <is>
          <t xml:space="preserve">L3 TECHNOLOGIES, INC.</t>
        </is>
      </c>
      <c r="F4769" s="0" t="inlineStr">
        <is>
          <t xml:space="preserve">naics:336612</t>
        </is>
      </c>
    </row>
    <row r="4770">
      <c r="B4770" s="0" t="inlineStr">
        <is>
          <t xml:space="preserve">N0010423PDD62</t>
        </is>
      </c>
      <c r="C4770" s="0" t="inlineStr">
        <is>
          <t xml:space="preserve">small_craft</t>
        </is>
      </c>
      <c r="D4770" s="4">
        <v>0.014636</v>
      </c>
      <c r="E4770" s="0" t="inlineStr">
        <is>
          <t xml:space="preserve">ABACO SYSTEMS, INC.</t>
        </is>
      </c>
      <c r="F4770" s="0" t="inlineStr">
        <is>
          <t xml:space="preserve">naics:336612</t>
        </is>
      </c>
    </row>
    <row r="4771">
      <c r="B4771" s="0" t="inlineStr">
        <is>
          <t xml:space="preserve">N0010422FY703</t>
        </is>
      </c>
      <c r="C4771" s="0" t="inlineStr">
        <is>
          <t xml:space="preserve">small_craft</t>
        </is>
      </c>
      <c r="D4771" s="4">
        <v>0.014601719999999999</v>
      </c>
      <c r="E4771" s="0" t="inlineStr">
        <is>
          <t xml:space="preserve">L3 TECHNOLOGIES, INC.</t>
        </is>
      </c>
      <c r="F4771" s="0" t="inlineStr">
        <is>
          <t xml:space="preserve">naics:336612</t>
        </is>
      </c>
    </row>
    <row r="4772">
      <c r="B4772" s="0" t="inlineStr">
        <is>
          <t xml:space="preserve">N0040623P0720</t>
        </is>
      </c>
      <c r="C4772" s="0" t="inlineStr">
        <is>
          <t xml:space="preserve">small_craft</t>
        </is>
      </c>
      <c r="D4772" s="4">
        <v>0.0146</v>
      </c>
      <c r="E4772" s="0" t="inlineStr">
        <is>
          <t xml:space="preserve">RAILWAY SPECIALTIES CORP</t>
        </is>
      </c>
      <c r="F4772" s="0" t="inlineStr">
        <is>
          <t xml:space="preserve">naics:336612</t>
        </is>
      </c>
    </row>
    <row r="4773">
      <c r="B4773" s="0" t="inlineStr">
        <is>
          <t xml:space="preserve">N0010422PBS15</t>
        </is>
      </c>
      <c r="C4773" s="0" t="inlineStr">
        <is>
          <t xml:space="preserve">small_craft</t>
        </is>
      </c>
      <c r="D4773" s="4">
        <v>0.014552599999999999</v>
      </c>
      <c r="E4773" s="0" t="inlineStr">
        <is>
          <t xml:space="preserve">KAMPI COMPONENTS CO INC</t>
        </is>
      </c>
      <c r="F4773" s="0" t="inlineStr">
        <is>
          <t xml:space="preserve">naics:336612</t>
        </is>
      </c>
    </row>
    <row r="4774">
      <c r="B4774" s="0" t="inlineStr">
        <is>
          <t xml:space="preserve">N0010423PBN91</t>
        </is>
      </c>
      <c r="C4774" s="0" t="inlineStr">
        <is>
          <t xml:space="preserve">small_craft</t>
        </is>
      </c>
      <c r="D4774" s="4">
        <v>0.01452</v>
      </c>
      <c r="E4774" s="0" t="inlineStr">
        <is>
          <t xml:space="preserve">PAINTER TOOL INCORPORATED</t>
        </is>
      </c>
      <c r="F4774" s="0" t="inlineStr">
        <is>
          <t xml:space="preserve">naics:336612</t>
        </is>
      </c>
    </row>
    <row r="4775">
      <c r="B4775" s="0" t="inlineStr">
        <is>
          <t xml:space="preserve">N0060419P4081</t>
        </is>
      </c>
      <c r="C4775" s="0" t="inlineStr">
        <is>
          <t xml:space="preserve">small_craft</t>
        </is>
      </c>
      <c r="D4775" s="4">
        <v>0.0145014</v>
      </c>
      <c r="E4775" s="0" t="inlineStr">
        <is>
          <t xml:space="preserve">LAKE SHORE SYSTEMS, INC.</t>
        </is>
      </c>
      <c r="F4775" s="0" t="inlineStr">
        <is>
          <t xml:space="preserve">naics:336612</t>
        </is>
      </c>
    </row>
    <row r="4776">
      <c r="B4776" s="0" t="inlineStr">
        <is>
          <t xml:space="preserve">N0017321P0743</t>
        </is>
      </c>
      <c r="C4776" s="0" t="inlineStr">
        <is>
          <t xml:space="preserve">other_small</t>
        </is>
      </c>
      <c r="D4776" s="4">
        <v>0.014499999999999999</v>
      </c>
      <c r="E4776" s="0" t="inlineStr">
        <is>
          <t xml:space="preserve">MARINE ENVIRONMENTAL SCIENCES CONSORTIUM</t>
        </is>
      </c>
      <c r="F4776" s="0" t="inlineStr">
        <is>
          <t xml:space="preserve">psc:1990</t>
        </is>
      </c>
    </row>
    <row r="4777">
      <c r="B4777" s="0" t="inlineStr">
        <is>
          <t xml:space="preserve">0062</t>
        </is>
      </c>
      <c r="C4777" s="0" t="inlineStr">
        <is>
          <t xml:space="preserve">other_small</t>
        </is>
      </c>
      <c r="D4777" s="4">
        <v>0.014408559999999999</v>
      </c>
      <c r="E4777" s="0" t="inlineStr">
        <is>
          <t xml:space="preserve">ROLLS-ROYCE SOLUTIONS AMERICA INC</t>
        </is>
      </c>
      <c r="F4777" s="0" t="inlineStr">
        <is>
          <t xml:space="preserve">psc:1990</t>
        </is>
      </c>
    </row>
    <row r="4778">
      <c r="B4778" s="0" t="inlineStr">
        <is>
          <t xml:space="preserve">N0040621P0163</t>
        </is>
      </c>
      <c r="C4778" s="0" t="inlineStr">
        <is>
          <t xml:space="preserve">small_craft</t>
        </is>
      </c>
      <c r="D4778" s="4">
        <v>0.014407</v>
      </c>
      <c r="E4778" s="0" t="inlineStr">
        <is>
          <t xml:space="preserve">J.D.A. MARITIME, INC.</t>
        </is>
      </c>
      <c r="F4778" s="0" t="inlineStr">
        <is>
          <t xml:space="preserve">naics:336612</t>
        </is>
      </c>
    </row>
    <row r="4779">
      <c r="B4779" s="0" t="inlineStr">
        <is>
          <t xml:space="preserve">N3220519P6552</t>
        </is>
      </c>
      <c r="C4779" s="0" t="inlineStr">
        <is>
          <t xml:space="preserve">small_craft</t>
        </is>
      </c>
      <c r="D4779" s="4">
        <v>0.014391999999999999</v>
      </c>
      <c r="E4779" s="0" t="inlineStr">
        <is>
          <t xml:space="preserve">WING INFLATABLES INC</t>
        </is>
      </c>
      <c r="F4779" s="0" t="inlineStr">
        <is>
          <t xml:space="preserve">naics:336612</t>
        </is>
      </c>
    </row>
    <row r="4780">
      <c r="B4780" s="0" t="inlineStr">
        <is>
          <t xml:space="preserve">N0010415PEG36</t>
        </is>
      </c>
      <c r="C4780" s="0" t="inlineStr">
        <is>
          <t xml:space="preserve">small_craft</t>
        </is>
      </c>
      <c r="D4780" s="4">
        <v>0.014372799999999998</v>
      </c>
      <c r="E4780" s="0" t="inlineStr">
        <is>
          <t xml:space="preserve">DEFENSE MANUFACTURERS INC</t>
        </is>
      </c>
      <c r="F4780" s="0" t="inlineStr">
        <is>
          <t xml:space="preserve">naics:336612</t>
        </is>
      </c>
    </row>
    <row r="4781">
      <c r="B4781" s="0" t="inlineStr">
        <is>
          <t xml:space="preserve">GA07</t>
        </is>
      </c>
      <c r="C4781" s="0" t="inlineStr">
        <is>
          <t xml:space="preserve">broad_maritime</t>
        </is>
      </c>
      <c r="D4781" s="4">
        <v>0.014329999999999999</v>
      </c>
      <c r="E4781" s="0" t="inlineStr">
        <is>
          <t xml:space="preserve">HUNTINGTON INGALLS INC</t>
        </is>
      </c>
      <c r="F4781" s="0" t="inlineStr">
        <is>
          <t xml:space="preserve">psc:1905</t>
        </is>
      </c>
    </row>
    <row r="4782">
      <c r="B4782" s="0" t="inlineStr">
        <is>
          <t xml:space="preserve">N3220521P2572</t>
        </is>
      </c>
      <c r="C4782" s="0" t="inlineStr">
        <is>
          <t xml:space="preserve">small_craft</t>
        </is>
      </c>
      <c r="D4782" s="4">
        <v>0.014245079999999999</v>
      </c>
      <c r="E4782" s="0" t="inlineStr">
        <is>
          <t xml:space="preserve">FASSMER SERVICE AMERICA LLC</t>
        </is>
      </c>
      <c r="F4782" s="0" t="inlineStr">
        <is>
          <t xml:space="preserve">naics:336612</t>
        </is>
      </c>
    </row>
    <row r="4783">
      <c r="B4783" s="0" t="inlineStr">
        <is>
          <t xml:space="preserve">N0040622P0146</t>
        </is>
      </c>
      <c r="C4783" s="0" t="inlineStr">
        <is>
          <t xml:space="preserve">small_craft</t>
        </is>
      </c>
      <c r="D4783" s="4">
        <v>0.014173999999999999</v>
      </c>
      <c r="E4783" s="0" t="inlineStr">
        <is>
          <t xml:space="preserve">JUNIPER ELBOW CO. INC.</t>
        </is>
      </c>
      <c r="F4783" s="0" t="inlineStr">
        <is>
          <t xml:space="preserve">naics:336612</t>
        </is>
      </c>
    </row>
    <row r="4784">
      <c r="B4784" s="0" t="inlineStr">
        <is>
          <t xml:space="preserve">0058</t>
        </is>
      </c>
      <c r="C4784" s="0" t="inlineStr">
        <is>
          <t xml:space="preserve">broad_maritime</t>
        </is>
      </c>
      <c r="D4784" s="4">
        <v>0.014150999999999999</v>
      </c>
      <c r="E4784" s="0" t="inlineStr">
        <is>
          <t xml:space="preserve">ELECTRIC BOAT CORPORATION</t>
        </is>
      </c>
      <c r="F4784" s="0" t="inlineStr">
        <is>
          <t xml:space="preserve">psc:1905</t>
        </is>
      </c>
    </row>
    <row r="4785">
      <c r="B4785" s="0" t="inlineStr">
        <is>
          <t xml:space="preserve">N6883622P0217</t>
        </is>
      </c>
      <c r="C4785" s="0" t="inlineStr">
        <is>
          <t xml:space="preserve">broad_maritime</t>
        </is>
      </c>
      <c r="D4785" s="4">
        <v>0.01415</v>
      </c>
      <c r="E4785" s="0" t="inlineStr">
        <is>
          <t xml:space="preserve">RAILWAY SPECIALTIES CORP</t>
        </is>
      </c>
      <c r="F4785" s="0" t="inlineStr">
        <is>
          <t xml:space="preserve">psc:1905</t>
        </is>
      </c>
    </row>
    <row r="4786">
      <c r="B4786" s="0" t="inlineStr">
        <is>
          <t xml:space="preserve">0063</t>
        </is>
      </c>
      <c r="C4786" s="0" t="inlineStr">
        <is>
          <t xml:space="preserve">other_small</t>
        </is>
      </c>
      <c r="D4786" s="4">
        <v>0.014120329999999999</v>
      </c>
      <c r="E4786" s="0" t="inlineStr">
        <is>
          <t xml:space="preserve">ROLLS-ROYCE SOLUTIONS AMERICA INC</t>
        </is>
      </c>
      <c r="F4786" s="0" t="inlineStr">
        <is>
          <t xml:space="preserve">psc:1990</t>
        </is>
      </c>
    </row>
    <row r="4787">
      <c r="B4787" s="0" t="inlineStr">
        <is>
          <t xml:space="preserve">M0026416P0053</t>
        </is>
      </c>
      <c r="C4787" s="0" t="inlineStr">
        <is>
          <t xml:space="preserve">small_craft</t>
        </is>
      </c>
      <c r="D4787" s="4">
        <v>0.01409428</v>
      </c>
      <c r="E4787" s="0" t="inlineStr">
        <is>
          <t xml:space="preserve">KEN'S MARINE INC</t>
        </is>
      </c>
      <c r="F4787" s="0" t="inlineStr">
        <is>
          <t xml:space="preserve">naics:336612</t>
        </is>
      </c>
    </row>
    <row r="4788">
      <c r="B4788" s="0" t="inlineStr">
        <is>
          <t xml:space="preserve">N6230620P0028</t>
        </is>
      </c>
      <c r="C4788" s="0" t="inlineStr">
        <is>
          <t xml:space="preserve">small_craft</t>
        </is>
      </c>
      <c r="D4788" s="4">
        <v>0.014077</v>
      </c>
      <c r="E4788" s="0" t="inlineStr">
        <is>
          <t xml:space="preserve">CHAMPION TRAILER PARTS &amp; REPAIR LLC</t>
        </is>
      </c>
      <c r="F4788" s="0" t="inlineStr">
        <is>
          <t xml:space="preserve">naics:336612; psc:1940</t>
        </is>
      </c>
    </row>
    <row r="4789">
      <c r="B4789" s="0" t="inlineStr">
        <is>
          <t xml:space="preserve">N3220518P4941</t>
        </is>
      </c>
      <c r="C4789" s="0" t="inlineStr">
        <is>
          <t xml:space="preserve">small_craft</t>
        </is>
      </c>
      <c r="D4789" s="4">
        <v>0.014055</v>
      </c>
      <c r="E4789" s="0" t="inlineStr">
        <is>
          <t xml:space="preserve">L.A. MARITIME SERVICES, INC.</t>
        </is>
      </c>
      <c r="F4789" s="0" t="inlineStr">
        <is>
          <t xml:space="preserve">naics:336612; psc:1940</t>
        </is>
      </c>
    </row>
    <row r="4790">
      <c r="B4790" s="0" t="inlineStr">
        <is>
          <t xml:space="preserve">N0040615P1925</t>
        </is>
      </c>
      <c r="C4790" s="0" t="inlineStr">
        <is>
          <t xml:space="preserve">small_craft</t>
        </is>
      </c>
      <c r="D4790" s="4">
        <v>0.014042309999999999</v>
      </c>
      <c r="E4790" s="0" t="inlineStr">
        <is>
          <t xml:space="preserve">COLUMBUS JACK CORPORATION</t>
        </is>
      </c>
      <c r="F4790" s="0" t="inlineStr">
        <is>
          <t xml:space="preserve">naics:336612</t>
        </is>
      </c>
    </row>
    <row r="4791">
      <c r="B4791" s="0" t="inlineStr">
        <is>
          <t xml:space="preserve">N0018922P0117</t>
        </is>
      </c>
      <c r="C4791" s="0" t="inlineStr">
        <is>
          <t xml:space="preserve">small_craft</t>
        </is>
      </c>
      <c r="D4791" s="4">
        <v>0.01402193</v>
      </c>
      <c r="E4791" s="0" t="inlineStr">
        <is>
          <t xml:space="preserve">WING INFLATABLES INC</t>
        </is>
      </c>
      <c r="F4791" s="0" t="inlineStr">
        <is>
          <t xml:space="preserve">psc:1940</t>
        </is>
      </c>
    </row>
    <row r="4792">
      <c r="B4792" s="0" t="inlineStr">
        <is>
          <t xml:space="preserve">N0010417PFD85</t>
        </is>
      </c>
      <c r="C4792" s="0" t="inlineStr">
        <is>
          <t xml:space="preserve">small_craft</t>
        </is>
      </c>
      <c r="D4792" s="4">
        <v>0.013999999999999999</v>
      </c>
      <c r="E4792" s="0" t="inlineStr">
        <is>
          <t xml:space="preserve">PAINTER TOOL INCORPORATED</t>
        </is>
      </c>
      <c r="F4792" s="0" t="inlineStr">
        <is>
          <t xml:space="preserve">naics:336612</t>
        </is>
      </c>
    </row>
    <row r="4793">
      <c r="B4793" s="0" t="inlineStr">
        <is>
          <t xml:space="preserve">N0010422PUA82</t>
        </is>
      </c>
      <c r="C4793" s="0" t="inlineStr">
        <is>
          <t xml:space="preserve">small_craft</t>
        </is>
      </c>
      <c r="D4793" s="4">
        <v>0.0139755</v>
      </c>
      <c r="E4793" s="0" t="inlineStr">
        <is>
          <t xml:space="preserve">DYNALEC CORPORATION</t>
        </is>
      </c>
      <c r="F4793" s="0" t="inlineStr">
        <is>
          <t xml:space="preserve">naics:336612</t>
        </is>
      </c>
    </row>
    <row r="4794">
      <c r="B4794" s="0" t="inlineStr">
        <is>
          <t xml:space="preserve">N6278922P0005</t>
        </is>
      </c>
      <c r="C4794" s="0" t="inlineStr">
        <is>
          <t xml:space="preserve">broad_maritime</t>
        </is>
      </c>
      <c r="D4794" s="4">
        <v>0.0139375</v>
      </c>
      <c r="E4794" s="0" t="inlineStr">
        <is>
          <t xml:space="preserve">CURTISS-WRIGHT ELECTRO-MECHANICAL CORP</t>
        </is>
      </c>
      <c r="F4794" s="0" t="inlineStr">
        <is>
          <t xml:space="preserve">psc:1905</t>
        </is>
      </c>
    </row>
    <row r="4795">
      <c r="B4795" s="0" t="inlineStr">
        <is>
          <t xml:space="preserve">N0016723P0011</t>
        </is>
      </c>
      <c r="C4795" s="0" t="inlineStr">
        <is>
          <t xml:space="preserve">small_craft</t>
        </is>
      </c>
      <c r="D4795" s="4">
        <v>0.013931069999999999</v>
      </c>
      <c r="E4795" s="0" t="inlineStr">
        <is>
          <t xml:space="preserve">WING INFLATABLES INC</t>
        </is>
      </c>
      <c r="F4795" s="0" t="inlineStr">
        <is>
          <t xml:space="preserve">naics:336612</t>
        </is>
      </c>
    </row>
    <row r="4796">
      <c r="B4796" s="0" t="inlineStr">
        <is>
          <t xml:space="preserve">N0010426PBK40</t>
        </is>
      </c>
      <c r="C4796" s="0" t="inlineStr">
        <is>
          <t xml:space="preserve">small_craft</t>
        </is>
      </c>
      <c r="D4796" s="4">
        <v>0.013784999999999999</v>
      </c>
      <c r="E4796" s="0" t="inlineStr">
        <is>
          <t xml:space="preserve">GENERAL NUCLEAR CORP</t>
        </is>
      </c>
      <c r="F4796" s="0" t="inlineStr">
        <is>
          <t xml:space="preserve">naics:336612</t>
        </is>
      </c>
    </row>
    <row r="4797">
      <c r="B4797" s="0" t="inlineStr">
        <is>
          <t xml:space="preserve">N0024422P0023</t>
        </is>
      </c>
      <c r="C4797" s="0" t="inlineStr">
        <is>
          <t xml:space="preserve">small_craft</t>
        </is>
      </c>
      <c r="D4797" s="4">
        <v>0.013762</v>
      </c>
      <c r="E4797" s="0" t="inlineStr">
        <is>
          <t xml:space="preserve">WING INFLATABLES INC</t>
        </is>
      </c>
      <c r="F4797" s="0" t="inlineStr">
        <is>
          <t xml:space="preserve">naics:336612; psc:1940</t>
        </is>
      </c>
    </row>
    <row r="4798">
      <c r="B4798" s="0" t="inlineStr">
        <is>
          <t xml:space="preserve">N0040617P1725</t>
        </is>
      </c>
      <c r="C4798" s="0" t="inlineStr">
        <is>
          <t xml:space="preserve">small_craft</t>
        </is>
      </c>
      <c r="D4798" s="4">
        <v>0.013715999999999999</v>
      </c>
      <c r="E4798" s="0" t="inlineStr">
        <is>
          <t xml:space="preserve">JAMESTOWN METAL MARINE SALES, INC.</t>
        </is>
      </c>
      <c r="F4798" s="0" t="inlineStr">
        <is>
          <t xml:space="preserve">naics:336612</t>
        </is>
      </c>
    </row>
    <row r="4799">
      <c r="B4799" s="0" t="inlineStr">
        <is>
          <t xml:space="preserve">N0024418F0411</t>
        </is>
      </c>
      <c r="C4799" s="0" t="inlineStr">
        <is>
          <t xml:space="preserve">small_craft</t>
        </is>
      </c>
      <c r="D4799" s="4">
        <v>0.01366092</v>
      </c>
      <c r="E4799" s="0" t="inlineStr">
        <is>
          <t xml:space="preserve">STIDD SYSTEMS, INC.</t>
        </is>
      </c>
      <c r="F4799" s="0" t="inlineStr">
        <is>
          <t xml:space="preserve">naics:336612</t>
        </is>
      </c>
    </row>
    <row r="4800">
      <c r="B4800" s="0" t="inlineStr">
        <is>
          <t xml:space="preserve">N0018922P0210</t>
        </is>
      </c>
      <c r="C4800" s="0" t="inlineStr">
        <is>
          <t xml:space="preserve">small_craft</t>
        </is>
      </c>
      <c r="D4800" s="4">
        <v>0.01357894</v>
      </c>
      <c r="E4800" s="0" t="inlineStr">
        <is>
          <t xml:space="preserve">WING INFLATABLES INC</t>
        </is>
      </c>
      <c r="F4800" s="0" t="inlineStr">
        <is>
          <t xml:space="preserve">naics:336612</t>
        </is>
      </c>
    </row>
    <row r="4801">
      <c r="B4801" s="0" t="inlineStr">
        <is>
          <t xml:space="preserve">N0010423PBL05</t>
        </is>
      </c>
      <c r="C4801" s="0" t="inlineStr">
        <is>
          <t xml:space="preserve">small_craft</t>
        </is>
      </c>
      <c r="D4801" s="4">
        <v>0.013569999999999999</v>
      </c>
      <c r="E4801" s="0" t="inlineStr">
        <is>
          <t xml:space="preserve">GREATER MARYLAND TOOL &amp; MFG. CORP.</t>
        </is>
      </c>
      <c r="F4801" s="0" t="inlineStr">
        <is>
          <t xml:space="preserve">naics:336612</t>
        </is>
      </c>
    </row>
    <row r="4802">
      <c r="B4802" s="0" t="inlineStr">
        <is>
          <t xml:space="preserve">N0040622P0538</t>
        </is>
      </c>
      <c r="C4802" s="0" t="inlineStr">
        <is>
          <t xml:space="preserve">small_craft</t>
        </is>
      </c>
      <c r="D4802" s="4">
        <v>0.01355984</v>
      </c>
      <c r="E4802" s="0" t="inlineStr">
        <is>
          <t xml:space="preserve">DEFENSE MARITIME SOLUTIONS, INC.</t>
        </is>
      </c>
      <c r="F4802" s="0" t="inlineStr">
        <is>
          <t xml:space="preserve">naics:336612</t>
        </is>
      </c>
    </row>
    <row r="4803">
      <c r="B4803" s="0" t="inlineStr">
        <is>
          <t xml:space="preserve">N0010421PEH40</t>
        </is>
      </c>
      <c r="C4803" s="0" t="inlineStr">
        <is>
          <t xml:space="preserve">small_craft</t>
        </is>
      </c>
      <c r="D4803" s="4">
        <v>0.0135527</v>
      </c>
      <c r="E4803" s="0" t="inlineStr">
        <is>
          <t xml:space="preserve">JO-KELL INC.</t>
        </is>
      </c>
      <c r="F4803" s="0" t="inlineStr">
        <is>
          <t xml:space="preserve">naics:336612</t>
        </is>
      </c>
    </row>
    <row r="4804">
      <c r="B4804" s="0" t="inlineStr">
        <is>
          <t xml:space="preserve">N0040617P1712</t>
        </is>
      </c>
      <c r="C4804" s="0" t="inlineStr">
        <is>
          <t xml:space="preserve">small_craft</t>
        </is>
      </c>
      <c r="D4804" s="4">
        <v>0.013548</v>
      </c>
      <c r="E4804" s="0" t="inlineStr">
        <is>
          <t xml:space="preserve">POWER EQUIPMENT PROFESSIONAL SALES CORPORATION</t>
        </is>
      </c>
      <c r="F4804" s="0" t="inlineStr">
        <is>
          <t xml:space="preserve">naics:336612</t>
        </is>
      </c>
    </row>
    <row r="4805">
      <c r="B4805" s="0" t="inlineStr">
        <is>
          <t xml:space="preserve">N3220519P4006</t>
        </is>
      </c>
      <c r="C4805" s="0" t="inlineStr">
        <is>
          <t xml:space="preserve">small_craft</t>
        </is>
      </c>
      <c r="D4805" s="4">
        <v>0.01349287</v>
      </c>
      <c r="E4805" s="0" t="inlineStr">
        <is>
          <t xml:space="preserve">WILLARD MARINE, INC.</t>
        </is>
      </c>
      <c r="F4805" s="0" t="inlineStr">
        <is>
          <t xml:space="preserve">naics:336612</t>
        </is>
      </c>
    </row>
    <row r="4806">
      <c r="B4806" s="0" t="inlineStr">
        <is>
          <t xml:space="preserve">N3220518P6013</t>
        </is>
      </c>
      <c r="C4806" s="0" t="inlineStr">
        <is>
          <t xml:space="preserve">small_craft</t>
        </is>
      </c>
      <c r="D4806" s="4">
        <v>0.013482</v>
      </c>
      <c r="E4806" s="0" t="inlineStr">
        <is>
          <t xml:space="preserve">WING INFLATABLES INC</t>
        </is>
      </c>
      <c r="F4806" s="0" t="inlineStr">
        <is>
          <t xml:space="preserve">naics:336612</t>
        </is>
      </c>
    </row>
    <row r="4807">
      <c r="B4807" s="0" t="inlineStr">
        <is>
          <t xml:space="preserve">N0010418PDC92</t>
        </is>
      </c>
      <c r="C4807" s="0" t="inlineStr">
        <is>
          <t xml:space="preserve">small_craft</t>
        </is>
      </c>
      <c r="D4807" s="4">
        <v>0.013411999999999999</v>
      </c>
      <c r="E4807" s="0" t="inlineStr">
        <is>
          <t xml:space="preserve">ROLLS-ROYCE MARINE NORTH AMERICA INC.</t>
        </is>
      </c>
      <c r="F4807" s="0" t="inlineStr">
        <is>
          <t xml:space="preserve">naics:336612</t>
        </is>
      </c>
    </row>
    <row r="4808">
      <c r="B4808" s="0" t="inlineStr">
        <is>
          <t xml:space="preserve">N0010423PBG38</t>
        </is>
      </c>
      <c r="C4808" s="0" t="inlineStr">
        <is>
          <t xml:space="preserve">small_craft</t>
        </is>
      </c>
      <c r="D4808" s="4">
        <v>0.0133929</v>
      </c>
      <c r="E4808" s="0" t="inlineStr">
        <is>
          <t xml:space="preserve">BEC SYSTEMS LLC</t>
        </is>
      </c>
      <c r="F4808" s="0" t="inlineStr">
        <is>
          <t xml:space="preserve">naics:336612</t>
        </is>
      </c>
    </row>
    <row r="4809">
      <c r="B4809" s="0" t="inlineStr">
        <is>
          <t xml:space="preserve">0022</t>
        </is>
      </c>
      <c r="C4809" s="0" t="inlineStr">
        <is>
          <t xml:space="preserve">small_craft</t>
        </is>
      </c>
      <c r="D4809" s="4">
        <v>0.013292</v>
      </c>
      <c r="E4809" s="0" t="inlineStr">
        <is>
          <t xml:space="preserve">SAUNDERS ENGINE &amp; EQUIPMENT CO INC</t>
        </is>
      </c>
      <c r="F4809" s="0" t="inlineStr">
        <is>
          <t xml:space="preserve">naics:336612</t>
        </is>
      </c>
    </row>
    <row r="4810">
      <c r="B4810" s="0" t="inlineStr">
        <is>
          <t xml:space="preserve">N3220518P4505</t>
        </is>
      </c>
      <c r="C4810" s="0" t="inlineStr">
        <is>
          <t xml:space="preserve">small_craft</t>
        </is>
      </c>
      <c r="D4810" s="4">
        <v>0.01325</v>
      </c>
      <c r="E4810" s="0" t="inlineStr">
        <is>
          <t xml:space="preserve">J. W. MARINE EQUIPMENT, INC.</t>
        </is>
      </c>
      <c r="F4810" s="0" t="inlineStr">
        <is>
          <t xml:space="preserve">naics:336612</t>
        </is>
      </c>
    </row>
    <row r="4811">
      <c r="B4811" s="0" t="inlineStr">
        <is>
          <t xml:space="preserve">M6016917PSA06</t>
        </is>
      </c>
      <c r="C4811" s="0" t="inlineStr">
        <is>
          <t xml:space="preserve">small_craft</t>
        </is>
      </c>
      <c r="D4811" s="4">
        <v>0.01315612</v>
      </c>
      <c r="E4811" s="0" t="inlineStr">
        <is>
          <t xml:space="preserve">EAST COAST MARINE REPAIR CO INC</t>
        </is>
      </c>
      <c r="F4811" s="0" t="inlineStr">
        <is>
          <t xml:space="preserve">naics:336612</t>
        </is>
      </c>
    </row>
    <row r="4812">
      <c r="B4812" s="0" t="inlineStr">
        <is>
          <t xml:space="preserve">N0060424P4011</t>
        </is>
      </c>
      <c r="C4812" s="0" t="inlineStr">
        <is>
          <t xml:space="preserve">small_craft</t>
        </is>
      </c>
      <c r="D4812" s="4">
        <v>0.01300426</v>
      </c>
      <c r="E4812" s="0" t="inlineStr">
        <is>
          <t xml:space="preserve">WING INFLATABLES INC</t>
        </is>
      </c>
      <c r="F4812" s="0" t="inlineStr">
        <is>
          <t xml:space="preserve">naics:336612</t>
        </is>
      </c>
    </row>
    <row r="4813">
      <c r="B4813" s="0" t="inlineStr">
        <is>
          <t xml:space="preserve">N6470914P0050</t>
        </is>
      </c>
      <c r="C4813" s="0" t="inlineStr">
        <is>
          <t xml:space="preserve">small_craft</t>
        </is>
      </c>
      <c r="D4813" s="4">
        <v>0.012992299999999998</v>
      </c>
      <c r="E4813" s="0" t="inlineStr">
        <is>
          <t xml:space="preserve">SAFE BOATS INTERNATIONAL LLC</t>
        </is>
      </c>
      <c r="F4813" s="0" t="inlineStr">
        <is>
          <t xml:space="preserve">naics:336612</t>
        </is>
      </c>
    </row>
    <row r="4814">
      <c r="B4814" s="0" t="inlineStr">
        <is>
          <t xml:space="preserve">N0040615P2887</t>
        </is>
      </c>
      <c r="C4814" s="0" t="inlineStr">
        <is>
          <t xml:space="preserve">small_craft</t>
        </is>
      </c>
      <c r="D4814" s="4">
        <v>0.012764</v>
      </c>
      <c r="E4814" s="0" t="inlineStr">
        <is>
          <t xml:space="preserve">JUNIPER ELBOW CO. INC.</t>
        </is>
      </c>
      <c r="F4814" s="0" t="inlineStr">
        <is>
          <t xml:space="preserve">naics:336612</t>
        </is>
      </c>
    </row>
    <row r="4815">
      <c r="B4815" s="0" t="inlineStr">
        <is>
          <t xml:space="preserve">N0010417PEC56</t>
        </is>
      </c>
      <c r="C4815" s="0" t="inlineStr">
        <is>
          <t xml:space="preserve">small_craft</t>
        </is>
      </c>
      <c r="D4815" s="4">
        <v>0.0127547</v>
      </c>
      <c r="E4815" s="0" t="inlineStr">
        <is>
          <t xml:space="preserve">ALLENTOWN FLUID SYSTEMS, INC</t>
        </is>
      </c>
      <c r="F4815" s="0" t="inlineStr">
        <is>
          <t xml:space="preserve">naics:336612</t>
        </is>
      </c>
    </row>
    <row r="4816">
      <c r="B4816" s="0" t="inlineStr">
        <is>
          <t xml:space="preserve">N6278912P0020</t>
        </is>
      </c>
      <c r="C4816" s="0" t="inlineStr">
        <is>
          <t xml:space="preserve">broad_maritime</t>
        </is>
      </c>
      <c r="D4816" s="4">
        <v>0.012742999999999999</v>
      </c>
      <c r="E4816" s="0" t="inlineStr">
        <is>
          <t xml:space="preserve">ELECTRIC BOAT CORPORATION</t>
        </is>
      </c>
      <c r="F4816" s="0" t="inlineStr">
        <is>
          <t xml:space="preserve">psc:1905</t>
        </is>
      </c>
    </row>
    <row r="4817">
      <c r="B4817" s="0" t="inlineStr">
        <is>
          <t xml:space="preserve">N0040624P0426</t>
        </is>
      </c>
      <c r="C4817" s="0" t="inlineStr">
        <is>
          <t xml:space="preserve">small_craft</t>
        </is>
      </c>
      <c r="D4817" s="4">
        <v>0.012687259999999999</v>
      </c>
      <c r="E4817" s="0" t="inlineStr">
        <is>
          <t xml:space="preserve">JERED LLC</t>
        </is>
      </c>
      <c r="F4817" s="0" t="inlineStr">
        <is>
          <t xml:space="preserve">naics:336612</t>
        </is>
      </c>
    </row>
    <row r="4818">
      <c r="B4818" s="0" t="inlineStr">
        <is>
          <t xml:space="preserve">N0040622P0858</t>
        </is>
      </c>
      <c r="C4818" s="0" t="inlineStr">
        <is>
          <t xml:space="preserve">small_craft</t>
        </is>
      </c>
      <c r="D4818" s="4">
        <v>0.012676</v>
      </c>
      <c r="E4818" s="0" t="inlineStr">
        <is>
          <t xml:space="preserve">THE ENTWISTLE COMPANY LLC</t>
        </is>
      </c>
      <c r="F4818" s="0" t="inlineStr">
        <is>
          <t xml:space="preserve">naics:336612</t>
        </is>
      </c>
    </row>
    <row r="4819">
      <c r="B4819" s="0" t="inlineStr">
        <is>
          <t xml:space="preserve">N0016414P0122</t>
        </is>
      </c>
      <c r="C4819" s="0" t="inlineStr">
        <is>
          <t xml:space="preserve">broad_maritime</t>
        </is>
      </c>
      <c r="D4819" s="4">
        <v>0.01266</v>
      </c>
      <c r="E4819" s="0" t="inlineStr">
        <is>
          <t xml:space="preserve">EXCELITAS TECHNOLOGIES CORP.</t>
        </is>
      </c>
      <c r="F4819" s="0" t="inlineStr">
        <is>
          <t xml:space="preserve">psc:1905</t>
        </is>
      </c>
    </row>
    <row r="4820">
      <c r="B4820" s="0" t="inlineStr">
        <is>
          <t xml:space="preserve">N6146315FLH20</t>
        </is>
      </c>
      <c r="C4820" s="0" t="inlineStr">
        <is>
          <t xml:space="preserve">other_small</t>
        </is>
      </c>
      <c r="D4820" s="4">
        <v>0.012657</v>
      </c>
      <c r="E4820" s="0" t="inlineStr">
        <is>
          <t xml:space="preserve">MCALLISTER TOWING OF VIRGINIA INC</t>
        </is>
      </c>
      <c r="F4820" s="0" t="inlineStr">
        <is>
          <t xml:space="preserve">psc:1990</t>
        </is>
      </c>
    </row>
    <row r="4821">
      <c r="B4821" s="0" t="inlineStr">
        <is>
          <t xml:space="preserve">M6740017P0119</t>
        </is>
      </c>
      <c r="C4821" s="0" t="inlineStr">
        <is>
          <t xml:space="preserve">small_craft</t>
        </is>
      </c>
      <c r="D4821" s="4">
        <v>0.012656399999999998</v>
      </c>
      <c r="E4821" s="0" t="inlineStr">
        <is>
          <t xml:space="preserve">AUTO HIRAKAWA</t>
        </is>
      </c>
      <c r="F4821" s="0" t="inlineStr">
        <is>
          <t xml:space="preserve">naics:336612; psc:1940</t>
        </is>
      </c>
    </row>
    <row r="4822">
      <c r="B4822" s="0" t="inlineStr">
        <is>
          <t xml:space="preserve">N0010425PEA70</t>
        </is>
      </c>
      <c r="C4822" s="0" t="inlineStr">
        <is>
          <t xml:space="preserve">small_craft</t>
        </is>
      </c>
      <c r="D4822" s="4">
        <v>0.01256</v>
      </c>
      <c r="E4822" s="0" t="inlineStr">
        <is>
          <t xml:space="preserve">NASCO AEROSPACE AND ELECTRONICS LLC</t>
        </is>
      </c>
      <c r="F4822" s="0" t="inlineStr">
        <is>
          <t xml:space="preserve">naics:336612</t>
        </is>
      </c>
    </row>
    <row r="4823">
      <c r="B4823" s="0" t="inlineStr">
        <is>
          <t xml:space="preserve">N0010425PXB85</t>
        </is>
      </c>
      <c r="C4823" s="0" t="inlineStr">
        <is>
          <t xml:space="preserve">broad_maritime</t>
        </is>
      </c>
      <c r="D4823" s="4">
        <v>0.012496499999999999</v>
      </c>
      <c r="E4823" s="0" t="inlineStr">
        <is>
          <t xml:space="preserve">HAN-BOONE INTERNATIONAL, INC.</t>
        </is>
      </c>
      <c r="F4823" s="0" t="inlineStr">
        <is>
          <t xml:space="preserve">psc:1905</t>
        </is>
      </c>
    </row>
    <row r="4824">
      <c r="B4824" s="0" t="inlineStr">
        <is>
          <t xml:space="preserve">N4044210P7734</t>
        </is>
      </c>
      <c r="C4824" s="0" t="inlineStr">
        <is>
          <t xml:space="preserve">small_craft</t>
        </is>
      </c>
      <c r="D4824" s="4">
        <v>0.01247298</v>
      </c>
      <c r="E4824" s="0" t="inlineStr">
        <is>
          <t xml:space="preserve">PALFINGER MARINE USA, LLC</t>
        </is>
      </c>
      <c r="F4824" s="0" t="inlineStr">
        <is>
          <t xml:space="preserve">naics:336612</t>
        </is>
      </c>
    </row>
    <row r="4825">
      <c r="B4825" s="0" t="inlineStr">
        <is>
          <t xml:space="preserve">N6893619P0204</t>
        </is>
      </c>
      <c r="C4825" s="0" t="inlineStr">
        <is>
          <t xml:space="preserve">small_craft</t>
        </is>
      </c>
      <c r="D4825" s="4">
        <v>0.012381</v>
      </c>
      <c r="E4825" s="0" t="inlineStr">
        <is>
          <t xml:space="preserve">BOATSWAIN'S LOCKER I, INCORPORATED</t>
        </is>
      </c>
      <c r="F4825" s="0" t="inlineStr">
        <is>
          <t xml:space="preserve">naics:336612</t>
        </is>
      </c>
    </row>
    <row r="4826">
      <c r="B4826" s="0" t="inlineStr">
        <is>
          <t xml:space="preserve">N4523A23F4013</t>
        </is>
      </c>
      <c r="C4826" s="0" t="inlineStr">
        <is>
          <t xml:space="preserve">broad_maritime</t>
        </is>
      </c>
      <c r="D4826" s="4">
        <v>0.012367999999999999</v>
      </c>
      <c r="E4826" s="0" t="inlineStr">
        <is>
          <t xml:space="preserve">HUNTINGTON INGALLS INC</t>
        </is>
      </c>
      <c r="F4826" s="0" t="inlineStr">
        <is>
          <t xml:space="preserve">psc:1905</t>
        </is>
      </c>
    </row>
    <row r="4827">
      <c r="B4827" s="0" t="inlineStr">
        <is>
          <t xml:space="preserve">LH43</t>
        </is>
      </c>
      <c r="C4827" s="0" t="inlineStr">
        <is>
          <t xml:space="preserve">other_small</t>
        </is>
      </c>
      <c r="D4827" s="4">
        <v>0.012364</v>
      </c>
      <c r="E4827" s="0" t="inlineStr">
        <is>
          <t xml:space="preserve">MCALLISTER TOWING AND TRANSPORTATION COMPANY, INC.</t>
        </is>
      </c>
      <c r="F4827" s="0" t="inlineStr">
        <is>
          <t xml:space="preserve">psc:1990</t>
        </is>
      </c>
    </row>
    <row r="4828">
      <c r="B4828" s="0" t="inlineStr">
        <is>
          <t xml:space="preserve">N0010420PED13</t>
        </is>
      </c>
      <c r="C4828" s="0" t="inlineStr">
        <is>
          <t xml:space="preserve">small_craft</t>
        </is>
      </c>
      <c r="D4828" s="4">
        <v>0.01235</v>
      </c>
      <c r="E4828" s="0" t="inlineStr">
        <is>
          <t xml:space="preserve">MCNALLY INDUSTRIES, LLC</t>
        </is>
      </c>
      <c r="F4828" s="0" t="inlineStr">
        <is>
          <t xml:space="preserve">naics:336612</t>
        </is>
      </c>
    </row>
    <row r="4829">
      <c r="B4829" s="0" t="inlineStr">
        <is>
          <t xml:space="preserve">N4044210P8068</t>
        </is>
      </c>
      <c r="C4829" s="0" t="inlineStr">
        <is>
          <t xml:space="preserve">small_craft</t>
        </is>
      </c>
      <c r="D4829" s="4">
        <v>0.012338889999999998</v>
      </c>
      <c r="E4829" s="0" t="inlineStr">
        <is>
          <t xml:space="preserve">PALFINGER MARINE USA, LLC</t>
        </is>
      </c>
      <c r="F4829" s="0" t="inlineStr">
        <is>
          <t xml:space="preserve">naics:336612</t>
        </is>
      </c>
    </row>
    <row r="4830">
      <c r="B4830" s="0" t="inlineStr">
        <is>
          <t xml:space="preserve">N3220520P0240</t>
        </is>
      </c>
      <c r="C4830" s="0" t="inlineStr">
        <is>
          <t xml:space="preserve">small_craft</t>
        </is>
      </c>
      <c r="D4830" s="4">
        <v>0.012308149999999999</v>
      </c>
      <c r="E4830" s="0" t="inlineStr">
        <is>
          <t xml:space="preserve">FASSMER SERVICE AMERICA LLC</t>
        </is>
      </c>
      <c r="F4830" s="0" t="inlineStr">
        <is>
          <t xml:space="preserve">naics:336612</t>
        </is>
      </c>
    </row>
    <row r="4831">
      <c r="B4831" s="0" t="inlineStr">
        <is>
          <t xml:space="preserve">N0010416PDE42</t>
        </is>
      </c>
      <c r="C4831" s="0" t="inlineStr">
        <is>
          <t xml:space="preserve">small_craft</t>
        </is>
      </c>
      <c r="D4831" s="4">
        <v>0.012251999999999999</v>
      </c>
      <c r="E4831" s="0" t="inlineStr">
        <is>
          <t xml:space="preserve">WAUKESHA BEARINGS CORPORATION</t>
        </is>
      </c>
      <c r="F4831" s="0" t="inlineStr">
        <is>
          <t xml:space="preserve">naics:336612</t>
        </is>
      </c>
    </row>
    <row r="4832">
      <c r="B4832" s="0" t="inlineStr">
        <is>
          <t xml:space="preserve">N0040619P0431</t>
        </is>
      </c>
      <c r="C4832" s="0" t="inlineStr">
        <is>
          <t xml:space="preserve">small_craft</t>
        </is>
      </c>
      <c r="D4832" s="4">
        <v>0.012244</v>
      </c>
      <c r="E4832" s="0" t="inlineStr">
        <is>
          <t xml:space="preserve">ADVANTEC MANUFACTURING USA, INC.</t>
        </is>
      </c>
      <c r="F4832" s="0" t="inlineStr">
        <is>
          <t xml:space="preserve">naics:336612</t>
        </is>
      </c>
    </row>
    <row r="4833">
      <c r="B4833" s="0" t="inlineStr">
        <is>
          <t xml:space="preserve">N0010417PDD93</t>
        </is>
      </c>
      <c r="C4833" s="0" t="inlineStr">
        <is>
          <t xml:space="preserve">small_craft</t>
        </is>
      </c>
      <c r="D4833" s="4">
        <v>0.012228</v>
      </c>
      <c r="E4833" s="0" t="inlineStr">
        <is>
          <t xml:space="preserve">ROLLS-ROYCE MARINE NORTH AMERICA INC.</t>
        </is>
      </c>
      <c r="F4833" s="0" t="inlineStr">
        <is>
          <t xml:space="preserve">naics:336612</t>
        </is>
      </c>
    </row>
    <row r="4834">
      <c r="B4834" s="0" t="inlineStr">
        <is>
          <t xml:space="preserve">N0010417PDA51</t>
        </is>
      </c>
      <c r="C4834" s="0" t="inlineStr">
        <is>
          <t xml:space="preserve">small_craft</t>
        </is>
      </c>
      <c r="D4834" s="4">
        <v>0.012228</v>
      </c>
      <c r="E4834" s="0" t="inlineStr">
        <is>
          <t xml:space="preserve">ROLLS-ROYCE MARINE NORTH AMERICA INC.</t>
        </is>
      </c>
      <c r="F4834" s="0" t="inlineStr">
        <is>
          <t xml:space="preserve">naics:336612</t>
        </is>
      </c>
    </row>
    <row r="4835">
      <c r="B4835" s="0" t="inlineStr">
        <is>
          <t xml:space="preserve">N0018915P0628</t>
        </is>
      </c>
      <c r="C4835" s="0" t="inlineStr">
        <is>
          <t xml:space="preserve">small_craft</t>
        </is>
      </c>
      <c r="D4835" s="4">
        <v>0.012213</v>
      </c>
      <c r="E4835" s="0" t="inlineStr">
        <is>
          <t xml:space="preserve">WILLARD MARINE, INC.</t>
        </is>
      </c>
      <c r="F4835" s="0" t="inlineStr">
        <is>
          <t xml:space="preserve">naics:336612; psc:1940</t>
        </is>
      </c>
    </row>
    <row r="4836">
      <c r="B4836" s="0" t="inlineStr">
        <is>
          <t xml:space="preserve">N6227115M1076</t>
        </is>
      </c>
      <c r="C4836" s="0" t="inlineStr">
        <is>
          <t xml:space="preserve">other_small</t>
        </is>
      </c>
      <c r="D4836" s="4">
        <v>0.012209</v>
      </c>
      <c r="E4836" s="0" t="inlineStr">
        <is>
          <t xml:space="preserve">WOODS HOLE OCEANOGRAPHIC INSTITUTION</t>
        </is>
      </c>
      <c r="F4836" s="0" t="inlineStr">
        <is>
          <t xml:space="preserve">psc:1990</t>
        </is>
      </c>
    </row>
    <row r="4837">
      <c r="B4837" s="0" t="inlineStr">
        <is>
          <t xml:space="preserve">N0040625PS358</t>
        </is>
      </c>
      <c r="C4837" s="0" t="inlineStr">
        <is>
          <t xml:space="preserve">small_craft</t>
        </is>
      </c>
      <c r="D4837" s="4">
        <v>0.012199999999999999</v>
      </c>
      <c r="E4837" s="0" t="inlineStr">
        <is>
          <t xml:space="preserve">PIER SIDE SUPPLY INC</t>
        </is>
      </c>
      <c r="F4837" s="0" t="inlineStr">
        <is>
          <t xml:space="preserve">naics:336612</t>
        </is>
      </c>
    </row>
    <row r="4838">
      <c r="B4838" s="0" t="inlineStr">
        <is>
          <t xml:space="preserve">N0010422PDC46</t>
        </is>
      </c>
      <c r="C4838" s="0" t="inlineStr">
        <is>
          <t xml:space="preserve">small_craft</t>
        </is>
      </c>
      <c r="D4838" s="4">
        <v>0.01218</v>
      </c>
      <c r="E4838" s="0" t="inlineStr">
        <is>
          <t xml:space="preserve">RUGGED INFORMATION TECHNOLOGY EQUIPMENT CORPORATION</t>
        </is>
      </c>
      <c r="F4838" s="0" t="inlineStr">
        <is>
          <t xml:space="preserve">naics:336612</t>
        </is>
      </c>
    </row>
    <row r="4839">
      <c r="B4839" s="0" t="inlineStr">
        <is>
          <t xml:space="preserve">N4044207P5540</t>
        </is>
      </c>
      <c r="C4839" s="0" t="inlineStr">
        <is>
          <t xml:space="preserve">other_small</t>
        </is>
      </c>
      <c r="D4839" s="4">
        <v>0.0121509</v>
      </c>
      <c r="E4839" s="0" t="inlineStr">
        <is>
          <t xml:space="preserve">THE ROWLAND COMPANY</t>
        </is>
      </c>
      <c r="F4839" s="0" t="inlineStr">
        <is>
          <t xml:space="preserve">psc:1925</t>
        </is>
      </c>
    </row>
    <row r="4840">
      <c r="B4840" s="0" t="inlineStr">
        <is>
          <t xml:space="preserve">N5005422P0021</t>
        </is>
      </c>
      <c r="C4840" s="0" t="inlineStr">
        <is>
          <t xml:space="preserve">small_craft</t>
        </is>
      </c>
      <c r="D4840" s="4">
        <v>0.012149</v>
      </c>
      <c r="E4840" s="0" t="inlineStr">
        <is>
          <t xml:space="preserve">THE ROWLAND COMPANY</t>
        </is>
      </c>
      <c r="F4840" s="0" t="inlineStr">
        <is>
          <t xml:space="preserve">naics:336612</t>
        </is>
      </c>
    </row>
    <row r="4841">
      <c r="B4841" s="0" t="inlineStr">
        <is>
          <t xml:space="preserve">N4044317P0294</t>
        </is>
      </c>
      <c r="C4841" s="0" t="inlineStr">
        <is>
          <t xml:space="preserve">small_craft</t>
        </is>
      </c>
      <c r="D4841" s="4">
        <v>0.012069999999999999</v>
      </c>
      <c r="E4841" s="0" t="inlineStr">
        <is>
          <t xml:space="preserve">FASSMER SERVICE AMERICA LLC</t>
        </is>
      </c>
      <c r="F4841" s="0" t="inlineStr">
        <is>
          <t xml:space="preserve">naics:336612</t>
        </is>
      </c>
    </row>
    <row r="4842">
      <c r="B4842" s="0" t="inlineStr">
        <is>
          <t xml:space="preserve">N0010422PDA19</t>
        </is>
      </c>
      <c r="C4842" s="0" t="inlineStr">
        <is>
          <t xml:space="preserve">small_craft</t>
        </is>
      </c>
      <c r="D4842" s="4">
        <v>0.012024</v>
      </c>
      <c r="E4842" s="0" t="inlineStr">
        <is>
          <t xml:space="preserve">DURAMAX MARINE, LLC</t>
        </is>
      </c>
      <c r="F4842" s="0" t="inlineStr">
        <is>
          <t xml:space="preserve">naics:336612</t>
        </is>
      </c>
    </row>
    <row r="4843">
      <c r="B4843" s="0" t="inlineStr">
        <is>
          <t xml:space="preserve">N0040622P0635</t>
        </is>
      </c>
      <c r="C4843" s="0" t="inlineStr">
        <is>
          <t xml:space="preserve">small_craft</t>
        </is>
      </c>
      <c r="D4843" s="4">
        <v>0.011989999999999999</v>
      </c>
      <c r="E4843" s="0" t="inlineStr">
        <is>
          <t xml:space="preserve">J.D.A. MARITIME, INC.</t>
        </is>
      </c>
      <c r="F4843" s="0" t="inlineStr">
        <is>
          <t xml:space="preserve">naics:336612</t>
        </is>
      </c>
    </row>
    <row r="4844">
      <c r="B4844" s="0" t="inlineStr">
        <is>
          <t xml:space="preserve">LH55</t>
        </is>
      </c>
      <c r="C4844" s="0" t="inlineStr">
        <is>
          <t xml:space="preserve">other_small</t>
        </is>
      </c>
      <c r="D4844" s="4">
        <v>0.011967499999999999</v>
      </c>
      <c r="E4844" s="0" t="inlineStr">
        <is>
          <t xml:space="preserve">MCALLISTER TOWING AND TRANSPORTATION COMPANY, INC.</t>
        </is>
      </c>
      <c r="F4844" s="0" t="inlineStr">
        <is>
          <t xml:space="preserve">psc:1990</t>
        </is>
      </c>
    </row>
    <row r="4845">
      <c r="B4845" s="0" t="inlineStr">
        <is>
          <t xml:space="preserve">N0010424PBR71</t>
        </is>
      </c>
      <c r="C4845" s="0" t="inlineStr">
        <is>
          <t xml:space="preserve">small_craft</t>
        </is>
      </c>
      <c r="D4845" s="4">
        <v>0.011928</v>
      </c>
      <c r="E4845" s="0" t="inlineStr">
        <is>
          <t xml:space="preserve">HANSOME ENERGY SYSTEMS INC</t>
        </is>
      </c>
      <c r="F4845" s="0" t="inlineStr">
        <is>
          <t xml:space="preserve">naics:336612</t>
        </is>
      </c>
    </row>
    <row r="4846">
      <c r="B4846" s="0" t="inlineStr">
        <is>
          <t xml:space="preserve">N0016421PJ087</t>
        </is>
      </c>
      <c r="C4846" s="0" t="inlineStr">
        <is>
          <t xml:space="preserve">small_craft</t>
        </is>
      </c>
      <c r="D4846" s="4">
        <v>0.011672</v>
      </c>
      <c r="E4846" s="0" t="inlineStr">
        <is>
          <t xml:space="preserve">WILLIAM E. MUNSON COMPANY</t>
        </is>
      </c>
      <c r="F4846" s="0" t="inlineStr">
        <is>
          <t xml:space="preserve">naics:336612</t>
        </is>
      </c>
    </row>
    <row r="4847">
      <c r="B4847" s="0" t="inlineStr">
        <is>
          <t xml:space="preserve">N0040616P2175</t>
        </is>
      </c>
      <c r="C4847" s="0" t="inlineStr">
        <is>
          <t xml:space="preserve">small_craft</t>
        </is>
      </c>
      <c r="D4847" s="4">
        <v>0.011671299999999999</v>
      </c>
      <c r="E4847" s="0" t="inlineStr">
        <is>
          <t xml:space="preserve">JUNIPER ELBOW CO. INC.</t>
        </is>
      </c>
      <c r="F4847" s="0" t="inlineStr">
        <is>
          <t xml:space="preserve">naics:336612</t>
        </is>
      </c>
    </row>
    <row r="4848">
      <c r="B4848" s="0" t="inlineStr">
        <is>
          <t xml:space="preserve">N0010422PDA20</t>
        </is>
      </c>
      <c r="C4848" s="0" t="inlineStr">
        <is>
          <t xml:space="preserve">small_craft</t>
        </is>
      </c>
      <c r="D4848" s="4">
        <v>0.011616</v>
      </c>
      <c r="E4848" s="0" t="inlineStr">
        <is>
          <t xml:space="preserve">DURAMAX MARINE, LLC</t>
        </is>
      </c>
      <c r="F4848" s="0" t="inlineStr">
        <is>
          <t xml:space="preserve">naics:336612</t>
        </is>
      </c>
    </row>
    <row r="4849">
      <c r="B4849" s="0" t="inlineStr">
        <is>
          <t xml:space="preserve">N0010422PDA17</t>
        </is>
      </c>
      <c r="C4849" s="0" t="inlineStr">
        <is>
          <t xml:space="preserve">small_craft</t>
        </is>
      </c>
      <c r="D4849" s="4">
        <v>0.011616</v>
      </c>
      <c r="E4849" s="0" t="inlineStr">
        <is>
          <t xml:space="preserve">DURAMAX MARINE, LLC</t>
        </is>
      </c>
      <c r="F4849" s="0" t="inlineStr">
        <is>
          <t xml:space="preserve">naics:336612</t>
        </is>
      </c>
    </row>
    <row r="4850">
      <c r="B4850" s="0" t="inlineStr">
        <is>
          <t xml:space="preserve">N0010422PDA16</t>
        </is>
      </c>
      <c r="C4850" s="0" t="inlineStr">
        <is>
          <t xml:space="preserve">small_craft</t>
        </is>
      </c>
      <c r="D4850" s="4">
        <v>0.011616</v>
      </c>
      <c r="E4850" s="0" t="inlineStr">
        <is>
          <t xml:space="preserve">DURAMAX MARINE, LLC</t>
        </is>
      </c>
      <c r="F4850" s="0" t="inlineStr">
        <is>
          <t xml:space="preserve">naics:336612</t>
        </is>
      </c>
    </row>
    <row r="4851">
      <c r="B4851" s="0" t="inlineStr">
        <is>
          <t xml:space="preserve">0007</t>
        </is>
      </c>
      <c r="C4851" s="0" t="inlineStr">
        <is>
          <t xml:space="preserve">broad_maritime</t>
        </is>
      </c>
      <c r="D4851" s="4">
        <v>0.011542</v>
      </c>
      <c r="E4851" s="0" t="inlineStr">
        <is>
          <t xml:space="preserve">ELECTRIC BOAT CORPORATION</t>
        </is>
      </c>
      <c r="F4851" s="0" t="inlineStr">
        <is>
          <t xml:space="preserve">psc:1905</t>
        </is>
      </c>
    </row>
    <row r="4852">
      <c r="B4852" s="0" t="inlineStr">
        <is>
          <t xml:space="preserve">N0040620P0342</t>
        </is>
      </c>
      <c r="C4852" s="0" t="inlineStr">
        <is>
          <t xml:space="preserve">small_craft</t>
        </is>
      </c>
      <c r="D4852" s="4">
        <v>0.01152304</v>
      </c>
      <c r="E4852" s="0" t="inlineStr">
        <is>
          <t xml:space="preserve">SAFE BOATS INTERNATIONAL LLC</t>
        </is>
      </c>
      <c r="F4852" s="0" t="inlineStr">
        <is>
          <t xml:space="preserve">naics:336612</t>
        </is>
      </c>
    </row>
    <row r="4853">
      <c r="B4853" s="0" t="inlineStr">
        <is>
          <t xml:space="preserve">N0010425PEB57</t>
        </is>
      </c>
      <c r="C4853" s="0" t="inlineStr">
        <is>
          <t xml:space="preserve">small_craft</t>
        </is>
      </c>
      <c r="D4853" s="4">
        <v>0.01149</v>
      </c>
      <c r="E4853" s="0" t="inlineStr">
        <is>
          <t xml:space="preserve">GENERAL NUCLEAR CORP</t>
        </is>
      </c>
      <c r="F4853" s="0" t="inlineStr">
        <is>
          <t xml:space="preserve">naics:336612</t>
        </is>
      </c>
    </row>
    <row r="4854">
      <c r="B4854" s="0" t="inlineStr">
        <is>
          <t xml:space="preserve">N6660415P2098</t>
        </is>
      </c>
      <c r="C4854" s="0" t="inlineStr">
        <is>
          <t xml:space="preserve">small_craft</t>
        </is>
      </c>
      <c r="D4854" s="4">
        <v>0.011425999999999999</v>
      </c>
      <c r="E4854" s="0" t="inlineStr">
        <is>
          <t xml:space="preserve">NEW ENGLAND BOATWORKS, INC.</t>
        </is>
      </c>
      <c r="F4854" s="0" t="inlineStr">
        <is>
          <t xml:space="preserve">naics:336612</t>
        </is>
      </c>
    </row>
    <row r="4855">
      <c r="B4855" s="0" t="inlineStr">
        <is>
          <t xml:space="preserve">M0014616P2601</t>
        </is>
      </c>
      <c r="C4855" s="0" t="inlineStr">
        <is>
          <t xml:space="preserve">small_craft</t>
        </is>
      </c>
      <c r="D4855" s="4">
        <v>0.011425999999999999</v>
      </c>
      <c r="E4855" s="0" t="inlineStr">
        <is>
          <t xml:space="preserve">CAROLINA SKIFF LLC</t>
        </is>
      </c>
      <c r="F4855" s="0" t="inlineStr">
        <is>
          <t xml:space="preserve">naics:336612</t>
        </is>
      </c>
    </row>
    <row r="4856">
      <c r="B4856" s="0" t="inlineStr">
        <is>
          <t xml:space="preserve">N0010419PNB29</t>
        </is>
      </c>
      <c r="C4856" s="0" t="inlineStr">
        <is>
          <t xml:space="preserve">small_craft</t>
        </is>
      </c>
      <c r="D4856" s="4">
        <v>0.011420999999999999</v>
      </c>
      <c r="E4856" s="0" t="inlineStr">
        <is>
          <t xml:space="preserve">GK MECHANICAL SYSTEMS LLC</t>
        </is>
      </c>
      <c r="F4856" s="0" t="inlineStr">
        <is>
          <t xml:space="preserve">naics:336612</t>
        </is>
      </c>
    </row>
    <row r="4857">
      <c r="B4857" s="0" t="inlineStr">
        <is>
          <t xml:space="preserve">N0010422PLD97</t>
        </is>
      </c>
      <c r="C4857" s="0" t="inlineStr">
        <is>
          <t xml:space="preserve">small_craft</t>
        </is>
      </c>
      <c r="D4857" s="4">
        <v>0.011399999999999999</v>
      </c>
      <c r="E4857" s="0" t="inlineStr">
        <is>
          <t xml:space="preserve">ESI ACQUISITION CORP</t>
        </is>
      </c>
      <c r="F4857" s="0" t="inlineStr">
        <is>
          <t xml:space="preserve">naics:336612</t>
        </is>
      </c>
    </row>
    <row r="4858">
      <c r="B4858" s="0" t="inlineStr">
        <is>
          <t xml:space="preserve">N0040620P0188</t>
        </is>
      </c>
      <c r="C4858" s="0" t="inlineStr">
        <is>
          <t xml:space="preserve">small_craft</t>
        </is>
      </c>
      <c r="D4858" s="4">
        <v>0.011349999999999999</v>
      </c>
      <c r="E4858" s="0" t="inlineStr">
        <is>
          <t xml:space="preserve">ELLISON BRONZE INC</t>
        </is>
      </c>
      <c r="F4858" s="0" t="inlineStr">
        <is>
          <t xml:space="preserve">naics:336612</t>
        </is>
      </c>
    </row>
    <row r="4859">
      <c r="B4859" s="0" t="inlineStr">
        <is>
          <t xml:space="preserve">1005</t>
        </is>
      </c>
      <c r="C4859" s="0" t="inlineStr">
        <is>
          <t xml:space="preserve">small_craft</t>
        </is>
      </c>
      <c r="D4859" s="4">
        <v>0.011332</v>
      </c>
      <c r="E4859" s="0" t="inlineStr">
        <is>
          <t xml:space="preserve">WING INFLATABLES INC</t>
        </is>
      </c>
      <c r="F4859" s="0" t="inlineStr">
        <is>
          <t xml:space="preserve">naics:336612; psc:1940</t>
        </is>
      </c>
    </row>
    <row r="4860">
      <c r="B4860" s="0" t="inlineStr">
        <is>
          <t xml:space="preserve">N5005418P0068</t>
        </is>
      </c>
      <c r="C4860" s="0" t="inlineStr">
        <is>
          <t xml:space="preserve">broad_maritime</t>
        </is>
      </c>
      <c r="D4860" s="4">
        <v>0.011254499999999999</v>
      </c>
      <c r="E4860" s="0" t="inlineStr">
        <is>
          <t xml:space="preserve">JUNIPER ELBOW CO. INC.</t>
        </is>
      </c>
      <c r="F4860" s="0" t="inlineStr">
        <is>
          <t xml:space="preserve">psc:1905</t>
        </is>
      </c>
    </row>
    <row r="4861">
      <c r="B4861" s="0" t="inlineStr">
        <is>
          <t xml:space="preserve">N0040617P3031</t>
        </is>
      </c>
      <c r="C4861" s="0" t="inlineStr">
        <is>
          <t xml:space="preserve">small_craft</t>
        </is>
      </c>
      <c r="D4861" s="4">
        <v>0.011241</v>
      </c>
      <c r="E4861" s="0" t="inlineStr">
        <is>
          <t xml:space="preserve">ADVANCED STRUCTURES CORPORATION</t>
        </is>
      </c>
      <c r="F4861" s="0" t="inlineStr">
        <is>
          <t xml:space="preserve">naics:336612</t>
        </is>
      </c>
    </row>
    <row r="4862">
      <c r="B4862" s="0" t="inlineStr">
        <is>
          <t xml:space="preserve">N5523618P0024</t>
        </is>
      </c>
      <c r="C4862" s="0" t="inlineStr">
        <is>
          <t xml:space="preserve">broad_maritime</t>
        </is>
      </c>
      <c r="D4862" s="4">
        <v>0.01123618</v>
      </c>
      <c r="E4862" s="0" t="inlineStr">
        <is>
          <t xml:space="preserve">JERED LLC</t>
        </is>
      </c>
      <c r="F4862" s="0" t="inlineStr">
        <is>
          <t xml:space="preserve">psc:1905</t>
        </is>
      </c>
    </row>
    <row r="4863">
      <c r="B4863" s="0" t="inlineStr">
        <is>
          <t xml:space="preserve">N0040618P1784</t>
        </is>
      </c>
      <c r="C4863" s="0" t="inlineStr">
        <is>
          <t xml:space="preserve">small_craft</t>
        </is>
      </c>
      <c r="D4863" s="4">
        <v>0.011229999999999999</v>
      </c>
      <c r="E4863" s="0" t="inlineStr">
        <is>
          <t xml:space="preserve">J.D.A. MARITIME, INC.</t>
        </is>
      </c>
      <c r="F4863" s="0" t="inlineStr">
        <is>
          <t xml:space="preserve">naics:336612</t>
        </is>
      </c>
    </row>
    <row r="4864">
      <c r="B4864" s="0" t="inlineStr">
        <is>
          <t xml:space="preserve">N4044617P0025</t>
        </is>
      </c>
      <c r="C4864" s="0" t="inlineStr">
        <is>
          <t xml:space="preserve">small_craft</t>
        </is>
      </c>
      <c r="D4864" s="4">
        <v>0.011202</v>
      </c>
      <c r="E4864" s="0" t="inlineStr">
        <is>
          <t xml:space="preserve">FASSMER SERVICE AMERICA LLC</t>
        </is>
      </c>
      <c r="F4864" s="0" t="inlineStr">
        <is>
          <t xml:space="preserve">naics:336612</t>
        </is>
      </c>
    </row>
    <row r="4865">
      <c r="B4865" s="0" t="inlineStr">
        <is>
          <t xml:space="preserve">N4044212P8439</t>
        </is>
      </c>
      <c r="C4865" s="0" t="inlineStr">
        <is>
          <t xml:space="preserve">small_craft</t>
        </is>
      </c>
      <c r="D4865" s="4">
        <v>0.0111865</v>
      </c>
      <c r="E4865" s="0" t="inlineStr">
        <is>
          <t xml:space="preserve">WING INFLATABLES INC</t>
        </is>
      </c>
      <c r="F4865" s="0" t="inlineStr">
        <is>
          <t xml:space="preserve">naics:336612</t>
        </is>
      </c>
    </row>
    <row r="4866">
      <c r="B4866" s="0" t="inlineStr">
        <is>
          <t xml:space="preserve">N0010420PEK47</t>
        </is>
      </c>
      <c r="C4866" s="0" t="inlineStr">
        <is>
          <t xml:space="preserve">small_craft</t>
        </is>
      </c>
      <c r="D4866" s="4">
        <v>0.011179999999999999</v>
      </c>
      <c r="E4866" s="0" t="inlineStr">
        <is>
          <t xml:space="preserve">AIRGAS USA LLC</t>
        </is>
      </c>
      <c r="F4866" s="0" t="inlineStr">
        <is>
          <t xml:space="preserve">naics:336612</t>
        </is>
      </c>
    </row>
    <row r="4867">
      <c r="B4867" s="0" t="inlineStr">
        <is>
          <t xml:space="preserve">N4044208P5569</t>
        </is>
      </c>
      <c r="C4867" s="0" t="inlineStr">
        <is>
          <t xml:space="preserve">small_craft</t>
        </is>
      </c>
      <c r="D4867" s="4">
        <v>0.01111877</v>
      </c>
      <c r="E4867" s="0" t="inlineStr">
        <is>
          <t xml:space="preserve">WILLARD MARINE, INC.</t>
        </is>
      </c>
      <c r="F4867" s="0" t="inlineStr">
        <is>
          <t xml:space="preserve">naics:336612</t>
        </is>
      </c>
    </row>
    <row r="4868">
      <c r="B4868" s="0" t="inlineStr">
        <is>
          <t xml:space="preserve">N3220517P4286</t>
        </is>
      </c>
      <c r="C4868" s="0" t="inlineStr">
        <is>
          <t xml:space="preserve">small_craft</t>
        </is>
      </c>
      <c r="D4868" s="4">
        <v>0.0111154</v>
      </c>
      <c r="E4868" s="0" t="inlineStr">
        <is>
          <t xml:space="preserve">J. W. MARINE EQUIPMENT, INC.</t>
        </is>
      </c>
      <c r="F4868" s="0" t="inlineStr">
        <is>
          <t xml:space="preserve">naics:336612</t>
        </is>
      </c>
    </row>
    <row r="4869">
      <c r="B4869" s="0" t="inlineStr">
        <is>
          <t xml:space="preserve">N0010424PBL42</t>
        </is>
      </c>
      <c r="C4869" s="0" t="inlineStr">
        <is>
          <t xml:space="preserve">small_craft</t>
        </is>
      </c>
      <c r="D4869" s="4">
        <v>0.011115</v>
      </c>
      <c r="E4869" s="0" t="inlineStr">
        <is>
          <t xml:space="preserve">GAFFEL EQUIPMENT</t>
        </is>
      </c>
      <c r="F4869" s="0" t="inlineStr">
        <is>
          <t xml:space="preserve">naics:336612</t>
        </is>
      </c>
    </row>
    <row r="4870">
      <c r="B4870" s="0" t="inlineStr">
        <is>
          <t xml:space="preserve">N0010421PLA49</t>
        </is>
      </c>
      <c r="C4870" s="0" t="inlineStr">
        <is>
          <t xml:space="preserve">small_craft</t>
        </is>
      </c>
      <c r="D4870" s="4">
        <v>0.011087999999999999</v>
      </c>
      <c r="E4870" s="0" t="inlineStr">
        <is>
          <t xml:space="preserve">CORNET TECHNOLOGY, INC.</t>
        </is>
      </c>
      <c r="F4870" s="0" t="inlineStr">
        <is>
          <t xml:space="preserve">naics:336612</t>
        </is>
      </c>
    </row>
    <row r="4871">
      <c r="B4871" s="0" t="inlineStr">
        <is>
          <t xml:space="preserve">N0010422PEE19</t>
        </is>
      </c>
      <c r="C4871" s="0" t="inlineStr">
        <is>
          <t xml:space="preserve">small_craft</t>
        </is>
      </c>
      <c r="D4871" s="4">
        <v>0.01108765</v>
      </c>
      <c r="E4871" s="0" t="inlineStr">
        <is>
          <t xml:space="preserve">IN SPECK CORP</t>
        </is>
      </c>
      <c r="F4871" s="0" t="inlineStr">
        <is>
          <t xml:space="preserve">naics:336612</t>
        </is>
      </c>
    </row>
    <row r="4872">
      <c r="B4872" s="0" t="inlineStr">
        <is>
          <t xml:space="preserve">N5005420P0169</t>
        </is>
      </c>
      <c r="C4872" s="0" t="inlineStr">
        <is>
          <t xml:space="preserve">broad_maritime</t>
        </is>
      </c>
      <c r="D4872" s="4">
        <v>0.011059999999999999</v>
      </c>
      <c r="E4872" s="0" t="inlineStr">
        <is>
          <t xml:space="preserve">CURTISS-WRIGHT ELECTRO-MECHANICAL CORP</t>
        </is>
      </c>
      <c r="F4872" s="0" t="inlineStr">
        <is>
          <t xml:space="preserve">psc:1905</t>
        </is>
      </c>
    </row>
    <row r="4873">
      <c r="B4873" s="0" t="inlineStr">
        <is>
          <t xml:space="preserve">N0010424PSC23</t>
        </is>
      </c>
      <c r="C4873" s="0" t="inlineStr">
        <is>
          <t xml:space="preserve">small_craft</t>
        </is>
      </c>
      <c r="D4873" s="4">
        <v>0.011046</v>
      </c>
      <c r="E4873" s="0" t="inlineStr">
        <is>
          <t xml:space="preserve">GEODESICX, INC.</t>
        </is>
      </c>
      <c r="F4873" s="0" t="inlineStr">
        <is>
          <t xml:space="preserve">naics:336612</t>
        </is>
      </c>
    </row>
    <row r="4874">
      <c r="B4874" s="0" t="inlineStr">
        <is>
          <t xml:space="preserve">N0010421PDC83</t>
        </is>
      </c>
      <c r="C4874" s="0" t="inlineStr">
        <is>
          <t xml:space="preserve">small_craft</t>
        </is>
      </c>
      <c r="D4874" s="4">
        <v>0.01103</v>
      </c>
      <c r="E4874" s="0" t="inlineStr">
        <is>
          <t xml:space="preserve">AW DEVELOPMENTS EXPORTS LTD</t>
        </is>
      </c>
      <c r="F4874" s="0" t="inlineStr">
        <is>
          <t xml:space="preserve">naics:336612</t>
        </is>
      </c>
    </row>
    <row r="4875">
      <c r="B4875" s="0" t="inlineStr">
        <is>
          <t xml:space="preserve">N4044319P0065</t>
        </is>
      </c>
      <c r="C4875" s="0" t="inlineStr">
        <is>
          <t xml:space="preserve">small_craft</t>
        </is>
      </c>
      <c r="D4875" s="4">
        <v>0.01102133</v>
      </c>
      <c r="E4875" s="0" t="inlineStr">
        <is>
          <t xml:space="preserve">ZODIAC OF NORTH AMERICA, INC.</t>
        </is>
      </c>
      <c r="F4875" s="0" t="inlineStr">
        <is>
          <t xml:space="preserve">naics:336612</t>
        </is>
      </c>
    </row>
    <row r="4876">
      <c r="B4876" s="0" t="inlineStr">
        <is>
          <t xml:space="preserve">N0010425PBX96</t>
        </is>
      </c>
      <c r="C4876" s="0" t="inlineStr">
        <is>
          <t xml:space="preserve">small_craft</t>
        </is>
      </c>
      <c r="D4876" s="4">
        <v>0.01098</v>
      </c>
      <c r="E4876" s="0" t="inlineStr">
        <is>
          <t xml:space="preserve">ADIRONDACK ELECTRONICS INC</t>
        </is>
      </c>
      <c r="F4876" s="0" t="inlineStr">
        <is>
          <t xml:space="preserve">naics:336612</t>
        </is>
      </c>
    </row>
    <row r="4877">
      <c r="B4877" s="0" t="inlineStr">
        <is>
          <t xml:space="preserve">N0040619P0201</t>
        </is>
      </c>
      <c r="C4877" s="0" t="inlineStr">
        <is>
          <t xml:space="preserve">small_craft</t>
        </is>
      </c>
      <c r="D4877" s="4">
        <v>0.01095</v>
      </c>
      <c r="E4877" s="0" t="inlineStr">
        <is>
          <t xml:space="preserve">ELLISON BRONZE INC</t>
        </is>
      </c>
      <c r="F4877" s="0" t="inlineStr">
        <is>
          <t xml:space="preserve">naics:336612</t>
        </is>
      </c>
    </row>
    <row r="4878">
      <c r="B4878" s="0" t="inlineStr">
        <is>
          <t xml:space="preserve">N6817125PN004</t>
        </is>
      </c>
      <c r="C4878" s="0" t="inlineStr">
        <is>
          <t xml:space="preserve">other_small</t>
        </is>
      </c>
      <c r="D4878" s="4">
        <v>0.01094713</v>
      </c>
      <c r="E4878" s="0" t="inlineStr">
        <is>
          <t xml:space="preserve">MISCELLANEOUS FOREIGN AWARDEES</t>
        </is>
      </c>
      <c r="F4878" s="0" t="inlineStr">
        <is>
          <t xml:space="preserve">psc:1990</t>
        </is>
      </c>
    </row>
    <row r="4879">
      <c r="B4879" s="0" t="inlineStr">
        <is>
          <t xml:space="preserve">N0010422PEF38</t>
        </is>
      </c>
      <c r="C4879" s="0" t="inlineStr">
        <is>
          <t xml:space="preserve">small_craft</t>
        </is>
      </c>
      <c r="D4879" s="4">
        <v>0.01090116</v>
      </c>
      <c r="E4879" s="0" t="inlineStr">
        <is>
          <t xml:space="preserve">ADIRONDACK ELECTRONICS INC</t>
        </is>
      </c>
      <c r="F4879" s="0" t="inlineStr">
        <is>
          <t xml:space="preserve">naics:336612</t>
        </is>
      </c>
    </row>
    <row r="4880">
      <c r="B4880" s="0" t="inlineStr">
        <is>
          <t xml:space="preserve">N0010425PYE04</t>
        </is>
      </c>
      <c r="C4880" s="0" t="inlineStr">
        <is>
          <t xml:space="preserve">small_craft</t>
        </is>
      </c>
      <c r="D4880" s="4">
        <v>0.01082675</v>
      </c>
      <c r="E4880" s="0" t="inlineStr">
        <is>
          <t xml:space="preserve">TRIMAN INDUSTRIES INC</t>
        </is>
      </c>
      <c r="F4880" s="0" t="inlineStr">
        <is>
          <t xml:space="preserve">naics:336612</t>
        </is>
      </c>
    </row>
    <row r="4881">
      <c r="B4881" s="0" t="inlineStr">
        <is>
          <t xml:space="preserve">M6700121P1279</t>
        </is>
      </c>
      <c r="C4881" s="0" t="inlineStr">
        <is>
          <t xml:space="preserve">small_craft</t>
        </is>
      </c>
      <c r="D4881" s="4">
        <v>0.010799999999999999</v>
      </c>
      <c r="E4881" s="0" t="inlineStr">
        <is>
          <t xml:space="preserve">WILDCAT PROPELLERS, INC</t>
        </is>
      </c>
      <c r="F4881" s="0" t="inlineStr">
        <is>
          <t xml:space="preserve">naics:336612</t>
        </is>
      </c>
    </row>
    <row r="4882">
      <c r="B4882" s="0" t="inlineStr">
        <is>
          <t xml:space="preserve">N0040615P2035</t>
        </is>
      </c>
      <c r="C4882" s="0" t="inlineStr">
        <is>
          <t xml:space="preserve">small_craft</t>
        </is>
      </c>
      <c r="D4882" s="4">
        <v>0.010785999999999999</v>
      </c>
      <c r="E4882" s="0" t="inlineStr">
        <is>
          <t xml:space="preserve">RAILWAY SPECIALTIES CORP</t>
        </is>
      </c>
      <c r="F4882" s="0" t="inlineStr">
        <is>
          <t xml:space="preserve">naics:336612</t>
        </is>
      </c>
    </row>
    <row r="4883">
      <c r="B4883" s="0" t="inlineStr">
        <is>
          <t xml:space="preserve">0011</t>
        </is>
      </c>
      <c r="C4883" s="0" t="inlineStr">
        <is>
          <t xml:space="preserve">small_craft</t>
        </is>
      </c>
      <c r="D4883" s="4">
        <v>0.01073506</v>
      </c>
      <c r="E4883" s="0" t="inlineStr">
        <is>
          <t xml:space="preserve">SAUNDERS ENGINE &amp; EQUIPMENT CO INC</t>
        </is>
      </c>
      <c r="F4883" s="0" t="inlineStr">
        <is>
          <t xml:space="preserve">naics:336612</t>
        </is>
      </c>
    </row>
    <row r="4884">
      <c r="B4884" s="0" t="inlineStr">
        <is>
          <t xml:space="preserve">N0010422PDD80</t>
        </is>
      </c>
      <c r="C4884" s="0" t="inlineStr">
        <is>
          <t xml:space="preserve">small_craft</t>
        </is>
      </c>
      <c r="D4884" s="4">
        <v>0.010709999999999999</v>
      </c>
      <c r="E4884" s="0" t="inlineStr">
        <is>
          <t xml:space="preserve">KAMPI COMPONENTS CO INC</t>
        </is>
      </c>
      <c r="F4884" s="0" t="inlineStr">
        <is>
          <t xml:space="preserve">naics:336612</t>
        </is>
      </c>
    </row>
    <row r="4885">
      <c r="B4885" s="0" t="inlineStr">
        <is>
          <t xml:space="preserve">N6146320FLH07</t>
        </is>
      </c>
      <c r="C4885" s="0" t="inlineStr">
        <is>
          <t xml:space="preserve">other_small</t>
        </is>
      </c>
      <c r="D4885" s="4">
        <v>0.010694</v>
      </c>
      <c r="E4885" s="0" t="inlineStr">
        <is>
          <t xml:space="preserve">MCALLISTER TOWING AND TRANSPORTATION COMPANY, INC.</t>
        </is>
      </c>
      <c r="F4885" s="0" t="inlineStr">
        <is>
          <t xml:space="preserve">psc:1990</t>
        </is>
      </c>
    </row>
    <row r="4886">
      <c r="B4886" s="0" t="inlineStr">
        <is>
          <t xml:space="preserve">N0010424PYC55</t>
        </is>
      </c>
      <c r="C4886" s="0" t="inlineStr">
        <is>
          <t xml:space="preserve">small_craft</t>
        </is>
      </c>
      <c r="D4886" s="4">
        <v>0.0106905</v>
      </c>
      <c r="E4886" s="0" t="inlineStr">
        <is>
          <t xml:space="preserve">ITL LLC</t>
        </is>
      </c>
      <c r="F4886" s="0" t="inlineStr">
        <is>
          <t xml:space="preserve">naics:336612</t>
        </is>
      </c>
    </row>
    <row r="4887">
      <c r="B4887" s="0" t="inlineStr">
        <is>
          <t xml:space="preserve">N0010426PTA08</t>
        </is>
      </c>
      <c r="C4887" s="0" t="inlineStr">
        <is>
          <t xml:space="preserve">small_craft</t>
        </is>
      </c>
      <c r="D4887" s="4">
        <v>0.01064765</v>
      </c>
      <c r="E4887" s="0" t="inlineStr">
        <is>
          <t xml:space="preserve">KAMPI COMPONENTS CO INC</t>
        </is>
      </c>
      <c r="F4887" s="0" t="inlineStr">
        <is>
          <t xml:space="preserve">naics:336612</t>
        </is>
      </c>
    </row>
    <row r="4888">
      <c r="B4888" s="0" t="inlineStr">
        <is>
          <t xml:space="preserve">N0010421PLA20</t>
        </is>
      </c>
      <c r="C4888" s="0" t="inlineStr">
        <is>
          <t xml:space="preserve">small_craft</t>
        </is>
      </c>
      <c r="D4888" s="4">
        <v>0.010576</v>
      </c>
      <c r="E4888" s="0" t="inlineStr">
        <is>
          <t xml:space="preserve">DYNALEC CORPORATION</t>
        </is>
      </c>
      <c r="F4888" s="0" t="inlineStr">
        <is>
          <t xml:space="preserve">naics:336612</t>
        </is>
      </c>
    </row>
    <row r="4889">
      <c r="B4889" s="0" t="inlineStr">
        <is>
          <t xml:space="preserve">N0018917P0299</t>
        </is>
      </c>
      <c r="C4889" s="0" t="inlineStr">
        <is>
          <t xml:space="preserve">small_craft</t>
        </is>
      </c>
      <c r="D4889" s="4">
        <v>0.01053817</v>
      </c>
      <c r="E4889" s="0" t="inlineStr">
        <is>
          <t xml:space="preserve">BEACH MARINE SERVICES INC</t>
        </is>
      </c>
      <c r="F4889" s="0" t="inlineStr">
        <is>
          <t xml:space="preserve">psc:1940</t>
        </is>
      </c>
    </row>
    <row r="4890">
      <c r="B4890" s="0" t="inlineStr">
        <is>
          <t xml:space="preserve">N0010423PXA33</t>
        </is>
      </c>
      <c r="C4890" s="0" t="inlineStr">
        <is>
          <t xml:space="preserve">small_craft</t>
        </is>
      </c>
      <c r="D4890" s="4">
        <v>0.010499999999999999</v>
      </c>
      <c r="E4890" s="0" t="inlineStr">
        <is>
          <t xml:space="preserve">VIRGINIA ELECTRONIC SYSTEMS, INC.</t>
        </is>
      </c>
      <c r="F4890" s="0" t="inlineStr">
        <is>
          <t xml:space="preserve">naics:336612; psc:1940</t>
        </is>
      </c>
    </row>
    <row r="4891">
      <c r="B4891" s="0" t="inlineStr">
        <is>
          <t xml:space="preserve">N3220518P4628</t>
        </is>
      </c>
      <c r="C4891" s="0" t="inlineStr">
        <is>
          <t xml:space="preserve">small_craft</t>
        </is>
      </c>
      <c r="D4891" s="4">
        <v>0.010452459999999998</v>
      </c>
      <c r="E4891" s="0" t="inlineStr">
        <is>
          <t xml:space="preserve">CONE DRIVE OPERATIONS INC</t>
        </is>
      </c>
      <c r="F4891" s="0" t="inlineStr">
        <is>
          <t xml:space="preserve">naics:336612</t>
        </is>
      </c>
    </row>
    <row r="4892">
      <c r="B4892" s="0" t="inlineStr">
        <is>
          <t xml:space="preserve">M6890918P7656</t>
        </is>
      </c>
      <c r="C4892" s="0" t="inlineStr">
        <is>
          <t xml:space="preserve">small_craft</t>
        </is>
      </c>
      <c r="D4892" s="4">
        <v>0.01045</v>
      </c>
      <c r="E4892" s="0" t="inlineStr">
        <is>
          <t xml:space="preserve">TEMECULA MOTORSPORTS, INC.</t>
        </is>
      </c>
      <c r="F4892" s="0" t="inlineStr">
        <is>
          <t xml:space="preserve">psc:1940</t>
        </is>
      </c>
    </row>
    <row r="4893">
      <c r="B4893" s="0" t="inlineStr">
        <is>
          <t xml:space="preserve">N0040615P1908</t>
        </is>
      </c>
      <c r="C4893" s="0" t="inlineStr">
        <is>
          <t xml:space="preserve">small_craft</t>
        </is>
      </c>
      <c r="D4893" s="4">
        <v>0.010414999999999999</v>
      </c>
      <c r="E4893" s="0" t="inlineStr">
        <is>
          <t xml:space="preserve">J.D.A. MARITIME, INC.</t>
        </is>
      </c>
      <c r="F4893" s="0" t="inlineStr">
        <is>
          <t xml:space="preserve">naics:336612</t>
        </is>
      </c>
    </row>
    <row r="4894">
      <c r="B4894" s="0" t="inlineStr">
        <is>
          <t xml:space="preserve">N0040621P0025</t>
        </is>
      </c>
      <c r="C4894" s="0" t="inlineStr">
        <is>
          <t xml:space="preserve">small_craft</t>
        </is>
      </c>
      <c r="D4894" s="4">
        <v>0.01037577</v>
      </c>
      <c r="E4894" s="0" t="inlineStr">
        <is>
          <t xml:space="preserve">CONTRACTOR SUPPLY SOLUTIONS LLC</t>
        </is>
      </c>
      <c r="F4894" s="0" t="inlineStr">
        <is>
          <t xml:space="preserve">naics:336612</t>
        </is>
      </c>
    </row>
    <row r="4895">
      <c r="B4895" s="0" t="inlineStr">
        <is>
          <t xml:space="preserve">N0010416PCB88</t>
        </is>
      </c>
      <c r="C4895" s="0" t="inlineStr">
        <is>
          <t xml:space="preserve">small_craft</t>
        </is>
      </c>
      <c r="D4895" s="4">
        <v>0.010277</v>
      </c>
      <c r="E4895" s="0" t="inlineStr">
        <is>
          <t xml:space="preserve">GLOBAL INCORPORATED</t>
        </is>
      </c>
      <c r="F4895" s="0" t="inlineStr">
        <is>
          <t xml:space="preserve">naics:336612</t>
        </is>
      </c>
    </row>
    <row r="4896">
      <c r="B4896" s="0" t="inlineStr">
        <is>
          <t xml:space="preserve">N0010421PCE77</t>
        </is>
      </c>
      <c r="C4896" s="0" t="inlineStr">
        <is>
          <t xml:space="preserve">small_craft</t>
        </is>
      </c>
      <c r="D4896" s="4">
        <v>0.01026352</v>
      </c>
      <c r="E4896" s="0" t="inlineStr">
        <is>
          <t xml:space="preserve">W R SYSTEMS LTD</t>
        </is>
      </c>
      <c r="F4896" s="0" t="inlineStr">
        <is>
          <t xml:space="preserve">naics:336612</t>
        </is>
      </c>
    </row>
    <row r="4897">
      <c r="B4897" s="0" t="inlineStr">
        <is>
          <t xml:space="preserve">0039</t>
        </is>
      </c>
      <c r="C4897" s="0" t="inlineStr">
        <is>
          <t xml:space="preserve">other_small</t>
        </is>
      </c>
      <c r="D4897" s="4">
        <v>0.01023458</v>
      </c>
      <c r="E4897" s="0" t="inlineStr">
        <is>
          <t xml:space="preserve">ROLLS-ROYCE SOLUTIONS AMERICA INC</t>
        </is>
      </c>
      <c r="F4897" s="0" t="inlineStr">
        <is>
          <t xml:space="preserve">psc:1990</t>
        </is>
      </c>
    </row>
    <row r="4898">
      <c r="B4898" s="0" t="inlineStr">
        <is>
          <t xml:space="preserve">N6470914F0045</t>
        </is>
      </c>
      <c r="C4898" s="0" t="inlineStr">
        <is>
          <t xml:space="preserve">small_craft</t>
        </is>
      </c>
      <c r="D4898" s="4">
        <v>0.01023</v>
      </c>
      <c r="E4898" s="0" t="inlineStr">
        <is>
          <t xml:space="preserve">ACTION-PETROLEUM SPILL RECOVERY, INC</t>
        </is>
      </c>
      <c r="F4898" s="0" t="inlineStr">
        <is>
          <t xml:space="preserve">naics:336612</t>
        </is>
      </c>
    </row>
    <row r="4899">
      <c r="B4899" s="0" t="inlineStr">
        <is>
          <t xml:space="preserve">N0040615P2679</t>
        </is>
      </c>
      <c r="C4899" s="0" t="inlineStr">
        <is>
          <t xml:space="preserve">small_craft</t>
        </is>
      </c>
      <c r="D4899" s="4">
        <v>0.010199999999999999</v>
      </c>
      <c r="E4899" s="0" t="inlineStr">
        <is>
          <t xml:space="preserve">RAILWAY SPECIALTIES CORP</t>
        </is>
      </c>
      <c r="F4899" s="0" t="inlineStr">
        <is>
          <t xml:space="preserve">naics:336612</t>
        </is>
      </c>
    </row>
    <row r="4900">
      <c r="B4900" s="0" t="inlineStr">
        <is>
          <t xml:space="preserve">N0040621P0144</t>
        </is>
      </c>
      <c r="C4900" s="0" t="inlineStr">
        <is>
          <t xml:space="preserve">small_craft</t>
        </is>
      </c>
      <c r="D4900" s="4">
        <v>0.010175</v>
      </c>
      <c r="E4900" s="0" t="inlineStr">
        <is>
          <t xml:space="preserve">PACIFIC MARITIME INDUSTRIES CORP.</t>
        </is>
      </c>
      <c r="F4900" s="0" t="inlineStr">
        <is>
          <t xml:space="preserve">naics:336612</t>
        </is>
      </c>
    </row>
    <row r="4901">
      <c r="B4901" s="0" t="inlineStr">
        <is>
          <t xml:space="preserve">N6883615P0375</t>
        </is>
      </c>
      <c r="C4901" s="0" t="inlineStr">
        <is>
          <t xml:space="preserve">small_craft</t>
        </is>
      </c>
      <c r="D4901" s="4">
        <v>0.01014</v>
      </c>
      <c r="E4901" s="0" t="inlineStr">
        <is>
          <t xml:space="preserve">VIGOR KVICHAK LLC</t>
        </is>
      </c>
      <c r="F4901" s="0" t="inlineStr">
        <is>
          <t xml:space="preserve">naics:336612</t>
        </is>
      </c>
    </row>
    <row r="4902">
      <c r="B4902" s="0" t="inlineStr">
        <is>
          <t xml:space="preserve">M6700115F1033</t>
        </is>
      </c>
      <c r="C4902" s="0" t="inlineStr">
        <is>
          <t xml:space="preserve">small_craft</t>
        </is>
      </c>
      <c r="D4902" s="4">
        <v>0.01005</v>
      </c>
      <c r="E4902" s="0" t="inlineStr">
        <is>
          <t xml:space="preserve">FLOAT-ON CORP</t>
        </is>
      </c>
      <c r="F4902" s="0" t="inlineStr">
        <is>
          <t xml:space="preserve">naics:336612</t>
        </is>
      </c>
    </row>
    <row r="4903">
      <c r="B4903" s="0" t="inlineStr">
        <is>
          <t xml:space="preserve">N6600117P6330</t>
        </is>
      </c>
      <c r="C4903" s="0" t="inlineStr">
        <is>
          <t xml:space="preserve">small_craft</t>
        </is>
      </c>
      <c r="D4903" s="4">
        <v>0.010015</v>
      </c>
      <c r="E4903" s="0" t="inlineStr">
        <is>
          <t xml:space="preserve">ROCKY MOUNTAIN INSTRUMENT CO.</t>
        </is>
      </c>
      <c r="F4903" s="0" t="inlineStr">
        <is>
          <t xml:space="preserve">naics:336612</t>
        </is>
      </c>
    </row>
    <row r="4904">
      <c r="B4904" s="0" t="inlineStr">
        <is>
          <t xml:space="preserve">0004</t>
        </is>
      </c>
      <c r="C4904" s="0" t="inlineStr">
        <is>
          <t xml:space="preserve">broad_maritime</t>
        </is>
      </c>
      <c r="D4904" s="4">
        <v>0.010001</v>
      </c>
      <c r="E4904" s="0" t="inlineStr">
        <is>
          <t xml:space="preserve">ELECTRIC BOAT CORPORATION</t>
        </is>
      </c>
      <c r="F4904" s="0" t="inlineStr">
        <is>
          <t xml:space="preserve">psc:1905</t>
        </is>
      </c>
    </row>
    <row r="4905">
      <c r="B4905" s="0" t="inlineStr">
        <is>
          <t xml:space="preserve">N0016724FG207</t>
        </is>
      </c>
      <c r="C4905" s="0" t="inlineStr">
        <is>
          <t xml:space="preserve">small_craft</t>
        </is>
      </c>
      <c r="D4905" s="4">
        <v>0.009999959999999999</v>
      </c>
      <c r="E4905" s="0" t="inlineStr">
        <is>
          <t xml:space="preserve">VIRGINIA SPEED, INC.</t>
        </is>
      </c>
      <c r="F4905" s="0" t="inlineStr">
        <is>
          <t xml:space="preserve">naics:336612</t>
        </is>
      </c>
    </row>
    <row r="4906">
      <c r="B4906" s="0" t="inlineStr">
        <is>
          <t xml:space="preserve">N0010421PND28</t>
        </is>
      </c>
      <c r="C4906" s="0" t="inlineStr">
        <is>
          <t xml:space="preserve">small_craft</t>
        </is>
      </c>
      <c r="D4906" s="4">
        <v>0.009998</v>
      </c>
      <c r="E4906" s="0" t="inlineStr">
        <is>
          <t xml:space="preserve">CURTISS-WRIGHT ELECTRO-MECHANICAL CORPORATION</t>
        </is>
      </c>
      <c r="F4906" s="0" t="inlineStr">
        <is>
          <t xml:space="preserve">naics:336612</t>
        </is>
      </c>
    </row>
    <row r="4907">
      <c r="B4907" s="0" t="inlineStr">
        <is>
          <t xml:space="preserve">N6133118P0106</t>
        </is>
      </c>
      <c r="C4907" s="0" t="inlineStr">
        <is>
          <t xml:space="preserve">small_craft</t>
        </is>
      </c>
      <c r="D4907" s="4">
        <v>0.009979759999999999</v>
      </c>
      <c r="E4907" s="0" t="inlineStr">
        <is>
          <t xml:space="preserve">R &amp; D REPS, INC.</t>
        </is>
      </c>
      <c r="F4907" s="0" t="inlineStr">
        <is>
          <t xml:space="preserve">psc:1940</t>
        </is>
      </c>
    </row>
    <row r="4908">
      <c r="B4908" s="0" t="inlineStr">
        <is>
          <t xml:space="preserve">0021</t>
        </is>
      </c>
      <c r="C4908" s="0" t="inlineStr">
        <is>
          <t xml:space="preserve">small_craft</t>
        </is>
      </c>
      <c r="D4908" s="4">
        <v>0.0099625</v>
      </c>
      <c r="E4908" s="0" t="inlineStr">
        <is>
          <t xml:space="preserve">SAUNDERS ENGINE &amp; EQUIPMENT CO INC</t>
        </is>
      </c>
      <c r="F4908" s="0" t="inlineStr">
        <is>
          <t xml:space="preserve">naics:336612</t>
        </is>
      </c>
    </row>
    <row r="4909">
      <c r="B4909" s="0" t="inlineStr">
        <is>
          <t xml:space="preserve">N5532118F1A23</t>
        </is>
      </c>
      <c r="C4909" s="0" t="inlineStr">
        <is>
          <t xml:space="preserve">small_craft</t>
        </is>
      </c>
      <c r="D4909" s="4">
        <v>0.009958950000000001</v>
      </c>
      <c r="E4909" s="0" t="inlineStr">
        <is>
          <t xml:space="preserve">JMSONLINE.NET, LLC</t>
        </is>
      </c>
      <c r="F4909" s="0" t="inlineStr">
        <is>
          <t xml:space="preserve">psc:1940</t>
        </is>
      </c>
    </row>
    <row r="4910">
      <c r="B4910" s="0" t="inlineStr">
        <is>
          <t xml:space="preserve">LH56</t>
        </is>
      </c>
      <c r="C4910" s="0" t="inlineStr">
        <is>
          <t xml:space="preserve">other_small</t>
        </is>
      </c>
      <c r="D4910" s="4">
        <v>0.009819999999999999</v>
      </c>
      <c r="E4910" s="0" t="inlineStr">
        <is>
          <t xml:space="preserve">MCALLISTER TOWING AND TRANSPORTATION COMPANY, INC.</t>
        </is>
      </c>
      <c r="F4910" s="0" t="inlineStr">
        <is>
          <t xml:space="preserve">psc:1990</t>
        </is>
      </c>
    </row>
    <row r="4911">
      <c r="B4911" s="0" t="inlineStr">
        <is>
          <t xml:space="preserve">N0040616P1157</t>
        </is>
      </c>
      <c r="C4911" s="0" t="inlineStr">
        <is>
          <t xml:space="preserve">small_craft</t>
        </is>
      </c>
      <c r="D4911" s="4">
        <v>0.0098</v>
      </c>
      <c r="E4911" s="0" t="inlineStr">
        <is>
          <t xml:space="preserve">PACIFIC MARITIME INDUSTRIES CORP.</t>
        </is>
      </c>
      <c r="F4911" s="0" t="inlineStr">
        <is>
          <t xml:space="preserve">naics:336612</t>
        </is>
      </c>
    </row>
    <row r="4912">
      <c r="B4912" s="0" t="inlineStr">
        <is>
          <t xml:space="preserve">N0010418PDA46</t>
        </is>
      </c>
      <c r="C4912" s="0" t="inlineStr">
        <is>
          <t xml:space="preserve">small_craft</t>
        </is>
      </c>
      <c r="D4912" s="4">
        <v>0.009799</v>
      </c>
      <c r="E4912" s="0" t="inlineStr">
        <is>
          <t xml:space="preserve">TIMKEN GEARS &amp; SERVICES INC.</t>
        </is>
      </c>
      <c r="F4912" s="0" t="inlineStr">
        <is>
          <t xml:space="preserve">naics:336612</t>
        </is>
      </c>
    </row>
    <row r="4913">
      <c r="B4913" s="0" t="inlineStr">
        <is>
          <t xml:space="preserve">N0010422PFB84</t>
        </is>
      </c>
      <c r="C4913" s="0" t="inlineStr">
        <is>
          <t xml:space="preserve">small_craft</t>
        </is>
      </c>
      <c r="D4913" s="4">
        <v>0.00977245</v>
      </c>
      <c r="E4913" s="0" t="inlineStr">
        <is>
          <t xml:space="preserve">DERBYSHIRE MARINE PRODUCTS, LLC</t>
        </is>
      </c>
      <c r="F4913" s="0" t="inlineStr">
        <is>
          <t xml:space="preserve">naics:336612</t>
        </is>
      </c>
    </row>
    <row r="4914">
      <c r="B4914" s="0" t="inlineStr">
        <is>
          <t xml:space="preserve">N0016725FG039</t>
        </is>
      </c>
      <c r="C4914" s="0" t="inlineStr">
        <is>
          <t xml:space="preserve">small_craft</t>
        </is>
      </c>
      <c r="D4914" s="4">
        <v>0.00972886</v>
      </c>
      <c r="E4914" s="0" t="inlineStr">
        <is>
          <t xml:space="preserve">JMSONLINE.NET, LLC</t>
        </is>
      </c>
      <c r="F4914" s="0" t="inlineStr">
        <is>
          <t xml:space="preserve">naics:336612</t>
        </is>
      </c>
    </row>
    <row r="4915">
      <c r="B4915" s="0" t="inlineStr">
        <is>
          <t xml:space="preserve">N0010426PQA23</t>
        </is>
      </c>
      <c r="C4915" s="0" t="inlineStr">
        <is>
          <t xml:space="preserve">small_craft</t>
        </is>
      </c>
      <c r="D4915" s="4">
        <v>0.009694</v>
      </c>
      <c r="E4915" s="0" t="inlineStr">
        <is>
          <t xml:space="preserve">GENERAL DYNAMICS MISSION SYSTEMS, INC.</t>
        </is>
      </c>
      <c r="F4915" s="0" t="inlineStr">
        <is>
          <t xml:space="preserve">naics:336612</t>
        </is>
      </c>
    </row>
    <row r="4916">
      <c r="B4916" s="0" t="inlineStr">
        <is>
          <t xml:space="preserve">N0010421PBX16</t>
        </is>
      </c>
      <c r="C4916" s="0" t="inlineStr">
        <is>
          <t xml:space="preserve">small_craft</t>
        </is>
      </c>
      <c r="D4916" s="4">
        <v>0.0096444</v>
      </c>
      <c r="E4916" s="0" t="inlineStr">
        <is>
          <t xml:space="preserve">GOVERNMENT SCIENTIFIC SOURCE INC</t>
        </is>
      </c>
      <c r="F4916" s="0" t="inlineStr">
        <is>
          <t xml:space="preserve">naics:336612</t>
        </is>
      </c>
    </row>
    <row r="4917">
      <c r="B4917" s="0" t="inlineStr">
        <is>
          <t xml:space="preserve">N6146320FLH09</t>
        </is>
      </c>
      <c r="C4917" s="0" t="inlineStr">
        <is>
          <t xml:space="preserve">other_small</t>
        </is>
      </c>
      <c r="D4917" s="4">
        <v>0.00963</v>
      </c>
      <c r="E4917" s="0" t="inlineStr">
        <is>
          <t xml:space="preserve">MCALLISTER TOWING AND TRANSPORTATION COMPANY, INC.</t>
        </is>
      </c>
      <c r="F4917" s="0" t="inlineStr">
        <is>
          <t xml:space="preserve">psc:1990</t>
        </is>
      </c>
    </row>
    <row r="4918">
      <c r="B4918" s="0" t="inlineStr">
        <is>
          <t xml:space="preserve">N0040616P1799</t>
        </is>
      </c>
      <c r="C4918" s="0" t="inlineStr">
        <is>
          <t xml:space="preserve">small_craft</t>
        </is>
      </c>
      <c r="D4918" s="4">
        <v>0.0096</v>
      </c>
      <c r="E4918" s="0" t="inlineStr">
        <is>
          <t xml:space="preserve">PACIFIC MARITIME INDUSTRIES CORP.</t>
        </is>
      </c>
      <c r="F4918" s="0" t="inlineStr">
        <is>
          <t xml:space="preserve">naics:336612</t>
        </is>
      </c>
    </row>
    <row r="4919">
      <c r="B4919" s="0" t="inlineStr">
        <is>
          <t xml:space="preserve">N0010426PYC28</t>
        </is>
      </c>
      <c r="C4919" s="0" t="inlineStr">
        <is>
          <t xml:space="preserve">small_craft</t>
        </is>
      </c>
      <c r="D4919" s="4">
        <v>0.00956662</v>
      </c>
      <c r="E4919" s="0" t="inlineStr">
        <is>
          <t xml:space="preserve">ITL LLC</t>
        </is>
      </c>
      <c r="F4919" s="0" t="inlineStr">
        <is>
          <t xml:space="preserve">naics:336612</t>
        </is>
      </c>
    </row>
    <row r="4920">
      <c r="B4920" s="0" t="inlineStr">
        <is>
          <t xml:space="preserve">N0010417PEC54</t>
        </is>
      </c>
      <c r="C4920" s="0" t="inlineStr">
        <is>
          <t xml:space="preserve">small_craft</t>
        </is>
      </c>
      <c r="D4920" s="4">
        <v>0.00956567</v>
      </c>
      <c r="E4920" s="0" t="inlineStr">
        <is>
          <t xml:space="preserve">ALLENTOWN FLUID SYSTEMS, INC</t>
        </is>
      </c>
      <c r="F4920" s="0" t="inlineStr">
        <is>
          <t xml:space="preserve">naics:336612</t>
        </is>
      </c>
    </row>
    <row r="4921">
      <c r="B4921" s="0" t="inlineStr">
        <is>
          <t xml:space="preserve">1008</t>
        </is>
      </c>
      <c r="C4921" s="0" t="inlineStr">
        <is>
          <t xml:space="preserve">small_craft</t>
        </is>
      </c>
      <c r="D4921" s="4">
        <v>0.009522729999999998</v>
      </c>
      <c r="E4921" s="0" t="inlineStr">
        <is>
          <t xml:space="preserve">WING INFLATABLES INC</t>
        </is>
      </c>
      <c r="F4921" s="0" t="inlineStr">
        <is>
          <t xml:space="preserve">naics:336612; psc:1940</t>
        </is>
      </c>
    </row>
    <row r="4922">
      <c r="B4922" s="0" t="inlineStr">
        <is>
          <t xml:space="preserve">N0040616P1767</t>
        </is>
      </c>
      <c r="C4922" s="0" t="inlineStr">
        <is>
          <t xml:space="preserve">small_craft</t>
        </is>
      </c>
      <c r="D4922" s="4">
        <v>0.009498</v>
      </c>
      <c r="E4922" s="0" t="inlineStr">
        <is>
          <t xml:space="preserve">MAZZELLA LIFTING TECHNOLOGIES, INC.</t>
        </is>
      </c>
      <c r="F4922" s="0" t="inlineStr">
        <is>
          <t xml:space="preserve">naics:336612</t>
        </is>
      </c>
    </row>
    <row r="4923">
      <c r="B4923" s="0" t="inlineStr">
        <is>
          <t xml:space="preserve">N3220518F1013</t>
        </is>
      </c>
      <c r="C4923" s="0" t="inlineStr">
        <is>
          <t xml:space="preserve">other_small</t>
        </is>
      </c>
      <c r="D4923" s="4">
        <v>0.00948886</v>
      </c>
      <c r="E4923" s="0" t="inlineStr">
        <is>
          <t xml:space="preserve">ROLLS-ROYCE SOLUTIONS AMERICA INC</t>
        </is>
      </c>
      <c r="F4923" s="0" t="inlineStr">
        <is>
          <t xml:space="preserve">psc:1990</t>
        </is>
      </c>
    </row>
    <row r="4924">
      <c r="B4924" s="0" t="inlineStr">
        <is>
          <t xml:space="preserve">L846</t>
        </is>
      </c>
      <c r="C4924" s="0" t="inlineStr">
        <is>
          <t xml:space="preserve">broad_maritime</t>
        </is>
      </c>
      <c r="D4924" s="4">
        <v>0.009484</v>
      </c>
      <c r="E4924" s="0" t="inlineStr">
        <is>
          <t xml:space="preserve">ELECTRIC BOAT CORPORATION</t>
        </is>
      </c>
      <c r="F4924" s="0" t="inlineStr">
        <is>
          <t xml:space="preserve">psc:1905</t>
        </is>
      </c>
    </row>
    <row r="4925">
      <c r="B4925" s="0" t="inlineStr">
        <is>
          <t xml:space="preserve">N0010421PAA03</t>
        </is>
      </c>
      <c r="C4925" s="0" t="inlineStr">
        <is>
          <t xml:space="preserve">small_craft</t>
        </is>
      </c>
      <c r="D4925" s="4">
        <v>0.009479999999999999</v>
      </c>
      <c r="E4925" s="0" t="inlineStr">
        <is>
          <t xml:space="preserve">FITZHUGH CLIFTON</t>
        </is>
      </c>
      <c r="F4925" s="0" t="inlineStr">
        <is>
          <t xml:space="preserve">naics:336612</t>
        </is>
      </c>
    </row>
    <row r="4926">
      <c r="B4926" s="0" t="inlineStr">
        <is>
          <t xml:space="preserve">0017</t>
        </is>
      </c>
      <c r="C4926" s="0" t="inlineStr">
        <is>
          <t xml:space="preserve">broad_maritime</t>
        </is>
      </c>
      <c r="D4926" s="4">
        <v>0.009477</v>
      </c>
      <c r="E4926" s="0" t="inlineStr">
        <is>
          <t xml:space="preserve">ELECTRIC BOAT CORPORATION</t>
        </is>
      </c>
      <c r="F4926" s="0" t="inlineStr">
        <is>
          <t xml:space="preserve">psc:1905</t>
        </is>
      </c>
    </row>
    <row r="4927">
      <c r="B4927" s="0" t="inlineStr">
        <is>
          <t xml:space="preserve">N0010421PEL47</t>
        </is>
      </c>
      <c r="C4927" s="0" t="inlineStr">
        <is>
          <t xml:space="preserve">small_craft</t>
        </is>
      </c>
      <c r="D4927" s="4">
        <v>0.009474999999999999</v>
      </c>
      <c r="E4927" s="0" t="inlineStr">
        <is>
          <t xml:space="preserve">COMSACO, LLC</t>
        </is>
      </c>
      <c r="F4927" s="0" t="inlineStr">
        <is>
          <t xml:space="preserve">naics:336612</t>
        </is>
      </c>
    </row>
    <row r="4928">
      <c r="B4928" s="0" t="inlineStr">
        <is>
          <t xml:space="preserve">N0010423PLE02</t>
        </is>
      </c>
      <c r="C4928" s="0" t="inlineStr">
        <is>
          <t xml:space="preserve">small_craft</t>
        </is>
      </c>
      <c r="D4928" s="4">
        <v>0.00945</v>
      </c>
      <c r="E4928" s="0" t="inlineStr">
        <is>
          <t xml:space="preserve">ESI ACQUISITION CORP</t>
        </is>
      </c>
      <c r="F4928" s="0" t="inlineStr">
        <is>
          <t xml:space="preserve">naics:336612</t>
        </is>
      </c>
    </row>
    <row r="4929">
      <c r="B4929" s="0" t="inlineStr">
        <is>
          <t xml:space="preserve">LH74</t>
        </is>
      </c>
      <c r="C4929" s="0" t="inlineStr">
        <is>
          <t xml:space="preserve">other_small</t>
        </is>
      </c>
      <c r="D4929" s="4">
        <v>0.0094295</v>
      </c>
      <c r="E4929" s="0" t="inlineStr">
        <is>
          <t xml:space="preserve">MCALLISTER TOWING AND TRANSPORTATION COMPANY, INC.</t>
        </is>
      </c>
      <c r="F4929" s="0" t="inlineStr">
        <is>
          <t xml:space="preserve">psc:1990</t>
        </is>
      </c>
    </row>
    <row r="4930">
      <c r="B4930" s="0" t="inlineStr">
        <is>
          <t xml:space="preserve">N4523A21F4028</t>
        </is>
      </c>
      <c r="C4930" s="0" t="inlineStr">
        <is>
          <t xml:space="preserve">broad_maritime</t>
        </is>
      </c>
      <c r="D4930" s="4">
        <v>0.009413999999999999</v>
      </c>
      <c r="E4930" s="0" t="inlineStr">
        <is>
          <t xml:space="preserve">HUNTINGTON INGALLS INC</t>
        </is>
      </c>
      <c r="F4930" s="0" t="inlineStr">
        <is>
          <t xml:space="preserve">psc:1905</t>
        </is>
      </c>
    </row>
    <row r="4931">
      <c r="B4931" s="0" t="inlineStr">
        <is>
          <t xml:space="preserve">1003</t>
        </is>
      </c>
      <c r="C4931" s="0" t="inlineStr">
        <is>
          <t xml:space="preserve">small_craft</t>
        </is>
      </c>
      <c r="D4931" s="4">
        <v>0.009382</v>
      </c>
      <c r="E4931" s="0" t="inlineStr">
        <is>
          <t xml:space="preserve">WING INFLATABLES INC</t>
        </is>
      </c>
      <c r="F4931" s="0" t="inlineStr">
        <is>
          <t xml:space="preserve">naics:336612; psc:1940</t>
        </is>
      </c>
    </row>
    <row r="4932">
      <c r="B4932" s="0" t="inlineStr">
        <is>
          <t xml:space="preserve">N0040615P1393</t>
        </is>
      </c>
      <c r="C4932" s="0" t="inlineStr">
        <is>
          <t xml:space="preserve">small_craft</t>
        </is>
      </c>
      <c r="D4932" s="4">
        <v>0.0093814</v>
      </c>
      <c r="E4932" s="0" t="inlineStr">
        <is>
          <t xml:space="preserve">GTA MARINE</t>
        </is>
      </c>
      <c r="F4932" s="0" t="inlineStr">
        <is>
          <t xml:space="preserve">naics:336612</t>
        </is>
      </c>
    </row>
    <row r="4933">
      <c r="B4933" s="0" t="inlineStr">
        <is>
          <t xml:space="preserve">N0010423PXA59</t>
        </is>
      </c>
      <c r="C4933" s="0" t="inlineStr">
        <is>
          <t xml:space="preserve">small_craft</t>
        </is>
      </c>
      <c r="D4933" s="4">
        <v>0.009359</v>
      </c>
      <c r="E4933" s="0" t="inlineStr">
        <is>
          <t xml:space="preserve">GEODESICX, INC.</t>
        </is>
      </c>
      <c r="F4933" s="0" t="inlineStr">
        <is>
          <t xml:space="preserve">naics:336612</t>
        </is>
      </c>
    </row>
    <row r="4934">
      <c r="B4934" s="0" t="inlineStr">
        <is>
          <t xml:space="preserve">N0010421PDB81</t>
        </is>
      </c>
      <c r="C4934" s="0" t="inlineStr">
        <is>
          <t xml:space="preserve">small_craft</t>
        </is>
      </c>
      <c r="D4934" s="4">
        <v>0.009348</v>
      </c>
      <c r="E4934" s="0" t="inlineStr">
        <is>
          <t xml:space="preserve">JUNIPER ELBOW CO. INC.</t>
        </is>
      </c>
      <c r="F4934" s="0" t="inlineStr">
        <is>
          <t xml:space="preserve">naics:336612</t>
        </is>
      </c>
    </row>
    <row r="4935">
      <c r="B4935" s="0" t="inlineStr">
        <is>
          <t xml:space="preserve">N0010423PEL82</t>
        </is>
      </c>
      <c r="C4935" s="0" t="inlineStr">
        <is>
          <t xml:space="preserve">small_craft</t>
        </is>
      </c>
      <c r="D4935" s="4">
        <v>0.0093307</v>
      </c>
      <c r="E4935" s="0" t="inlineStr">
        <is>
          <t xml:space="preserve">ADIRONDACK ELECTRONICS INC</t>
        </is>
      </c>
      <c r="F4935" s="0" t="inlineStr">
        <is>
          <t xml:space="preserve">naics:336612</t>
        </is>
      </c>
    </row>
    <row r="4936">
      <c r="B4936" s="0" t="inlineStr">
        <is>
          <t xml:space="preserve">0050</t>
        </is>
      </c>
      <c r="C4936" s="0" t="inlineStr">
        <is>
          <t xml:space="preserve">broad_maritime</t>
        </is>
      </c>
      <c r="D4936" s="4">
        <v>0.009314</v>
      </c>
      <c r="E4936" s="0" t="inlineStr">
        <is>
          <t xml:space="preserve">ELECTRIC BOAT CORPORATION</t>
        </is>
      </c>
      <c r="F4936" s="0" t="inlineStr">
        <is>
          <t xml:space="preserve">psc:1905</t>
        </is>
      </c>
    </row>
    <row r="4937">
      <c r="B4937" s="0" t="inlineStr">
        <is>
          <t xml:space="preserve">N3220519F8116</t>
        </is>
      </c>
      <c r="C4937" s="0" t="inlineStr">
        <is>
          <t xml:space="preserve">other_small</t>
        </is>
      </c>
      <c r="D4937" s="4">
        <v>0.00929743</v>
      </c>
      <c r="E4937" s="0" t="inlineStr">
        <is>
          <t xml:space="preserve">LAKE SHORE SYSTEMS, INC.</t>
        </is>
      </c>
      <c r="F4937" s="0" t="inlineStr">
        <is>
          <t xml:space="preserve">psc:1990</t>
        </is>
      </c>
    </row>
    <row r="4938">
      <c r="B4938" s="0" t="inlineStr">
        <is>
          <t xml:space="preserve">N0010426PSA38</t>
        </is>
      </c>
      <c r="C4938" s="0" t="inlineStr">
        <is>
          <t xml:space="preserve">small_craft</t>
        </is>
      </c>
      <c r="D4938" s="4">
        <v>0.009274</v>
      </c>
      <c r="E4938" s="0" t="inlineStr">
        <is>
          <t xml:space="preserve">MAGNA DRIVE CORP</t>
        </is>
      </c>
      <c r="F4938" s="0" t="inlineStr">
        <is>
          <t xml:space="preserve">naics:336612</t>
        </is>
      </c>
    </row>
    <row r="4939">
      <c r="B4939" s="0" t="inlineStr">
        <is>
          <t xml:space="preserve">N0010421PXB53</t>
        </is>
      </c>
      <c r="C4939" s="0" t="inlineStr">
        <is>
          <t xml:space="preserve">small_craft</t>
        </is>
      </c>
      <c r="D4939" s="4">
        <v>0.00918334</v>
      </c>
      <c r="E4939" s="0" t="inlineStr">
        <is>
          <t xml:space="preserve">VIRGINIA ELECTRONIC SYSTEMS, INC.</t>
        </is>
      </c>
      <c r="F4939" s="0" t="inlineStr">
        <is>
          <t xml:space="preserve">psc:1940</t>
        </is>
      </c>
    </row>
    <row r="4940">
      <c r="B4940" s="0" t="inlineStr">
        <is>
          <t xml:space="preserve">N4044208P5207</t>
        </is>
      </c>
      <c r="C4940" s="0" t="inlineStr">
        <is>
          <t xml:space="preserve">small_craft</t>
        </is>
      </c>
      <c r="D4940" s="4">
        <v>0.009134</v>
      </c>
      <c r="E4940" s="0" t="inlineStr">
        <is>
          <t xml:space="preserve">PALFINGER MARINE USA, LLC</t>
        </is>
      </c>
      <c r="F4940" s="0" t="inlineStr">
        <is>
          <t xml:space="preserve">naics:336612</t>
        </is>
      </c>
    </row>
    <row r="4941">
      <c r="B4941" s="0" t="inlineStr">
        <is>
          <t xml:space="preserve">N0010416PCE42</t>
        </is>
      </c>
      <c r="C4941" s="0" t="inlineStr">
        <is>
          <t xml:space="preserve">small_craft</t>
        </is>
      </c>
      <c r="D4941" s="4">
        <v>0.009125</v>
      </c>
      <c r="E4941" s="0" t="inlineStr">
        <is>
          <t xml:space="preserve">ROLLS-ROYCE MARINE NORTH AMERICA INC.</t>
        </is>
      </c>
      <c r="F4941" s="0" t="inlineStr">
        <is>
          <t xml:space="preserve">naics:336612</t>
        </is>
      </c>
    </row>
    <row r="4942">
      <c r="B4942" s="0" t="inlineStr">
        <is>
          <t xml:space="preserve">N0040617P2069</t>
        </is>
      </c>
      <c r="C4942" s="0" t="inlineStr">
        <is>
          <t xml:space="preserve">small_craft</t>
        </is>
      </c>
      <c r="D4942" s="4">
        <v>0.00912</v>
      </c>
      <c r="E4942" s="0" t="inlineStr">
        <is>
          <t xml:space="preserve">PIER SIDE SUPPLY INC</t>
        </is>
      </c>
      <c r="F4942" s="0" t="inlineStr">
        <is>
          <t xml:space="preserve">naics:336612</t>
        </is>
      </c>
    </row>
    <row r="4943">
      <c r="B4943" s="0" t="inlineStr">
        <is>
          <t xml:space="preserve">N0010421PCD60</t>
        </is>
      </c>
      <c r="C4943" s="0" t="inlineStr">
        <is>
          <t xml:space="preserve">small_craft</t>
        </is>
      </c>
      <c r="D4943" s="4">
        <v>0.0091</v>
      </c>
      <c r="E4943" s="0" t="inlineStr">
        <is>
          <t xml:space="preserve">ALLIED MARINE SERVICES LLC</t>
        </is>
      </c>
      <c r="F4943" s="0" t="inlineStr">
        <is>
          <t xml:space="preserve">naics:336612</t>
        </is>
      </c>
    </row>
    <row r="4944">
      <c r="B4944" s="0" t="inlineStr">
        <is>
          <t xml:space="preserve">N0010423PEF91</t>
        </is>
      </c>
      <c r="C4944" s="0" t="inlineStr">
        <is>
          <t xml:space="preserve">small_craft</t>
        </is>
      </c>
      <c r="D4944" s="4">
        <v>0.00908</v>
      </c>
      <c r="E4944" s="0" t="inlineStr">
        <is>
          <t xml:space="preserve">FLOWSERVE CORP</t>
        </is>
      </c>
      <c r="F4944" s="0" t="inlineStr">
        <is>
          <t xml:space="preserve">naics:336612</t>
        </is>
      </c>
    </row>
    <row r="4945">
      <c r="B4945" s="0" t="inlineStr">
        <is>
          <t xml:space="preserve">N0040616P0637</t>
        </is>
      </c>
      <c r="C4945" s="0" t="inlineStr">
        <is>
          <t xml:space="preserve">small_craft</t>
        </is>
      </c>
      <c r="D4945" s="4">
        <v>0.009056799999999999</v>
      </c>
      <c r="E4945" s="0" t="inlineStr">
        <is>
          <t xml:space="preserve">OUTSOURCE LTD</t>
        </is>
      </c>
      <c r="F4945" s="0" t="inlineStr">
        <is>
          <t xml:space="preserve">naics:336612</t>
        </is>
      </c>
    </row>
    <row r="4946">
      <c r="B4946" s="0" t="inlineStr">
        <is>
          <t xml:space="preserve">N0010421PDB82</t>
        </is>
      </c>
      <c r="C4946" s="0" t="inlineStr">
        <is>
          <t xml:space="preserve">small_craft</t>
        </is>
      </c>
      <c r="D4946" s="4">
        <v>0.00904</v>
      </c>
      <c r="E4946" s="0" t="inlineStr">
        <is>
          <t xml:space="preserve">JUNIPER ELBOW CO. INC.</t>
        </is>
      </c>
      <c r="F4946" s="0" t="inlineStr">
        <is>
          <t xml:space="preserve">naics:336612</t>
        </is>
      </c>
    </row>
    <row r="4947">
      <c r="B4947" s="0" t="inlineStr">
        <is>
          <t xml:space="preserve">N0010419PNE62</t>
        </is>
      </c>
      <c r="C4947" s="0" t="inlineStr">
        <is>
          <t xml:space="preserve">small_craft</t>
        </is>
      </c>
      <c r="D4947" s="4">
        <v>0.009</v>
      </c>
      <c r="E4947" s="0" t="inlineStr">
        <is>
          <t xml:space="preserve">CURTISS-WRIGHT ELECTRO-MECHANICAL CORPORATION</t>
        </is>
      </c>
      <c r="F4947" s="0" t="inlineStr">
        <is>
          <t xml:space="preserve">naics:336612</t>
        </is>
      </c>
    </row>
    <row r="4948">
      <c r="B4948" s="0" t="inlineStr">
        <is>
          <t xml:space="preserve">LH62</t>
        </is>
      </c>
      <c r="C4948" s="0" t="inlineStr">
        <is>
          <t xml:space="preserve">other_small</t>
        </is>
      </c>
      <c r="D4948" s="4">
        <v>0.009</v>
      </c>
      <c r="E4948" s="0" t="inlineStr">
        <is>
          <t xml:space="preserve">MCALLISTER TOWING AND TRANSPORTATION COMPANY, INC.</t>
        </is>
      </c>
      <c r="F4948" s="0" t="inlineStr">
        <is>
          <t xml:space="preserve">psc:1990</t>
        </is>
      </c>
    </row>
    <row r="4949">
      <c r="B4949" s="0" t="inlineStr">
        <is>
          <t xml:space="preserve">N0010426PQA68</t>
        </is>
      </c>
      <c r="C4949" s="0" t="inlineStr">
        <is>
          <t xml:space="preserve">small_craft</t>
        </is>
      </c>
      <c r="D4949" s="4">
        <v>0.008969999999999999</v>
      </c>
      <c r="E4949" s="0" t="inlineStr">
        <is>
          <t xml:space="preserve">CORNET TECHNOLOGY, INC.</t>
        </is>
      </c>
      <c r="F4949" s="0" t="inlineStr">
        <is>
          <t xml:space="preserve">naics:336612</t>
        </is>
      </c>
    </row>
    <row r="4950">
      <c r="B4950" s="0" t="inlineStr">
        <is>
          <t xml:space="preserve">N0010424PEF94</t>
        </is>
      </c>
      <c r="C4950" s="0" t="inlineStr">
        <is>
          <t xml:space="preserve">small_craft</t>
        </is>
      </c>
      <c r="D4950" s="4">
        <v>0.0089526</v>
      </c>
      <c r="E4950" s="0" t="inlineStr">
        <is>
          <t xml:space="preserve">WHOLESALE BATTERIES, INC.</t>
        </is>
      </c>
      <c r="F4950" s="0" t="inlineStr">
        <is>
          <t xml:space="preserve">naics:336612</t>
        </is>
      </c>
    </row>
    <row r="4951">
      <c r="B4951" s="0" t="inlineStr">
        <is>
          <t xml:space="preserve">N0010419PDC48</t>
        </is>
      </c>
      <c r="C4951" s="0" t="inlineStr">
        <is>
          <t xml:space="preserve">small_craft</t>
        </is>
      </c>
      <c r="D4951" s="4">
        <v>0.00895</v>
      </c>
      <c r="E4951" s="0" t="inlineStr">
        <is>
          <t xml:space="preserve">ROLLS-ROYCE MARINE NORTH AMERICA INC.</t>
        </is>
      </c>
      <c r="F4951" s="0" t="inlineStr">
        <is>
          <t xml:space="preserve">naics:336612</t>
        </is>
      </c>
    </row>
    <row r="4952">
      <c r="B4952" s="0" t="inlineStr">
        <is>
          <t xml:space="preserve">N3220517F0892</t>
        </is>
      </c>
      <c r="C4952" s="0" t="inlineStr">
        <is>
          <t xml:space="preserve">other_small</t>
        </is>
      </c>
      <c r="D4952" s="4">
        <v>0.00894</v>
      </c>
      <c r="E4952" s="0" t="inlineStr">
        <is>
          <t xml:space="preserve">LAKE SHORE SYSTEMS, INC.</t>
        </is>
      </c>
      <c r="F4952" s="0" t="inlineStr">
        <is>
          <t xml:space="preserve">psc:1990</t>
        </is>
      </c>
    </row>
    <row r="4953">
      <c r="B4953" s="0" t="inlineStr">
        <is>
          <t xml:space="preserve">N0010416PCD86</t>
        </is>
      </c>
      <c r="C4953" s="0" t="inlineStr">
        <is>
          <t xml:space="preserve">small_craft</t>
        </is>
      </c>
      <c r="D4953" s="4">
        <v>0.008935</v>
      </c>
      <c r="E4953" s="0" t="inlineStr">
        <is>
          <t xml:space="preserve">KINGSBURY INC</t>
        </is>
      </c>
      <c r="F4953" s="0" t="inlineStr">
        <is>
          <t xml:space="preserve">naics:336612</t>
        </is>
      </c>
    </row>
    <row r="4954">
      <c r="B4954" s="0" t="inlineStr">
        <is>
          <t xml:space="preserve">M6700116P1329</t>
        </is>
      </c>
      <c r="C4954" s="0" t="inlineStr">
        <is>
          <t xml:space="preserve">small_craft</t>
        </is>
      </c>
      <c r="D4954" s="4">
        <v>0.008882919999999999</v>
      </c>
      <c r="E4954" s="0" t="inlineStr">
        <is>
          <t xml:space="preserve">TECHNOFORMERS LLC</t>
        </is>
      </c>
      <c r="F4954" s="0" t="inlineStr">
        <is>
          <t xml:space="preserve">naics:336612</t>
        </is>
      </c>
    </row>
    <row r="4955">
      <c r="B4955" s="0" t="inlineStr">
        <is>
          <t xml:space="preserve">N0040616P1319</t>
        </is>
      </c>
      <c r="C4955" s="0" t="inlineStr">
        <is>
          <t xml:space="preserve">small_craft</t>
        </is>
      </c>
      <c r="D4955" s="4">
        <v>0.008875</v>
      </c>
      <c r="E4955" s="0" t="inlineStr">
        <is>
          <t xml:space="preserve">J.D.A. MARITIME, INC.</t>
        </is>
      </c>
      <c r="F4955" s="0" t="inlineStr">
        <is>
          <t xml:space="preserve">naics:336612</t>
        </is>
      </c>
    </row>
    <row r="4956">
      <c r="B4956" s="0" t="inlineStr">
        <is>
          <t xml:space="preserve">0002</t>
        </is>
      </c>
      <c r="C4956" s="0" t="inlineStr">
        <is>
          <t xml:space="preserve">other_small</t>
        </is>
      </c>
      <c r="D4956" s="4">
        <v>0.008842</v>
      </c>
      <c r="E4956" s="0" t="inlineStr">
        <is>
          <t xml:space="preserve">LAKE SHORE SYSTEMS, INC.</t>
        </is>
      </c>
      <c r="F4956" s="0" t="inlineStr">
        <is>
          <t xml:space="preserve">psc:1990</t>
        </is>
      </c>
    </row>
    <row r="4957">
      <c r="B4957" s="0" t="inlineStr">
        <is>
          <t xml:space="preserve">N0010421PEJ30</t>
        </is>
      </c>
      <c r="C4957" s="0" t="inlineStr">
        <is>
          <t xml:space="preserve">small_craft</t>
        </is>
      </c>
      <c r="D4957" s="4">
        <v>0.00883275</v>
      </c>
      <c r="E4957" s="0" t="inlineStr">
        <is>
          <t xml:space="preserve">HAN-BOONE INTERNATIONAL, INC.</t>
        </is>
      </c>
      <c r="F4957" s="0" t="inlineStr">
        <is>
          <t xml:space="preserve">naics:336612</t>
        </is>
      </c>
    </row>
    <row r="4958">
      <c r="B4958" s="0" t="inlineStr">
        <is>
          <t xml:space="preserve">N0010425PYD64</t>
        </is>
      </c>
      <c r="C4958" s="0" t="inlineStr">
        <is>
          <t xml:space="preserve">small_craft</t>
        </is>
      </c>
      <c r="D4958" s="4">
        <v>0.008825</v>
      </c>
      <c r="E4958" s="0" t="inlineStr">
        <is>
          <t xml:space="preserve">MDF TECHNOLOGIES INC</t>
        </is>
      </c>
      <c r="F4958" s="0" t="inlineStr">
        <is>
          <t xml:space="preserve">naics:336612</t>
        </is>
      </c>
    </row>
    <row r="4959">
      <c r="B4959" s="0" t="inlineStr">
        <is>
          <t xml:space="preserve">N0040617P1742</t>
        </is>
      </c>
      <c r="C4959" s="0" t="inlineStr">
        <is>
          <t xml:space="preserve">small_craft</t>
        </is>
      </c>
      <c r="D4959" s="4">
        <v>0.008785</v>
      </c>
      <c r="E4959" s="0" t="inlineStr">
        <is>
          <t xml:space="preserve">J.D.A. MARITIME, INC.</t>
        </is>
      </c>
      <c r="F4959" s="0" t="inlineStr">
        <is>
          <t xml:space="preserve">naics:336612</t>
        </is>
      </c>
    </row>
    <row r="4960">
      <c r="B4960" s="0" t="inlineStr">
        <is>
          <t xml:space="preserve">N0040616P2884</t>
        </is>
      </c>
      <c r="C4960" s="0" t="inlineStr">
        <is>
          <t xml:space="preserve">small_craft</t>
        </is>
      </c>
      <c r="D4960" s="4">
        <v>0.008775</v>
      </c>
      <c r="E4960" s="0" t="inlineStr">
        <is>
          <t xml:space="preserve">J.D.A. MARITIME, INC.</t>
        </is>
      </c>
      <c r="F4960" s="0" t="inlineStr">
        <is>
          <t xml:space="preserve">naics:336612</t>
        </is>
      </c>
    </row>
    <row r="4961">
      <c r="B4961" s="0" t="inlineStr">
        <is>
          <t xml:space="preserve">0069</t>
        </is>
      </c>
      <c r="C4961" s="0" t="inlineStr">
        <is>
          <t xml:space="preserve">other_small</t>
        </is>
      </c>
      <c r="D4961" s="4">
        <v>0.00876546</v>
      </c>
      <c r="E4961" s="0" t="inlineStr">
        <is>
          <t xml:space="preserve">AUSTAL USA, LLC</t>
        </is>
      </c>
      <c r="F4961" s="0" t="inlineStr">
        <is>
          <t xml:space="preserve">psc:1990</t>
        </is>
      </c>
    </row>
    <row r="4962">
      <c r="B4962" s="0" t="inlineStr">
        <is>
          <t xml:space="preserve">N3904017F0095</t>
        </is>
      </c>
      <c r="C4962" s="0" t="inlineStr">
        <is>
          <t xml:space="preserve">broad_maritime</t>
        </is>
      </c>
      <c r="D4962" s="4">
        <v>0.008714999999999999</v>
      </c>
      <c r="E4962" s="0" t="inlineStr">
        <is>
          <t xml:space="preserve">ELECTRIC BOAT CORPORATION</t>
        </is>
      </c>
      <c r="F4962" s="0" t="inlineStr">
        <is>
          <t xml:space="preserve">psc:1905</t>
        </is>
      </c>
    </row>
    <row r="4963">
      <c r="B4963" s="0" t="inlineStr">
        <is>
          <t xml:space="preserve">N0040615P3653</t>
        </is>
      </c>
      <c r="C4963" s="0" t="inlineStr">
        <is>
          <t xml:space="preserve">small_craft</t>
        </is>
      </c>
      <c r="D4963" s="4">
        <v>0.008624999999999999</v>
      </c>
      <c r="E4963" s="0" t="inlineStr">
        <is>
          <t xml:space="preserve">J.D.A. MARITIME, INC.</t>
        </is>
      </c>
      <c r="F4963" s="0" t="inlineStr">
        <is>
          <t xml:space="preserve">naics:336612</t>
        </is>
      </c>
    </row>
    <row r="4964">
      <c r="B4964" s="0" t="inlineStr">
        <is>
          <t xml:space="preserve">N4044207P5536</t>
        </is>
      </c>
      <c r="C4964" s="0" t="inlineStr">
        <is>
          <t xml:space="preserve">other_small</t>
        </is>
      </c>
      <c r="D4964" s="4">
        <v>0.0086011</v>
      </c>
      <c r="E4964" s="0" t="inlineStr">
        <is>
          <t xml:space="preserve">ENGINEERED SYSTEMS &amp; PRODUCTS, INC.</t>
        </is>
      </c>
      <c r="F4964" s="0" t="inlineStr">
        <is>
          <t xml:space="preserve">psc:1925</t>
        </is>
      </c>
    </row>
    <row r="4965">
      <c r="B4965" s="0" t="inlineStr">
        <is>
          <t xml:space="preserve">N0010422PK901</t>
        </is>
      </c>
      <c r="C4965" s="0" t="inlineStr">
        <is>
          <t xml:space="preserve">other_small</t>
        </is>
      </c>
      <c r="D4965" s="4">
        <v>0.008583</v>
      </c>
      <c r="E4965" s="0" t="inlineStr">
        <is>
          <t xml:space="preserve">D3 DIVING LLC</t>
        </is>
      </c>
      <c r="F4965" s="0" t="inlineStr">
        <is>
          <t xml:space="preserve">psc:1990</t>
        </is>
      </c>
    </row>
    <row r="4966">
      <c r="B4966" s="0" t="inlineStr">
        <is>
          <t xml:space="preserve">N3220518F1315</t>
        </is>
      </c>
      <c r="C4966" s="0" t="inlineStr">
        <is>
          <t xml:space="preserve">other_small</t>
        </is>
      </c>
      <c r="D4966" s="4">
        <v>0.00857801</v>
      </c>
      <c r="E4966" s="0" t="inlineStr">
        <is>
          <t xml:space="preserve">LAKE SHORE SYSTEMS, INC.</t>
        </is>
      </c>
      <c r="F4966" s="0" t="inlineStr">
        <is>
          <t xml:space="preserve">psc:1990</t>
        </is>
      </c>
    </row>
    <row r="4967">
      <c r="B4967" s="0" t="inlineStr">
        <is>
          <t xml:space="preserve">N0010426PBB38</t>
        </is>
      </c>
      <c r="C4967" s="0" t="inlineStr">
        <is>
          <t xml:space="preserve">small_craft</t>
        </is>
      </c>
      <c r="D4967" s="4">
        <v>0.008535</v>
      </c>
      <c r="E4967" s="0" t="inlineStr">
        <is>
          <t xml:space="preserve">GENERAL NUCLEAR CORP</t>
        </is>
      </c>
      <c r="F4967" s="0" t="inlineStr">
        <is>
          <t xml:space="preserve">naics:336612</t>
        </is>
      </c>
    </row>
    <row r="4968">
      <c r="B4968" s="0" t="inlineStr">
        <is>
          <t xml:space="preserve">N0040618P1704</t>
        </is>
      </c>
      <c r="C4968" s="0" t="inlineStr">
        <is>
          <t xml:space="preserve">small_craft</t>
        </is>
      </c>
      <c r="D4968" s="4">
        <v>0.008499999999999999</v>
      </c>
      <c r="E4968" s="0" t="inlineStr">
        <is>
          <t xml:space="preserve">PACIFIC MARITIME INDUSTRIES CORP.</t>
        </is>
      </c>
      <c r="F4968" s="0" t="inlineStr">
        <is>
          <t xml:space="preserve">naics:336612</t>
        </is>
      </c>
    </row>
    <row r="4969">
      <c r="B4969" s="0" t="inlineStr">
        <is>
          <t xml:space="preserve">N0040616P1625</t>
        </is>
      </c>
      <c r="C4969" s="0" t="inlineStr">
        <is>
          <t xml:space="preserve">small_craft</t>
        </is>
      </c>
      <c r="D4969" s="4">
        <v>0.008499999999999999</v>
      </c>
      <c r="E4969" s="0" t="inlineStr">
        <is>
          <t xml:space="preserve">PACIFIC MARITIME INDUSTRIES CORP.</t>
        </is>
      </c>
      <c r="F4969" s="0" t="inlineStr">
        <is>
          <t xml:space="preserve">naics:336612</t>
        </is>
      </c>
    </row>
    <row r="4970">
      <c r="B4970" s="0" t="inlineStr">
        <is>
          <t xml:space="preserve">N6883617F0130</t>
        </is>
      </c>
      <c r="C4970" s="0" t="inlineStr">
        <is>
          <t xml:space="preserve">small_craft</t>
        </is>
      </c>
      <c r="D4970" s="4">
        <v>0.008478</v>
      </c>
      <c r="E4970" s="0" t="inlineStr">
        <is>
          <t xml:space="preserve">VIGOR KVICHAK LLC</t>
        </is>
      </c>
      <c r="F4970" s="0" t="inlineStr">
        <is>
          <t xml:space="preserve">naics:336612</t>
        </is>
      </c>
    </row>
    <row r="4971">
      <c r="B4971" s="0" t="inlineStr">
        <is>
          <t xml:space="preserve">N0040615P1950</t>
        </is>
      </c>
      <c r="C4971" s="0" t="inlineStr">
        <is>
          <t xml:space="preserve">small_craft</t>
        </is>
      </c>
      <c r="D4971" s="4">
        <v>0.008475</v>
      </c>
      <c r="E4971" s="0" t="inlineStr">
        <is>
          <t xml:space="preserve">J.D.A. MARITIME, INC.</t>
        </is>
      </c>
      <c r="F4971" s="0" t="inlineStr">
        <is>
          <t xml:space="preserve">naics:336612</t>
        </is>
      </c>
    </row>
    <row r="4972">
      <c r="B4972" s="0" t="inlineStr">
        <is>
          <t xml:space="preserve">N0010422PSB91</t>
        </is>
      </c>
      <c r="C4972" s="0" t="inlineStr">
        <is>
          <t xml:space="preserve">small_craft</t>
        </is>
      </c>
      <c r="D4972" s="4">
        <v>0.00840509</v>
      </c>
      <c r="E4972" s="0" t="inlineStr">
        <is>
          <t xml:space="preserve">THALES USA, INC.</t>
        </is>
      </c>
      <c r="F4972" s="0" t="inlineStr">
        <is>
          <t xml:space="preserve">naics:336612</t>
        </is>
      </c>
    </row>
    <row r="4973">
      <c r="B4973" s="0" t="inlineStr">
        <is>
          <t xml:space="preserve">M6701516P0001</t>
        </is>
      </c>
      <c r="C4973" s="0" t="inlineStr">
        <is>
          <t xml:space="preserve">other_small</t>
        </is>
      </c>
      <c r="D4973" s="4">
        <v>0.00839</v>
      </c>
      <c r="E4973" s="0" t="inlineStr">
        <is>
          <t xml:space="preserve">MIKES TRUCK &amp; TRAILER REPAIR, INC.</t>
        </is>
      </c>
      <c r="F4973" s="0" t="inlineStr">
        <is>
          <t xml:space="preserve">psc:1925</t>
        </is>
      </c>
    </row>
    <row r="4974">
      <c r="B4974" s="0" t="inlineStr">
        <is>
          <t xml:space="preserve">LH83</t>
        </is>
      </c>
      <c r="C4974" s="0" t="inlineStr">
        <is>
          <t xml:space="preserve">other_small</t>
        </is>
      </c>
      <c r="D4974" s="4">
        <v>0.008385</v>
      </c>
      <c r="E4974" s="0" t="inlineStr">
        <is>
          <t xml:space="preserve">MCALLISTER TOWING AND TRANSPORTATION COMPANY, INC.</t>
        </is>
      </c>
      <c r="F4974" s="0" t="inlineStr">
        <is>
          <t xml:space="preserve">psc:1990</t>
        </is>
      </c>
    </row>
    <row r="4975">
      <c r="B4975" s="0" t="inlineStr">
        <is>
          <t xml:space="preserve">N0024416P0192</t>
        </is>
      </c>
      <c r="C4975" s="0" t="inlineStr">
        <is>
          <t xml:space="preserve">small_craft</t>
        </is>
      </c>
      <c r="D4975" s="4">
        <v>0.008352120000000001</v>
      </c>
      <c r="E4975" s="0" t="inlineStr">
        <is>
          <t xml:space="preserve">MAURER MARINE, INC.</t>
        </is>
      </c>
      <c r="F4975" s="0" t="inlineStr">
        <is>
          <t xml:space="preserve">naics:336612</t>
        </is>
      </c>
    </row>
    <row r="4976">
      <c r="B4976" s="0" t="inlineStr">
        <is>
          <t xml:space="preserve">LH45</t>
        </is>
      </c>
      <c r="C4976" s="0" t="inlineStr">
        <is>
          <t xml:space="preserve">other_small</t>
        </is>
      </c>
      <c r="D4976" s="4">
        <v>0.0083125</v>
      </c>
      <c r="E4976" s="0" t="inlineStr">
        <is>
          <t xml:space="preserve">MCALLISTER TOWING AND TRANSPORTATION COMPANY, INC.</t>
        </is>
      </c>
      <c r="F4976" s="0" t="inlineStr">
        <is>
          <t xml:space="preserve">psc:1990</t>
        </is>
      </c>
    </row>
    <row r="4977">
      <c r="B4977" s="0" t="inlineStr">
        <is>
          <t xml:space="preserve">N0040616P1320</t>
        </is>
      </c>
      <c r="C4977" s="0" t="inlineStr">
        <is>
          <t xml:space="preserve">small_craft</t>
        </is>
      </c>
      <c r="D4977" s="4">
        <v>0.00830835</v>
      </c>
      <c r="E4977" s="0" t="inlineStr">
        <is>
          <t xml:space="preserve">J.D.A. MARITIME, INC.</t>
        </is>
      </c>
      <c r="F4977" s="0" t="inlineStr">
        <is>
          <t xml:space="preserve">naics:336612</t>
        </is>
      </c>
    </row>
    <row r="4978">
      <c r="B4978" s="0" t="inlineStr">
        <is>
          <t xml:space="preserve">0009</t>
        </is>
      </c>
      <c r="C4978" s="0" t="inlineStr">
        <is>
          <t xml:space="preserve">broad_maritime</t>
        </is>
      </c>
      <c r="D4978" s="4">
        <v>0.008306</v>
      </c>
      <c r="E4978" s="0" t="inlineStr">
        <is>
          <t xml:space="preserve">ELECTRIC BOAT CORPORATION</t>
        </is>
      </c>
      <c r="F4978" s="0" t="inlineStr">
        <is>
          <t xml:space="preserve">psc:1905</t>
        </is>
      </c>
    </row>
    <row r="4979">
      <c r="B4979" s="0" t="inlineStr">
        <is>
          <t xml:space="preserve">N0040616P0553</t>
        </is>
      </c>
      <c r="C4979" s="0" t="inlineStr">
        <is>
          <t xml:space="preserve">small_craft</t>
        </is>
      </c>
      <c r="D4979" s="4">
        <v>0.008305</v>
      </c>
      <c r="E4979" s="0" t="inlineStr">
        <is>
          <t xml:space="preserve">J.D.A. MARITIME, INC.</t>
        </is>
      </c>
      <c r="F4979" s="0" t="inlineStr">
        <is>
          <t xml:space="preserve">naics:336612</t>
        </is>
      </c>
    </row>
    <row r="4980">
      <c r="B4980" s="0" t="inlineStr">
        <is>
          <t xml:space="preserve">N0040616P2522</t>
        </is>
      </c>
      <c r="C4980" s="0" t="inlineStr">
        <is>
          <t xml:space="preserve">small_craft</t>
        </is>
      </c>
      <c r="D4980" s="4">
        <v>0.0083</v>
      </c>
      <c r="E4980" s="0" t="inlineStr">
        <is>
          <t xml:space="preserve">RAILWAY SPECIALTIES CORP</t>
        </is>
      </c>
      <c r="F4980" s="0" t="inlineStr">
        <is>
          <t xml:space="preserve">naics:336612</t>
        </is>
      </c>
    </row>
    <row r="4981">
      <c r="B4981" s="0" t="inlineStr">
        <is>
          <t xml:space="preserve">N0040617P0251</t>
        </is>
      </c>
      <c r="C4981" s="0" t="inlineStr">
        <is>
          <t xml:space="preserve">small_craft</t>
        </is>
      </c>
      <c r="D4981" s="4">
        <v>0.008275</v>
      </c>
      <c r="E4981" s="0" t="inlineStr">
        <is>
          <t xml:space="preserve">J.D.A. MARITIME, INC.</t>
        </is>
      </c>
      <c r="F4981" s="0" t="inlineStr">
        <is>
          <t xml:space="preserve">naics:336612</t>
        </is>
      </c>
    </row>
    <row r="4982">
      <c r="B4982" s="0" t="inlineStr">
        <is>
          <t xml:space="preserve">N0010421PDE12</t>
        </is>
      </c>
      <c r="C4982" s="0" t="inlineStr">
        <is>
          <t xml:space="preserve">small_craft</t>
        </is>
      </c>
      <c r="D4982" s="4">
        <v>0.008206999999999999</v>
      </c>
      <c r="E4982" s="0" t="inlineStr">
        <is>
          <t xml:space="preserve">TIMKEN GEARS &amp; SERVICES INC.</t>
        </is>
      </c>
      <c r="F4982" s="0" t="inlineStr">
        <is>
          <t xml:space="preserve">naics:336612</t>
        </is>
      </c>
    </row>
    <row r="4983">
      <c r="B4983" s="0" t="inlineStr">
        <is>
          <t xml:space="preserve">N0040616P2663</t>
        </is>
      </c>
      <c r="C4983" s="0" t="inlineStr">
        <is>
          <t xml:space="preserve">small_craft</t>
        </is>
      </c>
      <c r="D4983" s="4">
        <v>0.008199999999999999</v>
      </c>
      <c r="E4983" s="0" t="inlineStr">
        <is>
          <t xml:space="preserve">RAILWAY SPECIALTIES CORP</t>
        </is>
      </c>
      <c r="F4983" s="0" t="inlineStr">
        <is>
          <t xml:space="preserve">naics:336612</t>
        </is>
      </c>
    </row>
    <row r="4984">
      <c r="B4984" s="0" t="inlineStr">
        <is>
          <t xml:space="preserve">N0040615P3071</t>
        </is>
      </c>
      <c r="C4984" s="0" t="inlineStr">
        <is>
          <t xml:space="preserve">small_craft</t>
        </is>
      </c>
      <c r="D4984" s="4">
        <v>0.008199999999999999</v>
      </c>
      <c r="E4984" s="0" t="inlineStr">
        <is>
          <t xml:space="preserve">PACIFIC MARITIME INDUSTRIES CORP.</t>
        </is>
      </c>
      <c r="F4984" s="0" t="inlineStr">
        <is>
          <t xml:space="preserve">naics:336612</t>
        </is>
      </c>
    </row>
    <row r="4985">
      <c r="B4985" s="0" t="inlineStr">
        <is>
          <t xml:space="preserve">N6278914P0001</t>
        </is>
      </c>
      <c r="C4985" s="0" t="inlineStr">
        <is>
          <t xml:space="preserve">broad_maritime</t>
        </is>
      </c>
      <c r="D4985" s="4">
        <v>0.008190359999999999</v>
      </c>
      <c r="E4985" s="0" t="inlineStr">
        <is>
          <t xml:space="preserve">YORK INTERNATIONAL CORPORATION</t>
        </is>
      </c>
      <c r="F4985" s="0" t="inlineStr">
        <is>
          <t xml:space="preserve">psc:1905</t>
        </is>
      </c>
    </row>
    <row r="4986">
      <c r="B4986" s="0" t="inlineStr">
        <is>
          <t xml:space="preserve">N0010424PQD96</t>
        </is>
      </c>
      <c r="C4986" s="0" t="inlineStr">
        <is>
          <t xml:space="preserve">small_craft</t>
        </is>
      </c>
      <c r="D4986" s="4">
        <v>0.00817583</v>
      </c>
      <c r="E4986" s="0" t="inlineStr">
        <is>
          <t xml:space="preserve">VERTEX MODERNIZATION AND SUSTAINMENT LLC</t>
        </is>
      </c>
      <c r="F4986" s="0" t="inlineStr">
        <is>
          <t xml:space="preserve">naics:336612</t>
        </is>
      </c>
    </row>
    <row r="4987">
      <c r="B4987" s="0" t="inlineStr">
        <is>
          <t xml:space="preserve">N0010418PDA70</t>
        </is>
      </c>
      <c r="C4987" s="0" t="inlineStr">
        <is>
          <t xml:space="preserve">small_craft</t>
        </is>
      </c>
      <c r="D4987" s="4">
        <v>0.00815</v>
      </c>
      <c r="E4987" s="0" t="inlineStr">
        <is>
          <t xml:space="preserve">TIMKEN GEARS &amp; SERVICES INC.</t>
        </is>
      </c>
      <c r="F4987" s="0" t="inlineStr">
        <is>
          <t xml:space="preserve">naics:336612</t>
        </is>
      </c>
    </row>
    <row r="4988">
      <c r="B4988" s="0" t="inlineStr">
        <is>
          <t xml:space="preserve">LH78</t>
        </is>
      </c>
      <c r="C4988" s="0" t="inlineStr">
        <is>
          <t xml:space="preserve">other_small</t>
        </is>
      </c>
      <c r="D4988" s="4">
        <v>0.00813125</v>
      </c>
      <c r="E4988" s="0" t="inlineStr">
        <is>
          <t xml:space="preserve">MCALLISTER TOWING AND TRANSPORTATION COMPANY, INC.</t>
        </is>
      </c>
      <c r="F4988" s="0" t="inlineStr">
        <is>
          <t xml:space="preserve">psc:1990</t>
        </is>
      </c>
    </row>
    <row r="4989">
      <c r="B4989" s="0" t="inlineStr">
        <is>
          <t xml:space="preserve">N0040615P4060</t>
        </is>
      </c>
      <c r="C4989" s="0" t="inlineStr">
        <is>
          <t xml:space="preserve">small_craft</t>
        </is>
      </c>
      <c r="D4989" s="4">
        <v>0.00813</v>
      </c>
      <c r="E4989" s="0" t="inlineStr">
        <is>
          <t xml:space="preserve">MALPASS CONSTRUCTION CO INC</t>
        </is>
      </c>
      <c r="F4989" s="0" t="inlineStr">
        <is>
          <t xml:space="preserve">naics:336612</t>
        </is>
      </c>
    </row>
    <row r="4990">
      <c r="B4990" s="0" t="inlineStr">
        <is>
          <t xml:space="preserve">LH40</t>
        </is>
      </c>
      <c r="C4990" s="0" t="inlineStr">
        <is>
          <t xml:space="preserve">other_small</t>
        </is>
      </c>
      <c r="D4990" s="4">
        <v>0.008104</v>
      </c>
      <c r="E4990" s="0" t="inlineStr">
        <is>
          <t xml:space="preserve">MCALLISTER TOWING AND TRANSPORTATION COMPANY, INC.</t>
        </is>
      </c>
      <c r="F4990" s="0" t="inlineStr">
        <is>
          <t xml:space="preserve">psc:1990</t>
        </is>
      </c>
    </row>
    <row r="4991">
      <c r="B4991" s="0" t="inlineStr">
        <is>
          <t xml:space="preserve">N0040617P0660</t>
        </is>
      </c>
      <c r="C4991" s="0" t="inlineStr">
        <is>
          <t xml:space="preserve">small_craft</t>
        </is>
      </c>
      <c r="D4991" s="4">
        <v>0.008085</v>
      </c>
      <c r="E4991" s="0" t="inlineStr">
        <is>
          <t xml:space="preserve">J.D.A. MARITIME, INC.</t>
        </is>
      </c>
      <c r="F4991" s="0" t="inlineStr">
        <is>
          <t xml:space="preserve">naics:336612</t>
        </is>
      </c>
    </row>
    <row r="4992">
      <c r="B4992" s="0" t="inlineStr">
        <is>
          <t xml:space="preserve">N6600115P6923</t>
        </is>
      </c>
      <c r="C4992" s="0" t="inlineStr">
        <is>
          <t xml:space="preserve">small_craft</t>
        </is>
      </c>
      <c r="D4992" s="4">
        <v>0.008069999999999999</v>
      </c>
      <c r="E4992" s="0" t="inlineStr">
        <is>
          <t xml:space="preserve">LIQUID ROBOTICS FEDERAL, INC.</t>
        </is>
      </c>
      <c r="F4992" s="0" t="inlineStr">
        <is>
          <t xml:space="preserve">naics:336612; psc:1940</t>
        </is>
      </c>
    </row>
    <row r="4993">
      <c r="B4993" s="0" t="inlineStr">
        <is>
          <t xml:space="preserve">N0010421PEH39</t>
        </is>
      </c>
      <c r="C4993" s="0" t="inlineStr">
        <is>
          <t xml:space="preserve">small_craft</t>
        </is>
      </c>
      <c r="D4993" s="4">
        <v>0.008064</v>
      </c>
      <c r="E4993" s="0" t="inlineStr">
        <is>
          <t xml:space="preserve">PAINTER TOOL INCORPORATED</t>
        </is>
      </c>
      <c r="F4993" s="0" t="inlineStr">
        <is>
          <t xml:space="preserve">naics:336612</t>
        </is>
      </c>
    </row>
    <row r="4994">
      <c r="B4994" s="0" t="inlineStr">
        <is>
          <t xml:space="preserve">N0040618P0492</t>
        </is>
      </c>
      <c r="C4994" s="0" t="inlineStr">
        <is>
          <t xml:space="preserve">small_craft</t>
        </is>
      </c>
      <c r="D4994" s="4">
        <v>0.008</v>
      </c>
      <c r="E4994" s="0" t="inlineStr">
        <is>
          <t xml:space="preserve">J.D.A. MARITIME, INC.</t>
        </is>
      </c>
      <c r="F4994" s="0" t="inlineStr">
        <is>
          <t xml:space="preserve">naics:336612</t>
        </is>
      </c>
    </row>
    <row r="4995">
      <c r="B4995" s="0" t="inlineStr">
        <is>
          <t xml:space="preserve">N0010421PNC64</t>
        </is>
      </c>
      <c r="C4995" s="0" t="inlineStr">
        <is>
          <t xml:space="preserve">small_craft</t>
        </is>
      </c>
      <c r="D4995" s="4">
        <v>0.008</v>
      </c>
      <c r="E4995" s="0" t="inlineStr">
        <is>
          <t xml:space="preserve">DUCOMMUN LABARGE TECHNOLOGIES, INC.</t>
        </is>
      </c>
      <c r="F4995" s="0" t="inlineStr">
        <is>
          <t xml:space="preserve">naics:336612</t>
        </is>
      </c>
    </row>
    <row r="4996">
      <c r="B4996" s="0" t="inlineStr">
        <is>
          <t xml:space="preserve">N0017416P0098</t>
        </is>
      </c>
      <c r="C4996" s="0" t="inlineStr">
        <is>
          <t xml:space="preserve">other_small</t>
        </is>
      </c>
      <c r="D4996" s="4">
        <v>0.007999</v>
      </c>
      <c r="E4996" s="0" t="inlineStr">
        <is>
          <t xml:space="preserve">PFAUDLER, INC.</t>
        </is>
      </c>
      <c r="F4996" s="0" t="inlineStr">
        <is>
          <t xml:space="preserve">psc:1990</t>
        </is>
      </c>
    </row>
    <row r="4997">
      <c r="B4997" s="0" t="inlineStr">
        <is>
          <t xml:space="preserve">N0016715P0056</t>
        </is>
      </c>
      <c r="C4997" s="0" t="inlineStr">
        <is>
          <t xml:space="preserve">small_craft</t>
        </is>
      </c>
      <c r="D4997" s="4">
        <v>0.007995</v>
      </c>
      <c r="E4997" s="0" t="inlineStr">
        <is>
          <t xml:space="preserve">MAGNUM VENUS PRODUCTS, INC.</t>
        </is>
      </c>
      <c r="F4997" s="0" t="inlineStr">
        <is>
          <t xml:space="preserve">naics:336612</t>
        </is>
      </c>
    </row>
    <row r="4998">
      <c r="B4998" s="0" t="inlineStr">
        <is>
          <t xml:space="preserve">N0010426PBC88</t>
        </is>
      </c>
      <c r="C4998" s="0" t="inlineStr">
        <is>
          <t xml:space="preserve">small_craft</t>
        </is>
      </c>
      <c r="D4998" s="4">
        <v>0.007989999999999999</v>
      </c>
      <c r="E4998" s="0" t="inlineStr">
        <is>
          <t xml:space="preserve">SKOVIRA MACHINE CO</t>
        </is>
      </c>
      <c r="F4998" s="0" t="inlineStr">
        <is>
          <t xml:space="preserve">naics:336612</t>
        </is>
      </c>
    </row>
    <row r="4999">
      <c r="B4999" s="0" t="inlineStr">
        <is>
          <t xml:space="preserve">GA04</t>
        </is>
      </c>
      <c r="C4999" s="0" t="inlineStr">
        <is>
          <t xml:space="preserve">broad_maritime</t>
        </is>
      </c>
      <c r="D4999" s="4">
        <v>0.007981</v>
      </c>
      <c r="E4999" s="0" t="inlineStr">
        <is>
          <t xml:space="preserve">HUNTINGTON INGALLS INC</t>
        </is>
      </c>
      <c r="F4999" s="0" t="inlineStr">
        <is>
          <t xml:space="preserve">psc:1905</t>
        </is>
      </c>
    </row>
    <row r="5000">
      <c r="B5000" s="0" t="inlineStr">
        <is>
          <t xml:space="preserve">N0040616P2238</t>
        </is>
      </c>
      <c r="C5000" s="0" t="inlineStr">
        <is>
          <t xml:space="preserve">small_craft</t>
        </is>
      </c>
      <c r="D5000" s="4">
        <v>0.00798</v>
      </c>
      <c r="E5000" s="0" t="inlineStr">
        <is>
          <t xml:space="preserve">JUNIPER ELBOW CO. INC.</t>
        </is>
      </c>
      <c r="F5000" s="0" t="inlineStr">
        <is>
          <t xml:space="preserve">naics:336612</t>
        </is>
      </c>
    </row>
    <row r="5001">
      <c r="B5001" s="0" t="inlineStr">
        <is>
          <t xml:space="preserve">N0010417PDD82</t>
        </is>
      </c>
      <c r="C5001" s="0" t="inlineStr">
        <is>
          <t xml:space="preserve">small_craft</t>
        </is>
      </c>
      <c r="D5001" s="4">
        <v>0.007975</v>
      </c>
      <c r="E5001" s="0" t="inlineStr">
        <is>
          <t xml:space="preserve">L3 TECHNOLOGIES, INC.</t>
        </is>
      </c>
      <c r="F5001" s="0" t="inlineStr">
        <is>
          <t xml:space="preserve">naics:336612</t>
        </is>
      </c>
    </row>
    <row r="5002">
      <c r="B5002" s="0" t="inlineStr">
        <is>
          <t xml:space="preserve">N0040618P1854</t>
        </is>
      </c>
      <c r="C5002" s="0" t="inlineStr">
        <is>
          <t xml:space="preserve">small_craft</t>
        </is>
      </c>
      <c r="D5002" s="4">
        <v>0.007956</v>
      </c>
      <c r="E5002" s="0" t="inlineStr">
        <is>
          <t xml:space="preserve">JUNIPER ELBOW CO. INC.</t>
        </is>
      </c>
      <c r="F5002" s="0" t="inlineStr">
        <is>
          <t xml:space="preserve">naics:336612</t>
        </is>
      </c>
    </row>
    <row r="5003">
      <c r="B5003" s="0" t="inlineStr">
        <is>
          <t xml:space="preserve">N4044207P5283</t>
        </is>
      </c>
      <c r="C5003" s="0" t="inlineStr">
        <is>
          <t xml:space="preserve">other_small</t>
        </is>
      </c>
      <c r="D5003" s="4">
        <v>0.00793</v>
      </c>
      <c r="E5003" s="0" t="inlineStr">
        <is>
          <t xml:space="preserve">CIRCOR NAVAL SOLUTIONS LLC</t>
        </is>
      </c>
      <c r="F5003" s="0" t="inlineStr">
        <is>
          <t xml:space="preserve">psc:1925</t>
        </is>
      </c>
    </row>
    <row r="5004">
      <c r="B5004" s="0" t="inlineStr">
        <is>
          <t xml:space="preserve">N0010420PEL03</t>
        </is>
      </c>
      <c r="C5004" s="0" t="inlineStr">
        <is>
          <t xml:space="preserve">small_craft</t>
        </is>
      </c>
      <c r="D5004" s="4">
        <v>0.007916</v>
      </c>
      <c r="E5004" s="0" t="inlineStr">
        <is>
          <t xml:space="preserve">HUGHES CORP</t>
        </is>
      </c>
      <c r="F5004" s="0" t="inlineStr">
        <is>
          <t xml:space="preserve">naics:336612</t>
        </is>
      </c>
    </row>
    <row r="5005">
      <c r="B5005" s="0" t="inlineStr">
        <is>
          <t xml:space="preserve">N3220517P4322</t>
        </is>
      </c>
      <c r="C5005" s="0" t="inlineStr">
        <is>
          <t xml:space="preserve">small_craft</t>
        </is>
      </c>
      <c r="D5005" s="4">
        <v>0.007908</v>
      </c>
      <c r="E5005" s="0" t="inlineStr">
        <is>
          <t xml:space="preserve">FASSMER SERVICE AMERICA LLC</t>
        </is>
      </c>
      <c r="F5005" s="0" t="inlineStr">
        <is>
          <t xml:space="preserve">naics:336612</t>
        </is>
      </c>
    </row>
    <row r="5006">
      <c r="B5006" s="0" t="inlineStr">
        <is>
          <t xml:space="preserve">LH51</t>
        </is>
      </c>
      <c r="C5006" s="0" t="inlineStr">
        <is>
          <t xml:space="preserve">other_small</t>
        </is>
      </c>
      <c r="D5006" s="4">
        <v>0.007904</v>
      </c>
      <c r="E5006" s="0" t="inlineStr">
        <is>
          <t xml:space="preserve">MCALLISTER TOWING AND TRANSPORTATION COMPANY, INC.</t>
        </is>
      </c>
      <c r="F5006" s="0" t="inlineStr">
        <is>
          <t xml:space="preserve">psc:1990</t>
        </is>
      </c>
    </row>
    <row r="5007">
      <c r="B5007" s="0" t="inlineStr">
        <is>
          <t xml:space="preserve">N0040616P2532</t>
        </is>
      </c>
      <c r="C5007" s="0" t="inlineStr">
        <is>
          <t xml:space="preserve">small_craft</t>
        </is>
      </c>
      <c r="D5007" s="4">
        <v>0.007899999999999999</v>
      </c>
      <c r="E5007" s="0" t="inlineStr">
        <is>
          <t xml:space="preserve">PACIFIC MARITIME INDUSTRIES CORP.</t>
        </is>
      </c>
      <c r="F5007" s="0" t="inlineStr">
        <is>
          <t xml:space="preserve">naics:336612</t>
        </is>
      </c>
    </row>
    <row r="5008">
      <c r="B5008" s="0" t="inlineStr">
        <is>
          <t xml:space="preserve">N0040617P1726</t>
        </is>
      </c>
      <c r="C5008" s="0" t="inlineStr">
        <is>
          <t xml:space="preserve">small_craft</t>
        </is>
      </c>
      <c r="D5008" s="4">
        <v>0.007885</v>
      </c>
      <c r="E5008" s="0" t="inlineStr">
        <is>
          <t xml:space="preserve">JAMESTOWN METAL MARINE SALES, INC.</t>
        </is>
      </c>
      <c r="F5008" s="0" t="inlineStr">
        <is>
          <t xml:space="preserve">naics:336612</t>
        </is>
      </c>
    </row>
    <row r="5009">
      <c r="B5009" s="0" t="inlineStr">
        <is>
          <t xml:space="preserve">N0010421PND54</t>
        </is>
      </c>
      <c r="C5009" s="0" t="inlineStr">
        <is>
          <t xml:space="preserve">small_craft</t>
        </is>
      </c>
      <c r="D5009" s="4">
        <v>0.007875</v>
      </c>
      <c r="E5009" s="0" t="inlineStr">
        <is>
          <t xml:space="preserve">MMC METROLOGY LAB, INC.</t>
        </is>
      </c>
      <c r="F5009" s="0" t="inlineStr">
        <is>
          <t xml:space="preserve">naics:336612</t>
        </is>
      </c>
    </row>
    <row r="5010">
      <c r="B5010" s="0" t="inlineStr">
        <is>
          <t xml:space="preserve">N4044210P7197</t>
        </is>
      </c>
      <c r="C5010" s="0" t="inlineStr">
        <is>
          <t xml:space="preserve">small_craft</t>
        </is>
      </c>
      <c r="D5010" s="4">
        <v>0.007857149999999999</v>
      </c>
      <c r="E5010" s="0" t="inlineStr">
        <is>
          <t xml:space="preserve">PALFINGER MARINE USA, LLC</t>
        </is>
      </c>
      <c r="F5010" s="0" t="inlineStr">
        <is>
          <t xml:space="preserve">naics:336612</t>
        </is>
      </c>
    </row>
    <row r="5011">
      <c r="B5011" s="0" t="inlineStr">
        <is>
          <t xml:space="preserve">N0010421PND45</t>
        </is>
      </c>
      <c r="C5011" s="0" t="inlineStr">
        <is>
          <t xml:space="preserve">small_craft</t>
        </is>
      </c>
      <c r="D5011" s="4">
        <v>0.007851</v>
      </c>
      <c r="E5011" s="0" t="inlineStr">
        <is>
          <t xml:space="preserve">NORTHROP GRUMMAN SYSTEMS CORPORATION</t>
        </is>
      </c>
      <c r="F5011" s="0" t="inlineStr">
        <is>
          <t xml:space="preserve">naics:336612</t>
        </is>
      </c>
    </row>
    <row r="5012">
      <c r="B5012" s="0" t="inlineStr">
        <is>
          <t xml:space="preserve">N3220517P7346</t>
        </is>
      </c>
      <c r="C5012" s="0" t="inlineStr">
        <is>
          <t xml:space="preserve">small_craft</t>
        </is>
      </c>
      <c r="D5012" s="4">
        <v>0.00785</v>
      </c>
      <c r="E5012" s="0" t="inlineStr">
        <is>
          <t xml:space="preserve">J. W. MARINE EQUIPMENT, INC.</t>
        </is>
      </c>
      <c r="F5012" s="0" t="inlineStr">
        <is>
          <t xml:space="preserve">naics:336612</t>
        </is>
      </c>
    </row>
    <row r="5013">
      <c r="B5013" s="0" t="inlineStr">
        <is>
          <t xml:space="preserve">N0010421PFB34</t>
        </is>
      </c>
      <c r="C5013" s="0" t="inlineStr">
        <is>
          <t xml:space="preserve">small_craft</t>
        </is>
      </c>
      <c r="D5013" s="4">
        <v>0.007847999999999999</v>
      </c>
      <c r="E5013" s="0" t="inlineStr">
        <is>
          <t xml:space="preserve">D. L. MARTIN CO.</t>
        </is>
      </c>
      <c r="F5013" s="0" t="inlineStr">
        <is>
          <t xml:space="preserve">naics:336612</t>
        </is>
      </c>
    </row>
    <row r="5014">
      <c r="B5014" s="0" t="inlineStr">
        <is>
          <t xml:space="preserve">N0040615P2107</t>
        </is>
      </c>
      <c r="C5014" s="0" t="inlineStr">
        <is>
          <t xml:space="preserve">small_craft</t>
        </is>
      </c>
      <c r="D5014" s="4">
        <v>0.007845</v>
      </c>
      <c r="E5014" s="0" t="inlineStr">
        <is>
          <t xml:space="preserve">RAILWAY SPECIALTIES CORP</t>
        </is>
      </c>
      <c r="F5014" s="0" t="inlineStr">
        <is>
          <t xml:space="preserve">naics:336612</t>
        </is>
      </c>
    </row>
    <row r="5015">
      <c r="B5015" s="0" t="inlineStr">
        <is>
          <t xml:space="preserve">N4044207P5318</t>
        </is>
      </c>
      <c r="C5015" s="0" t="inlineStr">
        <is>
          <t xml:space="preserve">other_small</t>
        </is>
      </c>
      <c r="D5015" s="4">
        <v>0.007831409999999999</v>
      </c>
      <c r="E5015" s="0" t="inlineStr">
        <is>
          <t xml:space="preserve">DOVER FLUID MANAGEMENT, INC.</t>
        </is>
      </c>
      <c r="F5015" s="0" t="inlineStr">
        <is>
          <t xml:space="preserve">psc:1925</t>
        </is>
      </c>
    </row>
    <row r="5016">
      <c r="B5016" s="0" t="inlineStr">
        <is>
          <t xml:space="preserve">N0016725FG055</t>
        </is>
      </c>
      <c r="C5016" s="0" t="inlineStr">
        <is>
          <t xml:space="preserve">small_craft</t>
        </is>
      </c>
      <c r="D5016" s="4">
        <v>0.00773</v>
      </c>
      <c r="E5016" s="0" t="inlineStr">
        <is>
          <t xml:space="preserve">BEACH MARINE SERVICES INC</t>
        </is>
      </c>
      <c r="F5016" s="0" t="inlineStr">
        <is>
          <t xml:space="preserve">naics:336612</t>
        </is>
      </c>
    </row>
    <row r="5017">
      <c r="B5017" s="0" t="inlineStr">
        <is>
          <t xml:space="preserve">N0010422PBP58</t>
        </is>
      </c>
      <c r="C5017" s="0" t="inlineStr">
        <is>
          <t xml:space="preserve">small_craft</t>
        </is>
      </c>
      <c r="D5017" s="4">
        <v>0.0076</v>
      </c>
      <c r="E5017" s="0" t="inlineStr">
        <is>
          <t xml:space="preserve">GENERAL NUCLEAR CORP</t>
        </is>
      </c>
      <c r="F5017" s="0" t="inlineStr">
        <is>
          <t xml:space="preserve">naics:336612</t>
        </is>
      </c>
    </row>
    <row r="5018">
      <c r="B5018" s="0" t="inlineStr">
        <is>
          <t xml:space="preserve">N0010424PQD92</t>
        </is>
      </c>
      <c r="C5018" s="0" t="inlineStr">
        <is>
          <t xml:space="preserve">small_craft</t>
        </is>
      </c>
      <c r="D5018" s="4">
        <v>0.007566</v>
      </c>
      <c r="E5018" s="0" t="inlineStr">
        <is>
          <t xml:space="preserve">CORNET TECHNOLOGY, INC.</t>
        </is>
      </c>
      <c r="F5018" s="0" t="inlineStr">
        <is>
          <t xml:space="preserve">naics:336612</t>
        </is>
      </c>
    </row>
    <row r="5019">
      <c r="B5019" s="0" t="inlineStr">
        <is>
          <t xml:space="preserve">N0010424PEG15</t>
        </is>
      </c>
      <c r="C5019" s="0" t="inlineStr">
        <is>
          <t xml:space="preserve">small_craft</t>
        </is>
      </c>
      <c r="D5019" s="4">
        <v>0.00755725</v>
      </c>
      <c r="E5019" s="0" t="inlineStr">
        <is>
          <t xml:space="preserve">GAFFEL EQUIPMENT</t>
        </is>
      </c>
      <c r="F5019" s="0" t="inlineStr">
        <is>
          <t xml:space="preserve">naics:336612</t>
        </is>
      </c>
    </row>
    <row r="5020">
      <c r="B5020" s="0" t="inlineStr">
        <is>
          <t xml:space="preserve">N0040618P1164</t>
        </is>
      </c>
      <c r="C5020" s="0" t="inlineStr">
        <is>
          <t xml:space="preserve">small_craft</t>
        </is>
      </c>
      <c r="D5020" s="4">
        <v>0.00753156</v>
      </c>
      <c r="E5020" s="0" t="inlineStr">
        <is>
          <t xml:space="preserve">JUNIPER ELBOW CO. INC.</t>
        </is>
      </c>
      <c r="F5020" s="0" t="inlineStr">
        <is>
          <t xml:space="preserve">naics:336612</t>
        </is>
      </c>
    </row>
    <row r="5021">
      <c r="B5021" s="0" t="inlineStr">
        <is>
          <t xml:space="preserve">N6883617P0630</t>
        </is>
      </c>
      <c r="C5021" s="0" t="inlineStr">
        <is>
          <t xml:space="preserve">small_craft</t>
        </is>
      </c>
      <c r="D5021" s="4">
        <v>0.007521</v>
      </c>
      <c r="E5021" s="0" t="inlineStr">
        <is>
          <t xml:space="preserve">QUINCY COMPRESSOR LLC</t>
        </is>
      </c>
      <c r="F5021" s="0" t="inlineStr">
        <is>
          <t xml:space="preserve">naics:336612</t>
        </is>
      </c>
    </row>
    <row r="5022">
      <c r="B5022" s="0" t="inlineStr">
        <is>
          <t xml:space="preserve">N0040618P0315</t>
        </is>
      </c>
      <c r="C5022" s="0" t="inlineStr">
        <is>
          <t xml:space="preserve">small_craft</t>
        </is>
      </c>
      <c r="D5022" s="4">
        <v>0.0075</v>
      </c>
      <c r="E5022" s="0" t="inlineStr">
        <is>
          <t xml:space="preserve">PACIFIC MARITIME INDUSTRIES CORP.</t>
        </is>
      </c>
      <c r="F5022" s="0" t="inlineStr">
        <is>
          <t xml:space="preserve">naics:336612</t>
        </is>
      </c>
    </row>
    <row r="5023">
      <c r="B5023" s="0" t="inlineStr">
        <is>
          <t xml:space="preserve">N0010421PLC83</t>
        </is>
      </c>
      <c r="C5023" s="0" t="inlineStr">
        <is>
          <t xml:space="preserve">small_craft</t>
        </is>
      </c>
      <c r="D5023" s="4">
        <v>0.0075</v>
      </c>
      <c r="E5023" s="0" t="inlineStr">
        <is>
          <t xml:space="preserve">GENERAL DYNAMICS-OTS, INC.</t>
        </is>
      </c>
      <c r="F5023" s="0" t="inlineStr">
        <is>
          <t xml:space="preserve">naics:336612</t>
        </is>
      </c>
    </row>
    <row r="5024">
      <c r="B5024" s="0" t="inlineStr">
        <is>
          <t xml:space="preserve">LH67</t>
        </is>
      </c>
      <c r="C5024" s="0" t="inlineStr">
        <is>
          <t xml:space="preserve">other_small</t>
        </is>
      </c>
      <c r="D5024" s="4">
        <v>0.007487</v>
      </c>
      <c r="E5024" s="0" t="inlineStr">
        <is>
          <t xml:space="preserve">MCALLISTER TOWING AND TRANSPORTATION COMPANY, INC.</t>
        </is>
      </c>
      <c r="F5024" s="0" t="inlineStr">
        <is>
          <t xml:space="preserve">psc:1990</t>
        </is>
      </c>
    </row>
    <row r="5025">
      <c r="B5025" s="0" t="inlineStr">
        <is>
          <t xml:space="preserve">N0010421PEM22</t>
        </is>
      </c>
      <c r="C5025" s="0" t="inlineStr">
        <is>
          <t xml:space="preserve">small_craft</t>
        </is>
      </c>
      <c r="D5025" s="4">
        <v>0.0074693</v>
      </c>
      <c r="E5025" s="0" t="inlineStr">
        <is>
          <t xml:space="preserve">III WILLIAMS LLC</t>
        </is>
      </c>
      <c r="F5025" s="0" t="inlineStr">
        <is>
          <t xml:space="preserve">naics:336612</t>
        </is>
      </c>
    </row>
    <row r="5026">
      <c r="B5026" s="0" t="inlineStr">
        <is>
          <t xml:space="preserve">N0010421PLB53</t>
        </is>
      </c>
      <c r="C5026" s="0" t="inlineStr">
        <is>
          <t xml:space="preserve">small_craft</t>
        </is>
      </c>
      <c r="D5026" s="4">
        <v>0.007469</v>
      </c>
      <c r="E5026" s="0" t="inlineStr">
        <is>
          <t xml:space="preserve">MOOG INC</t>
        </is>
      </c>
      <c r="F5026" s="0" t="inlineStr">
        <is>
          <t xml:space="preserve">naics:336612</t>
        </is>
      </c>
    </row>
    <row r="5027">
      <c r="B5027" s="0" t="inlineStr">
        <is>
          <t xml:space="preserve">N0040616P2446</t>
        </is>
      </c>
      <c r="C5027" s="0" t="inlineStr">
        <is>
          <t xml:space="preserve">small_craft</t>
        </is>
      </c>
      <c r="D5027" s="4">
        <v>0.007411</v>
      </c>
      <c r="E5027" s="0" t="inlineStr">
        <is>
          <t xml:space="preserve">JAMESTOWN METAL MARINE SALES, INC.</t>
        </is>
      </c>
      <c r="F5027" s="0" t="inlineStr">
        <is>
          <t xml:space="preserve">naics:336612</t>
        </is>
      </c>
    </row>
    <row r="5028">
      <c r="B5028" s="0" t="inlineStr">
        <is>
          <t xml:space="preserve">N0040615P1308</t>
        </is>
      </c>
      <c r="C5028" s="0" t="inlineStr">
        <is>
          <t xml:space="preserve">small_craft</t>
        </is>
      </c>
      <c r="D5028" s="4">
        <v>0.00739</v>
      </c>
      <c r="E5028" s="0" t="inlineStr">
        <is>
          <t xml:space="preserve">PIER SIDE SUPPLY INC</t>
        </is>
      </c>
      <c r="F5028" s="0" t="inlineStr">
        <is>
          <t xml:space="preserve">naics:336612</t>
        </is>
      </c>
    </row>
    <row r="5029">
      <c r="B5029" s="0" t="inlineStr">
        <is>
          <t xml:space="preserve">N0010425PEA80</t>
        </is>
      </c>
      <c r="C5029" s="0" t="inlineStr">
        <is>
          <t xml:space="preserve">small_craft</t>
        </is>
      </c>
      <c r="D5029" s="4">
        <v>0.007379999999999999</v>
      </c>
      <c r="E5029" s="0" t="inlineStr">
        <is>
          <t xml:space="preserve">ADIRONDACK ELECTRONICS INC</t>
        </is>
      </c>
      <c r="F5029" s="0" t="inlineStr">
        <is>
          <t xml:space="preserve">naics:336612</t>
        </is>
      </c>
    </row>
    <row r="5030">
      <c r="B5030" s="0" t="inlineStr">
        <is>
          <t xml:space="preserve">N0040616P0492</t>
        </is>
      </c>
      <c r="C5030" s="0" t="inlineStr">
        <is>
          <t xml:space="preserve">small_craft</t>
        </is>
      </c>
      <c r="D5030" s="4">
        <v>0.0073716</v>
      </c>
      <c r="E5030" s="0" t="inlineStr">
        <is>
          <t xml:space="preserve">KLB ENTERPRISES CORP</t>
        </is>
      </c>
      <c r="F5030" s="0" t="inlineStr">
        <is>
          <t xml:space="preserve">naics:336612</t>
        </is>
      </c>
    </row>
    <row r="5031">
      <c r="B5031" s="0" t="inlineStr">
        <is>
          <t xml:space="preserve">N6893625P5060</t>
        </is>
      </c>
      <c r="C5031" s="0" t="inlineStr">
        <is>
          <t xml:space="preserve">small_craft</t>
        </is>
      </c>
      <c r="D5031" s="4">
        <v>0.007360619999999999</v>
      </c>
      <c r="E5031" s="0" t="inlineStr">
        <is>
          <t xml:space="preserve">BRUNSWICK CORP</t>
        </is>
      </c>
      <c r="F5031" s="0" t="inlineStr">
        <is>
          <t xml:space="preserve">naics:336612</t>
        </is>
      </c>
    </row>
    <row r="5032">
      <c r="B5032" s="0" t="inlineStr">
        <is>
          <t xml:space="preserve">GA06</t>
        </is>
      </c>
      <c r="C5032" s="0" t="inlineStr">
        <is>
          <t xml:space="preserve">broad_maritime</t>
        </is>
      </c>
      <c r="D5032" s="4">
        <v>0.0073279999999999994</v>
      </c>
      <c r="E5032" s="0" t="inlineStr">
        <is>
          <t xml:space="preserve">HUNTINGTON INGALLS INC</t>
        </is>
      </c>
      <c r="F5032" s="0" t="inlineStr">
        <is>
          <t xml:space="preserve">psc:1905</t>
        </is>
      </c>
    </row>
    <row r="5033">
      <c r="B5033" s="0" t="inlineStr">
        <is>
          <t xml:space="preserve">N0040615P1930</t>
        </is>
      </c>
      <c r="C5033" s="0" t="inlineStr">
        <is>
          <t xml:space="preserve">small_craft</t>
        </is>
      </c>
      <c r="D5033" s="4">
        <v>0.007305</v>
      </c>
      <c r="E5033" s="0" t="inlineStr">
        <is>
          <t xml:space="preserve">J.D.A. MARITIME, INC.</t>
        </is>
      </c>
      <c r="F5033" s="0" t="inlineStr">
        <is>
          <t xml:space="preserve">naics:336612</t>
        </is>
      </c>
    </row>
    <row r="5034">
      <c r="B5034" s="0" t="inlineStr">
        <is>
          <t xml:space="preserve">N3220518P1006</t>
        </is>
      </c>
      <c r="C5034" s="0" t="inlineStr">
        <is>
          <t xml:space="preserve">small_craft</t>
        </is>
      </c>
      <c r="D5034" s="4">
        <v>0.0072695</v>
      </c>
      <c r="E5034" s="0" t="inlineStr">
        <is>
          <t xml:space="preserve">FASSMER SERVICE AMERICA LLC</t>
        </is>
      </c>
      <c r="F5034" s="0" t="inlineStr">
        <is>
          <t xml:space="preserve">naics:336612</t>
        </is>
      </c>
    </row>
    <row r="5035">
      <c r="B5035" s="0" t="inlineStr">
        <is>
          <t xml:space="preserve">N0040618P1223</t>
        </is>
      </c>
      <c r="C5035" s="0" t="inlineStr">
        <is>
          <t xml:space="preserve">small_craft</t>
        </is>
      </c>
      <c r="D5035" s="4">
        <v>0.0072499999999999995</v>
      </c>
      <c r="E5035" s="0" t="inlineStr">
        <is>
          <t xml:space="preserve">JUNIPER ELBOW CO. INC.</t>
        </is>
      </c>
      <c r="F5035" s="0" t="inlineStr">
        <is>
          <t xml:space="preserve">naics:336612</t>
        </is>
      </c>
    </row>
    <row r="5036">
      <c r="B5036" s="0" t="inlineStr">
        <is>
          <t xml:space="preserve">N0010417PLC94</t>
        </is>
      </c>
      <c r="C5036" s="0" t="inlineStr">
        <is>
          <t xml:space="preserve">small_craft</t>
        </is>
      </c>
      <c r="D5036" s="4">
        <v>0.0072499999999999995</v>
      </c>
      <c r="E5036" s="0" t="inlineStr">
        <is>
          <t xml:space="preserve">NAPTECH TEST EQUIPMENT, INC.</t>
        </is>
      </c>
      <c r="F5036" s="0" t="inlineStr">
        <is>
          <t xml:space="preserve">naics:336612</t>
        </is>
      </c>
    </row>
    <row r="5037">
      <c r="B5037" s="0" t="inlineStr">
        <is>
          <t xml:space="preserve">N3220518P4163</t>
        </is>
      </c>
      <c r="C5037" s="0" t="inlineStr">
        <is>
          <t xml:space="preserve">other_small</t>
        </is>
      </c>
      <c r="D5037" s="4">
        <v>0.00724251</v>
      </c>
      <c r="E5037" s="0" t="inlineStr">
        <is>
          <t xml:space="preserve">FAIRBANKS MORSE, LLC</t>
        </is>
      </c>
      <c r="F5037" s="0" t="inlineStr">
        <is>
          <t xml:space="preserve">psc:1990</t>
        </is>
      </c>
    </row>
    <row r="5038">
      <c r="B5038" s="0" t="inlineStr">
        <is>
          <t xml:space="preserve">N0018916P1172</t>
        </is>
      </c>
      <c r="C5038" s="0" t="inlineStr">
        <is>
          <t xml:space="preserve">small_craft</t>
        </is>
      </c>
      <c r="D5038" s="4">
        <v>0.00716356</v>
      </c>
      <c r="E5038" s="0" t="inlineStr">
        <is>
          <t xml:space="preserve">VIGOR KVICHAK LLC</t>
        </is>
      </c>
      <c r="F5038" s="0" t="inlineStr">
        <is>
          <t xml:space="preserve">naics:336612</t>
        </is>
      </c>
    </row>
    <row r="5039">
      <c r="B5039" s="0" t="inlineStr">
        <is>
          <t xml:space="preserve">N0010421PND30</t>
        </is>
      </c>
      <c r="C5039" s="0" t="inlineStr">
        <is>
          <t xml:space="preserve">small_craft</t>
        </is>
      </c>
      <c r="D5039" s="4">
        <v>0.007091</v>
      </c>
      <c r="E5039" s="0" t="inlineStr">
        <is>
          <t xml:space="preserve">CURTISS-WRIGHT ELECTRO-MECHANICAL CORPORATION</t>
        </is>
      </c>
      <c r="F5039" s="0" t="inlineStr">
        <is>
          <t xml:space="preserve">naics:336612</t>
        </is>
      </c>
    </row>
    <row r="5040">
      <c r="B5040" s="0" t="inlineStr">
        <is>
          <t xml:space="preserve">N0010421PLC90</t>
        </is>
      </c>
      <c r="C5040" s="0" t="inlineStr">
        <is>
          <t xml:space="preserve">small_craft</t>
        </is>
      </c>
      <c r="D5040" s="4">
        <v>0.00709</v>
      </c>
      <c r="E5040" s="0" t="inlineStr">
        <is>
          <t xml:space="preserve">EDGE TECHNOLOGY DISTRIBUTORS, INC.</t>
        </is>
      </c>
      <c r="F5040" s="0" t="inlineStr">
        <is>
          <t xml:space="preserve">naics:336612</t>
        </is>
      </c>
    </row>
    <row r="5041">
      <c r="B5041" s="0" t="inlineStr">
        <is>
          <t xml:space="preserve">N0010421PLC10</t>
        </is>
      </c>
      <c r="C5041" s="0" t="inlineStr">
        <is>
          <t xml:space="preserve">small_craft</t>
        </is>
      </c>
      <c r="D5041" s="4">
        <v>0.0070799999999999995</v>
      </c>
      <c r="E5041" s="0" t="inlineStr">
        <is>
          <t xml:space="preserve">DELA TECHNOLOGY CORPORATION</t>
        </is>
      </c>
      <c r="F5041" s="0" t="inlineStr">
        <is>
          <t xml:space="preserve">naics:336612</t>
        </is>
      </c>
    </row>
    <row r="5042">
      <c r="B5042" s="0" t="inlineStr">
        <is>
          <t xml:space="preserve">N5709216MHD00</t>
        </is>
      </c>
      <c r="C5042" s="0" t="inlineStr">
        <is>
          <t xml:space="preserve">other_small</t>
        </is>
      </c>
      <c r="D5042" s="4">
        <v>0.0070754599999999996</v>
      </c>
      <c r="E5042" s="0" t="inlineStr">
        <is>
          <t xml:space="preserve">KARCHER NORTH AMERICA, INC.</t>
        </is>
      </c>
      <c r="F5042" s="0" t="inlineStr">
        <is>
          <t xml:space="preserve">psc:1990</t>
        </is>
      </c>
    </row>
    <row r="5043">
      <c r="B5043" s="0" t="inlineStr">
        <is>
          <t xml:space="preserve">N0040615P1861</t>
        </is>
      </c>
      <c r="C5043" s="0" t="inlineStr">
        <is>
          <t xml:space="preserve">small_craft</t>
        </is>
      </c>
      <c r="D5043" s="4">
        <v>0.0070715</v>
      </c>
      <c r="E5043" s="0" t="inlineStr">
        <is>
          <t xml:space="preserve">B &amp; P CONSORT, INC.</t>
        </is>
      </c>
      <c r="F5043" s="0" t="inlineStr">
        <is>
          <t xml:space="preserve">psc:1940</t>
        </is>
      </c>
    </row>
    <row r="5044">
      <c r="B5044" s="0" t="inlineStr">
        <is>
          <t xml:space="preserve">GA02</t>
        </is>
      </c>
      <c r="C5044" s="0" t="inlineStr">
        <is>
          <t xml:space="preserve">broad_maritime</t>
        </is>
      </c>
      <c r="D5044" s="4">
        <v>0.00707</v>
      </c>
      <c r="E5044" s="0" t="inlineStr">
        <is>
          <t xml:space="preserve">ELECTRIC BOAT CORPORATION</t>
        </is>
      </c>
      <c r="F5044" s="0" t="inlineStr">
        <is>
          <t xml:space="preserve">psc:1905</t>
        </is>
      </c>
    </row>
    <row r="5045">
      <c r="B5045" s="0" t="inlineStr">
        <is>
          <t xml:space="preserve">LH77</t>
        </is>
      </c>
      <c r="C5045" s="0" t="inlineStr">
        <is>
          <t xml:space="preserve">other_small</t>
        </is>
      </c>
      <c r="D5045" s="4">
        <v>0.0070574999999999995</v>
      </c>
      <c r="E5045" s="0" t="inlineStr">
        <is>
          <t xml:space="preserve">MCALLISTER TOWING AND TRANSPORTATION COMPANY, INC.</t>
        </is>
      </c>
      <c r="F5045" s="0" t="inlineStr">
        <is>
          <t xml:space="preserve">psc:1990</t>
        </is>
      </c>
    </row>
    <row r="5046">
      <c r="B5046" s="0" t="inlineStr">
        <is>
          <t xml:space="preserve">0068</t>
        </is>
      </c>
      <c r="C5046" s="0" t="inlineStr">
        <is>
          <t xml:space="preserve">other_small</t>
        </is>
      </c>
      <c r="D5046" s="4">
        <v>0.0070331099999999995</v>
      </c>
      <c r="E5046" s="0" t="inlineStr">
        <is>
          <t xml:space="preserve">ROLLS-ROYCE SOLUTIONS AMERICA INC</t>
        </is>
      </c>
      <c r="F5046" s="0" t="inlineStr">
        <is>
          <t xml:space="preserve">psc:1990</t>
        </is>
      </c>
    </row>
    <row r="5047">
      <c r="B5047" s="0" t="inlineStr">
        <is>
          <t xml:space="preserve">N0010422PEE32</t>
        </is>
      </c>
      <c r="C5047" s="0" t="inlineStr">
        <is>
          <t xml:space="preserve">small_craft</t>
        </is>
      </c>
      <c r="D5047" s="4">
        <v>0.00702753</v>
      </c>
      <c r="E5047" s="0" t="inlineStr">
        <is>
          <t xml:space="preserve">ADIRONDACK ELECTRONICS INC</t>
        </is>
      </c>
      <c r="F5047" s="0" t="inlineStr">
        <is>
          <t xml:space="preserve">naics:336612</t>
        </is>
      </c>
    </row>
    <row r="5048">
      <c r="B5048" s="0" t="inlineStr">
        <is>
          <t xml:space="preserve">N0010421PND55</t>
        </is>
      </c>
      <c r="C5048" s="0" t="inlineStr">
        <is>
          <t xml:space="preserve">small_craft</t>
        </is>
      </c>
      <c r="D5048" s="4">
        <v>0.006999999999999999</v>
      </c>
      <c r="E5048" s="0" t="inlineStr">
        <is>
          <t xml:space="preserve">MMC METROLOGY LAB, INC.</t>
        </is>
      </c>
      <c r="F5048" s="0" t="inlineStr">
        <is>
          <t xml:space="preserve">naics:336612</t>
        </is>
      </c>
    </row>
    <row r="5049">
      <c r="B5049" s="0" t="inlineStr">
        <is>
          <t xml:space="preserve">N0010421PDB48</t>
        </is>
      </c>
      <c r="C5049" s="0" t="inlineStr">
        <is>
          <t xml:space="preserve">small_craft</t>
        </is>
      </c>
      <c r="D5049" s="4">
        <v>0.006999999999999999</v>
      </c>
      <c r="E5049" s="0" t="inlineStr">
        <is>
          <t xml:space="preserve">AMERICAN METAL BEARING CO</t>
        </is>
      </c>
      <c r="F5049" s="0" t="inlineStr">
        <is>
          <t xml:space="preserve">naics:336612</t>
        </is>
      </c>
    </row>
    <row r="5050">
      <c r="B5050" s="0" t="inlineStr">
        <is>
          <t xml:space="preserve">N0010424PFD13</t>
        </is>
      </c>
      <c r="C5050" s="0" t="inlineStr">
        <is>
          <t xml:space="preserve">small_craft</t>
        </is>
      </c>
      <c r="D5050" s="4">
        <v>0.00697</v>
      </c>
      <c r="E5050" s="0" t="inlineStr">
        <is>
          <t xml:space="preserve">D. L. MARTIN CO.</t>
        </is>
      </c>
      <c r="F5050" s="0" t="inlineStr">
        <is>
          <t xml:space="preserve">naics:336612</t>
        </is>
      </c>
    </row>
    <row r="5051">
      <c r="B5051" s="0" t="inlineStr">
        <is>
          <t xml:space="preserve">N0010422PEG98</t>
        </is>
      </c>
      <c r="C5051" s="0" t="inlineStr">
        <is>
          <t xml:space="preserve">small_craft</t>
        </is>
      </c>
      <c r="D5051" s="4">
        <v>0.006904949999999999</v>
      </c>
      <c r="E5051" s="0" t="inlineStr">
        <is>
          <t xml:space="preserve">ADIRONDACK ELECTRONICS INC</t>
        </is>
      </c>
      <c r="F5051" s="0" t="inlineStr">
        <is>
          <t xml:space="preserve">naics:336612</t>
        </is>
      </c>
    </row>
    <row r="5052">
      <c r="B5052" s="0" t="inlineStr">
        <is>
          <t xml:space="preserve">N4044315P0119</t>
        </is>
      </c>
      <c r="C5052" s="0" t="inlineStr">
        <is>
          <t xml:space="preserve">small_craft</t>
        </is>
      </c>
      <c r="D5052" s="4">
        <v>0.0069</v>
      </c>
      <c r="E5052" s="0" t="inlineStr">
        <is>
          <t xml:space="preserve">ICON INTERNATIONAL, INC.</t>
        </is>
      </c>
      <c r="F5052" s="0" t="inlineStr">
        <is>
          <t xml:space="preserve">psc:1940</t>
        </is>
      </c>
    </row>
    <row r="5053">
      <c r="B5053" s="0" t="inlineStr">
        <is>
          <t xml:space="preserve">0070</t>
        </is>
      </c>
      <c r="C5053" s="0" t="inlineStr">
        <is>
          <t xml:space="preserve">other_small</t>
        </is>
      </c>
      <c r="D5053" s="4">
        <v>0.00688294</v>
      </c>
      <c r="E5053" s="0" t="inlineStr">
        <is>
          <t xml:space="preserve">ROLLS-ROYCE SOLUTIONS AMERICA INC</t>
        </is>
      </c>
      <c r="F5053" s="0" t="inlineStr">
        <is>
          <t xml:space="preserve">psc:1990</t>
        </is>
      </c>
    </row>
    <row r="5054">
      <c r="B5054" s="0" t="inlineStr">
        <is>
          <t xml:space="preserve">N0040614P5440</t>
        </is>
      </c>
      <c r="C5054" s="0" t="inlineStr">
        <is>
          <t xml:space="preserve">small_craft</t>
        </is>
      </c>
      <c r="D5054" s="4">
        <v>0.006875999999999999</v>
      </c>
      <c r="E5054" s="0" t="inlineStr">
        <is>
          <t xml:space="preserve">CSR MARINE, INC.</t>
        </is>
      </c>
      <c r="F5054" s="0" t="inlineStr">
        <is>
          <t xml:space="preserve">naics:336612</t>
        </is>
      </c>
    </row>
    <row r="5055">
      <c r="B5055" s="0" t="inlineStr">
        <is>
          <t xml:space="preserve">N0010424PBK81</t>
        </is>
      </c>
      <c r="C5055" s="0" t="inlineStr">
        <is>
          <t xml:space="preserve">small_craft</t>
        </is>
      </c>
      <c r="D5055" s="4">
        <v>0.0068249999999999995</v>
      </c>
      <c r="E5055" s="0" t="inlineStr">
        <is>
          <t xml:space="preserve">U.S.A. SPARES INC.</t>
        </is>
      </c>
      <c r="F5055" s="0" t="inlineStr">
        <is>
          <t xml:space="preserve">naics:336612</t>
        </is>
      </c>
    </row>
    <row r="5056">
      <c r="B5056" s="0" t="inlineStr">
        <is>
          <t xml:space="preserve">N4044207P5562</t>
        </is>
      </c>
      <c r="C5056" s="0" t="inlineStr">
        <is>
          <t xml:space="preserve">other_small</t>
        </is>
      </c>
      <c r="D5056" s="4">
        <v>0.006796239999999999</v>
      </c>
      <c r="E5056" s="0" t="inlineStr">
        <is>
          <t xml:space="preserve">VAPOR POWER INTERNATIONAL, LLC</t>
        </is>
      </c>
      <c r="F5056" s="0" t="inlineStr">
        <is>
          <t xml:space="preserve">psc:1925</t>
        </is>
      </c>
    </row>
    <row r="5057">
      <c r="B5057" s="0" t="inlineStr">
        <is>
          <t xml:space="preserve">N0010417PBT00</t>
        </is>
      </c>
      <c r="C5057" s="0" t="inlineStr">
        <is>
          <t xml:space="preserve">small_craft</t>
        </is>
      </c>
      <c r="D5057" s="4">
        <v>0.00665</v>
      </c>
      <c r="E5057" s="0" t="inlineStr">
        <is>
          <t xml:space="preserve">GREATER MARYLAND TOOL &amp; MFG. CORP.</t>
        </is>
      </c>
      <c r="F5057" s="0" t="inlineStr">
        <is>
          <t xml:space="preserve">naics:336612</t>
        </is>
      </c>
    </row>
    <row r="5058">
      <c r="B5058" s="0" t="inlineStr">
        <is>
          <t xml:space="preserve">L823</t>
        </is>
      </c>
      <c r="C5058" s="0" t="inlineStr">
        <is>
          <t xml:space="preserve">broad_maritime</t>
        </is>
      </c>
      <c r="D5058" s="4">
        <v>0.006637</v>
      </c>
      <c r="E5058" s="0" t="inlineStr">
        <is>
          <t xml:space="preserve">ELECTRIC BOAT CORPORATION</t>
        </is>
      </c>
      <c r="F5058" s="0" t="inlineStr">
        <is>
          <t xml:space="preserve">psc:1905</t>
        </is>
      </c>
    </row>
    <row r="5059">
      <c r="B5059" s="0" t="inlineStr">
        <is>
          <t xml:space="preserve">LH71</t>
        </is>
      </c>
      <c r="C5059" s="0" t="inlineStr">
        <is>
          <t xml:space="preserve">other_small</t>
        </is>
      </c>
      <c r="D5059" s="4">
        <v>0.006627999999999999</v>
      </c>
      <c r="E5059" s="0" t="inlineStr">
        <is>
          <t xml:space="preserve">MCALLISTER TOWING AND TRANSPORTATION COMPANY, INC.</t>
        </is>
      </c>
      <c r="F5059" s="0" t="inlineStr">
        <is>
          <t xml:space="preserve">psc:1990</t>
        </is>
      </c>
    </row>
    <row r="5060">
      <c r="B5060" s="0" t="inlineStr">
        <is>
          <t xml:space="preserve">LH70</t>
        </is>
      </c>
      <c r="C5060" s="0" t="inlineStr">
        <is>
          <t xml:space="preserve">other_small</t>
        </is>
      </c>
      <c r="D5060" s="4">
        <v>0.006627999999999999</v>
      </c>
      <c r="E5060" s="0" t="inlineStr">
        <is>
          <t xml:space="preserve">MCALLISTER TOWING AND TRANSPORTATION COMPANY, INC.</t>
        </is>
      </c>
      <c r="F5060" s="0" t="inlineStr">
        <is>
          <t xml:space="preserve">psc:1990</t>
        </is>
      </c>
    </row>
    <row r="5061">
      <c r="B5061" s="0" t="inlineStr">
        <is>
          <t xml:space="preserve">LH68</t>
        </is>
      </c>
      <c r="C5061" s="0" t="inlineStr">
        <is>
          <t xml:space="preserve">other_small</t>
        </is>
      </c>
      <c r="D5061" s="4">
        <v>0.006627999999999999</v>
      </c>
      <c r="E5061" s="0" t="inlineStr">
        <is>
          <t xml:space="preserve">MCALLISTER TOWING AND TRANSPORTATION COMPANY, INC.</t>
        </is>
      </c>
      <c r="F5061" s="0" t="inlineStr">
        <is>
          <t xml:space="preserve">psc:1990</t>
        </is>
      </c>
    </row>
    <row r="5062">
      <c r="B5062" s="0" t="inlineStr">
        <is>
          <t xml:space="preserve">LH66</t>
        </is>
      </c>
      <c r="C5062" s="0" t="inlineStr">
        <is>
          <t xml:space="preserve">other_small</t>
        </is>
      </c>
      <c r="D5062" s="4">
        <v>0.006627999999999999</v>
      </c>
      <c r="E5062" s="0" t="inlineStr">
        <is>
          <t xml:space="preserve">MCALLISTER TOWING AND TRANSPORTATION COMPANY, INC.</t>
        </is>
      </c>
      <c r="F5062" s="0" t="inlineStr">
        <is>
          <t xml:space="preserve">psc:1990</t>
        </is>
      </c>
    </row>
    <row r="5063">
      <c r="B5063" s="0" t="inlineStr">
        <is>
          <t xml:space="preserve">N0040617P0228</t>
        </is>
      </c>
      <c r="C5063" s="0" t="inlineStr">
        <is>
          <t xml:space="preserve">small_craft</t>
        </is>
      </c>
      <c r="D5063" s="4">
        <v>0.0066</v>
      </c>
      <c r="E5063" s="0" t="inlineStr">
        <is>
          <t xml:space="preserve">PACIFIC MARITIME INDUSTRIES CORP.</t>
        </is>
      </c>
      <c r="F5063" s="0" t="inlineStr">
        <is>
          <t xml:space="preserve">naics:336612</t>
        </is>
      </c>
    </row>
    <row r="5064">
      <c r="B5064" s="0" t="inlineStr">
        <is>
          <t xml:space="preserve">N4523A20P0303</t>
        </is>
      </c>
      <c r="C5064" s="0" t="inlineStr">
        <is>
          <t xml:space="preserve">broad_maritime</t>
        </is>
      </c>
      <c r="D5064" s="4">
        <v>0.00659105</v>
      </c>
      <c r="E5064" s="0" t="inlineStr">
        <is>
          <t xml:space="preserve">EDDY PUMP CORPORATION</t>
        </is>
      </c>
      <c r="F5064" s="0" t="inlineStr">
        <is>
          <t xml:space="preserve">psc:1905</t>
        </is>
      </c>
    </row>
    <row r="5065">
      <c r="B5065" s="0" t="inlineStr">
        <is>
          <t xml:space="preserve">M6785425F1025</t>
        </is>
      </c>
      <c r="C5065" s="0" t="inlineStr">
        <is>
          <t xml:space="preserve">small_craft</t>
        </is>
      </c>
      <c r="D5065" s="4">
        <v>0.00658</v>
      </c>
      <c r="E5065" s="0" t="inlineStr">
        <is>
          <t xml:space="preserve">WING INFLATABLES INC</t>
        </is>
      </c>
      <c r="F5065" s="0" t="inlineStr">
        <is>
          <t xml:space="preserve">naics:336612; psc:1940</t>
        </is>
      </c>
    </row>
    <row r="5066">
      <c r="B5066" s="0" t="inlineStr">
        <is>
          <t xml:space="preserve">N0010417PEC29</t>
        </is>
      </c>
      <c r="C5066" s="0" t="inlineStr">
        <is>
          <t xml:space="preserve">small_craft</t>
        </is>
      </c>
      <c r="D5066" s="4">
        <v>0.006578399999999999</v>
      </c>
      <c r="E5066" s="0" t="inlineStr">
        <is>
          <t xml:space="preserve">COGITIC CORPORATION</t>
        </is>
      </c>
      <c r="F5066" s="0" t="inlineStr">
        <is>
          <t xml:space="preserve">naics:336612</t>
        </is>
      </c>
    </row>
    <row r="5067">
      <c r="B5067" s="0" t="inlineStr">
        <is>
          <t xml:space="preserve">N0024416P0428</t>
        </is>
      </c>
      <c r="C5067" s="0" t="inlineStr">
        <is>
          <t xml:space="preserve">small_craft</t>
        </is>
      </c>
      <c r="D5067" s="4">
        <v>0.00654905</v>
      </c>
      <c r="E5067" s="0" t="inlineStr">
        <is>
          <t xml:space="preserve">ROLLS-ROYCE MARINE NORTH AMERICA INC.</t>
        </is>
      </c>
      <c r="F5067" s="0" t="inlineStr">
        <is>
          <t xml:space="preserve">naics:336612</t>
        </is>
      </c>
    </row>
    <row r="5068">
      <c r="B5068" s="0" t="inlineStr">
        <is>
          <t xml:space="preserve">N0040618P1865</t>
        </is>
      </c>
      <c r="C5068" s="0" t="inlineStr">
        <is>
          <t xml:space="preserve">small_craft</t>
        </is>
      </c>
      <c r="D5068" s="4">
        <v>0.006541</v>
      </c>
      <c r="E5068" s="0" t="inlineStr">
        <is>
          <t xml:space="preserve">JUNIPER ELBOW CO. INC.</t>
        </is>
      </c>
      <c r="F5068" s="0" t="inlineStr">
        <is>
          <t xml:space="preserve">naics:336612</t>
        </is>
      </c>
    </row>
    <row r="5069">
      <c r="B5069" s="0" t="inlineStr">
        <is>
          <t xml:space="preserve">N0010422PNC46</t>
        </is>
      </c>
      <c r="C5069" s="0" t="inlineStr">
        <is>
          <t xml:space="preserve">small_craft</t>
        </is>
      </c>
      <c r="D5069" s="4">
        <v>0.00648</v>
      </c>
      <c r="E5069" s="0" t="inlineStr">
        <is>
          <t xml:space="preserve">BASIC RUBBER AND PLASTICS CO.</t>
        </is>
      </c>
      <c r="F5069" s="0" t="inlineStr">
        <is>
          <t xml:space="preserve">naics:336612</t>
        </is>
      </c>
    </row>
    <row r="5070">
      <c r="B5070" s="0" t="inlineStr">
        <is>
          <t xml:space="preserve">N0040617P0534</t>
        </is>
      </c>
      <c r="C5070" s="0" t="inlineStr">
        <is>
          <t xml:space="preserve">small_craft</t>
        </is>
      </c>
      <c r="D5070" s="4">
        <v>0.00647127</v>
      </c>
      <c r="E5070" s="0" t="inlineStr">
        <is>
          <t xml:space="preserve">JERED LLC</t>
        </is>
      </c>
      <c r="F5070" s="0" t="inlineStr">
        <is>
          <t xml:space="preserve">naics:336612</t>
        </is>
      </c>
    </row>
    <row r="5071">
      <c r="B5071" s="0" t="inlineStr">
        <is>
          <t xml:space="preserve">N0010417PEC31</t>
        </is>
      </c>
      <c r="C5071" s="0" t="inlineStr">
        <is>
          <t xml:space="preserve">small_craft</t>
        </is>
      </c>
      <c r="D5071" s="4">
        <v>0.0064583999999999996</v>
      </c>
      <c r="E5071" s="0" t="inlineStr">
        <is>
          <t xml:space="preserve">COGITIC CORPORATION</t>
        </is>
      </c>
      <c r="F5071" s="0" t="inlineStr">
        <is>
          <t xml:space="preserve">naics:336612</t>
        </is>
      </c>
    </row>
    <row r="5072">
      <c r="B5072" s="0" t="inlineStr">
        <is>
          <t xml:space="preserve">N0010421PAD66</t>
        </is>
      </c>
      <c r="C5072" s="0" t="inlineStr">
        <is>
          <t xml:space="preserve">small_craft</t>
        </is>
      </c>
      <c r="D5072" s="4">
        <v>0.006449</v>
      </c>
      <c r="E5072" s="0" t="inlineStr">
        <is>
          <t xml:space="preserve">FITZHUGH CLIFTON</t>
        </is>
      </c>
      <c r="F5072" s="0" t="inlineStr">
        <is>
          <t xml:space="preserve">naics:336612</t>
        </is>
      </c>
    </row>
    <row r="5073">
      <c r="B5073" s="0" t="inlineStr">
        <is>
          <t xml:space="preserve">0065</t>
        </is>
      </c>
      <c r="C5073" s="0" t="inlineStr">
        <is>
          <t xml:space="preserve">other_small</t>
        </is>
      </c>
      <c r="D5073" s="4">
        <v>0.00644099</v>
      </c>
      <c r="E5073" s="0" t="inlineStr">
        <is>
          <t xml:space="preserve">ROLLS-ROYCE SOLUTIONS AMERICA INC</t>
        </is>
      </c>
      <c r="F5073" s="0" t="inlineStr">
        <is>
          <t xml:space="preserve">psc:1990</t>
        </is>
      </c>
    </row>
    <row r="5074">
      <c r="B5074" s="0" t="inlineStr">
        <is>
          <t xml:space="preserve">LH47</t>
        </is>
      </c>
      <c r="C5074" s="0" t="inlineStr">
        <is>
          <t xml:space="preserve">other_small</t>
        </is>
      </c>
      <c r="D5074" s="4">
        <v>0.006436</v>
      </c>
      <c r="E5074" s="0" t="inlineStr">
        <is>
          <t xml:space="preserve">MCALLISTER TOWING AND TRANSPORTATION COMPANY, INC.</t>
        </is>
      </c>
      <c r="F5074" s="0" t="inlineStr">
        <is>
          <t xml:space="preserve">psc:1990</t>
        </is>
      </c>
    </row>
    <row r="5075">
      <c r="B5075" s="0" t="inlineStr">
        <is>
          <t xml:space="preserve">N0018923P0101</t>
        </is>
      </c>
      <c r="C5075" s="0" t="inlineStr">
        <is>
          <t xml:space="preserve">small_craft</t>
        </is>
      </c>
      <c r="D5075" s="4">
        <v>0.0064315200000000005</v>
      </c>
      <c r="E5075" s="0" t="inlineStr">
        <is>
          <t xml:space="preserve">WINSLOW MARINE PRODUCTS CORPORATION</t>
        </is>
      </c>
      <c r="F5075" s="0" t="inlineStr">
        <is>
          <t xml:space="preserve">naics:336612</t>
        </is>
      </c>
    </row>
    <row r="5076">
      <c r="B5076" s="0" t="inlineStr">
        <is>
          <t xml:space="preserve">GA05</t>
        </is>
      </c>
      <c r="C5076" s="0" t="inlineStr">
        <is>
          <t xml:space="preserve">broad_maritime</t>
        </is>
      </c>
      <c r="D5076" s="4">
        <v>0.006422</v>
      </c>
      <c r="E5076" s="0" t="inlineStr">
        <is>
          <t xml:space="preserve">HUNTINGTON INGALLS INC</t>
        </is>
      </c>
      <c r="F5076" s="0" t="inlineStr">
        <is>
          <t xml:space="preserve">psc:1905</t>
        </is>
      </c>
    </row>
    <row r="5077">
      <c r="B5077" s="0" t="inlineStr">
        <is>
          <t xml:space="preserve">N0040616P1682</t>
        </is>
      </c>
      <c r="C5077" s="0" t="inlineStr">
        <is>
          <t xml:space="preserve">small_craft</t>
        </is>
      </c>
      <c r="D5077" s="4">
        <v>0.0063999999999999994</v>
      </c>
      <c r="E5077" s="0" t="inlineStr">
        <is>
          <t xml:space="preserve">BRIGHT LIGHTS USA, INC</t>
        </is>
      </c>
      <c r="F5077" s="0" t="inlineStr">
        <is>
          <t xml:space="preserve">naics:336612</t>
        </is>
      </c>
    </row>
    <row r="5078">
      <c r="B5078" s="0" t="inlineStr">
        <is>
          <t xml:space="preserve">N0010422PSC87</t>
        </is>
      </c>
      <c r="C5078" s="0" t="inlineStr">
        <is>
          <t xml:space="preserve">small_craft</t>
        </is>
      </c>
      <c r="D5078" s="4">
        <v>0.006292</v>
      </c>
      <c r="E5078" s="0" t="inlineStr">
        <is>
          <t xml:space="preserve">TRIMAN INDUSTRIES INC</t>
        </is>
      </c>
      <c r="F5078" s="0" t="inlineStr">
        <is>
          <t xml:space="preserve">naics:336612</t>
        </is>
      </c>
    </row>
    <row r="5079">
      <c r="B5079" s="0" t="inlineStr">
        <is>
          <t xml:space="preserve">N0010426PBC26</t>
        </is>
      </c>
      <c r="C5079" s="0" t="inlineStr">
        <is>
          <t xml:space="preserve">small_craft</t>
        </is>
      </c>
      <c r="D5079" s="4">
        <v>0.006258199999999999</v>
      </c>
      <c r="E5079" s="0" t="inlineStr">
        <is>
          <t xml:space="preserve">DIBERT VALVE AND FITTING COMPANY, INCORPORATED</t>
        </is>
      </c>
      <c r="F5079" s="0" t="inlineStr">
        <is>
          <t xml:space="preserve">naics:336612</t>
        </is>
      </c>
    </row>
    <row r="5080">
      <c r="B5080" s="0" t="inlineStr">
        <is>
          <t xml:space="preserve">N6133118P0078</t>
        </is>
      </c>
      <c r="C5080" s="0" t="inlineStr">
        <is>
          <t xml:space="preserve">usv_core</t>
        </is>
      </c>
      <c r="D5080" s="4">
        <v>0.0062499999999999995</v>
      </c>
      <c r="E5080" s="0" t="inlineStr">
        <is>
          <t xml:space="preserve">HII UNMANNED MARITIME SYSTEMS INC.</t>
        </is>
      </c>
      <c r="F5080" s="0" t="inlineStr">
        <is>
          <t xml:space="preserve">keyword</t>
        </is>
      </c>
    </row>
    <row r="5081">
      <c r="B5081" s="0" t="inlineStr">
        <is>
          <t xml:space="preserve">N0040617P1395</t>
        </is>
      </c>
      <c r="C5081" s="0" t="inlineStr">
        <is>
          <t xml:space="preserve">small_craft</t>
        </is>
      </c>
      <c r="D5081" s="4">
        <v>0.006241</v>
      </c>
      <c r="E5081" s="0" t="inlineStr">
        <is>
          <t xml:space="preserve">JUNIPER ELBOW CO. INC.</t>
        </is>
      </c>
      <c r="F5081" s="0" t="inlineStr">
        <is>
          <t xml:space="preserve">naics:336612</t>
        </is>
      </c>
    </row>
    <row r="5082">
      <c r="B5082" s="0" t="inlineStr">
        <is>
          <t xml:space="preserve">LH41</t>
        </is>
      </c>
      <c r="C5082" s="0" t="inlineStr">
        <is>
          <t xml:space="preserve">other_small</t>
        </is>
      </c>
      <c r="D5082" s="4">
        <v>0.0062274999999999995</v>
      </c>
      <c r="E5082" s="0" t="inlineStr">
        <is>
          <t xml:space="preserve">MCALLISTER TOWING AND TRANSPORTATION COMPANY, INC.</t>
        </is>
      </c>
      <c r="F5082" s="0" t="inlineStr">
        <is>
          <t xml:space="preserve">psc:1990</t>
        </is>
      </c>
    </row>
    <row r="5083">
      <c r="B5083" s="0" t="inlineStr">
        <is>
          <t xml:space="preserve">LH79</t>
        </is>
      </c>
      <c r="C5083" s="0" t="inlineStr">
        <is>
          <t xml:space="preserve">other_small</t>
        </is>
      </c>
      <c r="D5083" s="4">
        <v>0.0061985</v>
      </c>
      <c r="E5083" s="0" t="inlineStr">
        <is>
          <t xml:space="preserve">MCALLISTER TOWING AND TRANSPORTATION COMPANY, INC.</t>
        </is>
      </c>
      <c r="F5083" s="0" t="inlineStr">
        <is>
          <t xml:space="preserve">psc:1990</t>
        </is>
      </c>
    </row>
    <row r="5084">
      <c r="B5084" s="0" t="inlineStr">
        <is>
          <t xml:space="preserve">N0040615P1604</t>
        </is>
      </c>
      <c r="C5084" s="0" t="inlineStr">
        <is>
          <t xml:space="preserve">small_craft</t>
        </is>
      </c>
      <c r="D5084" s="4">
        <v>0.00615552</v>
      </c>
      <c r="E5084" s="0" t="inlineStr">
        <is>
          <t xml:space="preserve">B.W. ELLIOTT MANUFACTURING CO., LLC</t>
        </is>
      </c>
      <c r="F5084" s="0" t="inlineStr">
        <is>
          <t xml:space="preserve">naics:336612</t>
        </is>
      </c>
    </row>
    <row r="5085">
      <c r="B5085" s="0" t="inlineStr">
        <is>
          <t xml:space="preserve">N4044207P5354</t>
        </is>
      </c>
      <c r="C5085" s="0" t="inlineStr">
        <is>
          <t xml:space="preserve">other_small</t>
        </is>
      </c>
      <c r="D5085" s="4">
        <v>0.006143539999999999</v>
      </c>
      <c r="E5085" s="0" t="inlineStr">
        <is>
          <t xml:space="preserve">BOLL FILTER CORPORATION</t>
        </is>
      </c>
      <c r="F5085" s="0" t="inlineStr">
        <is>
          <t xml:space="preserve">psc:1925</t>
        </is>
      </c>
    </row>
    <row r="5086">
      <c r="B5086" s="0" t="inlineStr">
        <is>
          <t xml:space="preserve">N0010425PEC24</t>
        </is>
      </c>
      <c r="C5086" s="0" t="inlineStr">
        <is>
          <t xml:space="preserve">small_craft</t>
        </is>
      </c>
      <c r="D5086" s="4">
        <v>0.006142</v>
      </c>
      <c r="E5086" s="0" t="inlineStr">
        <is>
          <t xml:space="preserve">FLUIDYNE CORPORATION</t>
        </is>
      </c>
      <c r="F5086" s="0" t="inlineStr">
        <is>
          <t xml:space="preserve">naics:336612</t>
        </is>
      </c>
    </row>
    <row r="5087">
      <c r="B5087" s="0" t="inlineStr">
        <is>
          <t xml:space="preserve">N0040617P1831</t>
        </is>
      </c>
      <c r="C5087" s="0" t="inlineStr">
        <is>
          <t xml:space="preserve">small_craft</t>
        </is>
      </c>
      <c r="D5087" s="4">
        <v>0.006134</v>
      </c>
      <c r="E5087" s="0" t="inlineStr">
        <is>
          <t xml:space="preserve">JUNIPER ELBOW CO. INC.</t>
        </is>
      </c>
      <c r="F5087" s="0" t="inlineStr">
        <is>
          <t xml:space="preserve">naics:336612</t>
        </is>
      </c>
    </row>
    <row r="5088">
      <c r="B5088" s="0" t="inlineStr">
        <is>
          <t xml:space="preserve">N4044316P0117</t>
        </is>
      </c>
      <c r="C5088" s="0" t="inlineStr">
        <is>
          <t xml:space="preserve">small_craft</t>
        </is>
      </c>
      <c r="D5088" s="4">
        <v>0.0061300799999999996</v>
      </c>
      <c r="E5088" s="0" t="inlineStr">
        <is>
          <t xml:space="preserve">J. W. MARINE EQUIPMENT, INC.</t>
        </is>
      </c>
      <c r="F5088" s="0" t="inlineStr">
        <is>
          <t xml:space="preserve">naics:336612</t>
        </is>
      </c>
    </row>
    <row r="5089">
      <c r="B5089" s="0" t="inlineStr">
        <is>
          <t xml:space="preserve">N0010412PCF78</t>
        </is>
      </c>
      <c r="C5089" s="0" t="inlineStr">
        <is>
          <t xml:space="preserve">small_craft</t>
        </is>
      </c>
      <c r="D5089" s="4">
        <v>0.00612962</v>
      </c>
      <c r="E5089" s="0" t="inlineStr">
        <is>
          <t xml:space="preserve">GLOBAL INCORPORATED</t>
        </is>
      </c>
      <c r="F5089" s="0" t="inlineStr">
        <is>
          <t xml:space="preserve">naics:336612</t>
        </is>
      </c>
    </row>
    <row r="5090">
      <c r="B5090" s="0" t="inlineStr">
        <is>
          <t xml:space="preserve">N0024416P0413</t>
        </is>
      </c>
      <c r="C5090" s="0" t="inlineStr">
        <is>
          <t xml:space="preserve">small_craft</t>
        </is>
      </c>
      <c r="D5090" s="4">
        <v>0.00610646</v>
      </c>
      <c r="E5090" s="0" t="inlineStr">
        <is>
          <t xml:space="preserve">LOUISIANA ASSOCIATION FOR THE BLIND</t>
        </is>
      </c>
      <c r="F5090" s="0" t="inlineStr">
        <is>
          <t xml:space="preserve">naics:336612</t>
        </is>
      </c>
    </row>
    <row r="5091">
      <c r="B5091" s="0" t="inlineStr">
        <is>
          <t xml:space="preserve">N0010426PBL86</t>
        </is>
      </c>
      <c r="C5091" s="0" t="inlineStr">
        <is>
          <t xml:space="preserve">small_craft</t>
        </is>
      </c>
      <c r="D5091" s="4">
        <v>0.00608772</v>
      </c>
      <c r="E5091" s="0" t="inlineStr">
        <is>
          <t xml:space="preserve">ADIRONDACK ELECTRONICS INC</t>
        </is>
      </c>
      <c r="F5091" s="0" t="inlineStr">
        <is>
          <t xml:space="preserve">naics:336612</t>
        </is>
      </c>
    </row>
    <row r="5092">
      <c r="B5092" s="0" t="inlineStr">
        <is>
          <t xml:space="preserve">N0018915P1281</t>
        </is>
      </c>
      <c r="C5092" s="0" t="inlineStr">
        <is>
          <t xml:space="preserve">small_craft</t>
        </is>
      </c>
      <c r="D5092" s="4">
        <v>0.006075</v>
      </c>
      <c r="E5092" s="0" t="inlineStr">
        <is>
          <t xml:space="preserve">BRADLEY, TODD H</t>
        </is>
      </c>
      <c r="F5092" s="0" t="inlineStr">
        <is>
          <t xml:space="preserve">naics:336612</t>
        </is>
      </c>
    </row>
    <row r="5093">
      <c r="B5093" s="0" t="inlineStr">
        <is>
          <t xml:space="preserve">N0040616P3645</t>
        </is>
      </c>
      <c r="C5093" s="0" t="inlineStr">
        <is>
          <t xml:space="preserve">small_craft</t>
        </is>
      </c>
      <c r="D5093" s="4">
        <v>0.006072</v>
      </c>
      <c r="E5093" s="0" t="inlineStr">
        <is>
          <t xml:space="preserve">JAMESTOWN METAL MARINE SALES, INC.</t>
        </is>
      </c>
      <c r="F5093" s="0" t="inlineStr">
        <is>
          <t xml:space="preserve">naics:336612</t>
        </is>
      </c>
    </row>
    <row r="5094">
      <c r="B5094" s="0" t="inlineStr">
        <is>
          <t xml:space="preserve">LH44</t>
        </is>
      </c>
      <c r="C5094" s="0" t="inlineStr">
        <is>
          <t xml:space="preserve">other_small</t>
        </is>
      </c>
      <c r="D5094" s="4">
        <v>0.006019</v>
      </c>
      <c r="E5094" s="0" t="inlineStr">
        <is>
          <t xml:space="preserve">MCALLISTER TOWING AND TRANSPORTATION COMPANY, INC.</t>
        </is>
      </c>
      <c r="F5094" s="0" t="inlineStr">
        <is>
          <t xml:space="preserve">psc:1990</t>
        </is>
      </c>
    </row>
    <row r="5095">
      <c r="B5095" s="0" t="inlineStr">
        <is>
          <t xml:space="preserve">N0010425PJA65</t>
        </is>
      </c>
      <c r="C5095" s="0" t="inlineStr">
        <is>
          <t xml:space="preserve">small_craft</t>
        </is>
      </c>
      <c r="D5095" s="4">
        <v>0.00600277</v>
      </c>
      <c r="E5095" s="0" t="inlineStr">
        <is>
          <t xml:space="preserve">SPECIALTY SEALS &amp; ACCESSORIES, INC.</t>
        </is>
      </c>
      <c r="F5095" s="0" t="inlineStr">
        <is>
          <t xml:space="preserve">naics:336612</t>
        </is>
      </c>
    </row>
    <row r="5096">
      <c r="B5096" s="0" t="inlineStr">
        <is>
          <t xml:space="preserve">N0060416P3297</t>
        </is>
      </c>
      <c r="C5096" s="0" t="inlineStr">
        <is>
          <t xml:space="preserve">small_craft</t>
        </is>
      </c>
      <c r="D5096" s="4">
        <v>0.00599905</v>
      </c>
      <c r="E5096" s="0" t="inlineStr">
        <is>
          <t xml:space="preserve">WINDWARD BOATS INC</t>
        </is>
      </c>
      <c r="F5096" s="0" t="inlineStr">
        <is>
          <t xml:space="preserve">naics:336612</t>
        </is>
      </c>
    </row>
    <row r="5097">
      <c r="B5097" s="0" t="inlineStr">
        <is>
          <t xml:space="preserve">0033</t>
        </is>
      </c>
      <c r="C5097" s="0" t="inlineStr">
        <is>
          <t xml:space="preserve">other_small</t>
        </is>
      </c>
      <c r="D5097" s="4">
        <v>0.00598776</v>
      </c>
      <c r="E5097" s="0" t="inlineStr">
        <is>
          <t xml:space="preserve">AUSTAL USA, LLC</t>
        </is>
      </c>
      <c r="F5097" s="0" t="inlineStr">
        <is>
          <t xml:space="preserve">psc:1990</t>
        </is>
      </c>
    </row>
    <row r="5098">
      <c r="B5098" s="0" t="inlineStr">
        <is>
          <t xml:space="preserve">N0010422PXA37</t>
        </is>
      </c>
      <c r="C5098" s="0" t="inlineStr">
        <is>
          <t xml:space="preserve">small_craft</t>
        </is>
      </c>
      <c r="D5098" s="4">
        <v>0.00597</v>
      </c>
      <c r="E5098" s="0" t="inlineStr">
        <is>
          <t xml:space="preserve">ROLLS-ROYCE MARINE NORTH AMERICA INC.</t>
        </is>
      </c>
      <c r="F5098" s="0" t="inlineStr">
        <is>
          <t xml:space="preserve">naics:336612</t>
        </is>
      </c>
    </row>
    <row r="5099">
      <c r="B5099" s="0" t="inlineStr">
        <is>
          <t xml:space="preserve">N0010421PXC56</t>
        </is>
      </c>
      <c r="C5099" s="0" t="inlineStr">
        <is>
          <t xml:space="preserve">small_craft</t>
        </is>
      </c>
      <c r="D5099" s="4">
        <v>0.00597</v>
      </c>
      <c r="E5099" s="0" t="inlineStr">
        <is>
          <t xml:space="preserve">ROLLS-ROYCE MARINE NORTH AMERICA INC.</t>
        </is>
      </c>
      <c r="F5099" s="0" t="inlineStr">
        <is>
          <t xml:space="preserve">naics:336612</t>
        </is>
      </c>
    </row>
    <row r="5100">
      <c r="B5100" s="0" t="inlineStr">
        <is>
          <t xml:space="preserve">N0040615P1012</t>
        </is>
      </c>
      <c r="C5100" s="0" t="inlineStr">
        <is>
          <t xml:space="preserve">small_craft</t>
        </is>
      </c>
      <c r="D5100" s="4">
        <v>0.0059499999999999996</v>
      </c>
      <c r="E5100" s="0" t="inlineStr">
        <is>
          <t xml:space="preserve">PIER SIDE SUPPLY INC</t>
        </is>
      </c>
      <c r="F5100" s="0" t="inlineStr">
        <is>
          <t xml:space="preserve">naics:336612</t>
        </is>
      </c>
    </row>
    <row r="5101">
      <c r="B5101" s="0" t="inlineStr">
        <is>
          <t xml:space="preserve">N0010415PEJ25</t>
        </is>
      </c>
      <c r="C5101" s="0" t="inlineStr">
        <is>
          <t xml:space="preserve">small_craft</t>
        </is>
      </c>
      <c r="D5101" s="4">
        <v>0.005945</v>
      </c>
      <c r="E5101" s="0" t="inlineStr">
        <is>
          <t xml:space="preserve">DEFENSE MANUFACTURERS INC</t>
        </is>
      </c>
      <c r="F5101" s="0" t="inlineStr">
        <is>
          <t xml:space="preserve">naics:336612</t>
        </is>
      </c>
    </row>
    <row r="5102">
      <c r="B5102" s="0" t="inlineStr">
        <is>
          <t xml:space="preserve">HC108423FA846</t>
        </is>
      </c>
      <c r="C5102" s="0" t="inlineStr">
        <is>
          <t xml:space="preserve">usv_core</t>
        </is>
      </c>
      <c r="D5102" s="4">
        <v>0.0059345299999999995</v>
      </c>
      <c r="E5102" s="0" t="inlineStr">
        <is>
          <t xml:space="preserve">ATT MOBILITY LLC</t>
        </is>
      </c>
      <c r="F5102" s="0" t="inlineStr">
        <is>
          <t xml:space="preserve">keyword</t>
        </is>
      </c>
    </row>
    <row r="5103">
      <c r="B5103" s="0" t="inlineStr">
        <is>
          <t xml:space="preserve">N4044207P5372</t>
        </is>
      </c>
      <c r="C5103" s="0" t="inlineStr">
        <is>
          <t xml:space="preserve">other_small</t>
        </is>
      </c>
      <c r="D5103" s="4">
        <v>0.0059235799999999995</v>
      </c>
      <c r="E5103" s="0" t="inlineStr">
        <is>
          <t xml:space="preserve">EXCELL TECHNOLOGIES INTERNATIONAL CORPORATION</t>
        </is>
      </c>
      <c r="F5103" s="0" t="inlineStr">
        <is>
          <t xml:space="preserve">psc:1925</t>
        </is>
      </c>
    </row>
    <row r="5104">
      <c r="B5104" s="0" t="inlineStr">
        <is>
          <t xml:space="preserve">N0040616P2518</t>
        </is>
      </c>
      <c r="C5104" s="0" t="inlineStr">
        <is>
          <t xml:space="preserve">small_craft</t>
        </is>
      </c>
      <c r="D5104" s="4">
        <v>0.0059</v>
      </c>
      <c r="E5104" s="0" t="inlineStr">
        <is>
          <t xml:space="preserve">PACIFIC MARITIME INDUSTRIES CORP.</t>
        </is>
      </c>
      <c r="F5104" s="0" t="inlineStr">
        <is>
          <t xml:space="preserve">naics:336612</t>
        </is>
      </c>
    </row>
    <row r="5105">
      <c r="B5105" s="0" t="inlineStr">
        <is>
          <t xml:space="preserve">N6227115M1250</t>
        </is>
      </c>
      <c r="C5105" s="0" t="inlineStr">
        <is>
          <t xml:space="preserve">other_small</t>
        </is>
      </c>
      <c r="D5105" s="4">
        <v>0.005889999999999999</v>
      </c>
      <c r="E5105" s="0" t="inlineStr">
        <is>
          <t xml:space="preserve">CLEARPATH ROBOTICS INC.</t>
        </is>
      </c>
      <c r="F5105" s="0" t="inlineStr">
        <is>
          <t xml:space="preserve">psc:1990</t>
        </is>
      </c>
    </row>
    <row r="5106">
      <c r="B5106" s="0" t="inlineStr">
        <is>
          <t xml:space="preserve">N0010422PQA22</t>
        </is>
      </c>
      <c r="C5106" s="0" t="inlineStr">
        <is>
          <t xml:space="preserve">small_craft</t>
        </is>
      </c>
      <c r="D5106" s="4">
        <v>0.005886499999999999</v>
      </c>
      <c r="E5106" s="0" t="inlineStr">
        <is>
          <t xml:space="preserve">MADISON ELECTRIC CO</t>
        </is>
      </c>
      <c r="F5106" s="0" t="inlineStr">
        <is>
          <t xml:space="preserve">naics:336612</t>
        </is>
      </c>
    </row>
    <row r="5107">
      <c r="B5107" s="0" t="inlineStr">
        <is>
          <t xml:space="preserve">N0040615P2280</t>
        </is>
      </c>
      <c r="C5107" s="0" t="inlineStr">
        <is>
          <t xml:space="preserve">small_craft</t>
        </is>
      </c>
      <c r="D5107" s="4">
        <v>0.00588</v>
      </c>
      <c r="E5107" s="0" t="inlineStr">
        <is>
          <t xml:space="preserve">DURAMAX MARINE, LLC</t>
        </is>
      </c>
      <c r="F5107" s="0" t="inlineStr">
        <is>
          <t xml:space="preserve">naics:336612</t>
        </is>
      </c>
    </row>
    <row r="5108">
      <c r="B5108" s="0" t="inlineStr">
        <is>
          <t xml:space="preserve">N0010421PND20</t>
        </is>
      </c>
      <c r="C5108" s="0" t="inlineStr">
        <is>
          <t xml:space="preserve">small_craft</t>
        </is>
      </c>
      <c r="D5108" s="4">
        <v>0.00588</v>
      </c>
      <c r="E5108" s="0" t="inlineStr">
        <is>
          <t xml:space="preserve">GUILL TOOL &amp; ENGINEERING CO INC</t>
        </is>
      </c>
      <c r="F5108" s="0" t="inlineStr">
        <is>
          <t xml:space="preserve">naics:336612</t>
        </is>
      </c>
    </row>
    <row r="5109">
      <c r="B5109" s="0" t="inlineStr">
        <is>
          <t xml:space="preserve">N0040618P0020</t>
        </is>
      </c>
      <c r="C5109" s="0" t="inlineStr">
        <is>
          <t xml:space="preserve">small_craft</t>
        </is>
      </c>
      <c r="D5109" s="4">
        <v>0.005868</v>
      </c>
      <c r="E5109" s="0" t="inlineStr">
        <is>
          <t xml:space="preserve">JUNIPER ELBOW CO. INC.</t>
        </is>
      </c>
      <c r="F5109" s="0" t="inlineStr">
        <is>
          <t xml:space="preserve">naics:336612</t>
        </is>
      </c>
    </row>
    <row r="5110">
      <c r="B5110" s="0" t="inlineStr">
        <is>
          <t xml:space="preserve">LH76</t>
        </is>
      </c>
      <c r="C5110" s="0" t="inlineStr">
        <is>
          <t xml:space="preserve">other_small</t>
        </is>
      </c>
      <c r="D5110" s="4">
        <v>0.00583</v>
      </c>
      <c r="E5110" s="0" t="inlineStr">
        <is>
          <t xml:space="preserve">MCALLISTER TOWING OF VIRGINIA INC</t>
        </is>
      </c>
      <c r="F5110" s="0" t="inlineStr">
        <is>
          <t xml:space="preserve">psc:1990</t>
        </is>
      </c>
    </row>
    <row r="5111">
      <c r="B5111" s="0" t="inlineStr">
        <is>
          <t xml:space="preserve">N0040615P2794</t>
        </is>
      </c>
      <c r="C5111" s="0" t="inlineStr">
        <is>
          <t xml:space="preserve">small_craft</t>
        </is>
      </c>
      <c r="D5111" s="4">
        <v>0.005763</v>
      </c>
      <c r="E5111" s="0" t="inlineStr">
        <is>
          <t xml:space="preserve">JUNIPER ELBOW CO. INC.</t>
        </is>
      </c>
      <c r="F5111" s="0" t="inlineStr">
        <is>
          <t xml:space="preserve">naics:336612</t>
        </is>
      </c>
    </row>
    <row r="5112">
      <c r="B5112" s="0" t="inlineStr">
        <is>
          <t xml:space="preserve">N0040615P2946</t>
        </is>
      </c>
      <c r="C5112" s="0" t="inlineStr">
        <is>
          <t xml:space="preserve">small_craft</t>
        </is>
      </c>
      <c r="D5112" s="4">
        <v>0.005761</v>
      </c>
      <c r="E5112" s="0" t="inlineStr">
        <is>
          <t xml:space="preserve">DEFENSE MARITIME SOLUTIONS, INC.</t>
        </is>
      </c>
      <c r="F5112" s="0" t="inlineStr">
        <is>
          <t xml:space="preserve">naics:336612</t>
        </is>
      </c>
    </row>
    <row r="5113">
      <c r="B5113" s="0" t="inlineStr">
        <is>
          <t xml:space="preserve">N3220518F2418</t>
        </is>
      </c>
      <c r="C5113" s="0" t="inlineStr">
        <is>
          <t xml:space="preserve">other_small</t>
        </is>
      </c>
      <c r="D5113" s="4">
        <v>0.0057497</v>
      </c>
      <c r="E5113" s="0" t="inlineStr">
        <is>
          <t xml:space="preserve">AUSTAL USA, LLC</t>
        </is>
      </c>
      <c r="F5113" s="0" t="inlineStr">
        <is>
          <t xml:space="preserve">psc:1990</t>
        </is>
      </c>
    </row>
    <row r="5114">
      <c r="B5114" s="0" t="inlineStr">
        <is>
          <t xml:space="preserve">N0010423PEB96</t>
        </is>
      </c>
      <c r="C5114" s="0" t="inlineStr">
        <is>
          <t xml:space="preserve">small_craft</t>
        </is>
      </c>
      <c r="D5114" s="4">
        <v>0.0057414</v>
      </c>
      <c r="E5114" s="0" t="inlineStr">
        <is>
          <t xml:space="preserve">IN SPECK CORP</t>
        </is>
      </c>
      <c r="F5114" s="0" t="inlineStr">
        <is>
          <t xml:space="preserve">naics:336612</t>
        </is>
      </c>
    </row>
    <row r="5115">
      <c r="B5115" s="0" t="inlineStr">
        <is>
          <t xml:space="preserve">N0010421PEL07</t>
        </is>
      </c>
      <c r="C5115" s="0" t="inlineStr">
        <is>
          <t xml:space="preserve">small_craft</t>
        </is>
      </c>
      <c r="D5115" s="4">
        <v>0.0057356</v>
      </c>
      <c r="E5115" s="0" t="inlineStr">
        <is>
          <t xml:space="preserve">DIBERT VALVE AND FITTING COMPANY, INCORPORATED</t>
        </is>
      </c>
      <c r="F5115" s="0" t="inlineStr">
        <is>
          <t xml:space="preserve">naics:336612</t>
        </is>
      </c>
    </row>
    <row r="5116">
      <c r="B5116" s="0" t="inlineStr">
        <is>
          <t xml:space="preserve">N0010417PBV18</t>
        </is>
      </c>
      <c r="C5116" s="0" t="inlineStr">
        <is>
          <t xml:space="preserve">small_craft</t>
        </is>
      </c>
      <c r="D5116" s="4">
        <v>0.00573</v>
      </c>
      <c r="E5116" s="0" t="inlineStr">
        <is>
          <t xml:space="preserve">GREATER MARYLAND TOOL &amp; MFG. CORP.</t>
        </is>
      </c>
      <c r="F5116" s="0" t="inlineStr">
        <is>
          <t xml:space="preserve">naics:336612</t>
        </is>
      </c>
    </row>
    <row r="5117">
      <c r="B5117" s="0" t="inlineStr">
        <is>
          <t xml:space="preserve">0064</t>
        </is>
      </c>
      <c r="C5117" s="0" t="inlineStr">
        <is>
          <t xml:space="preserve">other_small</t>
        </is>
      </c>
      <c r="D5117" s="4">
        <v>0.005726939999999999</v>
      </c>
      <c r="E5117" s="0" t="inlineStr">
        <is>
          <t xml:space="preserve">ROLLS-ROYCE SOLUTIONS AMERICA INC</t>
        </is>
      </c>
      <c r="F5117" s="0" t="inlineStr">
        <is>
          <t xml:space="preserve">psc:1990</t>
        </is>
      </c>
    </row>
    <row r="5118">
      <c r="B5118" s="0" t="inlineStr">
        <is>
          <t xml:space="preserve">N0010418PX047</t>
        </is>
      </c>
      <c r="C5118" s="0" t="inlineStr">
        <is>
          <t xml:space="preserve">broad_maritime</t>
        </is>
      </c>
      <c r="D5118" s="4">
        <v>0.005712</v>
      </c>
      <c r="E5118" s="0" t="inlineStr">
        <is>
          <t xml:space="preserve">LOCKHEED MARTIN CORPORATION</t>
        </is>
      </c>
      <c r="F5118" s="0" t="inlineStr">
        <is>
          <t xml:space="preserve">psc:1905</t>
        </is>
      </c>
    </row>
    <row r="5119">
      <c r="B5119" s="0" t="inlineStr">
        <is>
          <t xml:space="preserve">N0010423PEC26</t>
        </is>
      </c>
      <c r="C5119" s="0" t="inlineStr">
        <is>
          <t xml:space="preserve">small_craft</t>
        </is>
      </c>
      <c r="D5119" s="4">
        <v>0.0056879999999999995</v>
      </c>
      <c r="E5119" s="0" t="inlineStr">
        <is>
          <t xml:space="preserve">JO-KELL INC.</t>
        </is>
      </c>
      <c r="F5119" s="0" t="inlineStr">
        <is>
          <t xml:space="preserve">naics:336612</t>
        </is>
      </c>
    </row>
    <row r="5120">
      <c r="B5120" s="0" t="inlineStr">
        <is>
          <t xml:space="preserve">0029</t>
        </is>
      </c>
      <c r="C5120" s="0" t="inlineStr">
        <is>
          <t xml:space="preserve">broad_maritime</t>
        </is>
      </c>
      <c r="D5120" s="4">
        <v>0.005686999999999999</v>
      </c>
      <c r="E5120" s="0" t="inlineStr">
        <is>
          <t xml:space="preserve">ELECTRIC BOAT CORPORATION</t>
        </is>
      </c>
      <c r="F5120" s="0" t="inlineStr">
        <is>
          <t xml:space="preserve">psc:1905</t>
        </is>
      </c>
    </row>
    <row r="5121">
      <c r="B5121" s="0" t="inlineStr">
        <is>
          <t xml:space="preserve">N0040615P4132</t>
        </is>
      </c>
      <c r="C5121" s="0" t="inlineStr">
        <is>
          <t xml:space="preserve">small_craft</t>
        </is>
      </c>
      <c r="D5121" s="4">
        <v>0.00565746</v>
      </c>
      <c r="E5121" s="0" t="inlineStr">
        <is>
          <t xml:space="preserve">SAFE BOATS INTERNATIONAL LLC</t>
        </is>
      </c>
      <c r="F5121" s="0" t="inlineStr">
        <is>
          <t xml:space="preserve">naics:336612</t>
        </is>
      </c>
    </row>
    <row r="5122">
      <c r="B5122" s="0" t="inlineStr">
        <is>
          <t xml:space="preserve">N0010417PEC30</t>
        </is>
      </c>
      <c r="C5122" s="0" t="inlineStr">
        <is>
          <t xml:space="preserve">small_craft</t>
        </is>
      </c>
      <c r="D5122" s="4">
        <v>0.0056321999999999995</v>
      </c>
      <c r="E5122" s="0" t="inlineStr">
        <is>
          <t xml:space="preserve">COGITIC CORPORATION</t>
        </is>
      </c>
      <c r="F5122" s="0" t="inlineStr">
        <is>
          <t xml:space="preserve">naics:336612</t>
        </is>
      </c>
    </row>
    <row r="5123">
      <c r="B5123" s="0" t="inlineStr">
        <is>
          <t xml:space="preserve">N0010426PBL69</t>
        </is>
      </c>
      <c r="C5123" s="0" t="inlineStr">
        <is>
          <t xml:space="preserve">small_craft</t>
        </is>
      </c>
      <c r="D5123" s="4">
        <v>0.0056</v>
      </c>
      <c r="E5123" s="0" t="inlineStr">
        <is>
          <t xml:space="preserve">SHENANDOAH INDUSTRIES, LLC</t>
        </is>
      </c>
      <c r="F5123" s="0" t="inlineStr">
        <is>
          <t xml:space="preserve">naics:336612</t>
        </is>
      </c>
    </row>
    <row r="5124">
      <c r="B5124" s="0" t="inlineStr">
        <is>
          <t xml:space="preserve">N0010425PEA33</t>
        </is>
      </c>
      <c r="C5124" s="0" t="inlineStr">
        <is>
          <t xml:space="preserve">small_craft</t>
        </is>
      </c>
      <c r="D5124" s="4">
        <v>0.0056</v>
      </c>
      <c r="E5124" s="0" t="inlineStr">
        <is>
          <t xml:space="preserve">GAFFEL EQUIPMENT</t>
        </is>
      </c>
      <c r="F5124" s="0" t="inlineStr">
        <is>
          <t xml:space="preserve">naics:336612</t>
        </is>
      </c>
    </row>
    <row r="5125">
      <c r="B5125" s="0" t="inlineStr">
        <is>
          <t xml:space="preserve">N0010418PCE91</t>
        </is>
      </c>
      <c r="C5125" s="0" t="inlineStr">
        <is>
          <t xml:space="preserve">small_craft</t>
        </is>
      </c>
      <c r="D5125" s="4">
        <v>0.0056</v>
      </c>
      <c r="E5125" s="0" t="inlineStr">
        <is>
          <t xml:space="preserve">DEFENSE MARITIME SOLUTIONS, INC.</t>
        </is>
      </c>
      <c r="F5125" s="0" t="inlineStr">
        <is>
          <t xml:space="preserve">naics:336612</t>
        </is>
      </c>
    </row>
    <row r="5126">
      <c r="B5126" s="0" t="inlineStr">
        <is>
          <t xml:space="preserve">N0010418PCB87</t>
        </is>
      </c>
      <c r="C5126" s="0" t="inlineStr">
        <is>
          <t xml:space="preserve">small_craft</t>
        </is>
      </c>
      <c r="D5126" s="4">
        <v>0.0056</v>
      </c>
      <c r="E5126" s="0" t="inlineStr">
        <is>
          <t xml:space="preserve">DEFENSE MARITIME SOLUTIONS, INC.</t>
        </is>
      </c>
      <c r="F5126" s="0" t="inlineStr">
        <is>
          <t xml:space="preserve">naics:336612</t>
        </is>
      </c>
    </row>
    <row r="5127">
      <c r="B5127" s="0" t="inlineStr">
        <is>
          <t xml:space="preserve">N0010421PED32</t>
        </is>
      </c>
      <c r="C5127" s="0" t="inlineStr">
        <is>
          <t xml:space="preserve">small_craft</t>
        </is>
      </c>
      <c r="D5127" s="4">
        <v>0.00558</v>
      </c>
      <c r="E5127" s="0" t="inlineStr">
        <is>
          <t xml:space="preserve">AIRGAS USA LLC</t>
        </is>
      </c>
      <c r="F5127" s="0" t="inlineStr">
        <is>
          <t xml:space="preserve">naics:336612</t>
        </is>
      </c>
    </row>
    <row r="5128">
      <c r="B5128" s="0" t="inlineStr">
        <is>
          <t xml:space="preserve">0049</t>
        </is>
      </c>
      <c r="C5128" s="0" t="inlineStr">
        <is>
          <t xml:space="preserve">other_small</t>
        </is>
      </c>
      <c r="D5128" s="4">
        <v>0.00555954</v>
      </c>
      <c r="E5128" s="0" t="inlineStr">
        <is>
          <t xml:space="preserve">AUSTAL USA, LLC</t>
        </is>
      </c>
      <c r="F5128" s="0" t="inlineStr">
        <is>
          <t xml:space="preserve">psc:1990</t>
        </is>
      </c>
    </row>
    <row r="5129">
      <c r="B5129" s="0" t="inlineStr">
        <is>
          <t xml:space="preserve">N0018916P1167</t>
        </is>
      </c>
      <c r="C5129" s="0" t="inlineStr">
        <is>
          <t xml:space="preserve">small_craft</t>
        </is>
      </c>
      <c r="D5129" s="4">
        <v>0.00555809</v>
      </c>
      <c r="E5129" s="0" t="inlineStr">
        <is>
          <t xml:space="preserve">THE WASHINGTON MARINA COMPANY</t>
        </is>
      </c>
      <c r="F5129" s="0" t="inlineStr">
        <is>
          <t xml:space="preserve">naics:336612</t>
        </is>
      </c>
    </row>
    <row r="5130">
      <c r="B5130" s="0" t="inlineStr">
        <is>
          <t xml:space="preserve">N0010422PEQ39</t>
        </is>
      </c>
      <c r="C5130" s="0" t="inlineStr">
        <is>
          <t xml:space="preserve">small_craft</t>
        </is>
      </c>
      <c r="D5130" s="4">
        <v>0.005520239999999999</v>
      </c>
      <c r="E5130" s="0" t="inlineStr">
        <is>
          <t xml:space="preserve">ADIRONDACK ELECTRONICS INC</t>
        </is>
      </c>
      <c r="F5130" s="0" t="inlineStr">
        <is>
          <t xml:space="preserve">naics:336612</t>
        </is>
      </c>
    </row>
    <row r="5131">
      <c r="B5131" s="0" t="inlineStr">
        <is>
          <t xml:space="preserve">N0040616P0167</t>
        </is>
      </c>
      <c r="C5131" s="0" t="inlineStr">
        <is>
          <t xml:space="preserve">small_craft</t>
        </is>
      </c>
      <c r="D5131" s="4">
        <v>0.0055179999999999995</v>
      </c>
      <c r="E5131" s="0" t="inlineStr">
        <is>
          <t xml:space="preserve">JUNIPER ELBOW CO. INC.</t>
        </is>
      </c>
      <c r="F5131" s="0" t="inlineStr">
        <is>
          <t xml:space="preserve">naics:336612</t>
        </is>
      </c>
    </row>
    <row r="5132">
      <c r="B5132" s="0" t="inlineStr">
        <is>
          <t xml:space="preserve">N0010425PEB74</t>
        </is>
      </c>
      <c r="C5132" s="0" t="inlineStr">
        <is>
          <t xml:space="preserve">small_craft</t>
        </is>
      </c>
      <c r="D5132" s="4">
        <v>0.00551552</v>
      </c>
      <c r="E5132" s="0" t="inlineStr">
        <is>
          <t xml:space="preserve">III WILLIAMS LLC</t>
        </is>
      </c>
      <c r="F5132" s="0" t="inlineStr">
        <is>
          <t xml:space="preserve">naics:336612</t>
        </is>
      </c>
    </row>
    <row r="5133">
      <c r="B5133" s="0" t="inlineStr">
        <is>
          <t xml:space="preserve">N0040615P0758</t>
        </is>
      </c>
      <c r="C5133" s="0" t="inlineStr">
        <is>
          <t xml:space="preserve">small_craft</t>
        </is>
      </c>
      <c r="D5133" s="4">
        <v>0.0055119999999999995</v>
      </c>
      <c r="E5133" s="0" t="inlineStr">
        <is>
          <t xml:space="preserve">COOKSON DOOR SALES OF ARIZONA, INC.</t>
        </is>
      </c>
      <c r="F5133" s="0" t="inlineStr">
        <is>
          <t xml:space="preserve">naics:336612</t>
        </is>
      </c>
    </row>
    <row r="5134">
      <c r="B5134" s="0" t="inlineStr">
        <is>
          <t xml:space="preserve">0052</t>
        </is>
      </c>
      <c r="C5134" s="0" t="inlineStr">
        <is>
          <t xml:space="preserve">other_small</t>
        </is>
      </c>
      <c r="D5134" s="4">
        <v>0.0055026</v>
      </c>
      <c r="E5134" s="0" t="inlineStr">
        <is>
          <t xml:space="preserve">ROLLS-ROYCE SOLUTIONS AMERICA INC</t>
        </is>
      </c>
      <c r="F5134" s="0" t="inlineStr">
        <is>
          <t xml:space="preserve">psc:1990</t>
        </is>
      </c>
    </row>
    <row r="5135">
      <c r="B5135" s="0" t="inlineStr">
        <is>
          <t xml:space="preserve">N6278925P0020</t>
        </is>
      </c>
      <c r="C5135" s="0" t="inlineStr">
        <is>
          <t xml:space="preserve">small_craft</t>
        </is>
      </c>
      <c r="D5135" s="4">
        <v>0.0055</v>
      </c>
      <c r="E5135" s="0" t="inlineStr">
        <is>
          <t xml:space="preserve">LIFE RAFT &amp; SURVIVAL EQUIPMENT, INC.</t>
        </is>
      </c>
      <c r="F5135" s="0" t="inlineStr">
        <is>
          <t xml:space="preserve">naics:336612</t>
        </is>
      </c>
    </row>
    <row r="5136">
      <c r="B5136" s="0" t="inlineStr">
        <is>
          <t xml:space="preserve">N0040615P3202</t>
        </is>
      </c>
      <c r="C5136" s="0" t="inlineStr">
        <is>
          <t xml:space="preserve">small_craft</t>
        </is>
      </c>
      <c r="D5136" s="4">
        <v>0.005445</v>
      </c>
      <c r="E5136" s="0" t="inlineStr">
        <is>
          <t xml:space="preserve">J.D.A. MARITIME, INC.</t>
        </is>
      </c>
      <c r="F5136" s="0" t="inlineStr">
        <is>
          <t xml:space="preserve">naics:336612</t>
        </is>
      </c>
    </row>
    <row r="5137">
      <c r="B5137" s="0" t="inlineStr">
        <is>
          <t xml:space="preserve">N5523618P0001</t>
        </is>
      </c>
      <c r="C5137" s="0" t="inlineStr">
        <is>
          <t xml:space="preserve">broad_maritime</t>
        </is>
      </c>
      <c r="D5137" s="4">
        <v>0.005424689999999999</v>
      </c>
      <c r="E5137" s="0" t="inlineStr">
        <is>
          <t xml:space="preserve">JERED LLC</t>
        </is>
      </c>
      <c r="F5137" s="0" t="inlineStr">
        <is>
          <t xml:space="preserve">psc:1905</t>
        </is>
      </c>
    </row>
    <row r="5138">
      <c r="B5138" s="0" t="inlineStr">
        <is>
          <t xml:space="preserve">N0040616P0420</t>
        </is>
      </c>
      <c r="C5138" s="0" t="inlineStr">
        <is>
          <t xml:space="preserve">small_craft</t>
        </is>
      </c>
      <c r="D5138" s="4">
        <v>0.005405</v>
      </c>
      <c r="E5138" s="0" t="inlineStr">
        <is>
          <t xml:space="preserve">JUNIPER ELBOW CO. INC.</t>
        </is>
      </c>
      <c r="F5138" s="0" t="inlineStr">
        <is>
          <t xml:space="preserve">naics:336612</t>
        </is>
      </c>
    </row>
    <row r="5139">
      <c r="B5139" s="0" t="inlineStr">
        <is>
          <t xml:space="preserve">N0010418PBK13</t>
        </is>
      </c>
      <c r="C5139" s="0" t="inlineStr">
        <is>
          <t xml:space="preserve">small_craft</t>
        </is>
      </c>
      <c r="D5139" s="4">
        <v>0.005402489999999999</v>
      </c>
      <c r="E5139" s="0" t="inlineStr">
        <is>
          <t xml:space="preserve">DERBYSHIRE MACHINE &amp; TOOL CO</t>
        </is>
      </c>
      <c r="F5139" s="0" t="inlineStr">
        <is>
          <t xml:space="preserve">naics:336612</t>
        </is>
      </c>
    </row>
    <row r="5140">
      <c r="B5140" s="0" t="inlineStr">
        <is>
          <t xml:space="preserve">N0016725FG096</t>
        </is>
      </c>
      <c r="C5140" s="0" t="inlineStr">
        <is>
          <t xml:space="preserve">small_craft</t>
        </is>
      </c>
      <c r="D5140" s="4">
        <v>0.00540056</v>
      </c>
      <c r="E5140" s="0" t="inlineStr">
        <is>
          <t xml:space="preserve">ANCHOR INNOVATION, INC.</t>
        </is>
      </c>
      <c r="F5140" s="0" t="inlineStr">
        <is>
          <t xml:space="preserve">naics:336612</t>
        </is>
      </c>
    </row>
    <row r="5141">
      <c r="B5141" s="0" t="inlineStr">
        <is>
          <t xml:space="preserve">N0010424PCC23</t>
        </is>
      </c>
      <c r="C5141" s="0" t="inlineStr">
        <is>
          <t xml:space="preserve">small_craft</t>
        </is>
      </c>
      <c r="D5141" s="4">
        <v>0.005399999999999999</v>
      </c>
      <c r="E5141" s="0" t="inlineStr">
        <is>
          <t xml:space="preserve">ADIRONDACK ELECTRONICS INC</t>
        </is>
      </c>
      <c r="F5141" s="0" t="inlineStr">
        <is>
          <t xml:space="preserve">naics:336612</t>
        </is>
      </c>
    </row>
    <row r="5142">
      <c r="B5142" s="0" t="inlineStr">
        <is>
          <t xml:space="preserve">N0010423PXE29</t>
        </is>
      </c>
      <c r="C5142" s="0" t="inlineStr">
        <is>
          <t xml:space="preserve">small_craft</t>
        </is>
      </c>
      <c r="D5142" s="4">
        <v>0.005399999999999999</v>
      </c>
      <c r="E5142" s="0" t="inlineStr">
        <is>
          <t xml:space="preserve">VIRGINIA ELECTRONIC SYSTEMS, INC.</t>
        </is>
      </c>
      <c r="F5142" s="0" t="inlineStr">
        <is>
          <t xml:space="preserve">psc:1940</t>
        </is>
      </c>
    </row>
    <row r="5143">
      <c r="B5143" s="0" t="inlineStr">
        <is>
          <t xml:space="preserve">N0010423PXB85</t>
        </is>
      </c>
      <c r="C5143" s="0" t="inlineStr">
        <is>
          <t xml:space="preserve">small_craft</t>
        </is>
      </c>
      <c r="D5143" s="4">
        <v>0.005399999999999999</v>
      </c>
      <c r="E5143" s="0" t="inlineStr">
        <is>
          <t xml:space="preserve">VIRGINIA ELECTRONIC SYSTEMS, INC.</t>
        </is>
      </c>
      <c r="F5143" s="0" t="inlineStr">
        <is>
          <t xml:space="preserve">psc:1940</t>
        </is>
      </c>
    </row>
    <row r="5144">
      <c r="B5144" s="0" t="inlineStr">
        <is>
          <t xml:space="preserve">N0010423PXB84</t>
        </is>
      </c>
      <c r="C5144" s="0" t="inlineStr">
        <is>
          <t xml:space="preserve">small_craft</t>
        </is>
      </c>
      <c r="D5144" s="4">
        <v>0.005399999999999999</v>
      </c>
      <c r="E5144" s="0" t="inlineStr">
        <is>
          <t xml:space="preserve">VIRGINIA ELECTRONIC SYSTEMS, INC.</t>
        </is>
      </c>
      <c r="F5144" s="0" t="inlineStr">
        <is>
          <t xml:space="preserve">psc:1940</t>
        </is>
      </c>
    </row>
    <row r="5145">
      <c r="B5145" s="0" t="inlineStr">
        <is>
          <t xml:space="preserve">N0010422PUC25</t>
        </is>
      </c>
      <c r="C5145" s="0" t="inlineStr">
        <is>
          <t xml:space="preserve">small_craft</t>
        </is>
      </c>
      <c r="D5145" s="4">
        <v>0.00539752</v>
      </c>
      <c r="E5145" s="0" t="inlineStr">
        <is>
          <t xml:space="preserve">DYNALEC CORPORATION</t>
        </is>
      </c>
      <c r="F5145" s="0" t="inlineStr">
        <is>
          <t xml:space="preserve">naics:336612</t>
        </is>
      </c>
    </row>
    <row r="5146">
      <c r="B5146" s="0" t="inlineStr">
        <is>
          <t xml:space="preserve">N0010421PED17</t>
        </is>
      </c>
      <c r="C5146" s="0" t="inlineStr">
        <is>
          <t xml:space="preserve">small_craft</t>
        </is>
      </c>
      <c r="D5146" s="4">
        <v>0.0053831999999999994</v>
      </c>
      <c r="E5146" s="0" t="inlineStr">
        <is>
          <t xml:space="preserve">DUTCH VALLEY SUPPLY CO.</t>
        </is>
      </c>
      <c r="F5146" s="0" t="inlineStr">
        <is>
          <t xml:space="preserve">naics:336612</t>
        </is>
      </c>
    </row>
    <row r="5147">
      <c r="B5147" s="0" t="inlineStr">
        <is>
          <t xml:space="preserve">N0010417PEC61</t>
        </is>
      </c>
      <c r="C5147" s="0" t="inlineStr">
        <is>
          <t xml:space="preserve">small_craft</t>
        </is>
      </c>
      <c r="D5147" s="4">
        <v>0.005356819999999999</v>
      </c>
      <c r="E5147" s="0" t="inlineStr">
        <is>
          <t xml:space="preserve">DIBERT VALVE AND FITTING COMPANY, INCORPORATED</t>
        </is>
      </c>
      <c r="F5147" s="0" t="inlineStr">
        <is>
          <t xml:space="preserve">naics:336612</t>
        </is>
      </c>
    </row>
    <row r="5148">
      <c r="B5148" s="0" t="inlineStr">
        <is>
          <t xml:space="preserve">L814</t>
        </is>
      </c>
      <c r="C5148" s="0" t="inlineStr">
        <is>
          <t xml:space="preserve">broad_maritime</t>
        </is>
      </c>
      <c r="D5148" s="4">
        <v>0.005353</v>
      </c>
      <c r="E5148" s="0" t="inlineStr">
        <is>
          <t xml:space="preserve">ELECTRIC BOAT CORPORATION</t>
        </is>
      </c>
      <c r="F5148" s="0" t="inlineStr">
        <is>
          <t xml:space="preserve">psc:1905</t>
        </is>
      </c>
    </row>
    <row r="5149">
      <c r="B5149" s="0" t="inlineStr">
        <is>
          <t xml:space="preserve">N0010424PEG67</t>
        </is>
      </c>
      <c r="C5149" s="0" t="inlineStr">
        <is>
          <t xml:space="preserve">small_craft</t>
        </is>
      </c>
      <c r="D5149" s="4">
        <v>0.00535</v>
      </c>
      <c r="E5149" s="0" t="inlineStr">
        <is>
          <t xml:space="preserve">FLUIDYNE CORPORATION</t>
        </is>
      </c>
      <c r="F5149" s="0" t="inlineStr">
        <is>
          <t xml:space="preserve">naics:336612</t>
        </is>
      </c>
    </row>
    <row r="5150">
      <c r="B5150" s="0" t="inlineStr">
        <is>
          <t xml:space="preserve">N0040615P2036</t>
        </is>
      </c>
      <c r="C5150" s="0" t="inlineStr">
        <is>
          <t xml:space="preserve">small_craft</t>
        </is>
      </c>
      <c r="D5150" s="4">
        <v>0.005345</v>
      </c>
      <c r="E5150" s="0" t="inlineStr">
        <is>
          <t xml:space="preserve">RAILWAY SPECIALTIES CORP</t>
        </is>
      </c>
      <c r="F5150" s="0" t="inlineStr">
        <is>
          <t xml:space="preserve">naics:336612</t>
        </is>
      </c>
    </row>
    <row r="5151">
      <c r="B5151" s="0" t="inlineStr">
        <is>
          <t xml:space="preserve">N0010417PEC33</t>
        </is>
      </c>
      <c r="C5151" s="0" t="inlineStr">
        <is>
          <t xml:space="preserve">small_craft</t>
        </is>
      </c>
      <c r="D5151" s="4">
        <v>0.00528456</v>
      </c>
      <c r="E5151" s="0" t="inlineStr">
        <is>
          <t xml:space="preserve">COGITIC CORPORATION</t>
        </is>
      </c>
      <c r="F5151" s="0" t="inlineStr">
        <is>
          <t xml:space="preserve">naics:336612</t>
        </is>
      </c>
    </row>
    <row r="5152">
      <c r="B5152" s="0" t="inlineStr">
        <is>
          <t xml:space="preserve">N0010421PND53</t>
        </is>
      </c>
      <c r="C5152" s="0" t="inlineStr">
        <is>
          <t xml:space="preserve">small_craft</t>
        </is>
      </c>
      <c r="D5152" s="4">
        <v>0.0052499999999999995</v>
      </c>
      <c r="E5152" s="0" t="inlineStr">
        <is>
          <t xml:space="preserve">MMC METROLOGY LAB, INC.</t>
        </is>
      </c>
      <c r="F5152" s="0" t="inlineStr">
        <is>
          <t xml:space="preserve">naics:336612</t>
        </is>
      </c>
    </row>
    <row r="5153">
      <c r="B5153" s="0" t="inlineStr">
        <is>
          <t xml:space="preserve">N0010421PAD62</t>
        </is>
      </c>
      <c r="C5153" s="0" t="inlineStr">
        <is>
          <t xml:space="preserve">small_craft</t>
        </is>
      </c>
      <c r="D5153" s="4">
        <v>0.0052356</v>
      </c>
      <c r="E5153" s="0" t="inlineStr">
        <is>
          <t xml:space="preserve">COMETTO S.P.A.</t>
        </is>
      </c>
      <c r="F5153" s="0" t="inlineStr">
        <is>
          <t xml:space="preserve">naics:336612</t>
        </is>
      </c>
    </row>
    <row r="5154">
      <c r="B5154" s="0" t="inlineStr">
        <is>
          <t xml:space="preserve">N0010425PAD48</t>
        </is>
      </c>
      <c r="C5154" s="0" t="inlineStr">
        <is>
          <t xml:space="preserve">small_craft</t>
        </is>
      </c>
      <c r="D5154" s="4">
        <v>0.00522528</v>
      </c>
      <c r="E5154" s="0" t="inlineStr">
        <is>
          <t xml:space="preserve">A.M.S. NETWORK, LLC</t>
        </is>
      </c>
      <c r="F5154" s="0" t="inlineStr">
        <is>
          <t xml:space="preserve">naics:336612</t>
        </is>
      </c>
    </row>
    <row r="5155">
      <c r="B5155" s="0" t="inlineStr">
        <is>
          <t xml:space="preserve">N0010418PBZ55</t>
        </is>
      </c>
      <c r="C5155" s="0" t="inlineStr">
        <is>
          <t xml:space="preserve">small_craft</t>
        </is>
      </c>
      <c r="D5155" s="4">
        <v>0.005135</v>
      </c>
      <c r="E5155" s="0" t="inlineStr">
        <is>
          <t xml:space="preserve">GREATER MARYLAND TOOL &amp; MFG. CORP.</t>
        </is>
      </c>
      <c r="F5155" s="0" t="inlineStr">
        <is>
          <t xml:space="preserve">naics:336612</t>
        </is>
      </c>
    </row>
    <row r="5156">
      <c r="B5156" s="0" t="inlineStr">
        <is>
          <t xml:space="preserve">N0010426PFB42</t>
        </is>
      </c>
      <c r="C5156" s="0" t="inlineStr">
        <is>
          <t xml:space="preserve">small_craft</t>
        </is>
      </c>
      <c r="D5156" s="4">
        <v>0.005104899999999999</v>
      </c>
      <c r="E5156" s="0" t="inlineStr">
        <is>
          <t xml:space="preserve">IN SPECK CORP</t>
        </is>
      </c>
      <c r="F5156" s="0" t="inlineStr">
        <is>
          <t xml:space="preserve">naics:336612</t>
        </is>
      </c>
    </row>
    <row r="5157">
      <c r="B5157" s="0" t="inlineStr">
        <is>
          <t xml:space="preserve">N0024415P0376</t>
        </is>
      </c>
      <c r="C5157" s="0" t="inlineStr">
        <is>
          <t xml:space="preserve">small_craft</t>
        </is>
      </c>
      <c r="D5157" s="4">
        <v>0.0050999999999999995</v>
      </c>
      <c r="E5157" s="0" t="inlineStr">
        <is>
          <t xml:space="preserve">WING INFLATABLES INC</t>
        </is>
      </c>
      <c r="F5157" s="0" t="inlineStr">
        <is>
          <t xml:space="preserve">naics:336612</t>
        </is>
      </c>
    </row>
    <row r="5158">
      <c r="B5158" s="0" t="inlineStr">
        <is>
          <t xml:space="preserve">0001</t>
        </is>
      </c>
      <c r="C5158" s="0" t="inlineStr">
        <is>
          <t xml:space="preserve">other_small</t>
        </is>
      </c>
      <c r="D5158" s="4">
        <v>0.0050999999999999995</v>
      </c>
      <c r="E5158" s="0" t="inlineStr">
        <is>
          <t xml:space="preserve">LAKE SHORE SYSTEMS, INC.</t>
        </is>
      </c>
      <c r="F5158" s="0" t="inlineStr">
        <is>
          <t xml:space="preserve">psc:1990</t>
        </is>
      </c>
    </row>
    <row r="5159">
      <c r="B5159" s="0" t="inlineStr">
        <is>
          <t xml:space="preserve">N0016725FG165</t>
        </is>
      </c>
      <c r="C5159" s="0" t="inlineStr">
        <is>
          <t xml:space="preserve">small_craft</t>
        </is>
      </c>
      <c r="D5159" s="4">
        <v>0.005083699999999999</v>
      </c>
      <c r="E5159" s="0" t="inlineStr">
        <is>
          <t xml:space="preserve">ANCHOR INNOVATION, INC.</t>
        </is>
      </c>
      <c r="F5159" s="0" t="inlineStr">
        <is>
          <t xml:space="preserve">naics:336612</t>
        </is>
      </c>
    </row>
    <row r="5160">
      <c r="B5160" s="0" t="inlineStr">
        <is>
          <t xml:space="preserve">N0040618P0539</t>
        </is>
      </c>
      <c r="C5160" s="0" t="inlineStr">
        <is>
          <t xml:space="preserve">small_craft</t>
        </is>
      </c>
      <c r="D5160" s="4">
        <v>0.00507452</v>
      </c>
      <c r="E5160" s="0" t="inlineStr">
        <is>
          <t xml:space="preserve">B.W. ELLIOTT MANUFACTURING CO., LLC</t>
        </is>
      </c>
      <c r="F5160" s="0" t="inlineStr">
        <is>
          <t xml:space="preserve">naics:336612</t>
        </is>
      </c>
    </row>
    <row r="5161">
      <c r="B5161" s="0" t="inlineStr">
        <is>
          <t xml:space="preserve">N3220518F0025</t>
        </is>
      </c>
      <c r="C5161" s="0" t="inlineStr">
        <is>
          <t xml:space="preserve">other_small</t>
        </is>
      </c>
      <c r="D5161" s="4">
        <v>0.005049</v>
      </c>
      <c r="E5161" s="0" t="inlineStr">
        <is>
          <t xml:space="preserve">LAKE SHORE SYSTEMS, INC.</t>
        </is>
      </c>
      <c r="F5161" s="0" t="inlineStr">
        <is>
          <t xml:space="preserve">psc:1990</t>
        </is>
      </c>
    </row>
    <row r="5162">
      <c r="B5162" s="0" t="inlineStr">
        <is>
          <t xml:space="preserve">N0010422PXA56</t>
        </is>
      </c>
      <c r="C5162" s="0" t="inlineStr">
        <is>
          <t xml:space="preserve">small_craft</t>
        </is>
      </c>
      <c r="D5162" s="4">
        <v>0.005025</v>
      </c>
      <c r="E5162" s="0" t="inlineStr">
        <is>
          <t xml:space="preserve">VIRGINIA ELECTRONIC SYSTEMS, INC.</t>
        </is>
      </c>
      <c r="F5162" s="0" t="inlineStr">
        <is>
          <t xml:space="preserve">naics:336612; psc:1940</t>
        </is>
      </c>
    </row>
    <row r="5163">
      <c r="B5163" s="0" t="inlineStr">
        <is>
          <t xml:space="preserve">N0010422PXA52</t>
        </is>
      </c>
      <c r="C5163" s="0" t="inlineStr">
        <is>
          <t xml:space="preserve">small_craft</t>
        </is>
      </c>
      <c r="D5163" s="4">
        <v>0.005025</v>
      </c>
      <c r="E5163" s="0" t="inlineStr">
        <is>
          <t xml:space="preserve">VIRGINIA ELECTRONIC SYSTEMS, INC.</t>
        </is>
      </c>
      <c r="F5163" s="0" t="inlineStr">
        <is>
          <t xml:space="preserve">psc:1940</t>
        </is>
      </c>
    </row>
    <row r="5164">
      <c r="B5164" s="0" t="inlineStr">
        <is>
          <t xml:space="preserve">0022</t>
        </is>
      </c>
      <c r="C5164" s="0" t="inlineStr">
        <is>
          <t xml:space="preserve">broad_maritime</t>
        </is>
      </c>
      <c r="D5164" s="4">
        <v>0.0050219999999999996</v>
      </c>
      <c r="E5164" s="0" t="inlineStr">
        <is>
          <t xml:space="preserve">ELECTRIC BOAT CORPORATION</t>
        </is>
      </c>
      <c r="F5164" s="0" t="inlineStr">
        <is>
          <t xml:space="preserve">psc:1905</t>
        </is>
      </c>
    </row>
    <row r="5165">
      <c r="B5165" s="0" t="inlineStr">
        <is>
          <t xml:space="preserve">N0010423PQB91</t>
        </is>
      </c>
      <c r="C5165" s="0" t="inlineStr">
        <is>
          <t xml:space="preserve">small_craft</t>
        </is>
      </c>
      <c r="D5165" s="4">
        <v>0.005013999999999999</v>
      </c>
      <c r="E5165" s="0" t="inlineStr">
        <is>
          <t xml:space="preserve">CORNET TECHNOLOGY, INC.</t>
        </is>
      </c>
      <c r="F5165" s="0" t="inlineStr">
        <is>
          <t xml:space="preserve">naics:336612</t>
        </is>
      </c>
    </row>
    <row r="5166">
      <c r="B5166" s="0" t="inlineStr">
        <is>
          <t xml:space="preserve">N6449824F3014</t>
        </is>
      </c>
      <c r="C5166" s="0" t="inlineStr">
        <is>
          <t xml:space="preserve">usv_core</t>
        </is>
      </c>
      <c r="D5166" s="4">
        <v>0.005</v>
      </c>
      <c r="E5166" s="0" t="inlineStr">
        <is>
          <t xml:space="preserve">NDI ENGINEERING COMPANY</t>
        </is>
      </c>
      <c r="F5166" s="0" t="inlineStr">
        <is>
          <t xml:space="preserve">keyword</t>
        </is>
      </c>
    </row>
    <row r="5167">
      <c r="B5167" s="0" t="inlineStr">
        <is>
          <t xml:space="preserve">N0010425PSB19</t>
        </is>
      </c>
      <c r="C5167" s="0" t="inlineStr">
        <is>
          <t xml:space="preserve">small_craft</t>
        </is>
      </c>
      <c r="D5167" s="4">
        <v>0.005</v>
      </c>
      <c r="E5167" s="0" t="inlineStr">
        <is>
          <t xml:space="preserve">COMARK LLC</t>
        </is>
      </c>
      <c r="F5167" s="0" t="inlineStr">
        <is>
          <t xml:space="preserve">naics:336612</t>
        </is>
      </c>
    </row>
    <row r="5168">
      <c r="B5168" s="0" t="inlineStr">
        <is>
          <t xml:space="preserve">N0010421PDC86</t>
        </is>
      </c>
      <c r="C5168" s="0" t="inlineStr">
        <is>
          <t xml:space="preserve">small_craft</t>
        </is>
      </c>
      <c r="D5168" s="4">
        <v>0.005</v>
      </c>
      <c r="E5168" s="0" t="inlineStr">
        <is>
          <t xml:space="preserve">FRONTIER ELECTRONIC SYSTEMS CORP</t>
        </is>
      </c>
      <c r="F5168" s="0" t="inlineStr">
        <is>
          <t xml:space="preserve">naics:336612</t>
        </is>
      </c>
    </row>
    <row r="5169">
      <c r="B5169" s="0" t="inlineStr">
        <is>
          <t xml:space="preserve">N0002425F4346</t>
        </is>
      </c>
      <c r="C5169" s="0" t="inlineStr">
        <is>
          <t xml:space="preserve">broad_maritime</t>
        </is>
      </c>
      <c r="D5169" s="4">
        <v>0.005</v>
      </c>
      <c r="E5169" s="0" t="inlineStr">
        <is>
          <t xml:space="preserve">G. S. E. DYNAMICS, INC.</t>
        </is>
      </c>
      <c r="F5169" s="0" t="inlineStr">
        <is>
          <t xml:space="preserve">psc:1905</t>
        </is>
      </c>
    </row>
    <row r="5170">
      <c r="B5170" s="0" t="inlineStr">
        <is>
          <t xml:space="preserve">N0002425F4345</t>
        </is>
      </c>
      <c r="C5170" s="0" t="inlineStr">
        <is>
          <t xml:space="preserve">broad_maritime</t>
        </is>
      </c>
      <c r="D5170" s="4">
        <v>0.005</v>
      </c>
      <c r="E5170" s="0" t="inlineStr">
        <is>
          <t xml:space="preserve">VT MILCOM INC.</t>
        </is>
      </c>
      <c r="F5170" s="0" t="inlineStr">
        <is>
          <t xml:space="preserve">psc:1905</t>
        </is>
      </c>
    </row>
    <row r="5171">
      <c r="B5171" s="0" t="inlineStr">
        <is>
          <t xml:space="preserve">N0002425F4344</t>
        </is>
      </c>
      <c r="C5171" s="0" t="inlineStr">
        <is>
          <t xml:space="preserve">broad_maritime</t>
        </is>
      </c>
      <c r="D5171" s="4">
        <v>0.005</v>
      </c>
      <c r="E5171" s="0" t="inlineStr">
        <is>
          <t xml:space="preserve">TECNICO CORPORATION</t>
        </is>
      </c>
      <c r="F5171" s="0" t="inlineStr">
        <is>
          <t xml:space="preserve">psc:1905</t>
        </is>
      </c>
    </row>
    <row r="5172">
      <c r="B5172" s="0" t="inlineStr">
        <is>
          <t xml:space="preserve">N0002425F4343</t>
        </is>
      </c>
      <c r="C5172" s="0" t="inlineStr">
        <is>
          <t xml:space="preserve">broad_maritime</t>
        </is>
      </c>
      <c r="D5172" s="4">
        <v>0.005</v>
      </c>
      <c r="E5172" s="0" t="inlineStr">
        <is>
          <t xml:space="preserve">STANDARD INSPECTION SERVICES</t>
        </is>
      </c>
      <c r="F5172" s="0" t="inlineStr">
        <is>
          <t xml:space="preserve">psc:1905</t>
        </is>
      </c>
    </row>
    <row r="5173">
      <c r="B5173" s="0" t="inlineStr">
        <is>
          <t xml:space="preserve">N0002425F4342</t>
        </is>
      </c>
      <c r="C5173" s="0" t="inlineStr">
        <is>
          <t xml:space="preserve">broad_maritime</t>
        </is>
      </c>
      <c r="D5173" s="4">
        <v>0.005</v>
      </c>
      <c r="E5173" s="0" t="inlineStr">
        <is>
          <t xml:space="preserve">SOUTHCOAST WELDING &amp; MANUFACTURING, LLC.</t>
        </is>
      </c>
      <c r="F5173" s="0" t="inlineStr">
        <is>
          <t xml:space="preserve">psc:1905</t>
        </is>
      </c>
    </row>
    <row r="5174">
      <c r="B5174" s="0" t="inlineStr">
        <is>
          <t xml:space="preserve">N0002425F4341</t>
        </is>
      </c>
      <c r="C5174" s="0" t="inlineStr">
        <is>
          <t xml:space="preserve">broad_maritime</t>
        </is>
      </c>
      <c r="D5174" s="4">
        <v>0.005</v>
      </c>
      <c r="E5174" s="0" t="inlineStr">
        <is>
          <t xml:space="preserve">RILEY POWER GROUP LLC</t>
        </is>
      </c>
      <c r="F5174" s="0" t="inlineStr">
        <is>
          <t xml:space="preserve">psc:1905</t>
        </is>
      </c>
    </row>
    <row r="5175">
      <c r="B5175" s="0" t="inlineStr">
        <is>
          <t xml:space="preserve">N0002425F4340</t>
        </is>
      </c>
      <c r="C5175" s="0" t="inlineStr">
        <is>
          <t xml:space="preserve">broad_maritime</t>
        </is>
      </c>
      <c r="D5175" s="4">
        <v>0.005</v>
      </c>
      <c r="E5175" s="0" t="inlineStr">
        <is>
          <t xml:space="preserve">QED SYSTEMS, INC.</t>
        </is>
      </c>
      <c r="F5175" s="0" t="inlineStr">
        <is>
          <t xml:space="preserve">psc:1905</t>
        </is>
      </c>
    </row>
    <row r="5176">
      <c r="B5176" s="0" t="inlineStr">
        <is>
          <t xml:space="preserve">N0002425F4339</t>
        </is>
      </c>
      <c r="C5176" s="0" t="inlineStr">
        <is>
          <t xml:space="preserve">broad_maritime</t>
        </is>
      </c>
      <c r="D5176" s="4">
        <v>0.005</v>
      </c>
      <c r="E5176" s="0" t="inlineStr">
        <is>
          <t xml:space="preserve">PROPULSION CONTROLS ENGINEERING, LLC</t>
        </is>
      </c>
      <c r="F5176" s="0" t="inlineStr">
        <is>
          <t xml:space="preserve">psc:1905</t>
        </is>
      </c>
    </row>
    <row r="5177">
      <c r="B5177" s="0" t="inlineStr">
        <is>
          <t xml:space="preserve">N0002425F4338</t>
        </is>
      </c>
      <c r="C5177" s="0" t="inlineStr">
        <is>
          <t xml:space="preserve">broad_maritime</t>
        </is>
      </c>
      <c r="D5177" s="4">
        <v>0.005</v>
      </c>
      <c r="E5177" s="0" t="inlineStr">
        <is>
          <t xml:space="preserve">PACIFIC SHIPYARDS INTERNATIONAL, LLC</t>
        </is>
      </c>
      <c r="F5177" s="0" t="inlineStr">
        <is>
          <t xml:space="preserve">psc:1905</t>
        </is>
      </c>
    </row>
    <row r="5178">
      <c r="B5178" s="0" t="inlineStr">
        <is>
          <t xml:space="preserve">N0002425F4337</t>
        </is>
      </c>
      <c r="C5178" s="0" t="inlineStr">
        <is>
          <t xml:space="preserve">broad_maritime</t>
        </is>
      </c>
      <c r="D5178" s="4">
        <v>0.005</v>
      </c>
      <c r="E5178" s="0" t="inlineStr">
        <is>
          <t xml:space="preserve">PACIFIC ARMADA NW LLC</t>
        </is>
      </c>
      <c r="F5178" s="0" t="inlineStr">
        <is>
          <t xml:space="preserve">psc:1905</t>
        </is>
      </c>
    </row>
    <row r="5179">
      <c r="B5179" s="0" t="inlineStr">
        <is>
          <t xml:space="preserve">N0002425F4335</t>
        </is>
      </c>
      <c r="C5179" s="0" t="inlineStr">
        <is>
          <t xml:space="preserve">broad_maritime</t>
        </is>
      </c>
      <c r="D5179" s="4">
        <v>0.005</v>
      </c>
      <c r="E5179" s="0" t="inlineStr">
        <is>
          <t xml:space="preserve">OCEANEERING INTERNATIONAL INC</t>
        </is>
      </c>
      <c r="F5179" s="0" t="inlineStr">
        <is>
          <t xml:space="preserve">psc:1905</t>
        </is>
      </c>
    </row>
    <row r="5180">
      <c r="B5180" s="0" t="inlineStr">
        <is>
          <t xml:space="preserve">N0002425F4334</t>
        </is>
      </c>
      <c r="C5180" s="0" t="inlineStr">
        <is>
          <t xml:space="preserve">broad_maritime</t>
        </is>
      </c>
      <c r="D5180" s="4">
        <v>0.005</v>
      </c>
      <c r="E5180" s="0" t="inlineStr">
        <is>
          <t xml:space="preserve">NEAL TECHNICAL INNOVATIONS LLC</t>
        </is>
      </c>
      <c r="F5180" s="0" t="inlineStr">
        <is>
          <t xml:space="preserve">psc:1905</t>
        </is>
      </c>
    </row>
    <row r="5181">
      <c r="B5181" s="0" t="inlineStr">
        <is>
          <t xml:space="preserve">N0002425F4333</t>
        </is>
      </c>
      <c r="C5181" s="0" t="inlineStr">
        <is>
          <t xml:space="preserve">broad_maritime</t>
        </is>
      </c>
      <c r="D5181" s="4">
        <v>0.005</v>
      </c>
      <c r="E5181" s="0" t="inlineStr">
        <is>
          <t xml:space="preserve">MOOG MILITARY AIRCRAFT LLC</t>
        </is>
      </c>
      <c r="F5181" s="0" t="inlineStr">
        <is>
          <t xml:space="preserve">psc:1905</t>
        </is>
      </c>
    </row>
    <row r="5182">
      <c r="B5182" s="0" t="inlineStr">
        <is>
          <t xml:space="preserve">N0002425F4332</t>
        </is>
      </c>
      <c r="C5182" s="0" t="inlineStr">
        <is>
          <t xml:space="preserve">broad_maritime</t>
        </is>
      </c>
      <c r="D5182" s="4">
        <v>0.005</v>
      </c>
      <c r="E5182" s="0" t="inlineStr">
        <is>
          <t xml:space="preserve">MIKEL INC</t>
        </is>
      </c>
      <c r="F5182" s="0" t="inlineStr">
        <is>
          <t xml:space="preserve">psc:1905</t>
        </is>
      </c>
    </row>
    <row r="5183">
      <c r="B5183" s="0" t="inlineStr">
        <is>
          <t xml:space="preserve">N0002425F4331</t>
        </is>
      </c>
      <c r="C5183" s="0" t="inlineStr">
        <is>
          <t xml:space="preserve">broad_maritime</t>
        </is>
      </c>
      <c r="D5183" s="4">
        <v>0.005</v>
      </c>
      <c r="E5183" s="0" t="inlineStr">
        <is>
          <t xml:space="preserve">IMIA, LLC</t>
        </is>
      </c>
      <c r="F5183" s="0" t="inlineStr">
        <is>
          <t xml:space="preserve">psc:1905</t>
        </is>
      </c>
    </row>
    <row r="5184">
      <c r="B5184" s="0" t="inlineStr">
        <is>
          <t xml:space="preserve">N0002425F4330</t>
        </is>
      </c>
      <c r="C5184" s="0" t="inlineStr">
        <is>
          <t xml:space="preserve">broad_maritime</t>
        </is>
      </c>
      <c r="D5184" s="4">
        <v>0.005</v>
      </c>
      <c r="E5184" s="0" t="inlineStr">
        <is>
          <t xml:space="preserve">HII MISSION TECHNOLOGIES CORP</t>
        </is>
      </c>
      <c r="F5184" s="0" t="inlineStr">
        <is>
          <t xml:space="preserve">psc:1905</t>
        </is>
      </c>
    </row>
    <row r="5185">
      <c r="B5185" s="0" t="inlineStr">
        <is>
          <t xml:space="preserve">N0002425F4329</t>
        </is>
      </c>
      <c r="C5185" s="0" t="inlineStr">
        <is>
          <t xml:space="preserve">broad_maritime</t>
        </is>
      </c>
      <c r="D5185" s="4">
        <v>0.005</v>
      </c>
      <c r="E5185" s="0" t="inlineStr">
        <is>
          <t xml:space="preserve">G I INDUSTRIAL-MARINE, LLC</t>
        </is>
      </c>
      <c r="F5185" s="0" t="inlineStr">
        <is>
          <t xml:space="preserve">psc:1905</t>
        </is>
      </c>
    </row>
    <row r="5186">
      <c r="B5186" s="0" t="inlineStr">
        <is>
          <t xml:space="preserve">N0002425F4328</t>
        </is>
      </c>
      <c r="C5186" s="0" t="inlineStr">
        <is>
          <t xml:space="preserve">broad_maritime</t>
        </is>
      </c>
      <c r="D5186" s="4">
        <v>0.005</v>
      </c>
      <c r="E5186" s="0" t="inlineStr">
        <is>
          <t xml:space="preserve">METRO MACHINE CORP.</t>
        </is>
      </c>
      <c r="F5186" s="0" t="inlineStr">
        <is>
          <t xml:space="preserve">psc:1905</t>
        </is>
      </c>
    </row>
    <row r="5187">
      <c r="B5187" s="0" t="inlineStr">
        <is>
          <t xml:space="preserve">N0002425F4327</t>
        </is>
      </c>
      <c r="C5187" s="0" t="inlineStr">
        <is>
          <t xml:space="preserve">broad_maritime</t>
        </is>
      </c>
      <c r="D5187" s="4">
        <v>0.005</v>
      </c>
      <c r="E5187" s="0" t="inlineStr">
        <is>
          <t xml:space="preserve">GENERAL DYNAMICS INFORMATION TECHNOLOGY, INC.</t>
        </is>
      </c>
      <c r="F5187" s="0" t="inlineStr">
        <is>
          <t xml:space="preserve">psc:1905</t>
        </is>
      </c>
    </row>
    <row r="5188">
      <c r="B5188" s="0" t="inlineStr">
        <is>
          <t xml:space="preserve">N0002425F4326</t>
        </is>
      </c>
      <c r="C5188" s="0" t="inlineStr">
        <is>
          <t xml:space="preserve">broad_maritime</t>
        </is>
      </c>
      <c r="D5188" s="4">
        <v>0.005</v>
      </c>
      <c r="E5188" s="0" t="inlineStr">
        <is>
          <t xml:space="preserve">EPSILON SYSTEMS SOLUTIONS INC</t>
        </is>
      </c>
      <c r="F5188" s="0" t="inlineStr">
        <is>
          <t xml:space="preserve">psc:1905</t>
        </is>
      </c>
    </row>
    <row r="5189">
      <c r="B5189" s="0" t="inlineStr">
        <is>
          <t xml:space="preserve">N0002425F4325</t>
        </is>
      </c>
      <c r="C5189" s="0" t="inlineStr">
        <is>
          <t xml:space="preserve">broad_maritime</t>
        </is>
      </c>
      <c r="D5189" s="4">
        <v>0.005</v>
      </c>
      <c r="E5189" s="0" t="inlineStr">
        <is>
          <t xml:space="preserve">EAST COAST REPAIR &amp; FABRICATION, LLC</t>
        </is>
      </c>
      <c r="F5189" s="0" t="inlineStr">
        <is>
          <t xml:space="preserve">psc:1905</t>
        </is>
      </c>
    </row>
    <row r="5190">
      <c r="B5190" s="0" t="inlineStr">
        <is>
          <t xml:space="preserve">N0002425F4324</t>
        </is>
      </c>
      <c r="C5190" s="0" t="inlineStr">
        <is>
          <t xml:space="preserve">broad_maritime</t>
        </is>
      </c>
      <c r="D5190" s="4">
        <v>0.005</v>
      </c>
      <c r="E5190" s="0" t="inlineStr">
        <is>
          <t xml:space="preserve">DELPHINUS ENGINEERING, INC.</t>
        </is>
      </c>
      <c r="F5190" s="0" t="inlineStr">
        <is>
          <t xml:space="preserve">psc:1905</t>
        </is>
      </c>
    </row>
    <row r="5191">
      <c r="B5191" s="0" t="inlineStr">
        <is>
          <t xml:space="preserve">N0002425F4323</t>
        </is>
      </c>
      <c r="C5191" s="0" t="inlineStr">
        <is>
          <t xml:space="preserve">broad_maritime</t>
        </is>
      </c>
      <c r="D5191" s="4">
        <v>0.005</v>
      </c>
      <c r="E5191" s="0" t="inlineStr">
        <is>
          <t xml:space="preserve">COLONNA'S SHIP YARD, INCORPORATED</t>
        </is>
      </c>
      <c r="F5191" s="0" t="inlineStr">
        <is>
          <t xml:space="preserve">psc:1905</t>
        </is>
      </c>
    </row>
    <row r="5192">
      <c r="B5192" s="0" t="inlineStr">
        <is>
          <t xml:space="preserve">N0002425F4322</t>
        </is>
      </c>
      <c r="C5192" s="0" t="inlineStr">
        <is>
          <t xml:space="preserve">broad_maritime</t>
        </is>
      </c>
      <c r="D5192" s="4">
        <v>0.005</v>
      </c>
      <c r="E5192" s="0" t="inlineStr">
        <is>
          <t xml:space="preserve">BAE SYSTEMS MARITIME SOLUTIONS NORFOLK INC.</t>
        </is>
      </c>
      <c r="F5192" s="0" t="inlineStr">
        <is>
          <t xml:space="preserve">psc:1905</t>
        </is>
      </c>
    </row>
    <row r="5193">
      <c r="B5193" s="0" t="inlineStr">
        <is>
          <t xml:space="preserve">N0002425F4321</t>
        </is>
      </c>
      <c r="C5193" s="0" t="inlineStr">
        <is>
          <t xml:space="preserve">broad_maritime</t>
        </is>
      </c>
      <c r="D5193" s="4">
        <v>0.005</v>
      </c>
      <c r="E5193" s="0" t="inlineStr">
        <is>
          <t xml:space="preserve">AUXILIARY SYSTEMS INC</t>
        </is>
      </c>
      <c r="F5193" s="0" t="inlineStr">
        <is>
          <t xml:space="preserve">psc:1905</t>
        </is>
      </c>
    </row>
    <row r="5194">
      <c r="B5194" s="0" t="inlineStr">
        <is>
          <t xml:space="preserve">N0002425F4320</t>
        </is>
      </c>
      <c r="C5194" s="0" t="inlineStr">
        <is>
          <t xml:space="preserve">broad_maritime</t>
        </is>
      </c>
      <c r="D5194" s="4">
        <v>0.005</v>
      </c>
      <c r="E5194" s="0" t="inlineStr">
        <is>
          <t xml:space="preserve">ADVANCED INTEGRATED TECHNOLOGIES, LLC</t>
        </is>
      </c>
      <c r="F5194" s="0" t="inlineStr">
        <is>
          <t xml:space="preserve">psc:1905</t>
        </is>
      </c>
    </row>
    <row r="5195">
      <c r="B5195" s="0" t="inlineStr">
        <is>
          <t xml:space="preserve">N0040615P0955</t>
        </is>
      </c>
      <c r="C5195" s="0" t="inlineStr">
        <is>
          <t xml:space="preserve">small_craft</t>
        </is>
      </c>
      <c r="D5195" s="4">
        <v>0.0049949999999999994</v>
      </c>
      <c r="E5195" s="0" t="inlineStr">
        <is>
          <t xml:space="preserve">RAILWAY SPECIALTIES CORP</t>
        </is>
      </c>
      <c r="F5195" s="0" t="inlineStr">
        <is>
          <t xml:space="preserve">naics:336612</t>
        </is>
      </c>
    </row>
    <row r="5196">
      <c r="B5196" s="0" t="inlineStr">
        <is>
          <t xml:space="preserve">N6449819P5249</t>
        </is>
      </c>
      <c r="C5196" s="0" t="inlineStr">
        <is>
          <t xml:space="preserve">small_craft</t>
        </is>
      </c>
      <c r="D5196" s="4">
        <v>0.0049745200000000005</v>
      </c>
      <c r="E5196" s="0" t="inlineStr">
        <is>
          <t xml:space="preserve">HILL, P J INDUSTRIES</t>
        </is>
      </c>
      <c r="F5196" s="0" t="inlineStr">
        <is>
          <t xml:space="preserve">naics:336612</t>
        </is>
      </c>
    </row>
    <row r="5197">
      <c r="B5197" s="0" t="inlineStr">
        <is>
          <t xml:space="preserve">N6883618P0305</t>
        </is>
      </c>
      <c r="C5197" s="0" t="inlineStr">
        <is>
          <t xml:space="preserve">small_craft</t>
        </is>
      </c>
      <c r="D5197" s="4">
        <v>0.00497</v>
      </c>
      <c r="E5197" s="0" t="inlineStr">
        <is>
          <t xml:space="preserve">VIGOR KVICHAK LLC</t>
        </is>
      </c>
      <c r="F5197" s="0" t="inlineStr">
        <is>
          <t xml:space="preserve">naics:336612</t>
        </is>
      </c>
    </row>
    <row r="5198">
      <c r="B5198" s="0" t="inlineStr">
        <is>
          <t xml:space="preserve">N0060416P3463</t>
        </is>
      </c>
      <c r="C5198" s="0" t="inlineStr">
        <is>
          <t xml:space="preserve">small_craft</t>
        </is>
      </c>
      <c r="D5198" s="4">
        <v>0.00495805</v>
      </c>
      <c r="E5198" s="0" t="inlineStr">
        <is>
          <t xml:space="preserve">SAFE BOATS INTERNATIONAL LLC</t>
        </is>
      </c>
      <c r="F5198" s="0" t="inlineStr">
        <is>
          <t xml:space="preserve">naics:336612</t>
        </is>
      </c>
    </row>
    <row r="5199">
      <c r="B5199" s="0" t="inlineStr">
        <is>
          <t xml:space="preserve">N0040618P0407</t>
        </is>
      </c>
      <c r="C5199" s="0" t="inlineStr">
        <is>
          <t xml:space="preserve">small_craft</t>
        </is>
      </c>
      <c r="D5199" s="4">
        <v>0.0049499999999999995</v>
      </c>
      <c r="E5199" s="0" t="inlineStr">
        <is>
          <t xml:space="preserve">PACIFIC MARITIME INDUSTRIES CORP.</t>
        </is>
      </c>
      <c r="F5199" s="0" t="inlineStr">
        <is>
          <t xml:space="preserve">naics:336612</t>
        </is>
      </c>
    </row>
    <row r="5200">
      <c r="B5200" s="0" t="inlineStr">
        <is>
          <t xml:space="preserve">N0040618P0376</t>
        </is>
      </c>
      <c r="C5200" s="0" t="inlineStr">
        <is>
          <t xml:space="preserve">small_craft</t>
        </is>
      </c>
      <c r="D5200" s="4">
        <v>0.0049499999999999995</v>
      </c>
      <c r="E5200" s="0" t="inlineStr">
        <is>
          <t xml:space="preserve">PACIFIC MARITIME INDUSTRIES CORP.</t>
        </is>
      </c>
      <c r="F5200" s="0" t="inlineStr">
        <is>
          <t xml:space="preserve">naics:336612</t>
        </is>
      </c>
    </row>
    <row r="5201">
      <c r="B5201" s="0" t="inlineStr">
        <is>
          <t xml:space="preserve">N0040616P1363</t>
        </is>
      </c>
      <c r="C5201" s="0" t="inlineStr">
        <is>
          <t xml:space="preserve">small_craft</t>
        </is>
      </c>
      <c r="D5201" s="4">
        <v>0.0049499999999999995</v>
      </c>
      <c r="E5201" s="0" t="inlineStr">
        <is>
          <t xml:space="preserve">RAILWAY SPECIALTIES CORP</t>
        </is>
      </c>
      <c r="F5201" s="0" t="inlineStr">
        <is>
          <t xml:space="preserve">naics:336612</t>
        </is>
      </c>
    </row>
    <row r="5202">
      <c r="B5202" s="0" t="inlineStr">
        <is>
          <t xml:space="preserve">N0010422PEP27</t>
        </is>
      </c>
      <c r="C5202" s="0" t="inlineStr">
        <is>
          <t xml:space="preserve">small_craft</t>
        </is>
      </c>
      <c r="D5202" s="4">
        <v>0.0049499999999999995</v>
      </c>
      <c r="E5202" s="0" t="inlineStr">
        <is>
          <t xml:space="preserve">GREATER MARYLAND TOOL &amp; MFG. CORP.</t>
        </is>
      </c>
      <c r="F5202" s="0" t="inlineStr">
        <is>
          <t xml:space="preserve">naics:336612</t>
        </is>
      </c>
    </row>
    <row r="5203">
      <c r="B5203" s="0" t="inlineStr">
        <is>
          <t xml:space="preserve">N3220519F7106</t>
        </is>
      </c>
      <c r="C5203" s="0" t="inlineStr">
        <is>
          <t xml:space="preserve">other_small</t>
        </is>
      </c>
      <c r="D5203" s="4">
        <v>0.0049318999999999995</v>
      </c>
      <c r="E5203" s="0" t="inlineStr">
        <is>
          <t xml:space="preserve">LAKE SHORE SYSTEMS, INC.</t>
        </is>
      </c>
      <c r="F5203" s="0" t="inlineStr">
        <is>
          <t xml:space="preserve">psc:1990</t>
        </is>
      </c>
    </row>
    <row r="5204">
      <c r="B5204" s="0" t="inlineStr">
        <is>
          <t xml:space="preserve">LH80</t>
        </is>
      </c>
      <c r="C5204" s="0" t="inlineStr">
        <is>
          <t xml:space="preserve">other_small</t>
        </is>
      </c>
      <c r="D5204" s="4">
        <v>0.0049099999999999994</v>
      </c>
      <c r="E5204" s="0" t="inlineStr">
        <is>
          <t xml:space="preserve">MCALLISTER TOWING AND TRANSPORTATION COMPANY, INC.</t>
        </is>
      </c>
      <c r="F5204" s="0" t="inlineStr">
        <is>
          <t xml:space="preserve">psc:1990</t>
        </is>
      </c>
    </row>
    <row r="5205">
      <c r="B5205" s="0" t="inlineStr">
        <is>
          <t xml:space="preserve">LH65</t>
        </is>
      </c>
      <c r="C5205" s="0" t="inlineStr">
        <is>
          <t xml:space="preserve">other_small</t>
        </is>
      </c>
      <c r="D5205" s="4">
        <v>0.0049099999999999994</v>
      </c>
      <c r="E5205" s="0" t="inlineStr">
        <is>
          <t xml:space="preserve">MCALLISTER TOWING AND TRANSPORTATION COMPANY, INC.</t>
        </is>
      </c>
      <c r="F5205" s="0" t="inlineStr">
        <is>
          <t xml:space="preserve">psc:1990</t>
        </is>
      </c>
    </row>
    <row r="5206">
      <c r="B5206" s="0" t="inlineStr">
        <is>
          <t xml:space="preserve">N0040615P3738</t>
        </is>
      </c>
      <c r="C5206" s="0" t="inlineStr">
        <is>
          <t xml:space="preserve">small_craft</t>
        </is>
      </c>
      <c r="D5206" s="4">
        <v>0.0049</v>
      </c>
      <c r="E5206" s="0" t="inlineStr">
        <is>
          <t xml:space="preserve">PACIFIC MARITIME INDUSTRIES CORP.</t>
        </is>
      </c>
      <c r="F5206" s="0" t="inlineStr">
        <is>
          <t xml:space="preserve">naics:336612</t>
        </is>
      </c>
    </row>
    <row r="5207">
      <c r="B5207" s="0" t="inlineStr">
        <is>
          <t xml:space="preserve">N0040615P2987</t>
        </is>
      </c>
      <c r="C5207" s="0" t="inlineStr">
        <is>
          <t xml:space="preserve">small_craft</t>
        </is>
      </c>
      <c r="D5207" s="4">
        <v>0.0049</v>
      </c>
      <c r="E5207" s="0" t="inlineStr">
        <is>
          <t xml:space="preserve">PACIFIC MARITIME INDUSTRIES CORP.</t>
        </is>
      </c>
      <c r="F5207" s="0" t="inlineStr">
        <is>
          <t xml:space="preserve">naics:336612</t>
        </is>
      </c>
    </row>
    <row r="5208">
      <c r="B5208" s="0" t="inlineStr">
        <is>
          <t xml:space="preserve">N0010417PEJ59</t>
        </is>
      </c>
      <c r="C5208" s="0" t="inlineStr">
        <is>
          <t xml:space="preserve">small_craft</t>
        </is>
      </c>
      <c r="D5208" s="4">
        <v>0.00482625</v>
      </c>
      <c r="E5208" s="0" t="inlineStr">
        <is>
          <t xml:space="preserve">ADIRONDACK ELECTRONICS INC</t>
        </is>
      </c>
      <c r="F5208" s="0" t="inlineStr">
        <is>
          <t xml:space="preserve">naics:336612</t>
        </is>
      </c>
    </row>
    <row r="5209">
      <c r="B5209" s="0" t="inlineStr">
        <is>
          <t xml:space="preserve">N0040616P0079</t>
        </is>
      </c>
      <c r="C5209" s="0" t="inlineStr">
        <is>
          <t xml:space="preserve">small_craft</t>
        </is>
      </c>
      <c r="D5209" s="4">
        <v>0.00481</v>
      </c>
      <c r="E5209" s="0" t="inlineStr">
        <is>
          <t xml:space="preserve">MALPASS CONSTRUCTION CO INC</t>
        </is>
      </c>
      <c r="F5209" s="0" t="inlineStr">
        <is>
          <t xml:space="preserve">naics:336612</t>
        </is>
      </c>
    </row>
    <row r="5210">
      <c r="B5210" s="0" t="inlineStr">
        <is>
          <t xml:space="preserve">N0010421PCC30</t>
        </is>
      </c>
      <c r="C5210" s="0" t="inlineStr">
        <is>
          <t xml:space="preserve">small_craft</t>
        </is>
      </c>
      <c r="D5210" s="4">
        <v>0.0048</v>
      </c>
      <c r="E5210" s="0" t="inlineStr">
        <is>
          <t xml:space="preserve">NORTHROP GRUMMAN SYSTEMS CORPORATION</t>
        </is>
      </c>
      <c r="F5210" s="0" t="inlineStr">
        <is>
          <t xml:space="preserve">naics:336612</t>
        </is>
      </c>
    </row>
    <row r="5211">
      <c r="B5211" s="0" t="inlineStr">
        <is>
          <t xml:space="preserve">LH46</t>
        </is>
      </c>
      <c r="C5211" s="0" t="inlineStr">
        <is>
          <t xml:space="preserve">other_small</t>
        </is>
      </c>
      <c r="D5211" s="4">
        <v>0.004768</v>
      </c>
      <c r="E5211" s="0" t="inlineStr">
        <is>
          <t xml:space="preserve">MCALLISTER TOWING AND TRANSPORTATION COMPANY, INC.</t>
        </is>
      </c>
      <c r="F5211" s="0" t="inlineStr">
        <is>
          <t xml:space="preserve">psc:1990</t>
        </is>
      </c>
    </row>
    <row r="5212">
      <c r="B5212" s="0" t="inlineStr">
        <is>
          <t xml:space="preserve">N6449816P5224</t>
        </is>
      </c>
      <c r="C5212" s="0" t="inlineStr">
        <is>
          <t xml:space="preserve">small_craft</t>
        </is>
      </c>
      <c r="D5212" s="4">
        <v>0.00475392</v>
      </c>
      <c r="E5212" s="0" t="inlineStr">
        <is>
          <t xml:space="preserve">HILL, P J INDUSTRIES</t>
        </is>
      </c>
      <c r="F5212" s="0" t="inlineStr">
        <is>
          <t xml:space="preserve">naics:336612</t>
        </is>
      </c>
    </row>
    <row r="5213">
      <c r="B5213" s="0" t="inlineStr">
        <is>
          <t xml:space="preserve">N3225318P0129</t>
        </is>
      </c>
      <c r="C5213" s="0" t="inlineStr">
        <is>
          <t xml:space="preserve">small_craft</t>
        </is>
      </c>
      <c r="D5213" s="4">
        <v>0.00475</v>
      </c>
      <c r="E5213" s="0" t="inlineStr">
        <is>
          <t xml:space="preserve">GILMAN CORPORATION THE</t>
        </is>
      </c>
      <c r="F5213" s="0" t="inlineStr">
        <is>
          <t xml:space="preserve">naics:336612</t>
        </is>
      </c>
    </row>
    <row r="5214">
      <c r="B5214" s="0" t="inlineStr">
        <is>
          <t xml:space="preserve">N0040616P3400</t>
        </is>
      </c>
      <c r="C5214" s="0" t="inlineStr">
        <is>
          <t xml:space="preserve">small_craft</t>
        </is>
      </c>
      <c r="D5214" s="4">
        <v>0.00475</v>
      </c>
      <c r="E5214" s="0" t="inlineStr">
        <is>
          <t xml:space="preserve">PACIFIC MARITIME INDUSTRIES CORP.</t>
        </is>
      </c>
      <c r="F5214" s="0" t="inlineStr">
        <is>
          <t xml:space="preserve">naics:336612</t>
        </is>
      </c>
    </row>
    <row r="5215">
      <c r="B5215" s="0" t="inlineStr">
        <is>
          <t xml:space="preserve">N0010426PFA36</t>
        </is>
      </c>
      <c r="C5215" s="0" t="inlineStr">
        <is>
          <t xml:space="preserve">small_craft</t>
        </is>
      </c>
      <c r="D5215" s="4">
        <v>0.004725</v>
      </c>
      <c r="E5215" s="0" t="inlineStr">
        <is>
          <t xml:space="preserve">B&amp;G MANUFACTURING CO INC</t>
        </is>
      </c>
      <c r="F5215" s="0" t="inlineStr">
        <is>
          <t xml:space="preserve">naics:336612</t>
        </is>
      </c>
    </row>
    <row r="5216">
      <c r="B5216" s="0" t="inlineStr">
        <is>
          <t xml:space="preserve">N0018916P1446</t>
        </is>
      </c>
      <c r="C5216" s="0" t="inlineStr">
        <is>
          <t xml:space="preserve">small_craft</t>
        </is>
      </c>
      <c r="D5216" s="4">
        <v>0.004725</v>
      </c>
      <c r="E5216" s="0" t="inlineStr">
        <is>
          <t xml:space="preserve">MAZZELLA LIFTING TECHNOLOGIES, INC.</t>
        </is>
      </c>
      <c r="F5216" s="0" t="inlineStr">
        <is>
          <t xml:space="preserve">psc:1940</t>
        </is>
      </c>
    </row>
    <row r="5217">
      <c r="B5217" s="0" t="inlineStr">
        <is>
          <t xml:space="preserve">N0010421PXB67</t>
        </is>
      </c>
      <c r="C5217" s="0" t="inlineStr">
        <is>
          <t xml:space="preserve">small_craft</t>
        </is>
      </c>
      <c r="D5217" s="4">
        <v>0.004725</v>
      </c>
      <c r="E5217" s="0" t="inlineStr">
        <is>
          <t xml:space="preserve">VIRGINIA ELECTRONIC SYSTEMS, INC.</t>
        </is>
      </c>
      <c r="F5217" s="0" t="inlineStr">
        <is>
          <t xml:space="preserve">psc:1940</t>
        </is>
      </c>
    </row>
    <row r="5218">
      <c r="B5218" s="0" t="inlineStr">
        <is>
          <t xml:space="preserve">N0017314W8390</t>
        </is>
      </c>
      <c r="C5218" s="0" t="inlineStr">
        <is>
          <t xml:space="preserve">other_small</t>
        </is>
      </c>
      <c r="D5218" s="4">
        <v>0.004725</v>
      </c>
      <c r="E5218" s="0" t="inlineStr">
        <is>
          <t xml:space="preserve">MCALLISTER TOWING OF VIRGINIA INC</t>
        </is>
      </c>
      <c r="F5218" s="0" t="inlineStr">
        <is>
          <t xml:space="preserve">psc:1990</t>
        </is>
      </c>
    </row>
    <row r="5219">
      <c r="B5219" s="0" t="inlineStr">
        <is>
          <t xml:space="preserve">N0040616P0188</t>
        </is>
      </c>
      <c r="C5219" s="0" t="inlineStr">
        <is>
          <t xml:space="preserve">small_craft</t>
        </is>
      </c>
      <c r="D5219" s="4">
        <v>0.0047</v>
      </c>
      <c r="E5219" s="0" t="inlineStr">
        <is>
          <t xml:space="preserve">RAILWAY SPECIALTIES CORP</t>
        </is>
      </c>
      <c r="F5219" s="0" t="inlineStr">
        <is>
          <t xml:space="preserve">naics:336612</t>
        </is>
      </c>
    </row>
    <row r="5220">
      <c r="B5220" s="0" t="inlineStr">
        <is>
          <t xml:space="preserve">N0040616P2729</t>
        </is>
      </c>
      <c r="C5220" s="0" t="inlineStr">
        <is>
          <t xml:space="preserve">small_craft</t>
        </is>
      </c>
      <c r="D5220" s="4">
        <v>0.0046694</v>
      </c>
      <c r="E5220" s="0" t="inlineStr">
        <is>
          <t xml:space="preserve">JUNIPER ELBOW CO. INC.</t>
        </is>
      </c>
      <c r="F5220" s="0" t="inlineStr">
        <is>
          <t xml:space="preserve">naics:336612</t>
        </is>
      </c>
    </row>
    <row r="5221">
      <c r="B5221" s="0" t="inlineStr">
        <is>
          <t xml:space="preserve">N0040617P1175</t>
        </is>
      </c>
      <c r="C5221" s="0" t="inlineStr">
        <is>
          <t xml:space="preserve">small_craft</t>
        </is>
      </c>
      <c r="D5221" s="4">
        <v>0.004588</v>
      </c>
      <c r="E5221" s="0" t="inlineStr">
        <is>
          <t xml:space="preserve">JUNIPER ELBOW CO. INC.</t>
        </is>
      </c>
      <c r="F5221" s="0" t="inlineStr">
        <is>
          <t xml:space="preserve">naics:336612</t>
        </is>
      </c>
    </row>
    <row r="5222">
      <c r="B5222" s="0" t="inlineStr">
        <is>
          <t xml:space="preserve">0004</t>
        </is>
      </c>
      <c r="C5222" s="0" t="inlineStr">
        <is>
          <t xml:space="preserve">other_small</t>
        </is>
      </c>
      <c r="D5222" s="4">
        <v>0.00457915</v>
      </c>
      <c r="E5222" s="0" t="inlineStr">
        <is>
          <t xml:space="preserve">LAKE SHORE SYSTEMS, INC.</t>
        </is>
      </c>
      <c r="F5222" s="0" t="inlineStr">
        <is>
          <t xml:space="preserve">psc:1990</t>
        </is>
      </c>
    </row>
    <row r="5223">
      <c r="B5223" s="0" t="inlineStr">
        <is>
          <t xml:space="preserve">N0010417PEC57</t>
        </is>
      </c>
      <c r="C5223" s="0" t="inlineStr">
        <is>
          <t xml:space="preserve">small_craft</t>
        </is>
      </c>
      <c r="D5223" s="4">
        <v>0.00457852</v>
      </c>
      <c r="E5223" s="0" t="inlineStr">
        <is>
          <t xml:space="preserve">ALLENTOWN FLUID SYSTEMS, INC</t>
        </is>
      </c>
      <c r="F5223" s="0" t="inlineStr">
        <is>
          <t xml:space="preserve">naics:336612</t>
        </is>
      </c>
    </row>
    <row r="5224">
      <c r="B5224" s="0" t="inlineStr">
        <is>
          <t xml:space="preserve">N4044212P7056</t>
        </is>
      </c>
      <c r="C5224" s="0" t="inlineStr">
        <is>
          <t xml:space="preserve">small_craft</t>
        </is>
      </c>
      <c r="D5224" s="4">
        <v>0.0045639999999999995</v>
      </c>
      <c r="E5224" s="0" t="inlineStr">
        <is>
          <t xml:space="preserve">PALFINGER MARINE USA, LLC</t>
        </is>
      </c>
      <c r="F5224" s="0" t="inlineStr">
        <is>
          <t xml:space="preserve">naics:336612</t>
        </is>
      </c>
    </row>
    <row r="5225">
      <c r="B5225" s="0" t="inlineStr">
        <is>
          <t xml:space="preserve">N0010425PBT80</t>
        </is>
      </c>
      <c r="C5225" s="0" t="inlineStr">
        <is>
          <t xml:space="preserve">small_craft</t>
        </is>
      </c>
      <c r="D5225" s="4">
        <v>0.00453789</v>
      </c>
      <c r="E5225" s="0" t="inlineStr">
        <is>
          <t xml:space="preserve">ECI DEFENSE GROUP, INC.</t>
        </is>
      </c>
      <c r="F5225" s="0" t="inlineStr">
        <is>
          <t xml:space="preserve">naics:336612</t>
        </is>
      </c>
    </row>
    <row r="5226">
      <c r="B5226" s="0" t="inlineStr">
        <is>
          <t xml:space="preserve">N4044209P5969</t>
        </is>
      </c>
      <c r="C5226" s="0" t="inlineStr">
        <is>
          <t xml:space="preserve">small_craft</t>
        </is>
      </c>
      <c r="D5226" s="4">
        <v>0.0045119999999999995</v>
      </c>
      <c r="E5226" s="0" t="inlineStr">
        <is>
          <t xml:space="preserve">PALFINGER MARINE USA, LLC</t>
        </is>
      </c>
      <c r="F5226" s="0" t="inlineStr">
        <is>
          <t xml:space="preserve">naics:336612</t>
        </is>
      </c>
    </row>
    <row r="5227">
      <c r="B5227" s="0" t="inlineStr">
        <is>
          <t xml:space="preserve">N0040617P1450</t>
        </is>
      </c>
      <c r="C5227" s="0" t="inlineStr">
        <is>
          <t xml:space="preserve">small_craft</t>
        </is>
      </c>
      <c r="D5227" s="4">
        <v>0.0045</v>
      </c>
      <c r="E5227" s="0" t="inlineStr">
        <is>
          <t xml:space="preserve">PACIFIC MARITIME INDUSTRIES CORP.</t>
        </is>
      </c>
      <c r="F5227" s="0" t="inlineStr">
        <is>
          <t xml:space="preserve">naics:336612</t>
        </is>
      </c>
    </row>
    <row r="5228">
      <c r="B5228" s="0" t="inlineStr">
        <is>
          <t xml:space="preserve">N0040616P0607</t>
        </is>
      </c>
      <c r="C5228" s="0" t="inlineStr">
        <is>
          <t xml:space="preserve">small_craft</t>
        </is>
      </c>
      <c r="D5228" s="4">
        <v>0.0045</v>
      </c>
      <c r="E5228" s="0" t="inlineStr">
        <is>
          <t xml:space="preserve">KLB ENTERPRISES CORP</t>
        </is>
      </c>
      <c r="F5228" s="0" t="inlineStr">
        <is>
          <t xml:space="preserve">naics:336612; psc:1940</t>
        </is>
      </c>
    </row>
    <row r="5229">
      <c r="B5229" s="0" t="inlineStr">
        <is>
          <t xml:space="preserve">N0040615P2163</t>
        </is>
      </c>
      <c r="C5229" s="0" t="inlineStr">
        <is>
          <t xml:space="preserve">small_craft</t>
        </is>
      </c>
      <c r="D5229" s="4">
        <v>0.0045</v>
      </c>
      <c r="E5229" s="0" t="inlineStr">
        <is>
          <t xml:space="preserve">RAILWAY SPECIALTIES CORP</t>
        </is>
      </c>
      <c r="F5229" s="0" t="inlineStr">
        <is>
          <t xml:space="preserve">naics:336612</t>
        </is>
      </c>
    </row>
    <row r="5230">
      <c r="B5230" s="0" t="inlineStr">
        <is>
          <t xml:space="preserve">M3361017P0005</t>
        </is>
      </c>
      <c r="C5230" s="0" t="inlineStr">
        <is>
          <t xml:space="preserve">small_craft</t>
        </is>
      </c>
      <c r="D5230" s="4">
        <v>0.0045</v>
      </c>
      <c r="E5230" s="0" t="inlineStr">
        <is>
          <t xml:space="preserve">DIVE RESCUE INTERNATIONAL, INC.</t>
        </is>
      </c>
      <c r="F5230" s="0" t="inlineStr">
        <is>
          <t xml:space="preserve">naics:336612; psc:1990</t>
        </is>
      </c>
    </row>
    <row r="5231">
      <c r="B5231" s="0" t="inlineStr">
        <is>
          <t xml:space="preserve">N0010425PBV48</t>
        </is>
      </c>
      <c r="C5231" s="0" t="inlineStr">
        <is>
          <t xml:space="preserve">small_craft</t>
        </is>
      </c>
      <c r="D5231" s="4">
        <v>0.00447678</v>
      </c>
      <c r="E5231" s="0" t="inlineStr">
        <is>
          <t xml:space="preserve">III WILLIAMS LLC</t>
        </is>
      </c>
      <c r="F5231" s="0" t="inlineStr">
        <is>
          <t xml:space="preserve">naics:336612</t>
        </is>
      </c>
    </row>
    <row r="5232">
      <c r="B5232" s="0" t="inlineStr">
        <is>
          <t xml:space="preserve">N0010425PEA91</t>
        </is>
      </c>
      <c r="C5232" s="0" t="inlineStr">
        <is>
          <t xml:space="preserve">small_craft</t>
        </is>
      </c>
      <c r="D5232" s="4">
        <v>0.0044399999999999995</v>
      </c>
      <c r="E5232" s="0" t="inlineStr">
        <is>
          <t xml:space="preserve">SOLID STATE COOLING SYSTEMS, INC.</t>
        </is>
      </c>
      <c r="F5232" s="0" t="inlineStr">
        <is>
          <t xml:space="preserve">naics:336612</t>
        </is>
      </c>
    </row>
    <row r="5233">
      <c r="B5233" s="0" t="inlineStr">
        <is>
          <t xml:space="preserve">N0010417PCG17</t>
        </is>
      </c>
      <c r="C5233" s="0" t="inlineStr">
        <is>
          <t xml:space="preserve">small_craft</t>
        </is>
      </c>
      <c r="D5233" s="4">
        <v>0.0044199999999999995</v>
      </c>
      <c r="E5233" s="0" t="inlineStr">
        <is>
          <t xml:space="preserve">DEFENSE MARITIME SOLUTIONS, INC.</t>
        </is>
      </c>
      <c r="F5233" s="0" t="inlineStr">
        <is>
          <t xml:space="preserve">naics:336612</t>
        </is>
      </c>
    </row>
    <row r="5234">
      <c r="B5234" s="0" t="inlineStr">
        <is>
          <t xml:space="preserve">N0040618P1319</t>
        </is>
      </c>
      <c r="C5234" s="0" t="inlineStr">
        <is>
          <t xml:space="preserve">small_craft</t>
        </is>
      </c>
      <c r="D5234" s="4">
        <v>0.004399999999999999</v>
      </c>
      <c r="E5234" s="0" t="inlineStr">
        <is>
          <t xml:space="preserve">GOVERNMENT &amp; INDUSTRIAL SUPPLY, INC.</t>
        </is>
      </c>
      <c r="F5234" s="0" t="inlineStr">
        <is>
          <t xml:space="preserve">naics:336612</t>
        </is>
      </c>
    </row>
    <row r="5235">
      <c r="B5235" s="0" t="inlineStr">
        <is>
          <t xml:space="preserve">N0040615P1552</t>
        </is>
      </c>
      <c r="C5235" s="0" t="inlineStr">
        <is>
          <t xml:space="preserve">small_craft</t>
        </is>
      </c>
      <c r="D5235" s="4">
        <v>0.004399999999999999</v>
      </c>
      <c r="E5235" s="0" t="inlineStr">
        <is>
          <t xml:space="preserve">MAZZELLA LIFTING TECHNOLOGIES, INC.</t>
        </is>
      </c>
      <c r="F5235" s="0" t="inlineStr">
        <is>
          <t xml:space="preserve">naics:336612</t>
        </is>
      </c>
    </row>
    <row r="5236">
      <c r="B5236" s="0" t="inlineStr">
        <is>
          <t xml:space="preserve">N0040615P1551</t>
        </is>
      </c>
      <c r="C5236" s="0" t="inlineStr">
        <is>
          <t xml:space="preserve">small_craft</t>
        </is>
      </c>
      <c r="D5236" s="4">
        <v>0.004399999999999999</v>
      </c>
      <c r="E5236" s="0" t="inlineStr">
        <is>
          <t xml:space="preserve">MAZZELLA LIFTING TECHNOLOGIES, INC.</t>
        </is>
      </c>
      <c r="F5236" s="0" t="inlineStr">
        <is>
          <t xml:space="preserve">naics:336612</t>
        </is>
      </c>
    </row>
    <row r="5237">
      <c r="B5237" s="0" t="inlineStr">
        <is>
          <t xml:space="preserve">M6700117P1252</t>
        </is>
      </c>
      <c r="C5237" s="0" t="inlineStr">
        <is>
          <t xml:space="preserve">small_craft</t>
        </is>
      </c>
      <c r="D5237" s="4">
        <v>0.004397239999999999</v>
      </c>
      <c r="E5237" s="0" t="inlineStr">
        <is>
          <t xml:space="preserve">NOBLE SUPPLY &amp; LOGISTICS, LLC</t>
        </is>
      </c>
      <c r="F5237" s="0" t="inlineStr">
        <is>
          <t xml:space="preserve">naics:336612</t>
        </is>
      </c>
    </row>
    <row r="5238">
      <c r="B5238" s="0" t="inlineStr">
        <is>
          <t xml:space="preserve">N0010423PEA54</t>
        </is>
      </c>
      <c r="C5238" s="0" t="inlineStr">
        <is>
          <t xml:space="preserve">small_craft</t>
        </is>
      </c>
      <c r="D5238" s="4">
        <v>0.004357</v>
      </c>
      <c r="E5238" s="0" t="inlineStr">
        <is>
          <t xml:space="preserve">IN SPECK CORP</t>
        </is>
      </c>
      <c r="F5238" s="0" t="inlineStr">
        <is>
          <t xml:space="preserve">naics:336612</t>
        </is>
      </c>
    </row>
    <row r="5239">
      <c r="B5239" s="0" t="inlineStr">
        <is>
          <t xml:space="preserve">N0010421PND62</t>
        </is>
      </c>
      <c r="C5239" s="0" t="inlineStr">
        <is>
          <t xml:space="preserve">small_craft</t>
        </is>
      </c>
      <c r="D5239" s="4">
        <v>0.004324</v>
      </c>
      <c r="E5239" s="0" t="inlineStr">
        <is>
          <t xml:space="preserve">CURTISS-WRIGHT ELECTRO-MECHANICAL CORPORATION</t>
        </is>
      </c>
      <c r="F5239" s="0" t="inlineStr">
        <is>
          <t xml:space="preserve">naics:336612</t>
        </is>
      </c>
    </row>
    <row r="5240">
      <c r="B5240" s="0" t="inlineStr">
        <is>
          <t xml:space="preserve">L817</t>
        </is>
      </c>
      <c r="C5240" s="0" t="inlineStr">
        <is>
          <t xml:space="preserve">broad_maritime</t>
        </is>
      </c>
      <c r="D5240" s="4">
        <v>0.004282</v>
      </c>
      <c r="E5240" s="0" t="inlineStr">
        <is>
          <t xml:space="preserve">ELECTRIC BOAT CORPORATION</t>
        </is>
      </c>
      <c r="F5240" s="0" t="inlineStr">
        <is>
          <t xml:space="preserve">psc:1905</t>
        </is>
      </c>
    </row>
    <row r="5241">
      <c r="B5241" s="0" t="inlineStr">
        <is>
          <t xml:space="preserve">N3220518P4159</t>
        </is>
      </c>
      <c r="C5241" s="0" t="inlineStr">
        <is>
          <t xml:space="preserve">other_small</t>
        </is>
      </c>
      <c r="D5241" s="4">
        <v>0.00427018</v>
      </c>
      <c r="E5241" s="0" t="inlineStr">
        <is>
          <t xml:space="preserve">FAIRBANKS MORSE, LLC</t>
        </is>
      </c>
      <c r="F5241" s="0" t="inlineStr">
        <is>
          <t xml:space="preserve">psc:1990</t>
        </is>
      </c>
    </row>
    <row r="5242">
      <c r="B5242" s="0" t="inlineStr">
        <is>
          <t xml:space="preserve">LH39</t>
        </is>
      </c>
      <c r="C5242" s="0" t="inlineStr">
        <is>
          <t xml:space="preserve">other_small</t>
        </is>
      </c>
      <c r="D5242" s="4">
        <v>0.0042604999999999995</v>
      </c>
      <c r="E5242" s="0" t="inlineStr">
        <is>
          <t xml:space="preserve">MCALLISTER TOWING AND TRANSPORTATION COMPANY, INC.</t>
        </is>
      </c>
      <c r="F5242" s="0" t="inlineStr">
        <is>
          <t xml:space="preserve">psc:1990</t>
        </is>
      </c>
    </row>
    <row r="5243">
      <c r="B5243" s="0" t="inlineStr">
        <is>
          <t xml:space="preserve">N0010421PEC88</t>
        </is>
      </c>
      <c r="C5243" s="0" t="inlineStr">
        <is>
          <t xml:space="preserve">small_craft</t>
        </is>
      </c>
      <c r="D5243" s="4">
        <v>0.00421608</v>
      </c>
      <c r="E5243" s="0" t="inlineStr">
        <is>
          <t xml:space="preserve">DUTCH VALLEY SUPPLY CO.</t>
        </is>
      </c>
      <c r="F5243" s="0" t="inlineStr">
        <is>
          <t xml:space="preserve">naics:336612</t>
        </is>
      </c>
    </row>
    <row r="5244">
      <c r="B5244" s="0" t="inlineStr">
        <is>
          <t xml:space="preserve">N0010417PDH85</t>
        </is>
      </c>
      <c r="C5244" s="0" t="inlineStr">
        <is>
          <t xml:space="preserve">small_craft</t>
        </is>
      </c>
      <c r="D5244" s="4">
        <v>0.004208</v>
      </c>
      <c r="E5244" s="0" t="inlineStr">
        <is>
          <t xml:space="preserve">TIMKEN GEARS &amp; SERVICES INC.</t>
        </is>
      </c>
      <c r="F5244" s="0" t="inlineStr">
        <is>
          <t xml:space="preserve">naics:336612</t>
        </is>
      </c>
    </row>
    <row r="5245">
      <c r="B5245" s="0" t="inlineStr">
        <is>
          <t xml:space="preserve">N0010424PEE39</t>
        </is>
      </c>
      <c r="C5245" s="0" t="inlineStr">
        <is>
          <t xml:space="preserve">small_craft</t>
        </is>
      </c>
      <c r="D5245" s="4">
        <v>0.004179199999999999</v>
      </c>
      <c r="E5245" s="0" t="inlineStr">
        <is>
          <t xml:space="preserve">ECI DEFENSE GROUP, INC.</t>
        </is>
      </c>
      <c r="F5245" s="0" t="inlineStr">
        <is>
          <t xml:space="preserve">naics:336612</t>
        </is>
      </c>
    </row>
    <row r="5246">
      <c r="B5246" s="0" t="inlineStr">
        <is>
          <t xml:space="preserve">N0010420FK402</t>
        </is>
      </c>
      <c r="C5246" s="0" t="inlineStr">
        <is>
          <t xml:space="preserve">small_craft</t>
        </is>
      </c>
      <c r="D5246" s="4">
        <v>0.00417555</v>
      </c>
      <c r="E5246" s="0" t="inlineStr">
        <is>
          <t xml:space="preserve">WING INFLATABLES INC</t>
        </is>
      </c>
      <c r="F5246" s="0" t="inlineStr">
        <is>
          <t xml:space="preserve">naics:336612</t>
        </is>
      </c>
    </row>
    <row r="5247">
      <c r="B5247" s="0" t="inlineStr">
        <is>
          <t xml:space="preserve">N0010422PBE81</t>
        </is>
      </c>
      <c r="C5247" s="0" t="inlineStr">
        <is>
          <t xml:space="preserve">small_craft</t>
        </is>
      </c>
      <c r="D5247" s="4">
        <v>0.004097</v>
      </c>
      <c r="E5247" s="0" t="inlineStr">
        <is>
          <t xml:space="preserve">IN SPECK CORP</t>
        </is>
      </c>
      <c r="F5247" s="0" t="inlineStr">
        <is>
          <t xml:space="preserve">naics:336612</t>
        </is>
      </c>
    </row>
    <row r="5248">
      <c r="B5248" s="0" t="inlineStr">
        <is>
          <t xml:space="preserve">N4044207P5534</t>
        </is>
      </c>
      <c r="C5248" s="0" t="inlineStr">
        <is>
          <t xml:space="preserve">other_small</t>
        </is>
      </c>
      <c r="D5248" s="4">
        <v>0.00409419</v>
      </c>
      <c r="E5248" s="0" t="inlineStr">
        <is>
          <t xml:space="preserve">US JOINER LLC</t>
        </is>
      </c>
      <c r="F5248" s="0" t="inlineStr">
        <is>
          <t xml:space="preserve">psc:1925</t>
        </is>
      </c>
    </row>
    <row r="5249">
      <c r="B5249" s="0" t="inlineStr">
        <is>
          <t xml:space="preserve">N0018915F0173</t>
        </is>
      </c>
      <c r="C5249" s="0" t="inlineStr">
        <is>
          <t xml:space="preserve">small_craft</t>
        </is>
      </c>
      <c r="D5249" s="4">
        <v>0.00408621</v>
      </c>
      <c r="E5249" s="0" t="inlineStr">
        <is>
          <t xml:space="preserve">STIDD SYSTEMS, INC.</t>
        </is>
      </c>
      <c r="F5249" s="0" t="inlineStr">
        <is>
          <t xml:space="preserve">naics:336612</t>
        </is>
      </c>
    </row>
    <row r="5250">
      <c r="B5250" s="0" t="inlineStr">
        <is>
          <t xml:space="preserve">N0010419PDE07</t>
        </is>
      </c>
      <c r="C5250" s="0" t="inlineStr">
        <is>
          <t xml:space="preserve">small_craft</t>
        </is>
      </c>
      <c r="D5250" s="4">
        <v>0.004072</v>
      </c>
      <c r="E5250" s="0" t="inlineStr">
        <is>
          <t xml:space="preserve">TIMKEN GEARS &amp; SERVICES INC.</t>
        </is>
      </c>
      <c r="F5250" s="0" t="inlineStr">
        <is>
          <t xml:space="preserve">naics:336612</t>
        </is>
      </c>
    </row>
    <row r="5251">
      <c r="B5251" s="0" t="inlineStr">
        <is>
          <t xml:space="preserve">N0010419PDD56</t>
        </is>
      </c>
      <c r="C5251" s="0" t="inlineStr">
        <is>
          <t xml:space="preserve">small_craft</t>
        </is>
      </c>
      <c r="D5251" s="4">
        <v>0.004072</v>
      </c>
      <c r="E5251" s="0" t="inlineStr">
        <is>
          <t xml:space="preserve">TIMKEN GEARS &amp; SERVICES INC.</t>
        </is>
      </c>
      <c r="F5251" s="0" t="inlineStr">
        <is>
          <t xml:space="preserve">naics:336612</t>
        </is>
      </c>
    </row>
    <row r="5252">
      <c r="B5252" s="0" t="inlineStr">
        <is>
          <t xml:space="preserve">N0040615P3723</t>
        </is>
      </c>
      <c r="C5252" s="0" t="inlineStr">
        <is>
          <t xml:space="preserve">small_craft</t>
        </is>
      </c>
      <c r="D5252" s="4">
        <v>0.00406679</v>
      </c>
      <c r="E5252" s="0" t="inlineStr">
        <is>
          <t xml:space="preserve">BENNETT INDUSTRIES, INC</t>
        </is>
      </c>
      <c r="F5252" s="0" t="inlineStr">
        <is>
          <t xml:space="preserve">naics:336612</t>
        </is>
      </c>
    </row>
    <row r="5253">
      <c r="B5253" s="0" t="inlineStr">
        <is>
          <t xml:space="preserve">N0010418PDE62</t>
        </is>
      </c>
      <c r="C5253" s="0" t="inlineStr">
        <is>
          <t xml:space="preserve">small_craft</t>
        </is>
      </c>
      <c r="D5253" s="4">
        <v>0.00405175</v>
      </c>
      <c r="E5253" s="0" t="inlineStr">
        <is>
          <t xml:space="preserve">ARGONAUT ENTERPRISES VB LLC</t>
        </is>
      </c>
      <c r="F5253" s="0" t="inlineStr">
        <is>
          <t xml:space="preserve">naics:336612</t>
        </is>
      </c>
    </row>
    <row r="5254">
      <c r="B5254" s="0" t="inlineStr">
        <is>
          <t xml:space="preserve">N0010425PCA39</t>
        </is>
      </c>
      <c r="C5254" s="0" t="inlineStr">
        <is>
          <t xml:space="preserve">small_craft</t>
        </is>
      </c>
      <c r="D5254" s="4">
        <v>0.00405</v>
      </c>
      <c r="E5254" s="0" t="inlineStr">
        <is>
          <t xml:space="preserve">ADVANCED STRUCTURES CORPORATION</t>
        </is>
      </c>
      <c r="F5254" s="0" t="inlineStr">
        <is>
          <t xml:space="preserve">naics:336612</t>
        </is>
      </c>
    </row>
    <row r="5255">
      <c r="B5255" s="0" t="inlineStr">
        <is>
          <t xml:space="preserve">N4044207P5337</t>
        </is>
      </c>
      <c r="C5255" s="0" t="inlineStr">
        <is>
          <t xml:space="preserve">other_small</t>
        </is>
      </c>
      <c r="D5255" s="4">
        <v>0.0040098899999999995</v>
      </c>
      <c r="E5255" s="0" t="inlineStr">
        <is>
          <t xml:space="preserve">DIESEL INJECTION SALES &amp; SERVICE LIMITED</t>
        </is>
      </c>
      <c r="F5255" s="0" t="inlineStr">
        <is>
          <t xml:space="preserve">psc:1925</t>
        </is>
      </c>
    </row>
    <row r="5256">
      <c r="B5256" s="0" t="inlineStr">
        <is>
          <t xml:space="preserve">N0010423PFE44</t>
        </is>
      </c>
      <c r="C5256" s="0" t="inlineStr">
        <is>
          <t xml:space="preserve">small_craft</t>
        </is>
      </c>
      <c r="D5256" s="4">
        <v>0.0040095</v>
      </c>
      <c r="E5256" s="0" t="inlineStr">
        <is>
          <t xml:space="preserve">IN SPECK CORP</t>
        </is>
      </c>
      <c r="F5256" s="0" t="inlineStr">
        <is>
          <t xml:space="preserve">naics:336612</t>
        </is>
      </c>
    </row>
    <row r="5257">
      <c r="B5257" s="0" t="inlineStr">
        <is>
          <t xml:space="preserve">N0040615P0987</t>
        </is>
      </c>
      <c r="C5257" s="0" t="inlineStr">
        <is>
          <t xml:space="preserve">small_craft</t>
        </is>
      </c>
      <c r="D5257" s="4">
        <v>0.0040089999999999995</v>
      </c>
      <c r="E5257" s="0" t="inlineStr">
        <is>
          <t xml:space="preserve">DELTA INTERNATIONAL, INC.</t>
        </is>
      </c>
      <c r="F5257" s="0" t="inlineStr">
        <is>
          <t xml:space="preserve">naics:336612</t>
        </is>
      </c>
    </row>
    <row r="5258">
      <c r="B5258" s="0" t="inlineStr">
        <is>
          <t xml:space="preserve">N0020314P7509</t>
        </is>
      </c>
      <c r="C5258" s="0" t="inlineStr">
        <is>
          <t xml:space="preserve">other_small</t>
        </is>
      </c>
      <c r="D5258" s="4">
        <v>0.003994999999999999</v>
      </c>
      <c r="E5258" s="0" t="inlineStr">
        <is>
          <t xml:space="preserve">LABREPCO LLC</t>
        </is>
      </c>
      <c r="F5258" s="0" t="inlineStr">
        <is>
          <t xml:space="preserve">psc:1925</t>
        </is>
      </c>
    </row>
    <row r="5259">
      <c r="B5259" s="0" t="inlineStr">
        <is>
          <t xml:space="preserve">N0010418PBH72</t>
        </is>
      </c>
      <c r="C5259" s="0" t="inlineStr">
        <is>
          <t xml:space="preserve">small_craft</t>
        </is>
      </c>
      <c r="D5259" s="4">
        <v>0.00399</v>
      </c>
      <c r="E5259" s="0" t="inlineStr">
        <is>
          <t xml:space="preserve">DERBYSHIRE MACHINE &amp; TOOL CO</t>
        </is>
      </c>
      <c r="F5259" s="0" t="inlineStr">
        <is>
          <t xml:space="preserve">naics:336612</t>
        </is>
      </c>
    </row>
    <row r="5260">
      <c r="B5260" s="0" t="inlineStr">
        <is>
          <t xml:space="preserve">N0010417PBD62</t>
        </is>
      </c>
      <c r="C5260" s="0" t="inlineStr">
        <is>
          <t xml:space="preserve">small_craft</t>
        </is>
      </c>
      <c r="D5260" s="4">
        <v>0.00399</v>
      </c>
      <c r="E5260" s="0" t="inlineStr">
        <is>
          <t xml:space="preserve">DERBYSHIRE MACHINE &amp; TOOL CO</t>
        </is>
      </c>
      <c r="F5260" s="0" t="inlineStr">
        <is>
          <t xml:space="preserve">naics:336612</t>
        </is>
      </c>
    </row>
    <row r="5261">
      <c r="B5261" s="0" t="inlineStr">
        <is>
          <t xml:space="preserve">L818</t>
        </is>
      </c>
      <c r="C5261" s="0" t="inlineStr">
        <is>
          <t xml:space="preserve">broad_maritime</t>
        </is>
      </c>
      <c r="D5261" s="4">
        <v>0.00398</v>
      </c>
      <c r="E5261" s="0" t="inlineStr">
        <is>
          <t xml:space="preserve">ELECTRIC BOAT CORPORATION</t>
        </is>
      </c>
      <c r="F5261" s="0" t="inlineStr">
        <is>
          <t xml:space="preserve">psc:1905</t>
        </is>
      </c>
    </row>
    <row r="5262">
      <c r="B5262" s="0" t="inlineStr">
        <is>
          <t xml:space="preserve">N0040616P1191</t>
        </is>
      </c>
      <c r="C5262" s="0" t="inlineStr">
        <is>
          <t xml:space="preserve">small_craft</t>
        </is>
      </c>
      <c r="D5262" s="4">
        <v>0.0039499999999999995</v>
      </c>
      <c r="E5262" s="0" t="inlineStr">
        <is>
          <t xml:space="preserve">PACIFIC MARITIME INDUSTRIES CORP.</t>
        </is>
      </c>
      <c r="F5262" s="0" t="inlineStr">
        <is>
          <t xml:space="preserve">naics:336612</t>
        </is>
      </c>
    </row>
    <row r="5263">
      <c r="B5263" s="0" t="inlineStr">
        <is>
          <t xml:space="preserve">N0040615P2970</t>
        </is>
      </c>
      <c r="C5263" s="0" t="inlineStr">
        <is>
          <t xml:space="preserve">small_craft</t>
        </is>
      </c>
      <c r="D5263" s="4">
        <v>0.0039499999999999995</v>
      </c>
      <c r="E5263" s="0" t="inlineStr">
        <is>
          <t xml:space="preserve">PACIFIC MARITIME INDUSTRIES CORP.</t>
        </is>
      </c>
      <c r="F5263" s="0" t="inlineStr">
        <is>
          <t xml:space="preserve">naics:336612</t>
        </is>
      </c>
    </row>
    <row r="5264">
      <c r="B5264" s="0" t="inlineStr">
        <is>
          <t xml:space="preserve">N0040615P1862</t>
        </is>
      </c>
      <c r="C5264" s="0" t="inlineStr">
        <is>
          <t xml:space="preserve">small_craft</t>
        </is>
      </c>
      <c r="D5264" s="4">
        <v>0.0039499999999999995</v>
      </c>
      <c r="E5264" s="0" t="inlineStr">
        <is>
          <t xml:space="preserve">PACIFIC MARITIME INDUSTRIES CORP.</t>
        </is>
      </c>
      <c r="F5264" s="0" t="inlineStr">
        <is>
          <t xml:space="preserve">naics:336612</t>
        </is>
      </c>
    </row>
    <row r="5265">
      <c r="B5265" s="0" t="inlineStr">
        <is>
          <t xml:space="preserve">N0010421PND40</t>
        </is>
      </c>
      <c r="C5265" s="0" t="inlineStr">
        <is>
          <t xml:space="preserve">small_craft</t>
        </is>
      </c>
      <c r="D5265" s="4">
        <v>0.003945</v>
      </c>
      <c r="E5265" s="0" t="inlineStr">
        <is>
          <t xml:space="preserve">FAXON ENGINEERING CO INC</t>
        </is>
      </c>
      <c r="F5265" s="0" t="inlineStr">
        <is>
          <t xml:space="preserve">naics:336612</t>
        </is>
      </c>
    </row>
    <row r="5266">
      <c r="B5266" s="0" t="inlineStr">
        <is>
          <t xml:space="preserve">N0010420PED95</t>
        </is>
      </c>
      <c r="C5266" s="0" t="inlineStr">
        <is>
          <t xml:space="preserve">small_craft</t>
        </is>
      </c>
      <c r="D5266" s="4">
        <v>0.003888</v>
      </c>
      <c r="E5266" s="0" t="inlineStr">
        <is>
          <t xml:space="preserve">HUGHES CORP</t>
        </is>
      </c>
      <c r="F5266" s="0" t="inlineStr">
        <is>
          <t xml:space="preserve">naics:336612</t>
        </is>
      </c>
    </row>
    <row r="5267">
      <c r="B5267" s="0" t="inlineStr">
        <is>
          <t xml:space="preserve">N0010421PBX15</t>
        </is>
      </c>
      <c r="C5267" s="0" t="inlineStr">
        <is>
          <t xml:space="preserve">small_craft</t>
        </is>
      </c>
      <c r="D5267" s="4">
        <v>0.0038867199999999998</v>
      </c>
      <c r="E5267" s="0" t="inlineStr">
        <is>
          <t xml:space="preserve">GOVERNMENT SCIENTIFIC SOURCE INC</t>
        </is>
      </c>
      <c r="F5267" s="0" t="inlineStr">
        <is>
          <t xml:space="preserve">naics:336612</t>
        </is>
      </c>
    </row>
    <row r="5268">
      <c r="B5268" s="0" t="inlineStr">
        <is>
          <t xml:space="preserve">N0010423PBN15</t>
        </is>
      </c>
      <c r="C5268" s="0" t="inlineStr">
        <is>
          <t xml:space="preserve">small_craft</t>
        </is>
      </c>
      <c r="D5268" s="4">
        <v>0.0038838</v>
      </c>
      <c r="E5268" s="0" t="inlineStr">
        <is>
          <t xml:space="preserve">ADIRONDACK ELECTRONICS INC</t>
        </is>
      </c>
      <c r="F5268" s="0" t="inlineStr">
        <is>
          <t xml:space="preserve">naics:336612</t>
        </is>
      </c>
    </row>
    <row r="5269">
      <c r="B5269" s="0" t="inlineStr">
        <is>
          <t xml:space="preserve">0066</t>
        </is>
      </c>
      <c r="C5269" s="0" t="inlineStr">
        <is>
          <t xml:space="preserve">other_small</t>
        </is>
      </c>
      <c r="D5269" s="4">
        <v>0.00386875</v>
      </c>
      <c r="E5269" s="0" t="inlineStr">
        <is>
          <t xml:space="preserve">ROLLS-ROYCE SOLUTIONS AMERICA INC</t>
        </is>
      </c>
      <c r="F5269" s="0" t="inlineStr">
        <is>
          <t xml:space="preserve">psc:1990</t>
        </is>
      </c>
    </row>
    <row r="5270">
      <c r="B5270" s="0" t="inlineStr">
        <is>
          <t xml:space="preserve">N4044207P5360</t>
        </is>
      </c>
      <c r="C5270" s="0" t="inlineStr">
        <is>
          <t xml:space="preserve">other_small</t>
        </is>
      </c>
      <c r="D5270" s="4">
        <v>0.0038315199999999997</v>
      </c>
      <c r="E5270" s="0" t="inlineStr">
        <is>
          <t xml:space="preserve">REDDEN MARINE SUPPLY, INC.</t>
        </is>
      </c>
      <c r="F5270" s="0" t="inlineStr">
        <is>
          <t xml:space="preserve">psc:1925</t>
        </is>
      </c>
    </row>
    <row r="5271">
      <c r="B5271" s="0" t="inlineStr">
        <is>
          <t xml:space="preserve">N0010423PSC33</t>
        </is>
      </c>
      <c r="C5271" s="0" t="inlineStr">
        <is>
          <t xml:space="preserve">small_craft</t>
        </is>
      </c>
      <c r="D5271" s="4">
        <v>0.0038074999999999997</v>
      </c>
      <c r="E5271" s="0" t="inlineStr">
        <is>
          <t xml:space="preserve">ADVANCED TEST EQUIPMENT CORPORATION</t>
        </is>
      </c>
      <c r="F5271" s="0" t="inlineStr">
        <is>
          <t xml:space="preserve">naics:336612</t>
        </is>
      </c>
    </row>
    <row r="5272">
      <c r="B5272" s="0" t="inlineStr">
        <is>
          <t xml:space="preserve">L842</t>
        </is>
      </c>
      <c r="C5272" s="0" t="inlineStr">
        <is>
          <t xml:space="preserve">broad_maritime</t>
        </is>
      </c>
      <c r="D5272" s="4">
        <v>0.0037979999999999997</v>
      </c>
      <c r="E5272" s="0" t="inlineStr">
        <is>
          <t xml:space="preserve">ELECTRIC BOAT CORPORATION</t>
        </is>
      </c>
      <c r="F5272" s="0" t="inlineStr">
        <is>
          <t xml:space="preserve">psc:1905</t>
        </is>
      </c>
    </row>
    <row r="5273">
      <c r="B5273" s="0" t="inlineStr">
        <is>
          <t xml:space="preserve">N0010415PEE18</t>
        </is>
      </c>
      <c r="C5273" s="0" t="inlineStr">
        <is>
          <t xml:space="preserve">small_craft</t>
        </is>
      </c>
      <c r="D5273" s="4">
        <v>0.0037832399999999998</v>
      </c>
      <c r="E5273" s="0" t="inlineStr">
        <is>
          <t xml:space="preserve">DEFENSE MANUFACTURERS INC</t>
        </is>
      </c>
      <c r="F5273" s="0" t="inlineStr">
        <is>
          <t xml:space="preserve">naics:336612</t>
        </is>
      </c>
    </row>
    <row r="5274">
      <c r="B5274" s="0" t="inlineStr">
        <is>
          <t xml:space="preserve">N0040615P4138</t>
        </is>
      </c>
      <c r="C5274" s="0" t="inlineStr">
        <is>
          <t xml:space="preserve">small_craft</t>
        </is>
      </c>
      <c r="D5274" s="4">
        <v>0.00375</v>
      </c>
      <c r="E5274" s="0" t="inlineStr">
        <is>
          <t xml:space="preserve">SETRA SYSTEMS, INC.</t>
        </is>
      </c>
      <c r="F5274" s="0" t="inlineStr">
        <is>
          <t xml:space="preserve">naics:336612</t>
        </is>
      </c>
    </row>
    <row r="5275">
      <c r="B5275" s="0" t="inlineStr">
        <is>
          <t xml:space="preserve">N0010420PNB75</t>
        </is>
      </c>
      <c r="C5275" s="0" t="inlineStr">
        <is>
          <t xml:space="preserve">small_craft</t>
        </is>
      </c>
      <c r="D5275" s="4">
        <v>0.00375</v>
      </c>
      <c r="E5275" s="0" t="inlineStr">
        <is>
          <t xml:space="preserve">OIL STATES INDUSTRIES, INC.</t>
        </is>
      </c>
      <c r="F5275" s="0" t="inlineStr">
        <is>
          <t xml:space="preserve">naics:336612</t>
        </is>
      </c>
    </row>
    <row r="5276">
      <c r="B5276" s="0" t="inlineStr">
        <is>
          <t xml:space="preserve">N0010426PBN22</t>
        </is>
      </c>
      <c r="C5276" s="0" t="inlineStr">
        <is>
          <t xml:space="preserve">small_craft</t>
        </is>
      </c>
      <c r="D5276" s="4">
        <v>0.0037365</v>
      </c>
      <c r="E5276" s="0" t="inlineStr">
        <is>
          <t xml:space="preserve">GAFFEL EQUIPMENT</t>
        </is>
      </c>
      <c r="F5276" s="0" t="inlineStr">
        <is>
          <t xml:space="preserve">naics:336612</t>
        </is>
      </c>
    </row>
    <row r="5277">
      <c r="B5277" s="0" t="inlineStr">
        <is>
          <t xml:space="preserve">N6883616P0413</t>
        </is>
      </c>
      <c r="C5277" s="0" t="inlineStr">
        <is>
          <t xml:space="preserve">small_craft</t>
        </is>
      </c>
      <c r="D5277" s="4">
        <v>0.00372262</v>
      </c>
      <c r="E5277" s="0" t="inlineStr">
        <is>
          <t xml:space="preserve">WING INFLATABLES, INC.</t>
        </is>
      </c>
      <c r="F5277" s="0" t="inlineStr">
        <is>
          <t xml:space="preserve">naics:336612</t>
        </is>
      </c>
    </row>
    <row r="5278">
      <c r="B5278" s="0" t="inlineStr">
        <is>
          <t xml:space="preserve">N4044316P0473</t>
        </is>
      </c>
      <c r="C5278" s="0" t="inlineStr">
        <is>
          <t xml:space="preserve">small_craft</t>
        </is>
      </c>
      <c r="D5278" s="4">
        <v>0.00367125</v>
      </c>
      <c r="E5278" s="0" t="inlineStr">
        <is>
          <t xml:space="preserve">BAY DIESEL CORP</t>
        </is>
      </c>
      <c r="F5278" s="0" t="inlineStr">
        <is>
          <t xml:space="preserve">psc:1940</t>
        </is>
      </c>
    </row>
    <row r="5279">
      <c r="B5279" s="0" t="inlineStr">
        <is>
          <t xml:space="preserve">N0010421PND38</t>
        </is>
      </c>
      <c r="C5279" s="0" t="inlineStr">
        <is>
          <t xml:space="preserve">small_craft</t>
        </is>
      </c>
      <c r="D5279" s="4">
        <v>0.003663</v>
      </c>
      <c r="E5279" s="0" t="inlineStr">
        <is>
          <t xml:space="preserve">NORTHROP GRUMMAN SYSTEMS CORPORATION</t>
        </is>
      </c>
      <c r="F5279" s="0" t="inlineStr">
        <is>
          <t xml:space="preserve">naics:336612</t>
        </is>
      </c>
    </row>
    <row r="5280">
      <c r="B5280" s="0" t="inlineStr">
        <is>
          <t xml:space="preserve">N0010426PYA42</t>
        </is>
      </c>
      <c r="C5280" s="0" t="inlineStr">
        <is>
          <t xml:space="preserve">small_craft</t>
        </is>
      </c>
      <c r="D5280" s="4">
        <v>0.0036324</v>
      </c>
      <c r="E5280" s="0" t="inlineStr">
        <is>
          <t xml:space="preserve">IN SPECK CORP</t>
        </is>
      </c>
      <c r="F5280" s="0" t="inlineStr">
        <is>
          <t xml:space="preserve">naics:336612</t>
        </is>
      </c>
    </row>
    <row r="5281">
      <c r="B5281" s="0" t="inlineStr">
        <is>
          <t xml:space="preserve">N4044207P5430</t>
        </is>
      </c>
      <c r="C5281" s="0" t="inlineStr">
        <is>
          <t xml:space="preserve">other_small</t>
        </is>
      </c>
      <c r="D5281" s="4">
        <v>0.00361906</v>
      </c>
      <c r="E5281" s="0" t="inlineStr">
        <is>
          <t xml:space="preserve">PACIFIC CONSOLIDATED INDUSTRIES LLC</t>
        </is>
      </c>
      <c r="F5281" s="0" t="inlineStr">
        <is>
          <t xml:space="preserve">psc:1925</t>
        </is>
      </c>
    </row>
    <row r="5282">
      <c r="B5282" s="0" t="inlineStr">
        <is>
          <t xml:space="preserve">N0010425PXC47</t>
        </is>
      </c>
      <c r="C5282" s="0" t="inlineStr">
        <is>
          <t xml:space="preserve">small_craft</t>
        </is>
      </c>
      <c r="D5282" s="4">
        <v>0.0036049999999999997</v>
      </c>
      <c r="E5282" s="0" t="inlineStr">
        <is>
          <t xml:space="preserve">HYTECH ASSOCIATES INCORPORATED</t>
        </is>
      </c>
      <c r="F5282" s="0" t="inlineStr">
        <is>
          <t xml:space="preserve">naics:336612</t>
        </is>
      </c>
    </row>
    <row r="5283">
      <c r="B5283" s="0" t="inlineStr">
        <is>
          <t xml:space="preserve">N0010424PLE13</t>
        </is>
      </c>
      <c r="C5283" s="0" t="inlineStr">
        <is>
          <t xml:space="preserve">small_craft</t>
        </is>
      </c>
      <c r="D5283" s="4">
        <v>0.0036</v>
      </c>
      <c r="E5283" s="0" t="inlineStr">
        <is>
          <t xml:space="preserve">FROMM ELECTRIC SUPPLY OF READING, PENNA., LLC</t>
        </is>
      </c>
      <c r="F5283" s="0" t="inlineStr">
        <is>
          <t xml:space="preserve">naics:336612</t>
        </is>
      </c>
    </row>
    <row r="5284">
      <c r="B5284" s="0" t="inlineStr">
        <is>
          <t xml:space="preserve">N0016716P0177</t>
        </is>
      </c>
      <c r="C5284" s="0" t="inlineStr">
        <is>
          <t xml:space="preserve">other_small</t>
        </is>
      </c>
      <c r="D5284" s="4">
        <v>0.00358227</v>
      </c>
      <c r="E5284" s="0" t="inlineStr">
        <is>
          <t xml:space="preserve">NORTHWEST RIVER SUPPLIES INC</t>
        </is>
      </c>
      <c r="F5284" s="0" t="inlineStr">
        <is>
          <t xml:space="preserve">psc:1990</t>
        </is>
      </c>
    </row>
    <row r="5285">
      <c r="B5285" s="0" t="inlineStr">
        <is>
          <t xml:space="preserve">N0010415ML031</t>
        </is>
      </c>
      <c r="C5285" s="0" t="inlineStr">
        <is>
          <t xml:space="preserve">small_craft</t>
        </is>
      </c>
      <c r="D5285" s="4">
        <v>0.0035596799999999995</v>
      </c>
      <c r="E5285" s="0" t="inlineStr">
        <is>
          <t xml:space="preserve">BAIRSTOW LIFTING PRODUCTS, LLC</t>
        </is>
      </c>
      <c r="F5285" s="0" t="inlineStr">
        <is>
          <t xml:space="preserve">naics:336612</t>
        </is>
      </c>
    </row>
    <row r="5286">
      <c r="B5286" s="0" t="inlineStr">
        <is>
          <t xml:space="preserve">N0010422PBS07</t>
        </is>
      </c>
      <c r="C5286" s="0" t="inlineStr">
        <is>
          <t xml:space="preserve">small_craft</t>
        </is>
      </c>
      <c r="D5286" s="4">
        <v>0.0035356999999999997</v>
      </c>
      <c r="E5286" s="0" t="inlineStr">
        <is>
          <t xml:space="preserve">MAGNATROL VALVE CORP</t>
        </is>
      </c>
      <c r="F5286" s="0" t="inlineStr">
        <is>
          <t xml:space="preserve">naics:336612</t>
        </is>
      </c>
    </row>
    <row r="5287">
      <c r="B5287" s="0" t="inlineStr">
        <is>
          <t xml:space="preserve">N0010420PEK97</t>
        </is>
      </c>
      <c r="C5287" s="0" t="inlineStr">
        <is>
          <t xml:space="preserve">small_craft</t>
        </is>
      </c>
      <c r="D5287" s="4">
        <v>0.0035199999999999997</v>
      </c>
      <c r="E5287" s="0" t="inlineStr">
        <is>
          <t xml:space="preserve">SHENANDOAH INDUSTRIES, LLC</t>
        </is>
      </c>
      <c r="F5287" s="0" t="inlineStr">
        <is>
          <t xml:space="preserve">naics:336612</t>
        </is>
      </c>
    </row>
    <row r="5288">
      <c r="B5288" s="0" t="inlineStr">
        <is>
          <t xml:space="preserve">N0010422PEP52</t>
        </is>
      </c>
      <c r="C5288" s="0" t="inlineStr">
        <is>
          <t xml:space="preserve">small_craft</t>
        </is>
      </c>
      <c r="D5288" s="4">
        <v>0.0034999999999999996</v>
      </c>
      <c r="E5288" s="0" t="inlineStr">
        <is>
          <t xml:space="preserve">MCGEAN-ROHCO INC</t>
        </is>
      </c>
      <c r="F5288" s="0" t="inlineStr">
        <is>
          <t xml:space="preserve">naics:336612</t>
        </is>
      </c>
    </row>
    <row r="5289">
      <c r="B5289" s="0" t="inlineStr">
        <is>
          <t xml:space="preserve">N3220515P3778</t>
        </is>
      </c>
      <c r="C5289" s="0" t="inlineStr">
        <is>
          <t xml:space="preserve">small_craft</t>
        </is>
      </c>
      <c r="D5289" s="4">
        <v>0.0034710799999999997</v>
      </c>
      <c r="E5289" s="0" t="inlineStr">
        <is>
          <t xml:space="preserve">J. W. MARINE EQUIPMENT, INC.</t>
        </is>
      </c>
      <c r="F5289" s="0" t="inlineStr">
        <is>
          <t xml:space="preserve">naics:336612</t>
        </is>
      </c>
    </row>
    <row r="5290">
      <c r="B5290" s="0" t="inlineStr">
        <is>
          <t xml:space="preserve">N0040616P3699</t>
        </is>
      </c>
      <c r="C5290" s="0" t="inlineStr">
        <is>
          <t xml:space="preserve">small_craft</t>
        </is>
      </c>
      <c r="D5290" s="4">
        <v>0.0034389999999999998</v>
      </c>
      <c r="E5290" s="0" t="inlineStr">
        <is>
          <t xml:space="preserve">WING INFLATABLES INC</t>
        </is>
      </c>
      <c r="F5290" s="0" t="inlineStr">
        <is>
          <t xml:space="preserve">naics:336612</t>
        </is>
      </c>
    </row>
    <row r="5291">
      <c r="B5291" s="0" t="inlineStr">
        <is>
          <t xml:space="preserve">N0016725FG098</t>
        </is>
      </c>
      <c r="C5291" s="0" t="inlineStr">
        <is>
          <t xml:space="preserve">small_craft</t>
        </is>
      </c>
      <c r="D5291" s="4">
        <v>0.00343205</v>
      </c>
      <c r="E5291" s="0" t="inlineStr">
        <is>
          <t xml:space="preserve">VIRGINIA SPEED, INC.</t>
        </is>
      </c>
      <c r="F5291" s="0" t="inlineStr">
        <is>
          <t xml:space="preserve">naics:336612</t>
        </is>
      </c>
    </row>
    <row r="5292">
      <c r="B5292" s="0" t="inlineStr">
        <is>
          <t xml:space="preserve">N0040615P2923</t>
        </is>
      </c>
      <c r="C5292" s="0" t="inlineStr">
        <is>
          <t xml:space="preserve">small_craft</t>
        </is>
      </c>
      <c r="D5292" s="4">
        <v>0.00343</v>
      </c>
      <c r="E5292" s="0" t="inlineStr">
        <is>
          <t xml:space="preserve">JUNIPER ELBOW CO. INC.</t>
        </is>
      </c>
      <c r="F5292" s="0" t="inlineStr">
        <is>
          <t xml:space="preserve">naics:336612</t>
        </is>
      </c>
    </row>
    <row r="5293">
      <c r="B5293" s="0" t="inlineStr">
        <is>
          <t xml:space="preserve">N0016724FG254</t>
        </is>
      </c>
      <c r="C5293" s="0" t="inlineStr">
        <is>
          <t xml:space="preserve">small_craft</t>
        </is>
      </c>
      <c r="D5293" s="4">
        <v>0.00342906</v>
      </c>
      <c r="E5293" s="0" t="inlineStr">
        <is>
          <t xml:space="preserve">VIRGINIA SPEED, INC.</t>
        </is>
      </c>
      <c r="F5293" s="0" t="inlineStr">
        <is>
          <t xml:space="preserve">naics:336612</t>
        </is>
      </c>
    </row>
    <row r="5294">
      <c r="B5294" s="0" t="inlineStr">
        <is>
          <t xml:space="preserve">LH75</t>
        </is>
      </c>
      <c r="C5294" s="0" t="inlineStr">
        <is>
          <t xml:space="preserve">other_small</t>
        </is>
      </c>
      <c r="D5294" s="4">
        <v>0.00342</v>
      </c>
      <c r="E5294" s="0" t="inlineStr">
        <is>
          <t xml:space="preserve">MCALLISTER TOWING OF VIRGINIA INC</t>
        </is>
      </c>
      <c r="F5294" s="0" t="inlineStr">
        <is>
          <t xml:space="preserve">psc:1990</t>
        </is>
      </c>
    </row>
    <row r="5295">
      <c r="B5295" s="0" t="inlineStr">
        <is>
          <t xml:space="preserve">N0010421PLB25</t>
        </is>
      </c>
      <c r="C5295" s="0" t="inlineStr">
        <is>
          <t xml:space="preserve">small_craft</t>
        </is>
      </c>
      <c r="D5295" s="4">
        <v>0.0033791999999999997</v>
      </c>
      <c r="E5295" s="0" t="inlineStr">
        <is>
          <t xml:space="preserve">IMPRES TECHNOLOGY SOLUTIONS, INC</t>
        </is>
      </c>
      <c r="F5295" s="0" t="inlineStr">
        <is>
          <t xml:space="preserve">naics:336612</t>
        </is>
      </c>
    </row>
    <row r="5296">
      <c r="B5296" s="0" t="inlineStr">
        <is>
          <t xml:space="preserve">N3220515P3634</t>
        </is>
      </c>
      <c r="C5296" s="0" t="inlineStr">
        <is>
          <t xml:space="preserve">small_craft</t>
        </is>
      </c>
      <c r="D5296" s="4">
        <v>0.00336471</v>
      </c>
      <c r="E5296" s="0" t="inlineStr">
        <is>
          <t xml:space="preserve">FASSMER SERVICE AMERICA LLC</t>
        </is>
      </c>
      <c r="F5296" s="0" t="inlineStr">
        <is>
          <t xml:space="preserve">naics:336612</t>
        </is>
      </c>
    </row>
    <row r="5297">
      <c r="B5297" s="0" t="inlineStr">
        <is>
          <t xml:space="preserve">N0010418PEH62</t>
        </is>
      </c>
      <c r="C5297" s="0" t="inlineStr">
        <is>
          <t xml:space="preserve">small_craft</t>
        </is>
      </c>
      <c r="D5297" s="4">
        <v>0.0033551999999999996</v>
      </c>
      <c r="E5297" s="0" t="inlineStr">
        <is>
          <t xml:space="preserve">BEC SYSTEMS LLC</t>
        </is>
      </c>
      <c r="F5297" s="0" t="inlineStr">
        <is>
          <t xml:space="preserve">naics:336612</t>
        </is>
      </c>
    </row>
    <row r="5298">
      <c r="B5298" s="0" t="inlineStr">
        <is>
          <t xml:space="preserve">N0010418PEH61</t>
        </is>
      </c>
      <c r="C5298" s="0" t="inlineStr">
        <is>
          <t xml:space="preserve">small_craft</t>
        </is>
      </c>
      <c r="D5298" s="4">
        <v>0.0033551999999999996</v>
      </c>
      <c r="E5298" s="0" t="inlineStr">
        <is>
          <t xml:space="preserve">BEC SYSTEMS LLC</t>
        </is>
      </c>
      <c r="F5298" s="0" t="inlineStr">
        <is>
          <t xml:space="preserve">naics:336612</t>
        </is>
      </c>
    </row>
    <row r="5299">
      <c r="B5299" s="0" t="inlineStr">
        <is>
          <t xml:space="preserve">N6449821F4230</t>
        </is>
      </c>
      <c r="C5299" s="0" t="inlineStr">
        <is>
          <t xml:space="preserve">broad_maritime</t>
        </is>
      </c>
      <c r="D5299" s="4">
        <v>0.00332902</v>
      </c>
      <c r="E5299" s="0" t="inlineStr">
        <is>
          <t xml:space="preserve">OCEANEERING INTERNATIONAL INC</t>
        </is>
      </c>
      <c r="F5299" s="0" t="inlineStr">
        <is>
          <t xml:space="preserve">psc:1905</t>
        </is>
      </c>
    </row>
    <row r="5300">
      <c r="B5300" s="0" t="inlineStr">
        <is>
          <t xml:space="preserve">M6785424F1009</t>
        </is>
      </c>
      <c r="C5300" s="0" t="inlineStr">
        <is>
          <t xml:space="preserve">small_craft</t>
        </is>
      </c>
      <c r="D5300" s="4">
        <v>0.0033</v>
      </c>
      <c r="E5300" s="0" t="inlineStr">
        <is>
          <t xml:space="preserve">WING INFLATABLES INC</t>
        </is>
      </c>
      <c r="F5300" s="0" t="inlineStr">
        <is>
          <t xml:space="preserve">naics:336612; psc:1940</t>
        </is>
      </c>
    </row>
    <row r="5301">
      <c r="B5301" s="0" t="inlineStr">
        <is>
          <t xml:space="preserve">N0010421PND25</t>
        </is>
      </c>
      <c r="C5301" s="0" t="inlineStr">
        <is>
          <t xml:space="preserve">small_craft</t>
        </is>
      </c>
      <c r="D5301" s="4">
        <v>0.0032849999999999997</v>
      </c>
      <c r="E5301" s="0" t="inlineStr">
        <is>
          <t xml:space="preserve">NORTHROP GRUMMAN SYSTEMS CORPORATION</t>
        </is>
      </c>
      <c r="F5301" s="0" t="inlineStr">
        <is>
          <t xml:space="preserve">naics:336612</t>
        </is>
      </c>
    </row>
    <row r="5302">
      <c r="B5302" s="0" t="inlineStr">
        <is>
          <t xml:space="preserve">0051</t>
        </is>
      </c>
      <c r="C5302" s="0" t="inlineStr">
        <is>
          <t xml:space="preserve">other_small</t>
        </is>
      </c>
      <c r="D5302" s="4">
        <v>0.0032673</v>
      </c>
      <c r="E5302" s="0" t="inlineStr">
        <is>
          <t xml:space="preserve">ROLLS-ROYCE SOLUTIONS AMERICA INC</t>
        </is>
      </c>
      <c r="F5302" s="0" t="inlineStr">
        <is>
          <t xml:space="preserve">psc:1990</t>
        </is>
      </c>
    </row>
    <row r="5303">
      <c r="B5303" s="0" t="inlineStr">
        <is>
          <t xml:space="preserve">N6278919F0013</t>
        </is>
      </c>
      <c r="C5303" s="0" t="inlineStr">
        <is>
          <t xml:space="preserve">broad_maritime</t>
        </is>
      </c>
      <c r="D5303" s="4">
        <v>0.003212</v>
      </c>
      <c r="E5303" s="0" t="inlineStr">
        <is>
          <t xml:space="preserve">ELECTRIC BOAT CORPORATION</t>
        </is>
      </c>
      <c r="F5303" s="0" t="inlineStr">
        <is>
          <t xml:space="preserve">psc:1905</t>
        </is>
      </c>
    </row>
    <row r="5304">
      <c r="B5304" s="0" t="inlineStr">
        <is>
          <t xml:space="preserve">N0040615P2126</t>
        </is>
      </c>
      <c r="C5304" s="0" t="inlineStr">
        <is>
          <t xml:space="preserve">small_craft</t>
        </is>
      </c>
      <c r="D5304" s="4">
        <v>0.0031899999999999997</v>
      </c>
      <c r="E5304" s="0" t="inlineStr">
        <is>
          <t xml:space="preserve">J.D.A. MARITIME, INC.</t>
        </is>
      </c>
      <c r="F5304" s="0" t="inlineStr">
        <is>
          <t xml:space="preserve">naics:336612</t>
        </is>
      </c>
    </row>
    <row r="5305">
      <c r="B5305" s="0" t="inlineStr">
        <is>
          <t xml:space="preserve">N0010417PX078</t>
        </is>
      </c>
      <c r="C5305" s="0" t="inlineStr">
        <is>
          <t xml:space="preserve">broad_maritime</t>
        </is>
      </c>
      <c r="D5305" s="4">
        <v>0.00316159</v>
      </c>
      <c r="E5305" s="0" t="inlineStr">
        <is>
          <t xml:space="preserve">RAYTHEON COMPANY</t>
        </is>
      </c>
      <c r="F5305" s="0" t="inlineStr">
        <is>
          <t xml:space="preserve">psc:1905</t>
        </is>
      </c>
    </row>
    <row r="5306">
      <c r="B5306" s="0" t="inlineStr">
        <is>
          <t xml:space="preserve">N0010425PBZ73</t>
        </is>
      </c>
      <c r="C5306" s="0" t="inlineStr">
        <is>
          <t xml:space="preserve">small_craft</t>
        </is>
      </c>
      <c r="D5306" s="4">
        <v>0.0031305</v>
      </c>
      <c r="E5306" s="0" t="inlineStr">
        <is>
          <t xml:space="preserve">NASCO AEROSPACE AND ELECTRONICS LLC</t>
        </is>
      </c>
      <c r="F5306" s="0" t="inlineStr">
        <is>
          <t xml:space="preserve">naics:336612</t>
        </is>
      </c>
    </row>
    <row r="5307">
      <c r="B5307" s="0" t="inlineStr">
        <is>
          <t xml:space="preserve">N0040616P2838</t>
        </is>
      </c>
      <c r="C5307" s="0" t="inlineStr">
        <is>
          <t xml:space="preserve">small_craft</t>
        </is>
      </c>
      <c r="D5307" s="4">
        <v>0.0031</v>
      </c>
      <c r="E5307" s="0" t="inlineStr">
        <is>
          <t xml:space="preserve">PACIFIC MARITIME INDUSTRIES CORP.</t>
        </is>
      </c>
      <c r="F5307" s="0" t="inlineStr">
        <is>
          <t xml:space="preserve">naics:336612</t>
        </is>
      </c>
    </row>
    <row r="5308">
      <c r="B5308" s="0" t="inlineStr">
        <is>
          <t xml:space="preserve">N0040617P1812</t>
        </is>
      </c>
      <c r="C5308" s="0" t="inlineStr">
        <is>
          <t xml:space="preserve">small_craft</t>
        </is>
      </c>
      <c r="D5308" s="4">
        <v>0.003055</v>
      </c>
      <c r="E5308" s="0" t="inlineStr">
        <is>
          <t xml:space="preserve">B &amp; P CONSORT, INC.</t>
        </is>
      </c>
      <c r="F5308" s="0" t="inlineStr">
        <is>
          <t xml:space="preserve">naics:336612</t>
        </is>
      </c>
    </row>
    <row r="5309">
      <c r="B5309" s="0" t="inlineStr">
        <is>
          <t xml:space="preserve">N6278920F0003</t>
        </is>
      </c>
      <c r="C5309" s="0" t="inlineStr">
        <is>
          <t xml:space="preserve">broad_maritime</t>
        </is>
      </c>
      <c r="D5309" s="4">
        <v>0.003051</v>
      </c>
      <c r="E5309" s="0" t="inlineStr">
        <is>
          <t xml:space="preserve">ELECTRIC BOAT CORPORATION</t>
        </is>
      </c>
      <c r="F5309" s="0" t="inlineStr">
        <is>
          <t xml:space="preserve">psc:1905</t>
        </is>
      </c>
    </row>
    <row r="5310">
      <c r="B5310" s="0" t="inlineStr">
        <is>
          <t xml:space="preserve">N4044207P5407</t>
        </is>
      </c>
      <c r="C5310" s="0" t="inlineStr">
        <is>
          <t xml:space="preserve">other_small</t>
        </is>
      </c>
      <c r="D5310" s="4">
        <v>0.00305075</v>
      </c>
      <c r="E5310" s="0" t="inlineStr">
        <is>
          <t xml:space="preserve">NORTHROP GRUMMAN SYSTEMS CORPORATION</t>
        </is>
      </c>
      <c r="F5310" s="0" t="inlineStr">
        <is>
          <t xml:space="preserve">psc:1925</t>
        </is>
      </c>
    </row>
    <row r="5311">
      <c r="B5311" s="0" t="inlineStr">
        <is>
          <t xml:space="preserve">N0040616P2217</t>
        </is>
      </c>
      <c r="C5311" s="0" t="inlineStr">
        <is>
          <t xml:space="preserve">small_craft</t>
        </is>
      </c>
      <c r="D5311" s="4">
        <v>0.0030375</v>
      </c>
      <c r="E5311" s="0" t="inlineStr">
        <is>
          <t xml:space="preserve">JAMESTOWN METAL MARINE SALES, INC.</t>
        </is>
      </c>
      <c r="F5311" s="0" t="inlineStr">
        <is>
          <t xml:space="preserve">naics:336612</t>
        </is>
      </c>
    </row>
    <row r="5312">
      <c r="B5312" s="0" t="inlineStr">
        <is>
          <t xml:space="preserve">N0010422PQC40</t>
        </is>
      </c>
      <c r="C5312" s="0" t="inlineStr">
        <is>
          <t xml:space="preserve">small_craft</t>
        </is>
      </c>
      <c r="D5312" s="4">
        <v>0.0030199999999999997</v>
      </c>
      <c r="E5312" s="0" t="inlineStr">
        <is>
          <t xml:space="preserve">WAVELINE INC</t>
        </is>
      </c>
      <c r="F5312" s="0" t="inlineStr">
        <is>
          <t xml:space="preserve">naics:336612</t>
        </is>
      </c>
    </row>
    <row r="5313">
      <c r="B5313" s="0" t="inlineStr">
        <is>
          <t xml:space="preserve">LH59</t>
        </is>
      </c>
      <c r="C5313" s="0" t="inlineStr">
        <is>
          <t xml:space="preserve">other_small</t>
        </is>
      </c>
      <c r="D5313" s="4">
        <v>0.003015</v>
      </c>
      <c r="E5313" s="0" t="inlineStr">
        <is>
          <t xml:space="preserve">MCALLISTER TOWING OF VIRGINIA INC</t>
        </is>
      </c>
      <c r="F5313" s="0" t="inlineStr">
        <is>
          <t xml:space="preserve">psc:1990</t>
        </is>
      </c>
    </row>
    <row r="5314">
      <c r="B5314" s="0" t="inlineStr">
        <is>
          <t xml:space="preserve">LH57</t>
        </is>
      </c>
      <c r="C5314" s="0" t="inlineStr">
        <is>
          <t xml:space="preserve">other_small</t>
        </is>
      </c>
      <c r="D5314" s="4">
        <v>0.003015</v>
      </c>
      <c r="E5314" s="0" t="inlineStr">
        <is>
          <t xml:space="preserve">MCALLISTER TOWING OF VIRGINIA INC</t>
        </is>
      </c>
      <c r="F5314" s="0" t="inlineStr">
        <is>
          <t xml:space="preserve">psc:1990</t>
        </is>
      </c>
    </row>
    <row r="5315">
      <c r="B5315" s="0" t="inlineStr">
        <is>
          <t xml:space="preserve">N0010423PEL48</t>
        </is>
      </c>
      <c r="C5315" s="0" t="inlineStr">
        <is>
          <t xml:space="preserve">small_craft</t>
        </is>
      </c>
      <c r="D5315" s="4">
        <v>0.003</v>
      </c>
      <c r="E5315" s="0" t="inlineStr">
        <is>
          <t xml:space="preserve">GREATER MARYLAND TOOL &amp; MFG. CORP.</t>
        </is>
      </c>
      <c r="F5315" s="0" t="inlineStr">
        <is>
          <t xml:space="preserve">naics:336612</t>
        </is>
      </c>
    </row>
    <row r="5316">
      <c r="B5316" s="0" t="inlineStr">
        <is>
          <t xml:space="preserve">N0010419PND98</t>
        </is>
      </c>
      <c r="C5316" s="0" t="inlineStr">
        <is>
          <t xml:space="preserve">small_craft</t>
        </is>
      </c>
      <c r="D5316" s="4">
        <v>0.003</v>
      </c>
      <c r="E5316" s="0" t="inlineStr">
        <is>
          <t xml:space="preserve">GK MECHANICAL SYSTEMS LLC</t>
        </is>
      </c>
      <c r="F5316" s="0" t="inlineStr">
        <is>
          <t xml:space="preserve">naics:336612</t>
        </is>
      </c>
    </row>
    <row r="5317">
      <c r="B5317" s="0" t="inlineStr">
        <is>
          <t xml:space="preserve">N4044207P5208</t>
        </is>
      </c>
      <c r="C5317" s="0" t="inlineStr">
        <is>
          <t xml:space="preserve">other_small</t>
        </is>
      </c>
      <c r="D5317" s="4">
        <v>0.0029951199999999996</v>
      </c>
      <c r="E5317" s="0" t="inlineStr">
        <is>
          <t xml:space="preserve">MAXIM EVAPORATORS, INC</t>
        </is>
      </c>
      <c r="F5317" s="0" t="inlineStr">
        <is>
          <t xml:space="preserve">psc:1925</t>
        </is>
      </c>
    </row>
    <row r="5318">
      <c r="B5318" s="0" t="inlineStr">
        <is>
          <t xml:space="preserve">N0010417PBV21</t>
        </is>
      </c>
      <c r="C5318" s="0" t="inlineStr">
        <is>
          <t xml:space="preserve">small_craft</t>
        </is>
      </c>
      <c r="D5318" s="4">
        <v>0.002985</v>
      </c>
      <c r="E5318" s="0" t="inlineStr">
        <is>
          <t xml:space="preserve">GREATER MARYLAND TOOL &amp; MFG. CORP.</t>
        </is>
      </c>
      <c r="F5318" s="0" t="inlineStr">
        <is>
          <t xml:space="preserve">naics:336612</t>
        </is>
      </c>
    </row>
    <row r="5319">
      <c r="B5319" s="0" t="inlineStr">
        <is>
          <t xml:space="preserve">N0010423PLA40</t>
        </is>
      </c>
      <c r="C5319" s="0" t="inlineStr">
        <is>
          <t xml:space="preserve">small_craft</t>
        </is>
      </c>
      <c r="D5319" s="4">
        <v>0.002904</v>
      </c>
      <c r="E5319" s="0" t="inlineStr">
        <is>
          <t xml:space="preserve">AEF-PERFORMANCE LLC</t>
        </is>
      </c>
      <c r="F5319" s="0" t="inlineStr">
        <is>
          <t xml:space="preserve">naics:336612; psc:1940</t>
        </is>
      </c>
    </row>
    <row r="5320">
      <c r="B5320" s="0" t="inlineStr">
        <is>
          <t xml:space="preserve">N0040615P3971</t>
        </is>
      </c>
      <c r="C5320" s="0" t="inlineStr">
        <is>
          <t xml:space="preserve">small_craft</t>
        </is>
      </c>
      <c r="D5320" s="4">
        <v>0.0028699999999999997</v>
      </c>
      <c r="E5320" s="0" t="inlineStr">
        <is>
          <t xml:space="preserve">JUNIPER ELBOW CO. INC.</t>
        </is>
      </c>
      <c r="F5320" s="0" t="inlineStr">
        <is>
          <t xml:space="preserve">naics:336612</t>
        </is>
      </c>
    </row>
    <row r="5321">
      <c r="B5321" s="0" t="inlineStr">
        <is>
          <t xml:space="preserve">N0040615P3906</t>
        </is>
      </c>
      <c r="C5321" s="0" t="inlineStr">
        <is>
          <t xml:space="preserve">small_craft</t>
        </is>
      </c>
      <c r="D5321" s="4">
        <v>0.0028699999999999997</v>
      </c>
      <c r="E5321" s="0" t="inlineStr">
        <is>
          <t xml:space="preserve">JUNIPER ELBOW CO. INC.</t>
        </is>
      </c>
      <c r="F5321" s="0" t="inlineStr">
        <is>
          <t xml:space="preserve">naics:336612</t>
        </is>
      </c>
    </row>
    <row r="5322">
      <c r="B5322" s="0" t="inlineStr">
        <is>
          <t xml:space="preserve">N0010424PEE66</t>
        </is>
      </c>
      <c r="C5322" s="0" t="inlineStr">
        <is>
          <t xml:space="preserve">small_craft</t>
        </is>
      </c>
      <c r="D5322" s="4">
        <v>0.00286902</v>
      </c>
      <c r="E5322" s="0" t="inlineStr">
        <is>
          <t xml:space="preserve">ADIRONDACK ELECTRONICS INC</t>
        </is>
      </c>
      <c r="F5322" s="0" t="inlineStr">
        <is>
          <t xml:space="preserve">naics:336612</t>
        </is>
      </c>
    </row>
    <row r="5323">
      <c r="B5323" s="0" t="inlineStr">
        <is>
          <t xml:space="preserve">N0010426PBL98</t>
        </is>
      </c>
      <c r="C5323" s="0" t="inlineStr">
        <is>
          <t xml:space="preserve">small_craft</t>
        </is>
      </c>
      <c r="D5323" s="4">
        <v>0.00284825</v>
      </c>
      <c r="E5323" s="0" t="inlineStr">
        <is>
          <t xml:space="preserve">IN SPECK CORP</t>
        </is>
      </c>
      <c r="F5323" s="0" t="inlineStr">
        <is>
          <t xml:space="preserve">naics:336612</t>
        </is>
      </c>
    </row>
    <row r="5324">
      <c r="B5324" s="0" t="inlineStr">
        <is>
          <t xml:space="preserve">N0010423PAC15</t>
        </is>
      </c>
      <c r="C5324" s="0" t="inlineStr">
        <is>
          <t xml:space="preserve">small_craft</t>
        </is>
      </c>
      <c r="D5324" s="4">
        <v>0.002823</v>
      </c>
      <c r="E5324" s="0" t="inlineStr">
        <is>
          <t xml:space="preserve">ADIRONDACK ELECTRONICS INC</t>
        </is>
      </c>
      <c r="F5324" s="0" t="inlineStr">
        <is>
          <t xml:space="preserve">naics:336612</t>
        </is>
      </c>
    </row>
    <row r="5325">
      <c r="B5325" s="0" t="inlineStr">
        <is>
          <t xml:space="preserve">N0010424PBW51</t>
        </is>
      </c>
      <c r="C5325" s="0" t="inlineStr">
        <is>
          <t xml:space="preserve">small_craft</t>
        </is>
      </c>
      <c r="D5325" s="4">
        <v>0.0028128</v>
      </c>
      <c r="E5325" s="0" t="inlineStr">
        <is>
          <t xml:space="preserve">DETROIT SWITCH INC</t>
        </is>
      </c>
      <c r="F5325" s="0" t="inlineStr">
        <is>
          <t xml:space="preserve">naics:336612</t>
        </is>
      </c>
    </row>
    <row r="5326">
      <c r="B5326" s="0" t="inlineStr">
        <is>
          <t xml:space="preserve">N0010425PFA30</t>
        </is>
      </c>
      <c r="C5326" s="0" t="inlineStr">
        <is>
          <t xml:space="preserve">small_craft</t>
        </is>
      </c>
      <c r="D5326" s="4">
        <v>0.0028076</v>
      </c>
      <c r="E5326" s="0" t="inlineStr">
        <is>
          <t xml:space="preserve">BEC SYSTEMS LLC</t>
        </is>
      </c>
      <c r="F5326" s="0" t="inlineStr">
        <is>
          <t xml:space="preserve">naics:336612</t>
        </is>
      </c>
    </row>
    <row r="5327">
      <c r="B5327" s="0" t="inlineStr">
        <is>
          <t xml:space="preserve">N0010421PCC42</t>
        </is>
      </c>
      <c r="C5327" s="0" t="inlineStr">
        <is>
          <t xml:space="preserve">small_craft</t>
        </is>
      </c>
      <c r="D5327" s="4">
        <v>0.002764</v>
      </c>
      <c r="E5327" s="0" t="inlineStr">
        <is>
          <t xml:space="preserve">MARINE ELECTRIC SYSTEMS INC</t>
        </is>
      </c>
      <c r="F5327" s="0" t="inlineStr">
        <is>
          <t xml:space="preserve">naics:336612</t>
        </is>
      </c>
    </row>
    <row r="5328">
      <c r="B5328" s="0" t="inlineStr">
        <is>
          <t xml:space="preserve">N0010419PDB91</t>
        </is>
      </c>
      <c r="C5328" s="0" t="inlineStr">
        <is>
          <t xml:space="preserve">small_craft</t>
        </is>
      </c>
      <c r="D5328" s="4">
        <v>0.002747</v>
      </c>
      <c r="E5328" s="0" t="inlineStr">
        <is>
          <t xml:space="preserve">TIMKEN GEARS &amp; SERVICES INC.</t>
        </is>
      </c>
      <c r="F5328" s="0" t="inlineStr">
        <is>
          <t xml:space="preserve">naics:336612</t>
        </is>
      </c>
    </row>
    <row r="5329">
      <c r="B5329" s="0" t="inlineStr">
        <is>
          <t xml:space="preserve">N0010419FK400</t>
        </is>
      </c>
      <c r="C5329" s="0" t="inlineStr">
        <is>
          <t xml:space="preserve">small_craft</t>
        </is>
      </c>
      <c r="D5329" s="4">
        <v>0.00274256</v>
      </c>
      <c r="E5329" s="0" t="inlineStr">
        <is>
          <t xml:space="preserve">WING INFLATABLES INC</t>
        </is>
      </c>
      <c r="F5329" s="0" t="inlineStr">
        <is>
          <t xml:space="preserve">naics:336612</t>
        </is>
      </c>
    </row>
    <row r="5330">
      <c r="B5330" s="0" t="inlineStr">
        <is>
          <t xml:space="preserve">N0040616P0069</t>
        </is>
      </c>
      <c r="C5330" s="0" t="inlineStr">
        <is>
          <t xml:space="preserve">small_craft</t>
        </is>
      </c>
      <c r="D5330" s="4">
        <v>0.0026999999999999997</v>
      </c>
      <c r="E5330" s="0" t="inlineStr">
        <is>
          <t xml:space="preserve">PACIFIC MARITIME INDUSTRIES CORP.</t>
        </is>
      </c>
      <c r="F5330" s="0" t="inlineStr">
        <is>
          <t xml:space="preserve">naics:336612</t>
        </is>
      </c>
    </row>
    <row r="5331">
      <c r="B5331" s="0" t="inlineStr">
        <is>
          <t xml:space="preserve">N0010417PEC49</t>
        </is>
      </c>
      <c r="C5331" s="0" t="inlineStr">
        <is>
          <t xml:space="preserve">small_craft</t>
        </is>
      </c>
      <c r="D5331" s="4">
        <v>0.0026571</v>
      </c>
      <c r="E5331" s="0" t="inlineStr">
        <is>
          <t xml:space="preserve">DIBERT VALVE AND FITTING COMPANY, INCORPORATED</t>
        </is>
      </c>
      <c r="F5331" s="0" t="inlineStr">
        <is>
          <t xml:space="preserve">naics:336612</t>
        </is>
      </c>
    </row>
    <row r="5332">
      <c r="B5332" s="0" t="inlineStr">
        <is>
          <t xml:space="preserve">N0010424PEE63</t>
        </is>
      </c>
      <c r="C5332" s="0" t="inlineStr">
        <is>
          <t xml:space="preserve">small_craft</t>
        </is>
      </c>
      <c r="D5332" s="4">
        <v>0.002644</v>
      </c>
      <c r="E5332" s="0" t="inlineStr">
        <is>
          <t xml:space="preserve">ADIRONDACK ELECTRONICS INC</t>
        </is>
      </c>
      <c r="F5332" s="0" t="inlineStr">
        <is>
          <t xml:space="preserve">naics:336612</t>
        </is>
      </c>
    </row>
    <row r="5333">
      <c r="B5333" s="0" t="inlineStr">
        <is>
          <t xml:space="preserve">N0010417PBV20</t>
        </is>
      </c>
      <c r="C5333" s="0" t="inlineStr">
        <is>
          <t xml:space="preserve">small_craft</t>
        </is>
      </c>
      <c r="D5333" s="4">
        <v>0.002619</v>
      </c>
      <c r="E5333" s="0" t="inlineStr">
        <is>
          <t xml:space="preserve">NEW STANTON MACHINING AND TOOLING</t>
        </is>
      </c>
      <c r="F5333" s="0" t="inlineStr">
        <is>
          <t xml:space="preserve">naics:336612</t>
        </is>
      </c>
    </row>
    <row r="5334">
      <c r="B5334" s="0" t="inlineStr">
        <is>
          <t xml:space="preserve">N0010423PXC20</t>
        </is>
      </c>
      <c r="C5334" s="0" t="inlineStr">
        <is>
          <t xml:space="preserve">small_craft</t>
        </is>
      </c>
      <c r="D5334" s="4">
        <v>0.00261555</v>
      </c>
      <c r="E5334" s="0" t="inlineStr">
        <is>
          <t xml:space="preserve">TECHNICAL COMPONENTS INC</t>
        </is>
      </c>
      <c r="F5334" s="0" t="inlineStr">
        <is>
          <t xml:space="preserve">naics:336612</t>
        </is>
      </c>
    </row>
    <row r="5335">
      <c r="B5335" s="0" t="inlineStr">
        <is>
          <t xml:space="preserve">N0010417PFC47</t>
        </is>
      </c>
      <c r="C5335" s="0" t="inlineStr">
        <is>
          <t xml:space="preserve">small_craft</t>
        </is>
      </c>
      <c r="D5335" s="4">
        <v>0.0026</v>
      </c>
      <c r="E5335" s="0" t="inlineStr">
        <is>
          <t xml:space="preserve">GUILL TOOL &amp; ENGINEERING CO INC</t>
        </is>
      </c>
      <c r="F5335" s="0" t="inlineStr">
        <is>
          <t xml:space="preserve">naics:336612</t>
        </is>
      </c>
    </row>
    <row r="5336">
      <c r="B5336" s="0" t="inlineStr">
        <is>
          <t xml:space="preserve">N0010420PEA1N</t>
        </is>
      </c>
      <c r="C5336" s="0" t="inlineStr">
        <is>
          <t xml:space="preserve">small_craft</t>
        </is>
      </c>
      <c r="D5336" s="4">
        <v>0.0025995</v>
      </c>
      <c r="E5336" s="0" t="inlineStr">
        <is>
          <t xml:space="preserve">NASCO AEROSPACE AND ELECTRONICS LLC</t>
        </is>
      </c>
      <c r="F5336" s="0" t="inlineStr">
        <is>
          <t xml:space="preserve">naics:336612</t>
        </is>
      </c>
    </row>
    <row r="5337">
      <c r="B5337" s="0" t="inlineStr">
        <is>
          <t xml:space="preserve">N0010421PDB29</t>
        </is>
      </c>
      <c r="C5337" s="0" t="inlineStr">
        <is>
          <t xml:space="preserve">small_craft</t>
        </is>
      </c>
      <c r="D5337" s="4">
        <v>0.0025759999999999997</v>
      </c>
      <c r="E5337" s="0" t="inlineStr">
        <is>
          <t xml:space="preserve">LEIDOS INC</t>
        </is>
      </c>
      <c r="F5337" s="0" t="inlineStr">
        <is>
          <t xml:space="preserve">naics:336612</t>
        </is>
      </c>
    </row>
    <row r="5338">
      <c r="B5338" s="0" t="inlineStr">
        <is>
          <t xml:space="preserve">N0010421PEH85</t>
        </is>
      </c>
      <c r="C5338" s="0" t="inlineStr">
        <is>
          <t xml:space="preserve">small_craft</t>
        </is>
      </c>
      <c r="D5338" s="4">
        <v>0.002574</v>
      </c>
      <c r="E5338" s="0" t="inlineStr">
        <is>
          <t xml:space="preserve">IN SPECK CORP</t>
        </is>
      </c>
      <c r="F5338" s="0" t="inlineStr">
        <is>
          <t xml:space="preserve">naics:336612</t>
        </is>
      </c>
    </row>
    <row r="5339">
      <c r="B5339" s="0" t="inlineStr">
        <is>
          <t xml:space="preserve">N0010419PDC01</t>
        </is>
      </c>
      <c r="C5339" s="0" t="inlineStr">
        <is>
          <t xml:space="preserve">small_craft</t>
        </is>
      </c>
      <c r="D5339" s="4">
        <v>0.0025559999999999997</v>
      </c>
      <c r="E5339" s="0" t="inlineStr">
        <is>
          <t xml:space="preserve">TIMKEN GEARS &amp; SERVICES INC.</t>
        </is>
      </c>
      <c r="F5339" s="0" t="inlineStr">
        <is>
          <t xml:space="preserve">naics:336612</t>
        </is>
      </c>
    </row>
    <row r="5340">
      <c r="B5340" s="0" t="inlineStr">
        <is>
          <t xml:space="preserve">N0010419PDB90</t>
        </is>
      </c>
      <c r="C5340" s="0" t="inlineStr">
        <is>
          <t xml:space="preserve">small_craft</t>
        </is>
      </c>
      <c r="D5340" s="4">
        <v>0.0025559999999999997</v>
      </c>
      <c r="E5340" s="0" t="inlineStr">
        <is>
          <t xml:space="preserve">TIMKEN GEARS &amp; SERVICES INC.</t>
        </is>
      </c>
      <c r="F5340" s="0" t="inlineStr">
        <is>
          <t xml:space="preserve">naics:336612</t>
        </is>
      </c>
    </row>
    <row r="5341">
      <c r="B5341" s="0" t="inlineStr">
        <is>
          <t xml:space="preserve">N0010418PDC64</t>
        </is>
      </c>
      <c r="C5341" s="0" t="inlineStr">
        <is>
          <t xml:space="preserve">small_craft</t>
        </is>
      </c>
      <c r="D5341" s="4">
        <v>0.0025559999999999997</v>
      </c>
      <c r="E5341" s="0" t="inlineStr">
        <is>
          <t xml:space="preserve">TIMKEN GEARS &amp; SERVICES INC.</t>
        </is>
      </c>
      <c r="F5341" s="0" t="inlineStr">
        <is>
          <t xml:space="preserve">naics:336612</t>
        </is>
      </c>
    </row>
    <row r="5342">
      <c r="B5342" s="0" t="inlineStr">
        <is>
          <t xml:space="preserve">N0010418PDB72</t>
        </is>
      </c>
      <c r="C5342" s="0" t="inlineStr">
        <is>
          <t xml:space="preserve">small_craft</t>
        </is>
      </c>
      <c r="D5342" s="4">
        <v>0.0025559999999999997</v>
      </c>
      <c r="E5342" s="0" t="inlineStr">
        <is>
          <t xml:space="preserve">TIMKEN GEARS &amp; SERVICES INC.</t>
        </is>
      </c>
      <c r="F5342" s="0" t="inlineStr">
        <is>
          <t xml:space="preserve">naics:336612</t>
        </is>
      </c>
    </row>
    <row r="5343">
      <c r="B5343" s="0" t="inlineStr">
        <is>
          <t xml:space="preserve">N0010421PND34</t>
        </is>
      </c>
      <c r="C5343" s="0" t="inlineStr">
        <is>
          <t xml:space="preserve">small_craft</t>
        </is>
      </c>
      <c r="D5343" s="4">
        <v>0.002555</v>
      </c>
      <c r="E5343" s="0" t="inlineStr">
        <is>
          <t xml:space="preserve">NORTHROP GRUMMAN SYSTEMS CORPORATION</t>
        </is>
      </c>
      <c r="F5343" s="0" t="inlineStr">
        <is>
          <t xml:space="preserve">naics:336612</t>
        </is>
      </c>
    </row>
    <row r="5344">
      <c r="B5344" s="0" t="inlineStr">
        <is>
          <t xml:space="preserve">N0010420PXB89</t>
        </is>
      </c>
      <c r="C5344" s="0" t="inlineStr">
        <is>
          <t xml:space="preserve">small_craft</t>
        </is>
      </c>
      <c r="D5344" s="4">
        <v>0.002525</v>
      </c>
      <c r="E5344" s="0" t="inlineStr">
        <is>
          <t xml:space="preserve">WING INFLATABLES INC</t>
        </is>
      </c>
      <c r="F5344" s="0" t="inlineStr">
        <is>
          <t xml:space="preserve">psc:1940</t>
        </is>
      </c>
    </row>
    <row r="5345">
      <c r="B5345" s="0" t="inlineStr">
        <is>
          <t xml:space="preserve">N0010421PCC01</t>
        </is>
      </c>
      <c r="C5345" s="0" t="inlineStr">
        <is>
          <t xml:space="preserve">small_craft</t>
        </is>
      </c>
      <c r="D5345" s="4">
        <v>0.002519</v>
      </c>
      <c r="E5345" s="0" t="inlineStr">
        <is>
          <t xml:space="preserve">AMETEK PROGRAMMABLE POWER, INC.</t>
        </is>
      </c>
      <c r="F5345" s="0" t="inlineStr">
        <is>
          <t xml:space="preserve">naics:336612</t>
        </is>
      </c>
    </row>
    <row r="5346">
      <c r="B5346" s="0" t="inlineStr">
        <is>
          <t xml:space="preserve">N0010417PBV09</t>
        </is>
      </c>
      <c r="C5346" s="0" t="inlineStr">
        <is>
          <t xml:space="preserve">small_craft</t>
        </is>
      </c>
      <c r="D5346" s="4">
        <v>0.00250665</v>
      </c>
      <c r="E5346" s="0" t="inlineStr">
        <is>
          <t xml:space="preserve">EUR-PAC CORPORATION</t>
        </is>
      </c>
      <c r="F5346" s="0" t="inlineStr">
        <is>
          <t xml:space="preserve">naics:336612</t>
        </is>
      </c>
    </row>
    <row r="5347">
      <c r="B5347" s="0" t="inlineStr">
        <is>
          <t xml:space="preserve">N0010425PLC02</t>
        </is>
      </c>
      <c r="C5347" s="0" t="inlineStr">
        <is>
          <t xml:space="preserve">small_craft</t>
        </is>
      </c>
      <c r="D5347" s="4">
        <v>0.0025</v>
      </c>
      <c r="E5347" s="0" t="inlineStr">
        <is>
          <t xml:space="preserve">FM AF, LLC</t>
        </is>
      </c>
      <c r="F5347" s="0" t="inlineStr">
        <is>
          <t xml:space="preserve">naics:336612</t>
        </is>
      </c>
    </row>
    <row r="5348">
      <c r="B5348" s="0" t="inlineStr">
        <is>
          <t xml:space="preserve">N6660418FC823</t>
        </is>
      </c>
      <c r="C5348" s="0" t="inlineStr">
        <is>
          <t xml:space="preserve">small_craft</t>
        </is>
      </c>
      <c r="D5348" s="4">
        <v>0.0025</v>
      </c>
      <c r="E5348" s="0" t="inlineStr">
        <is>
          <t xml:space="preserve">WOODS HOLE OCEANOGRAPHIC INSTITUTION</t>
        </is>
      </c>
      <c r="F5348" s="0" t="inlineStr">
        <is>
          <t xml:space="preserve">psc:1940</t>
        </is>
      </c>
    </row>
    <row r="5349">
      <c r="B5349" s="0" t="inlineStr">
        <is>
          <t xml:space="preserve">N6660418FC822</t>
        </is>
      </c>
      <c r="C5349" s="0" t="inlineStr">
        <is>
          <t xml:space="preserve">small_craft</t>
        </is>
      </c>
      <c r="D5349" s="4">
        <v>0.0025</v>
      </c>
      <c r="E5349" s="0" t="inlineStr">
        <is>
          <t xml:space="preserve">TELEDYNE BROWN ENGINEERING, INC.</t>
        </is>
      </c>
      <c r="F5349" s="0" t="inlineStr">
        <is>
          <t xml:space="preserve">psc:1940</t>
        </is>
      </c>
    </row>
    <row r="5350">
      <c r="B5350" s="0" t="inlineStr">
        <is>
          <t xml:space="preserve">N6660418FC821</t>
        </is>
      </c>
      <c r="C5350" s="0" t="inlineStr">
        <is>
          <t xml:space="preserve">small_craft</t>
        </is>
      </c>
      <c r="D5350" s="4">
        <v>0.0025</v>
      </c>
      <c r="E5350" s="0" t="inlineStr">
        <is>
          <t xml:space="preserve">SOUTHWEST RESEARCH INSTITUTE</t>
        </is>
      </c>
      <c r="F5350" s="0" t="inlineStr">
        <is>
          <t xml:space="preserve">psc:1940</t>
        </is>
      </c>
    </row>
    <row r="5351">
      <c r="B5351" s="0" t="inlineStr">
        <is>
          <t xml:space="preserve">N6660418FC820</t>
        </is>
      </c>
      <c r="C5351" s="0" t="inlineStr">
        <is>
          <t xml:space="preserve">small_craft</t>
        </is>
      </c>
      <c r="D5351" s="4">
        <v>0.0025</v>
      </c>
      <c r="E5351" s="0" t="inlineStr">
        <is>
          <t xml:space="preserve">SEACORP, LLC</t>
        </is>
      </c>
      <c r="F5351" s="0" t="inlineStr">
        <is>
          <t xml:space="preserve">psc:1940</t>
        </is>
      </c>
    </row>
    <row r="5352">
      <c r="B5352" s="0" t="inlineStr">
        <is>
          <t xml:space="preserve">N6660418FC819</t>
        </is>
      </c>
      <c r="C5352" s="0" t="inlineStr">
        <is>
          <t xml:space="preserve">small_craft</t>
        </is>
      </c>
      <c r="D5352" s="4">
        <v>0.0025</v>
      </c>
      <c r="E5352" s="0" t="inlineStr">
        <is>
          <t xml:space="preserve">SCIENCE APPLICATIONS INTERNATIONAL CORPORATION</t>
        </is>
      </c>
      <c r="F5352" s="0" t="inlineStr">
        <is>
          <t xml:space="preserve">psc:1940</t>
        </is>
      </c>
    </row>
    <row r="5353">
      <c r="B5353" s="0" t="inlineStr">
        <is>
          <t xml:space="preserve">N6660418FC818</t>
        </is>
      </c>
      <c r="C5353" s="0" t="inlineStr">
        <is>
          <t xml:space="preserve">small_craft</t>
        </is>
      </c>
      <c r="D5353" s="4">
        <v>0.0025</v>
      </c>
      <c r="E5353" s="0" t="inlineStr">
        <is>
          <t xml:space="preserve">RITE-SOLUTIONS, INC.</t>
        </is>
      </c>
      <c r="F5353" s="0" t="inlineStr">
        <is>
          <t xml:space="preserve">psc:1940</t>
        </is>
      </c>
    </row>
    <row r="5354">
      <c r="B5354" s="0" t="inlineStr">
        <is>
          <t xml:space="preserve">N6660418FC817</t>
        </is>
      </c>
      <c r="C5354" s="0" t="inlineStr">
        <is>
          <t xml:space="preserve">small_craft</t>
        </is>
      </c>
      <c r="D5354" s="4">
        <v>0.0025</v>
      </c>
      <c r="E5354" s="0" t="inlineStr">
        <is>
          <t xml:space="preserve">RAYTHEON COMPANY</t>
        </is>
      </c>
      <c r="F5354" s="0" t="inlineStr">
        <is>
          <t xml:space="preserve">psc:1940</t>
        </is>
      </c>
    </row>
    <row r="5355">
      <c r="B5355" s="0" t="inlineStr">
        <is>
          <t xml:space="preserve">N6660418FC816</t>
        </is>
      </c>
      <c r="C5355" s="0" t="inlineStr">
        <is>
          <t xml:space="preserve">small_craft</t>
        </is>
      </c>
      <c r="D5355" s="4">
        <v>0.0025</v>
      </c>
      <c r="E5355" s="0" t="inlineStr">
        <is>
          <t xml:space="preserve">OCEANEERING INTERNATIONAL INC</t>
        </is>
      </c>
      <c r="F5355" s="0" t="inlineStr">
        <is>
          <t xml:space="preserve">psc:1940</t>
        </is>
      </c>
    </row>
    <row r="5356">
      <c r="B5356" s="0" t="inlineStr">
        <is>
          <t xml:space="preserve">N6660418FC815</t>
        </is>
      </c>
      <c r="C5356" s="0" t="inlineStr">
        <is>
          <t xml:space="preserve">small_craft</t>
        </is>
      </c>
      <c r="D5356" s="4">
        <v>0.0025</v>
      </c>
      <c r="E5356" s="0" t="inlineStr">
        <is>
          <t xml:space="preserve">NORTHROP GRUMMAN SYSTEMS CORPORATION</t>
        </is>
      </c>
      <c r="F5356" s="0" t="inlineStr">
        <is>
          <t xml:space="preserve">psc:1940</t>
        </is>
      </c>
    </row>
    <row r="5357">
      <c r="B5357" s="0" t="inlineStr">
        <is>
          <t xml:space="preserve">N6660418FC814</t>
        </is>
      </c>
      <c r="C5357" s="0" t="inlineStr">
        <is>
          <t xml:space="preserve">small_craft</t>
        </is>
      </c>
      <c r="D5357" s="4">
        <v>0.0025</v>
      </c>
      <c r="E5357" s="0" t="inlineStr">
        <is>
          <t xml:space="preserve">MOOG INC</t>
        </is>
      </c>
      <c r="F5357" s="0" t="inlineStr">
        <is>
          <t xml:space="preserve">psc:1940</t>
        </is>
      </c>
    </row>
    <row r="5358">
      <c r="B5358" s="0" t="inlineStr">
        <is>
          <t xml:space="preserve">N6660418FC813</t>
        </is>
      </c>
      <c r="C5358" s="0" t="inlineStr">
        <is>
          <t xml:space="preserve">small_craft</t>
        </is>
      </c>
      <c r="D5358" s="4">
        <v>0.0025</v>
      </c>
      <c r="E5358" s="0" t="inlineStr">
        <is>
          <t xml:space="preserve">LOCKHEED MARTIN CORPORATION</t>
        </is>
      </c>
      <c r="F5358" s="0" t="inlineStr">
        <is>
          <t xml:space="preserve">psc:1940</t>
        </is>
      </c>
    </row>
    <row r="5359">
      <c r="B5359" s="0" t="inlineStr">
        <is>
          <t xml:space="preserve">N6660418FC812</t>
        </is>
      </c>
      <c r="C5359" s="0" t="inlineStr">
        <is>
          <t xml:space="preserve">small_craft</t>
        </is>
      </c>
      <c r="D5359" s="4">
        <v>0.0025</v>
      </c>
      <c r="E5359" s="0" t="inlineStr">
        <is>
          <t xml:space="preserve">L3 TECHNOLOGIES, INC.</t>
        </is>
      </c>
      <c r="F5359" s="0" t="inlineStr">
        <is>
          <t xml:space="preserve">psc:1940</t>
        </is>
      </c>
    </row>
    <row r="5360">
      <c r="B5360" s="0" t="inlineStr">
        <is>
          <t xml:space="preserve">N6660418FC811</t>
        </is>
      </c>
      <c r="C5360" s="0" t="inlineStr">
        <is>
          <t xml:space="preserve">small_craft</t>
        </is>
      </c>
      <c r="D5360" s="4">
        <v>0.0025</v>
      </c>
      <c r="E5360" s="0" t="inlineStr">
        <is>
          <t xml:space="preserve">HII UNMANNED SYSTEMS, INC</t>
        </is>
      </c>
      <c r="F5360" s="0" t="inlineStr">
        <is>
          <t xml:space="preserve">psc:1940</t>
        </is>
      </c>
    </row>
    <row r="5361">
      <c r="B5361" s="0" t="inlineStr">
        <is>
          <t xml:space="preserve">N6660418FC810</t>
        </is>
      </c>
      <c r="C5361" s="0" t="inlineStr">
        <is>
          <t xml:space="preserve">small_craft</t>
        </is>
      </c>
      <c r="D5361" s="4">
        <v>0.0025</v>
      </c>
      <c r="E5361" s="0" t="inlineStr">
        <is>
          <t xml:space="preserve">HII FLEET SUPPORT GROUP LLC</t>
        </is>
      </c>
      <c r="F5361" s="0" t="inlineStr">
        <is>
          <t xml:space="preserve">psc:1940</t>
        </is>
      </c>
    </row>
    <row r="5362">
      <c r="B5362" s="0" t="inlineStr">
        <is>
          <t xml:space="preserve">N6660418FC809</t>
        </is>
      </c>
      <c r="C5362" s="0" t="inlineStr">
        <is>
          <t xml:space="preserve">small_craft</t>
        </is>
      </c>
      <c r="D5362" s="4">
        <v>0.0025</v>
      </c>
      <c r="E5362" s="0" t="inlineStr">
        <is>
          <t xml:space="preserve">HAMILTON SUNDSTRAND CORPORATION</t>
        </is>
      </c>
      <c r="F5362" s="0" t="inlineStr">
        <is>
          <t xml:space="preserve">psc:1940</t>
        </is>
      </c>
    </row>
    <row r="5363">
      <c r="B5363" s="0" t="inlineStr">
        <is>
          <t xml:space="preserve">N6660418FC808</t>
        </is>
      </c>
      <c r="C5363" s="0" t="inlineStr">
        <is>
          <t xml:space="preserve">small_craft</t>
        </is>
      </c>
      <c r="D5363" s="4">
        <v>0.0025</v>
      </c>
      <c r="E5363" s="0" t="inlineStr">
        <is>
          <t xml:space="preserve">GENERAL DYNAMICS ONE SOURCE LLC</t>
        </is>
      </c>
      <c r="F5363" s="0" t="inlineStr">
        <is>
          <t xml:space="preserve">psc:1940</t>
        </is>
      </c>
    </row>
    <row r="5364">
      <c r="B5364" s="0" t="inlineStr">
        <is>
          <t xml:space="preserve">N6660418FC807</t>
        </is>
      </c>
      <c r="C5364" s="0" t="inlineStr">
        <is>
          <t xml:space="preserve">small_craft</t>
        </is>
      </c>
      <c r="D5364" s="4">
        <v>0.0025</v>
      </c>
      <c r="E5364" s="0" t="inlineStr">
        <is>
          <t xml:space="preserve">GENERAL ATOMICS</t>
        </is>
      </c>
      <c r="F5364" s="0" t="inlineStr">
        <is>
          <t xml:space="preserve">psc:1940</t>
        </is>
      </c>
    </row>
    <row r="5365">
      <c r="B5365" s="0" t="inlineStr">
        <is>
          <t xml:space="preserve">N6660418FC806</t>
        </is>
      </c>
      <c r="C5365" s="0" t="inlineStr">
        <is>
          <t xml:space="preserve">small_craft</t>
        </is>
      </c>
      <c r="D5365" s="4">
        <v>0.0025</v>
      </c>
      <c r="E5365" s="0" t="inlineStr">
        <is>
          <t xml:space="preserve">DRS NAVAL POWER SYSTEMS, INC.</t>
        </is>
      </c>
      <c r="F5365" s="0" t="inlineStr">
        <is>
          <t xml:space="preserve">psc:1940</t>
        </is>
      </c>
    </row>
    <row r="5366">
      <c r="B5366" s="0" t="inlineStr">
        <is>
          <t xml:space="preserve">N6660418FC805</t>
        </is>
      </c>
      <c r="C5366" s="0" t="inlineStr">
        <is>
          <t xml:space="preserve">small_craft</t>
        </is>
      </c>
      <c r="D5366" s="4">
        <v>0.0025</v>
      </c>
      <c r="E5366" s="0" t="inlineStr">
        <is>
          <t xml:space="preserve">THE CHARLES STARK DRAPER LABORATORY, INC.</t>
        </is>
      </c>
      <c r="F5366" s="0" t="inlineStr">
        <is>
          <t xml:space="preserve">psc:1940</t>
        </is>
      </c>
    </row>
    <row r="5367">
      <c r="B5367" s="0" t="inlineStr">
        <is>
          <t xml:space="preserve">N6660418FC804</t>
        </is>
      </c>
      <c r="C5367" s="0" t="inlineStr">
        <is>
          <t xml:space="preserve">small_craft</t>
        </is>
      </c>
      <c r="D5367" s="4">
        <v>0.0025</v>
      </c>
      <c r="E5367" s="0" t="inlineStr">
        <is>
          <t xml:space="preserve">BAE SYSTEMS INFORMATION AND ELECTRONIC SYSTEMS INTEGRATION INC.</t>
        </is>
      </c>
      <c r="F5367" s="0" t="inlineStr">
        <is>
          <t xml:space="preserve">psc:1940</t>
        </is>
      </c>
    </row>
    <row r="5368">
      <c r="B5368" s="0" t="inlineStr">
        <is>
          <t xml:space="preserve">N6660418FC803</t>
        </is>
      </c>
      <c r="C5368" s="0" t="inlineStr">
        <is>
          <t xml:space="preserve">small_craft</t>
        </is>
      </c>
      <c r="D5368" s="4">
        <v>0.0025</v>
      </c>
      <c r="E5368" s="0" t="inlineStr">
        <is>
          <t xml:space="preserve">AMERICAN SYSTEMS CORPORATION</t>
        </is>
      </c>
      <c r="F5368" s="0" t="inlineStr">
        <is>
          <t xml:space="preserve">psc:1940</t>
        </is>
      </c>
    </row>
    <row r="5369">
      <c r="B5369" s="0" t="inlineStr">
        <is>
          <t xml:space="preserve">N6660418FC801</t>
        </is>
      </c>
      <c r="C5369" s="0" t="inlineStr">
        <is>
          <t xml:space="preserve">small_craft</t>
        </is>
      </c>
      <c r="D5369" s="4">
        <v>0.0025</v>
      </c>
      <c r="E5369" s="0" t="inlineStr">
        <is>
          <t xml:space="preserve">AEROJET ROCKETDYNE OF DE, INC</t>
        </is>
      </c>
      <c r="F5369" s="0" t="inlineStr">
        <is>
          <t xml:space="preserve">psc:1940</t>
        </is>
      </c>
    </row>
    <row r="5370">
      <c r="B5370" s="0" t="inlineStr">
        <is>
          <t xml:space="preserve">N0040616P1643</t>
        </is>
      </c>
      <c r="C5370" s="0" t="inlineStr">
        <is>
          <t xml:space="preserve">small_craft</t>
        </is>
      </c>
      <c r="D5370" s="4">
        <v>0.0024939999999999997</v>
      </c>
      <c r="E5370" s="0" t="inlineStr">
        <is>
          <t xml:space="preserve">ADVANCED STRUCTURES CORPORATION</t>
        </is>
      </c>
      <c r="F5370" s="0" t="inlineStr">
        <is>
          <t xml:space="preserve">naics:336612</t>
        </is>
      </c>
    </row>
    <row r="5371">
      <c r="B5371" s="0" t="inlineStr">
        <is>
          <t xml:space="preserve">N0010418PFH07</t>
        </is>
      </c>
      <c r="C5371" s="0" t="inlineStr">
        <is>
          <t xml:space="preserve">small_craft</t>
        </is>
      </c>
      <c r="D5371" s="4">
        <v>0.00247</v>
      </c>
      <c r="E5371" s="0" t="inlineStr">
        <is>
          <t xml:space="preserve">GUILL TOOL &amp; ENGINEERING CO INC</t>
        </is>
      </c>
      <c r="F5371" s="0" t="inlineStr">
        <is>
          <t xml:space="preserve">naics:336612</t>
        </is>
      </c>
    </row>
    <row r="5372">
      <c r="B5372" s="0" t="inlineStr">
        <is>
          <t xml:space="preserve">N3904017P0043</t>
        </is>
      </c>
      <c r="C5372" s="0" t="inlineStr">
        <is>
          <t xml:space="preserve">other_small</t>
        </is>
      </c>
      <c r="D5372" s="4">
        <v>0.00245502</v>
      </c>
      <c r="E5372" s="0" t="inlineStr">
        <is>
          <t xml:space="preserve">ANDGJENN LLC</t>
        </is>
      </c>
      <c r="F5372" s="0" t="inlineStr">
        <is>
          <t xml:space="preserve">psc:1990</t>
        </is>
      </c>
    </row>
    <row r="5373">
      <c r="B5373" s="0" t="inlineStr">
        <is>
          <t xml:space="preserve">N0040617P2067</t>
        </is>
      </c>
      <c r="C5373" s="0" t="inlineStr">
        <is>
          <t xml:space="preserve">small_craft</t>
        </is>
      </c>
      <c r="D5373" s="4">
        <v>0.0024546</v>
      </c>
      <c r="E5373" s="0" t="inlineStr">
        <is>
          <t xml:space="preserve">DURAMAX MARINE, LLC</t>
        </is>
      </c>
      <c r="F5373" s="0" t="inlineStr">
        <is>
          <t xml:space="preserve">naics:336612</t>
        </is>
      </c>
    </row>
    <row r="5374">
      <c r="B5374" s="0" t="inlineStr">
        <is>
          <t xml:space="preserve">N0010421PAC99</t>
        </is>
      </c>
      <c r="C5374" s="0" t="inlineStr">
        <is>
          <t xml:space="preserve">small_craft</t>
        </is>
      </c>
      <c r="D5374" s="4">
        <v>0.00244</v>
      </c>
      <c r="E5374" s="0" t="inlineStr">
        <is>
          <t xml:space="preserve">FITZHUGH CLIFTON</t>
        </is>
      </c>
      <c r="F5374" s="0" t="inlineStr">
        <is>
          <t xml:space="preserve">naics:336612</t>
        </is>
      </c>
    </row>
    <row r="5375">
      <c r="B5375" s="0" t="inlineStr">
        <is>
          <t xml:space="preserve">N0010423PLB22</t>
        </is>
      </c>
      <c r="C5375" s="0" t="inlineStr">
        <is>
          <t xml:space="preserve">small_craft</t>
        </is>
      </c>
      <c r="D5375" s="4">
        <v>0.0024375</v>
      </c>
      <c r="E5375" s="0" t="inlineStr">
        <is>
          <t xml:space="preserve">ITL LLC</t>
        </is>
      </c>
      <c r="F5375" s="0" t="inlineStr">
        <is>
          <t xml:space="preserve">naics:336612</t>
        </is>
      </c>
    </row>
    <row r="5376">
      <c r="B5376" s="0" t="inlineStr">
        <is>
          <t xml:space="preserve">N0010421PND27</t>
        </is>
      </c>
      <c r="C5376" s="0" t="inlineStr">
        <is>
          <t xml:space="preserve">small_craft</t>
        </is>
      </c>
      <c r="D5376" s="4">
        <v>0.0024094999999999997</v>
      </c>
      <c r="E5376" s="0" t="inlineStr">
        <is>
          <t xml:space="preserve">DYNALEC CORPORATION</t>
        </is>
      </c>
      <c r="F5376" s="0" t="inlineStr">
        <is>
          <t xml:space="preserve">naics:336612</t>
        </is>
      </c>
    </row>
    <row r="5377">
      <c r="B5377" s="0" t="inlineStr">
        <is>
          <t xml:space="preserve">N0010418PBL81</t>
        </is>
      </c>
      <c r="C5377" s="0" t="inlineStr">
        <is>
          <t xml:space="preserve">small_craft</t>
        </is>
      </c>
      <c r="D5377" s="4">
        <v>0.0023699999999999997</v>
      </c>
      <c r="E5377" s="0" t="inlineStr">
        <is>
          <t xml:space="preserve">DERBYSHIRE MACHINE &amp; TOOL CO</t>
        </is>
      </c>
      <c r="F5377" s="0" t="inlineStr">
        <is>
          <t xml:space="preserve">naics:336612</t>
        </is>
      </c>
    </row>
    <row r="5378">
      <c r="B5378" s="0" t="inlineStr">
        <is>
          <t xml:space="preserve">N0010420PEP41</t>
        </is>
      </c>
      <c r="C5378" s="0" t="inlineStr">
        <is>
          <t xml:space="preserve">small_craft</t>
        </is>
      </c>
      <c r="D5378" s="4">
        <v>0.00234</v>
      </c>
      <c r="E5378" s="0" t="inlineStr">
        <is>
          <t xml:space="preserve">GREATER MARYLAND TOOL &amp; MFG. CORP.</t>
        </is>
      </c>
      <c r="F5378" s="0" t="inlineStr">
        <is>
          <t xml:space="preserve">naics:336612</t>
        </is>
      </c>
    </row>
    <row r="5379">
      <c r="B5379" s="0" t="inlineStr">
        <is>
          <t xml:space="preserve">N3225318F0014</t>
        </is>
      </c>
      <c r="C5379" s="0" t="inlineStr">
        <is>
          <t xml:space="preserve">broad_maritime</t>
        </is>
      </c>
      <c r="D5379" s="4">
        <v>0.002337</v>
      </c>
      <c r="E5379" s="0" t="inlineStr">
        <is>
          <t xml:space="preserve">ELECTRIC BOAT CORPORATION</t>
        </is>
      </c>
      <c r="F5379" s="0" t="inlineStr">
        <is>
          <t xml:space="preserve">psc:1905</t>
        </is>
      </c>
    </row>
    <row r="5380">
      <c r="B5380" s="0" t="inlineStr">
        <is>
          <t xml:space="preserve">N6133116P4594</t>
        </is>
      </c>
      <c r="C5380" s="0" t="inlineStr">
        <is>
          <t xml:space="preserve">small_craft</t>
        </is>
      </c>
      <c r="D5380" s="4">
        <v>0.002326</v>
      </c>
      <c r="E5380" s="0" t="inlineStr">
        <is>
          <t xml:space="preserve">BROOKS &amp; PERKINS, INC.</t>
        </is>
      </c>
      <c r="F5380" s="0" t="inlineStr">
        <is>
          <t xml:space="preserve">psc:1940</t>
        </is>
      </c>
    </row>
    <row r="5381">
      <c r="B5381" s="0" t="inlineStr">
        <is>
          <t xml:space="preserve">N0040615P1890</t>
        </is>
      </c>
      <c r="C5381" s="0" t="inlineStr">
        <is>
          <t xml:space="preserve">small_craft</t>
        </is>
      </c>
      <c r="D5381" s="4">
        <v>0.002315</v>
      </c>
      <c r="E5381" s="0" t="inlineStr">
        <is>
          <t xml:space="preserve">J.D.A. MARITIME, INC.</t>
        </is>
      </c>
      <c r="F5381" s="0" t="inlineStr">
        <is>
          <t xml:space="preserve">naics:336612</t>
        </is>
      </c>
    </row>
    <row r="5382">
      <c r="B5382" s="0" t="inlineStr">
        <is>
          <t xml:space="preserve">0060</t>
        </is>
      </c>
      <c r="C5382" s="0" t="inlineStr">
        <is>
          <t xml:space="preserve">broad_maritime</t>
        </is>
      </c>
      <c r="D5382" s="4">
        <v>0.00231</v>
      </c>
      <c r="E5382" s="0" t="inlineStr">
        <is>
          <t xml:space="preserve">ELECTRIC BOAT CORPORATION</t>
        </is>
      </c>
      <c r="F5382" s="0" t="inlineStr">
        <is>
          <t xml:space="preserve">psc:1905</t>
        </is>
      </c>
    </row>
    <row r="5383">
      <c r="B5383" s="0" t="inlineStr">
        <is>
          <t xml:space="preserve">HC108424FA263</t>
        </is>
      </c>
      <c r="C5383" s="0" t="inlineStr">
        <is>
          <t xml:space="preserve">usv_core</t>
        </is>
      </c>
      <c r="D5383" s="4">
        <v>0.00230973</v>
      </c>
      <c r="E5383" s="0" t="inlineStr">
        <is>
          <t xml:space="preserve">ATT MOBILITY LLC</t>
        </is>
      </c>
      <c r="F5383" s="0" t="inlineStr">
        <is>
          <t xml:space="preserve">keyword</t>
        </is>
      </c>
    </row>
    <row r="5384">
      <c r="B5384" s="0" t="inlineStr">
        <is>
          <t xml:space="preserve">0047</t>
        </is>
      </c>
      <c r="C5384" s="0" t="inlineStr">
        <is>
          <t xml:space="preserve">other_small</t>
        </is>
      </c>
      <c r="D5384" s="4">
        <v>0.002304</v>
      </c>
      <c r="E5384" s="0" t="inlineStr">
        <is>
          <t xml:space="preserve">ROLLS-ROYCE SOLUTIONS AMERICA INC</t>
        </is>
      </c>
      <c r="F5384" s="0" t="inlineStr">
        <is>
          <t xml:space="preserve">psc:1990</t>
        </is>
      </c>
    </row>
    <row r="5385">
      <c r="B5385" s="0" t="inlineStr">
        <is>
          <t xml:space="preserve">N0010421PND58</t>
        </is>
      </c>
      <c r="C5385" s="0" t="inlineStr">
        <is>
          <t xml:space="preserve">small_craft</t>
        </is>
      </c>
      <c r="D5385" s="4">
        <v>0.00226</v>
      </c>
      <c r="E5385" s="0" t="inlineStr">
        <is>
          <t xml:space="preserve">U.S.A. SPARES INC.</t>
        </is>
      </c>
      <c r="F5385" s="0" t="inlineStr">
        <is>
          <t xml:space="preserve">naics:336612</t>
        </is>
      </c>
    </row>
    <row r="5386">
      <c r="B5386" s="0" t="inlineStr">
        <is>
          <t xml:space="preserve">N0010426PBC29</t>
        </is>
      </c>
      <c r="C5386" s="0" t="inlineStr">
        <is>
          <t xml:space="preserve">small_craft</t>
        </is>
      </c>
      <c r="D5386" s="4">
        <v>0.00224785</v>
      </c>
      <c r="E5386" s="0" t="inlineStr">
        <is>
          <t xml:space="preserve">DIBERT VALVE AND FITTING COMPANY, INCORPORATED</t>
        </is>
      </c>
      <c r="F5386" s="0" t="inlineStr">
        <is>
          <t xml:space="preserve">naics:336612</t>
        </is>
      </c>
    </row>
    <row r="5387">
      <c r="B5387" s="0" t="inlineStr">
        <is>
          <t xml:space="preserve">0048</t>
        </is>
      </c>
      <c r="C5387" s="0" t="inlineStr">
        <is>
          <t xml:space="preserve">other_small</t>
        </is>
      </c>
      <c r="D5387" s="4">
        <v>0.00223558</v>
      </c>
      <c r="E5387" s="0" t="inlineStr">
        <is>
          <t xml:space="preserve">ROLLS-ROYCE SOLUTIONS AMERICA INC</t>
        </is>
      </c>
      <c r="F5387" s="0" t="inlineStr">
        <is>
          <t xml:space="preserve">psc:1990</t>
        </is>
      </c>
    </row>
    <row r="5388">
      <c r="B5388" s="0" t="inlineStr">
        <is>
          <t xml:space="preserve">N0010423PEF90</t>
        </is>
      </c>
      <c r="C5388" s="0" t="inlineStr">
        <is>
          <t xml:space="preserve">small_craft</t>
        </is>
      </c>
      <c r="D5388" s="4">
        <v>0.0022229999999999997</v>
      </c>
      <c r="E5388" s="0" t="inlineStr">
        <is>
          <t xml:space="preserve">FLOWSERVE CORP</t>
        </is>
      </c>
      <c r="F5388" s="0" t="inlineStr">
        <is>
          <t xml:space="preserve">naics:336612</t>
        </is>
      </c>
    </row>
    <row r="5389">
      <c r="B5389" s="0" t="inlineStr">
        <is>
          <t xml:space="preserve">N0010417PEM52</t>
        </is>
      </c>
      <c r="C5389" s="0" t="inlineStr">
        <is>
          <t xml:space="preserve">small_craft</t>
        </is>
      </c>
      <c r="D5389" s="4">
        <v>0.00215226</v>
      </c>
      <c r="E5389" s="0" t="inlineStr">
        <is>
          <t xml:space="preserve">SEALING SPECIALISTS &amp; SERVICE CO</t>
        </is>
      </c>
      <c r="F5389" s="0" t="inlineStr">
        <is>
          <t xml:space="preserve">naics:336612</t>
        </is>
      </c>
    </row>
    <row r="5390">
      <c r="B5390" s="0" t="inlineStr">
        <is>
          <t xml:space="preserve">N0010421PCA68</t>
        </is>
      </c>
      <c r="C5390" s="0" t="inlineStr">
        <is>
          <t xml:space="preserve">small_craft</t>
        </is>
      </c>
      <c r="D5390" s="4">
        <v>0.00214235</v>
      </c>
      <c r="E5390" s="0" t="inlineStr">
        <is>
          <t xml:space="preserve">17 MACHINERY LLC</t>
        </is>
      </c>
      <c r="F5390" s="0" t="inlineStr">
        <is>
          <t xml:space="preserve">naics:336612</t>
        </is>
      </c>
    </row>
    <row r="5391">
      <c r="B5391" s="0" t="inlineStr">
        <is>
          <t xml:space="preserve">0085</t>
        </is>
      </c>
      <c r="C5391" s="0" t="inlineStr">
        <is>
          <t xml:space="preserve">other_small</t>
        </is>
      </c>
      <c r="D5391" s="4">
        <v>0.0021165399999999997</v>
      </c>
      <c r="E5391" s="0" t="inlineStr">
        <is>
          <t xml:space="preserve">AUSTAL USA, LLC</t>
        </is>
      </c>
      <c r="F5391" s="0" t="inlineStr">
        <is>
          <t xml:space="preserve">psc:1990</t>
        </is>
      </c>
    </row>
    <row r="5392">
      <c r="B5392" s="0" t="inlineStr">
        <is>
          <t xml:space="preserve">N0010415PCC84</t>
        </is>
      </c>
      <c r="C5392" s="0" t="inlineStr">
        <is>
          <t xml:space="preserve">small_craft</t>
        </is>
      </c>
      <c r="D5392" s="4">
        <v>0.0021</v>
      </c>
      <c r="E5392" s="0" t="inlineStr">
        <is>
          <t xml:space="preserve">DEFENSE MARITIME SOLUTIONS, INC.</t>
        </is>
      </c>
      <c r="F5392" s="0" t="inlineStr">
        <is>
          <t xml:space="preserve">naics:336612</t>
        </is>
      </c>
    </row>
    <row r="5393">
      <c r="B5393" s="0" t="inlineStr">
        <is>
          <t xml:space="preserve">N0010426PBC22</t>
        </is>
      </c>
      <c r="C5393" s="0" t="inlineStr">
        <is>
          <t xml:space="preserve">small_craft</t>
        </is>
      </c>
      <c r="D5393" s="4">
        <v>0.002097</v>
      </c>
      <c r="E5393" s="0" t="inlineStr">
        <is>
          <t xml:space="preserve">JA MOODY LLC</t>
        </is>
      </c>
      <c r="F5393" s="0" t="inlineStr">
        <is>
          <t xml:space="preserve">naics:336612</t>
        </is>
      </c>
    </row>
    <row r="5394">
      <c r="B5394" s="0" t="inlineStr">
        <is>
          <t xml:space="preserve">N6931621F1000</t>
        </is>
      </c>
      <c r="C5394" s="0" t="inlineStr">
        <is>
          <t xml:space="preserve">small_craft</t>
        </is>
      </c>
      <c r="D5394" s="4">
        <v>0.0020499999999999997</v>
      </c>
      <c r="E5394" s="0" t="inlineStr">
        <is>
          <t xml:space="preserve">GRAVOIS ALUMINUM BOATS LLC</t>
        </is>
      </c>
      <c r="F5394" s="0" t="inlineStr">
        <is>
          <t xml:space="preserve">naics:336612; psc:1940</t>
        </is>
      </c>
    </row>
    <row r="5395">
      <c r="B5395" s="0" t="inlineStr">
        <is>
          <t xml:space="preserve">N0010424PUC94</t>
        </is>
      </c>
      <c r="C5395" s="0" t="inlineStr">
        <is>
          <t xml:space="preserve">small_craft</t>
        </is>
      </c>
      <c r="D5395" s="4">
        <v>0.002</v>
      </c>
      <c r="E5395" s="0" t="inlineStr">
        <is>
          <t xml:space="preserve">UNIVERSAL SWITCHING CORPORATION</t>
        </is>
      </c>
      <c r="F5395" s="0" t="inlineStr">
        <is>
          <t xml:space="preserve">naics:336612</t>
        </is>
      </c>
    </row>
    <row r="5396">
      <c r="B5396" s="0" t="inlineStr">
        <is>
          <t xml:space="preserve">N0010422PLD21</t>
        </is>
      </c>
      <c r="C5396" s="0" t="inlineStr">
        <is>
          <t xml:space="preserve">small_craft</t>
        </is>
      </c>
      <c r="D5396" s="4">
        <v>0.002</v>
      </c>
      <c r="E5396" s="0" t="inlineStr">
        <is>
          <t xml:space="preserve">GLOBAL INCORPORATED</t>
        </is>
      </c>
      <c r="F5396" s="0" t="inlineStr">
        <is>
          <t xml:space="preserve">naics:336612</t>
        </is>
      </c>
    </row>
    <row r="5397">
      <c r="B5397" s="0" t="inlineStr">
        <is>
          <t xml:space="preserve">L855</t>
        </is>
      </c>
      <c r="C5397" s="0" t="inlineStr">
        <is>
          <t xml:space="preserve">broad_maritime</t>
        </is>
      </c>
      <c r="D5397" s="4">
        <v>0.0019909999999999997</v>
      </c>
      <c r="E5397" s="0" t="inlineStr">
        <is>
          <t xml:space="preserve">ELECTRIC BOAT CORPORATION</t>
        </is>
      </c>
      <c r="F5397" s="0" t="inlineStr">
        <is>
          <t xml:space="preserve">psc:1905</t>
        </is>
      </c>
    </row>
    <row r="5398">
      <c r="B5398" s="0" t="inlineStr">
        <is>
          <t xml:space="preserve">N0010423PBH52</t>
        </is>
      </c>
      <c r="C5398" s="0" t="inlineStr">
        <is>
          <t xml:space="preserve">small_craft</t>
        </is>
      </c>
      <c r="D5398" s="4">
        <v>0.00198</v>
      </c>
      <c r="E5398" s="0" t="inlineStr">
        <is>
          <t xml:space="preserve">GAFFEL EQUIPMENT</t>
        </is>
      </c>
      <c r="F5398" s="0" t="inlineStr">
        <is>
          <t xml:space="preserve">naics:336612</t>
        </is>
      </c>
    </row>
    <row r="5399">
      <c r="B5399" s="0" t="inlineStr">
        <is>
          <t xml:space="preserve">N0010421PCA80</t>
        </is>
      </c>
      <c r="C5399" s="0" t="inlineStr">
        <is>
          <t xml:space="preserve">small_craft</t>
        </is>
      </c>
      <c r="D5399" s="4">
        <v>0.0019199999999999998</v>
      </c>
      <c r="E5399" s="0" t="inlineStr">
        <is>
          <t xml:space="preserve">HONEYWELL INTERNATIONAL INC.</t>
        </is>
      </c>
      <c r="F5399" s="0" t="inlineStr">
        <is>
          <t xml:space="preserve">naics:336612</t>
        </is>
      </c>
    </row>
    <row r="5400">
      <c r="B5400" s="0" t="inlineStr">
        <is>
          <t xml:space="preserve">N0040615P1973</t>
        </is>
      </c>
      <c r="C5400" s="0" t="inlineStr">
        <is>
          <t xml:space="preserve">small_craft</t>
        </is>
      </c>
      <c r="D5400" s="4">
        <v>0.00191563</v>
      </c>
      <c r="E5400" s="0" t="inlineStr">
        <is>
          <t xml:space="preserve">US JOINER LLC</t>
        </is>
      </c>
      <c r="F5400" s="0" t="inlineStr">
        <is>
          <t xml:space="preserve">naics:336612</t>
        </is>
      </c>
    </row>
    <row r="5401">
      <c r="B5401" s="0" t="inlineStr">
        <is>
          <t xml:space="preserve">N0010417PEC48</t>
        </is>
      </c>
      <c r="C5401" s="0" t="inlineStr">
        <is>
          <t xml:space="preserve">small_craft</t>
        </is>
      </c>
      <c r="D5401" s="4">
        <v>0.001911</v>
      </c>
      <c r="E5401" s="0" t="inlineStr">
        <is>
          <t xml:space="preserve">DIBERT VALVE AND FITTING COMPANY, INCORPORATED</t>
        </is>
      </c>
      <c r="F5401" s="0" t="inlineStr">
        <is>
          <t xml:space="preserve">naics:336612</t>
        </is>
      </c>
    </row>
    <row r="5402">
      <c r="B5402" s="0" t="inlineStr">
        <is>
          <t xml:space="preserve">N0010421PAD65</t>
        </is>
      </c>
      <c r="C5402" s="0" t="inlineStr">
        <is>
          <t xml:space="preserve">small_craft</t>
        </is>
      </c>
      <c r="D5402" s="4">
        <v>0.0018558</v>
      </c>
      <c r="E5402" s="0" t="inlineStr">
        <is>
          <t xml:space="preserve">FITZHUGH CLIFTON</t>
        </is>
      </c>
      <c r="F5402" s="0" t="inlineStr">
        <is>
          <t xml:space="preserve">naics:336612</t>
        </is>
      </c>
    </row>
    <row r="5403">
      <c r="B5403" s="0" t="inlineStr">
        <is>
          <t xml:space="preserve">N0010425PBT75</t>
        </is>
      </c>
      <c r="C5403" s="0" t="inlineStr">
        <is>
          <t xml:space="preserve">small_craft</t>
        </is>
      </c>
      <c r="D5403" s="4">
        <v>0.0018545599999999999</v>
      </c>
      <c r="E5403" s="0" t="inlineStr">
        <is>
          <t xml:space="preserve">ADIRONDACK ELECTRONICS INC</t>
        </is>
      </c>
      <c r="F5403" s="0" t="inlineStr">
        <is>
          <t xml:space="preserve">naics:336612</t>
        </is>
      </c>
    </row>
    <row r="5404">
      <c r="B5404" s="0" t="inlineStr">
        <is>
          <t xml:space="preserve">N0010426PBN85</t>
        </is>
      </c>
      <c r="C5404" s="0" t="inlineStr">
        <is>
          <t xml:space="preserve">small_craft</t>
        </is>
      </c>
      <c r="D5404" s="4">
        <v>0.0018467999999999998</v>
      </c>
      <c r="E5404" s="0" t="inlineStr">
        <is>
          <t xml:space="preserve">III WILLIAMS LLC</t>
        </is>
      </c>
      <c r="F5404" s="0" t="inlineStr">
        <is>
          <t xml:space="preserve">naics:336612</t>
        </is>
      </c>
    </row>
    <row r="5405">
      <c r="B5405" s="0" t="inlineStr">
        <is>
          <t xml:space="preserve">N0010421PES21</t>
        </is>
      </c>
      <c r="C5405" s="0" t="inlineStr">
        <is>
          <t xml:space="preserve">small_craft</t>
        </is>
      </c>
      <c r="D5405" s="4">
        <v>0.0018295199999999998</v>
      </c>
      <c r="E5405" s="0" t="inlineStr">
        <is>
          <t xml:space="preserve">ADIRONDACK ELECTRONICS INC</t>
        </is>
      </c>
      <c r="F5405" s="0" t="inlineStr">
        <is>
          <t xml:space="preserve">naics:336612</t>
        </is>
      </c>
    </row>
    <row r="5406">
      <c r="B5406" s="0" t="inlineStr">
        <is>
          <t xml:space="preserve">N0040616P0875</t>
        </is>
      </c>
      <c r="C5406" s="0" t="inlineStr">
        <is>
          <t xml:space="preserve">small_craft</t>
        </is>
      </c>
      <c r="D5406" s="4">
        <v>0.00181542</v>
      </c>
      <c r="E5406" s="0" t="inlineStr">
        <is>
          <t xml:space="preserve">DEVAL CORPORATION</t>
        </is>
      </c>
      <c r="F5406" s="0" t="inlineStr">
        <is>
          <t xml:space="preserve">naics:336612</t>
        </is>
      </c>
    </row>
    <row r="5407">
      <c r="B5407" s="0" t="inlineStr">
        <is>
          <t xml:space="preserve">N0010423PEF45</t>
        </is>
      </c>
      <c r="C5407" s="0" t="inlineStr">
        <is>
          <t xml:space="preserve">small_craft</t>
        </is>
      </c>
      <c r="D5407" s="4">
        <v>0.0018011</v>
      </c>
      <c r="E5407" s="0" t="inlineStr">
        <is>
          <t xml:space="preserve">IN SPECK CORP</t>
        </is>
      </c>
      <c r="F5407" s="0" t="inlineStr">
        <is>
          <t xml:space="preserve">naics:336612</t>
        </is>
      </c>
    </row>
    <row r="5408">
      <c r="B5408" s="0" t="inlineStr">
        <is>
          <t xml:space="preserve">N0010417PCD60</t>
        </is>
      </c>
      <c r="C5408" s="0" t="inlineStr">
        <is>
          <t xml:space="preserve">small_craft</t>
        </is>
      </c>
      <c r="D5408" s="4">
        <v>0.0018</v>
      </c>
      <c r="E5408" s="0" t="inlineStr">
        <is>
          <t xml:space="preserve">DEFENSE MARITIME SOLUTIONS, INC.</t>
        </is>
      </c>
      <c r="F5408" s="0" t="inlineStr">
        <is>
          <t xml:space="preserve">naics:336612</t>
        </is>
      </c>
    </row>
    <row r="5409">
      <c r="B5409" s="0" t="inlineStr">
        <is>
          <t xml:space="preserve">HC108424FA264</t>
        </is>
      </c>
      <c r="C5409" s="0" t="inlineStr">
        <is>
          <t xml:space="preserve">usv_core</t>
        </is>
      </c>
      <c r="D5409" s="4">
        <v>0.0017879999999999999</v>
      </c>
      <c r="E5409" s="0" t="inlineStr">
        <is>
          <t xml:space="preserve">FCN, INC.</t>
        </is>
      </c>
      <c r="F5409" s="0" t="inlineStr">
        <is>
          <t xml:space="preserve">keyword</t>
        </is>
      </c>
    </row>
    <row r="5410">
      <c r="B5410" s="0" t="inlineStr">
        <is>
          <t xml:space="preserve">N0010421PBA78</t>
        </is>
      </c>
      <c r="C5410" s="0" t="inlineStr">
        <is>
          <t xml:space="preserve">broad_maritime</t>
        </is>
      </c>
      <c r="D5410" s="4">
        <v>0.0017809999999999998</v>
      </c>
      <c r="E5410" s="0" t="inlineStr">
        <is>
          <t xml:space="preserve">GAFFEL EQUIPMENT</t>
        </is>
      </c>
      <c r="F5410" s="0" t="inlineStr">
        <is>
          <t xml:space="preserve">psc:1905</t>
        </is>
      </c>
    </row>
    <row r="5411">
      <c r="B5411" s="0" t="inlineStr">
        <is>
          <t xml:space="preserve">N0010422PEE30</t>
        </is>
      </c>
      <c r="C5411" s="0" t="inlineStr">
        <is>
          <t xml:space="preserve">small_craft</t>
        </is>
      </c>
      <c r="D5411" s="4">
        <v>0.0017549999999999998</v>
      </c>
      <c r="E5411" s="0" t="inlineStr">
        <is>
          <t xml:space="preserve">GREATER MARYLAND TOOL &amp; MFG. CORP.</t>
        </is>
      </c>
      <c r="F5411" s="0" t="inlineStr">
        <is>
          <t xml:space="preserve">naics:336612</t>
        </is>
      </c>
    </row>
    <row r="5412">
      <c r="B5412" s="0" t="inlineStr">
        <is>
          <t xml:space="preserve">N0040617P2591</t>
        </is>
      </c>
      <c r="C5412" s="0" t="inlineStr">
        <is>
          <t xml:space="preserve">small_craft</t>
        </is>
      </c>
      <c r="D5412" s="4">
        <v>0.0017499999999999998</v>
      </c>
      <c r="E5412" s="0" t="inlineStr">
        <is>
          <t xml:space="preserve">PACIFIC MARITIME INDUSTRIES CORP.</t>
        </is>
      </c>
      <c r="F5412" s="0" t="inlineStr">
        <is>
          <t xml:space="preserve">naics:336612</t>
        </is>
      </c>
    </row>
    <row r="5413">
      <c r="B5413" s="0" t="inlineStr">
        <is>
          <t xml:space="preserve">N0016720F0026</t>
        </is>
      </c>
      <c r="C5413" s="0" t="inlineStr">
        <is>
          <t xml:space="preserve">broad_maritime</t>
        </is>
      </c>
      <c r="D5413" s="4">
        <v>0.0017142899999999998</v>
      </c>
      <c r="E5413" s="0" t="inlineStr">
        <is>
          <t xml:space="preserve">GRYPHON TECHNOLOGIES, L.C.</t>
        </is>
      </c>
      <c r="F5413" s="0" t="inlineStr">
        <is>
          <t xml:space="preserve">psc:1905</t>
        </is>
      </c>
    </row>
    <row r="5414">
      <c r="B5414" s="0" t="inlineStr">
        <is>
          <t xml:space="preserve">N0016720F0025</t>
        </is>
      </c>
      <c r="C5414" s="0" t="inlineStr">
        <is>
          <t xml:space="preserve">broad_maritime</t>
        </is>
      </c>
      <c r="D5414" s="4">
        <v>0.0017142899999999998</v>
      </c>
      <c r="E5414" s="0" t="inlineStr">
        <is>
          <t xml:space="preserve">COLONNA'S SHIP YARD, INCORPORATED</t>
        </is>
      </c>
      <c r="F5414" s="0" t="inlineStr">
        <is>
          <t xml:space="preserve">psc:1905</t>
        </is>
      </c>
    </row>
    <row r="5415">
      <c r="B5415" s="0" t="inlineStr">
        <is>
          <t xml:space="preserve">N0016720F0024</t>
        </is>
      </c>
      <c r="C5415" s="0" t="inlineStr">
        <is>
          <t xml:space="preserve">broad_maritime</t>
        </is>
      </c>
      <c r="D5415" s="4">
        <v>0.0017142899999999998</v>
      </c>
      <c r="E5415" s="0" t="inlineStr">
        <is>
          <t xml:space="preserve">UNITED STATES MARINE INC</t>
        </is>
      </c>
      <c r="F5415" s="0" t="inlineStr">
        <is>
          <t xml:space="preserve">psc:1905</t>
        </is>
      </c>
    </row>
    <row r="5416">
      <c r="B5416" s="0" t="inlineStr">
        <is>
          <t xml:space="preserve">N0016720F0023</t>
        </is>
      </c>
      <c r="C5416" s="0" t="inlineStr">
        <is>
          <t xml:space="preserve">broad_maritime</t>
        </is>
      </c>
      <c r="D5416" s="4">
        <v>0.0017142899999999998</v>
      </c>
      <c r="E5416" s="0" t="inlineStr">
        <is>
          <t xml:space="preserve">FAIRLEAD BOATWORKS, INC.</t>
        </is>
      </c>
      <c r="F5416" s="0" t="inlineStr">
        <is>
          <t xml:space="preserve">psc:1905</t>
        </is>
      </c>
    </row>
    <row r="5417">
      <c r="B5417" s="0" t="inlineStr">
        <is>
          <t xml:space="preserve">N0016720F0022</t>
        </is>
      </c>
      <c r="C5417" s="0" t="inlineStr">
        <is>
          <t xml:space="preserve">broad_maritime</t>
        </is>
      </c>
      <c r="D5417" s="4">
        <v>0.0017142899999999998</v>
      </c>
      <c r="E5417" s="0" t="inlineStr">
        <is>
          <t xml:space="preserve">QED SYSTEMS, INC.</t>
        </is>
      </c>
      <c r="F5417" s="0" t="inlineStr">
        <is>
          <t xml:space="preserve">psc:1905</t>
        </is>
      </c>
    </row>
    <row r="5418">
      <c r="B5418" s="0" t="inlineStr">
        <is>
          <t xml:space="preserve">N0016720F0021</t>
        </is>
      </c>
      <c r="C5418" s="0" t="inlineStr">
        <is>
          <t xml:space="preserve">broad_maritime</t>
        </is>
      </c>
      <c r="D5418" s="4">
        <v>0.0017142899999999998</v>
      </c>
      <c r="E5418" s="0" t="inlineStr">
        <is>
          <t xml:space="preserve">ANCHOR INNOVATION, INC.</t>
        </is>
      </c>
      <c r="F5418" s="0" t="inlineStr">
        <is>
          <t xml:space="preserve">psc:1905</t>
        </is>
      </c>
    </row>
    <row r="5419">
      <c r="B5419" s="0" t="inlineStr">
        <is>
          <t xml:space="preserve">N0016720F0020</t>
        </is>
      </c>
      <c r="C5419" s="0" t="inlineStr">
        <is>
          <t xml:space="preserve">broad_maritime</t>
        </is>
      </c>
      <c r="D5419" s="4">
        <v>0.0017142899999999998</v>
      </c>
      <c r="E5419" s="0" t="inlineStr">
        <is>
          <t xml:space="preserve">AUXILIARY SYSTEMS INC</t>
        </is>
      </c>
      <c r="F5419" s="0" t="inlineStr">
        <is>
          <t xml:space="preserve">psc:1905</t>
        </is>
      </c>
    </row>
    <row r="5420">
      <c r="B5420" s="0" t="inlineStr">
        <is>
          <t xml:space="preserve">L805</t>
        </is>
      </c>
      <c r="C5420" s="0" t="inlineStr">
        <is>
          <t xml:space="preserve">broad_maritime</t>
        </is>
      </c>
      <c r="D5420" s="4">
        <v>0.0016769999999999999</v>
      </c>
      <c r="E5420" s="0" t="inlineStr">
        <is>
          <t xml:space="preserve">ELECTRIC BOAT CORPORATION</t>
        </is>
      </c>
      <c r="F5420" s="0" t="inlineStr">
        <is>
          <t xml:space="preserve">psc:1905</t>
        </is>
      </c>
    </row>
    <row r="5421">
      <c r="B5421" s="0" t="inlineStr">
        <is>
          <t xml:space="preserve">N0010421PBE79</t>
        </is>
      </c>
      <c r="C5421" s="0" t="inlineStr">
        <is>
          <t xml:space="preserve">small_craft</t>
        </is>
      </c>
      <c r="D5421" s="4">
        <v>0.00150666</v>
      </c>
      <c r="E5421" s="0" t="inlineStr">
        <is>
          <t xml:space="preserve">ADIRONDACK ELECTRONICS INC</t>
        </is>
      </c>
      <c r="F5421" s="0" t="inlineStr">
        <is>
          <t xml:space="preserve">psc:1940</t>
        </is>
      </c>
    </row>
    <row r="5422">
      <c r="B5422" s="0" t="inlineStr">
        <is>
          <t xml:space="preserve">N0016424FP157</t>
        </is>
      </c>
      <c r="C5422" s="0" t="inlineStr">
        <is>
          <t xml:space="preserve">other_small</t>
        </is>
      </c>
      <c r="D5422" s="4">
        <v>0.0012814599999999999</v>
      </c>
      <c r="E5422" s="0" t="inlineStr">
        <is>
          <t xml:space="preserve">ADVERTISING/MARKETING/STRATEGIC PLANNING, LLC</t>
        </is>
      </c>
      <c r="F5422" s="0" t="inlineStr">
        <is>
          <t xml:space="preserve">psc:1990</t>
        </is>
      </c>
    </row>
    <row r="5423">
      <c r="B5423" s="0" t="inlineStr">
        <is>
          <t xml:space="preserve">N4523A24F4006</t>
        </is>
      </c>
      <c r="C5423" s="0" t="inlineStr">
        <is>
          <t xml:space="preserve">broad_maritime</t>
        </is>
      </c>
      <c r="D5423" s="4">
        <v>0.00116611</v>
      </c>
      <c r="E5423" s="0" t="inlineStr">
        <is>
          <t xml:space="preserve">ELECTRIC BOAT CORPORATION</t>
        </is>
      </c>
      <c r="F5423" s="0" t="inlineStr">
        <is>
          <t xml:space="preserve">psc:1905</t>
        </is>
      </c>
    </row>
    <row r="5424">
      <c r="B5424" s="0" t="inlineStr">
        <is>
          <t xml:space="preserve">0001</t>
        </is>
      </c>
      <c r="C5424" s="0" t="inlineStr">
        <is>
          <t xml:space="preserve">broad_maritime</t>
        </is>
      </c>
      <c r="D5424" s="4">
        <v>0.001</v>
      </c>
      <c r="E5424" s="0" t="inlineStr">
        <is>
          <t xml:space="preserve">HUNTINGTON INGALLS INC</t>
        </is>
      </c>
      <c r="F5424" s="0" t="inlineStr">
        <is>
          <t xml:space="preserve">psc:1905</t>
        </is>
      </c>
    </row>
    <row r="5425">
      <c r="B5425" s="0" t="inlineStr">
        <is>
          <t xml:space="preserve">0001</t>
        </is>
      </c>
      <c r="C5425" s="0" t="inlineStr">
        <is>
          <t xml:space="preserve">broad_maritime</t>
        </is>
      </c>
      <c r="D5425" s="4">
        <v>0.001</v>
      </c>
      <c r="E5425" s="0" t="inlineStr">
        <is>
          <t xml:space="preserve">ELECTRIC BOAT CORPORATION</t>
        </is>
      </c>
      <c r="F5425" s="0" t="inlineStr">
        <is>
          <t xml:space="preserve">psc:1905</t>
        </is>
      </c>
    </row>
    <row r="5426">
      <c r="B5426" s="0" t="inlineStr">
        <is>
          <t xml:space="preserve">N0010422PLE85</t>
        </is>
      </c>
      <c r="C5426" s="0" t="inlineStr">
        <is>
          <t xml:space="preserve">small_craft</t>
        </is>
      </c>
      <c r="D5426" s="4">
        <v>0.000932</v>
      </c>
      <c r="E5426" s="0" t="inlineStr">
        <is>
          <t xml:space="preserve">AEF-PERFORMANCE LLC</t>
        </is>
      </c>
      <c r="F5426" s="0" t="inlineStr">
        <is>
          <t xml:space="preserve">psc:1940</t>
        </is>
      </c>
    </row>
    <row r="5427">
      <c r="B5427" s="0" t="inlineStr">
        <is>
          <t xml:space="preserve">0060</t>
        </is>
      </c>
      <c r="C5427" s="0" t="inlineStr">
        <is>
          <t xml:space="preserve">other_small</t>
        </is>
      </c>
      <c r="D5427" s="4">
        <v>0.00092209</v>
      </c>
      <c r="E5427" s="0" t="inlineStr">
        <is>
          <t xml:space="preserve">ROLLS-ROYCE SOLUTIONS AMERICA INC</t>
        </is>
      </c>
      <c r="F5427" s="0" t="inlineStr">
        <is>
          <t xml:space="preserve">psc:1990</t>
        </is>
      </c>
    </row>
    <row r="5428">
      <c r="B5428" s="0" t="inlineStr">
        <is>
          <t xml:space="preserve">0061</t>
        </is>
      </c>
      <c r="C5428" s="0" t="inlineStr">
        <is>
          <t xml:space="preserve">other_small</t>
        </is>
      </c>
      <c r="D5428" s="4">
        <v>0.0009184999999999999</v>
      </c>
      <c r="E5428" s="0" t="inlineStr">
        <is>
          <t xml:space="preserve">ROLLS-ROYCE SOLUTIONS AMERICA INC</t>
        </is>
      </c>
      <c r="F5428" s="0" t="inlineStr">
        <is>
          <t xml:space="preserve">psc:1990</t>
        </is>
      </c>
    </row>
    <row r="5429">
      <c r="B5429" s="0" t="inlineStr">
        <is>
          <t xml:space="preserve">0079</t>
        </is>
      </c>
      <c r="C5429" s="0" t="inlineStr">
        <is>
          <t xml:space="preserve">other_small</t>
        </is>
      </c>
      <c r="D5429" s="4">
        <v>0.0004033</v>
      </c>
      <c r="E5429" s="0" t="inlineStr">
        <is>
          <t xml:space="preserve">ROLLS-ROYCE SOLUTIONS AMERICA INC</t>
        </is>
      </c>
      <c r="F5429" s="0" t="inlineStr">
        <is>
          <t xml:space="preserve">psc:1990</t>
        </is>
      </c>
    </row>
    <row r="5430">
      <c r="B5430" s="0" t="inlineStr">
        <is>
          <t xml:space="preserve">0069</t>
        </is>
      </c>
      <c r="C5430" s="0" t="inlineStr">
        <is>
          <t xml:space="preserve">other_small</t>
        </is>
      </c>
      <c r="D5430" s="4">
        <v>0.00039935999999999997</v>
      </c>
      <c r="E5430" s="0" t="inlineStr">
        <is>
          <t xml:space="preserve">ROLLS-ROYCE SOLUTIONS AMERICA INC</t>
        </is>
      </c>
      <c r="F5430" s="0" t="inlineStr">
        <is>
          <t xml:space="preserve">psc:1990</t>
        </is>
      </c>
    </row>
    <row r="5431">
      <c r="B5431" s="0" t="inlineStr">
        <is>
          <t xml:space="preserve">0050</t>
        </is>
      </c>
      <c r="C5431" s="0" t="inlineStr">
        <is>
          <t xml:space="preserve">other_small</t>
        </is>
      </c>
      <c r="D5431" s="4">
        <v>0.00037017</v>
      </c>
      <c r="E5431" s="0" t="inlineStr">
        <is>
          <t xml:space="preserve">ROLLS-ROYCE SOLUTIONS AMERICA INC</t>
        </is>
      </c>
      <c r="F5431" s="0" t="inlineStr">
        <is>
          <t xml:space="preserve">psc:1990</t>
        </is>
      </c>
    </row>
    <row r="5432">
      <c r="B5432" s="0" t="inlineStr">
        <is>
          <t xml:space="preserve">0067</t>
        </is>
      </c>
      <c r="C5432" s="0" t="inlineStr">
        <is>
          <t xml:space="preserve">other_small</t>
        </is>
      </c>
      <c r="D5432" s="4">
        <v>0.00036844</v>
      </c>
      <c r="E5432" s="0" t="inlineStr">
        <is>
          <t xml:space="preserve">ROLLS-ROYCE SOLUTIONS AMERICA INC</t>
        </is>
      </c>
      <c r="F5432" s="0" t="inlineStr">
        <is>
          <t xml:space="preserve">psc:1990</t>
        </is>
      </c>
    </row>
    <row r="5433">
      <c r="B5433" s="0" t="inlineStr">
        <is>
          <t xml:space="preserve">L814</t>
        </is>
      </c>
      <c r="C5433" s="0" t="inlineStr">
        <is>
          <t xml:space="preserve">broad_maritime</t>
        </is>
      </c>
      <c r="D5433" s="4">
        <v>0.0002085</v>
      </c>
      <c r="E5433" s="0" t="inlineStr">
        <is>
          <t xml:space="preserve">ELECTRIC BOAT CORPORATION</t>
        </is>
      </c>
      <c r="F5433" s="0" t="inlineStr">
        <is>
          <t xml:space="preserve">psc:1905</t>
        </is>
      </c>
    </row>
    <row r="5434">
      <c r="B5434" s="0" t="inlineStr">
        <is>
          <t xml:space="preserve">0001</t>
        </is>
      </c>
      <c r="C5434" s="0" t="inlineStr">
        <is>
          <t xml:space="preserve">other_small</t>
        </is>
      </c>
      <c r="D5434" s="4">
        <v>0.000175</v>
      </c>
      <c r="E5434" s="0" t="inlineStr">
        <is>
          <t xml:space="preserve">DEFENSE MARITIME SOLUTIONS, INC.</t>
        </is>
      </c>
      <c r="F5434" s="0" t="inlineStr">
        <is>
          <t xml:space="preserve">psc:1990</t>
        </is>
      </c>
    </row>
    <row r="5435">
      <c r="B5435" s="0" t="inlineStr">
        <is>
          <t xml:space="preserve">0057</t>
        </is>
      </c>
      <c r="C5435" s="0" t="inlineStr">
        <is>
          <t xml:space="preserve">other_small</t>
        </is>
      </c>
      <c r="D5435" s="4">
        <v>0.00012656</v>
      </c>
      <c r="E5435" s="0" t="inlineStr">
        <is>
          <t xml:space="preserve">ROLLS-ROYCE SOLUTIONS AMERICA INC</t>
        </is>
      </c>
      <c r="F5435" s="0" t="inlineStr">
        <is>
          <t xml:space="preserve">psc:1990</t>
        </is>
      </c>
    </row>
    <row r="5436">
      <c r="B5436" s="0" t="inlineStr">
        <is>
          <t xml:space="preserve">N0016423FP1206</t>
        </is>
      </c>
      <c r="C5436" s="0" t="inlineStr">
        <is>
          <t xml:space="preserve">usv_core</t>
        </is>
      </c>
      <c r="D5436" s="4">
        <v>0.00010619999999999999</v>
      </c>
      <c r="E5436" s="0" t="inlineStr">
        <is>
          <t xml:space="preserve">SPS INDUSTRIAL INC</t>
        </is>
      </c>
      <c r="F5436" s="0" t="inlineStr">
        <is>
          <t xml:space="preserve">keyword</t>
        </is>
      </c>
    </row>
    <row r="5437">
      <c r="B5437" s="0" t="inlineStr">
        <is>
          <t xml:space="preserve">N6133116P0409</t>
        </is>
      </c>
      <c r="C5437" s="0" t="inlineStr">
        <is>
          <t xml:space="preserve">usv_core</t>
        </is>
      </c>
      <c r="D5437" s="4">
        <v>0.0</v>
      </c>
      <c r="E5437" s="0" t="inlineStr">
        <is>
          <t xml:space="preserve">HII UNMANNED MARITIME SYSTEMS INC.</t>
        </is>
      </c>
      <c r="F5437" s="0" t="inlineStr">
        <is>
          <t xml:space="preserve">keyword</t>
        </is>
      </c>
    </row>
    <row r="5438">
      <c r="B5438" s="0" t="inlineStr">
        <is>
          <t xml:space="preserve">N6264926GK003</t>
        </is>
      </c>
      <c r="C5438" s="0" t="inlineStr">
        <is>
          <t xml:space="preserve">broad_maritime</t>
        </is>
      </c>
      <c r="D5438" s="4">
        <v>0.0</v>
      </c>
      <c r="E5438" s="0" t="inlineStr">
        <is>
          <t xml:space="preserve">SK OCEANPLANT CO.,LTD</t>
        </is>
      </c>
      <c r="F5438" s="0" t="inlineStr">
        <is>
          <t xml:space="preserve">naics:336611</t>
        </is>
      </c>
    </row>
    <row r="5439">
      <c r="B5439" s="0" t="inlineStr">
        <is>
          <t xml:space="preserve">N6264926GK002</t>
        </is>
      </c>
      <c r="C5439" s="0" t="inlineStr">
        <is>
          <t xml:space="preserve">broad_maritime</t>
        </is>
      </c>
      <c r="D5439" s="4">
        <v>0.0</v>
      </c>
      <c r="E5439" s="0" t="inlineStr">
        <is>
          <t xml:space="preserve">RTB CO., LTD.</t>
        </is>
      </c>
      <c r="F5439" s="0" t="inlineStr">
        <is>
          <t xml:space="preserve">naics:336611</t>
        </is>
      </c>
    </row>
    <row r="5440">
      <c r="B5440" s="0" t="inlineStr">
        <is>
          <t xml:space="preserve">N4033926GF001</t>
        </is>
      </c>
      <c r="C5440" s="0" t="inlineStr">
        <is>
          <t xml:space="preserve">broad_maritime</t>
        </is>
      </c>
      <c r="D5440" s="4">
        <v>0.0</v>
      </c>
      <c r="E5440" s="0" t="inlineStr">
        <is>
          <t xml:space="preserve">FINCANTIERI MARINE REPAIR LLC</t>
        </is>
      </c>
      <c r="F5440" s="0" t="inlineStr">
        <is>
          <t xml:space="preserve">naics:336611</t>
        </is>
      </c>
    </row>
    <row r="5441">
      <c r="B5441" s="0" t="inlineStr">
        <is>
          <t xml:space="preserve">N6264926GK001</t>
        </is>
      </c>
      <c r="C5441" s="0" t="inlineStr">
        <is>
          <t xml:space="preserve">broad_maritime</t>
        </is>
      </c>
      <c r="D5441" s="4">
        <v>0.0</v>
      </c>
      <c r="E5441" s="0" t="inlineStr">
        <is>
          <t xml:space="preserve">HJ SHIPBUILDING &amp; CONSTRUCTION CO., LTD.</t>
        </is>
      </c>
      <c r="F5441" s="0" t="inlineStr">
        <is>
          <t xml:space="preserve">naics:336611</t>
        </is>
      </c>
    </row>
    <row r="5442">
      <c r="B5442" s="0" t="inlineStr">
        <is>
          <t xml:space="preserve">N6264926GR001</t>
        </is>
      </c>
      <c r="C5442" s="0" t="inlineStr">
        <is>
          <t xml:space="preserve">broad_maritime</t>
        </is>
      </c>
      <c r="D5442" s="4">
        <v>0.0</v>
      </c>
      <c r="E5442" s="0" t="inlineStr">
        <is>
          <t xml:space="preserve">MARUNDA PRIVATE LIMITED</t>
        </is>
      </c>
      <c r="F5442" s="0" t="inlineStr">
        <is>
          <t xml:space="preserve">naics:336611</t>
        </is>
      </c>
    </row>
    <row r="5443">
      <c r="B5443" s="0" t="inlineStr">
        <is>
          <t xml:space="preserve">N6264925GHA01</t>
        </is>
      </c>
      <c r="C5443" s="0" t="inlineStr">
        <is>
          <t xml:space="preserve">broad_maritime</t>
        </is>
      </c>
      <c r="D5443" s="4">
        <v>0.0</v>
      </c>
      <c r="E5443" s="0" t="inlineStr">
        <is>
          <t xml:space="preserve">CABRAS MARINE CORPORATION</t>
        </is>
      </c>
      <c r="F5443" s="0" t="inlineStr">
        <is>
          <t xml:space="preserve">naics:336611</t>
        </is>
      </c>
    </row>
    <row r="5444">
      <c r="B5444" s="0" t="inlineStr">
        <is>
          <t xml:space="preserve">N6833519G0012</t>
        </is>
      </c>
      <c r="C5444" s="0" t="inlineStr">
        <is>
          <t xml:space="preserve">broad_maritime</t>
        </is>
      </c>
      <c r="D5444" s="4">
        <v>0.0</v>
      </c>
      <c r="E5444" s="0" t="inlineStr">
        <is>
          <t xml:space="preserve">QED SYSTEMS, INC.</t>
        </is>
      </c>
      <c r="F5444" s="0" t="inlineStr">
        <is>
          <t xml:space="preserve">naics:336611</t>
        </is>
      </c>
    </row>
    <row r="5445">
      <c r="B5445" s="0" t="inlineStr">
        <is>
          <t xml:space="preserve">N6833519G0010</t>
        </is>
      </c>
      <c r="C5445" s="0" t="inlineStr">
        <is>
          <t xml:space="preserve">broad_maritime</t>
        </is>
      </c>
      <c r="D5445" s="4">
        <v>0.0</v>
      </c>
      <c r="E5445" s="0" t="inlineStr">
        <is>
          <t xml:space="preserve">TRANSTECS CORPORATION</t>
        </is>
      </c>
      <c r="F5445" s="0" t="inlineStr">
        <is>
          <t xml:space="preserve">naics:336611</t>
        </is>
      </c>
    </row>
    <row r="5446">
      <c r="B5446" s="0" t="inlineStr">
        <is>
          <t xml:space="preserve">N6833519G0009</t>
        </is>
      </c>
      <c r="C5446" s="0" t="inlineStr">
        <is>
          <t xml:space="preserve">broad_maritime</t>
        </is>
      </c>
      <c r="D5446" s="4">
        <v>0.0</v>
      </c>
      <c r="E5446" s="0" t="inlineStr">
        <is>
          <t xml:space="preserve">LA PLAYA INC OF VIRGINIA</t>
        </is>
      </c>
      <c r="F5446" s="0" t="inlineStr">
        <is>
          <t xml:space="preserve">naics:336611</t>
        </is>
      </c>
    </row>
    <row r="5447">
      <c r="B5447" s="0" t="inlineStr">
        <is>
          <t xml:space="preserve">N6833519G0008</t>
        </is>
      </c>
      <c r="C5447" s="0" t="inlineStr">
        <is>
          <t xml:space="preserve">broad_maritime</t>
        </is>
      </c>
      <c r="D5447" s="4">
        <v>0.0</v>
      </c>
      <c r="E5447" s="0" t="inlineStr">
        <is>
          <t xml:space="preserve">ADVANCED INTEGRATED TECHNOLOGIES, LLC</t>
        </is>
      </c>
      <c r="F5447" s="0" t="inlineStr">
        <is>
          <t xml:space="preserve">naics:336611</t>
        </is>
      </c>
    </row>
    <row r="5448">
      <c r="B5448" s="0" t="inlineStr">
        <is>
          <t xml:space="preserve">N6833519G0007</t>
        </is>
      </c>
      <c r="C5448" s="0" t="inlineStr">
        <is>
          <t xml:space="preserve">broad_maritime</t>
        </is>
      </c>
      <c r="D5448" s="4">
        <v>0.0</v>
      </c>
      <c r="E5448" s="0" t="inlineStr">
        <is>
          <t xml:space="preserve">VALKYRIE ENTERPRISES, LLC</t>
        </is>
      </c>
      <c r="F5448" s="0" t="inlineStr">
        <is>
          <t xml:space="preserve">naics:336611</t>
        </is>
      </c>
    </row>
    <row r="5449">
      <c r="B5449" s="0" t="inlineStr">
        <is>
          <t xml:space="preserve">N6833519G0006</t>
        </is>
      </c>
      <c r="C5449" s="0" t="inlineStr">
        <is>
          <t xml:space="preserve">broad_maritime</t>
        </is>
      </c>
      <c r="D5449" s="4">
        <v>0.0</v>
      </c>
      <c r="E5449" s="0" t="inlineStr">
        <is>
          <t xml:space="preserve">CHUGACH INFORMATION TECHNOLOGY LLC</t>
        </is>
      </c>
      <c r="F5449" s="0" t="inlineStr">
        <is>
          <t xml:space="preserve">naics:336611</t>
        </is>
      </c>
    </row>
    <row r="5450">
      <c r="B5450" s="0" t="inlineStr">
        <is>
          <t xml:space="preserve">N6833519G0005</t>
        </is>
      </c>
      <c r="C5450" s="0" t="inlineStr">
        <is>
          <t xml:space="preserve">broad_maritime</t>
        </is>
      </c>
      <c r="D5450" s="4">
        <v>0.0</v>
      </c>
      <c r="E5450" s="0" t="inlineStr">
        <is>
          <t xml:space="preserve">MID ATLANTIC ENGINEERING TECHNICAL SERVICES, INC.</t>
        </is>
      </c>
      <c r="F5450" s="0" t="inlineStr">
        <is>
          <t xml:space="preserve">naics:336611</t>
        </is>
      </c>
    </row>
    <row r="5451">
      <c r="B5451" s="0" t="inlineStr">
        <is>
          <t xml:space="preserve">N6833519G0004</t>
        </is>
      </c>
      <c r="C5451" s="0" t="inlineStr">
        <is>
          <t xml:space="preserve">broad_maritime</t>
        </is>
      </c>
      <c r="D5451" s="4">
        <v>0.0</v>
      </c>
      <c r="E5451" s="0" t="inlineStr">
        <is>
          <t xml:space="preserve">PRISM MARITIME, INC.</t>
        </is>
      </c>
      <c r="F5451" s="0" t="inlineStr">
        <is>
          <t xml:space="preserve">naics:336611</t>
        </is>
      </c>
    </row>
    <row r="5452">
      <c r="B5452" s="0" t="inlineStr">
        <is>
          <t xml:space="preserve">N6833519G0003</t>
        </is>
      </c>
      <c r="C5452" s="0" t="inlineStr">
        <is>
          <t xml:space="preserve">broad_maritime</t>
        </is>
      </c>
      <c r="D5452" s="4">
        <v>0.0</v>
      </c>
      <c r="E5452" s="0" t="inlineStr">
        <is>
          <t xml:space="preserve">EPSILON SYSTEMS SOLUTIONS INC</t>
        </is>
      </c>
      <c r="F5452" s="0" t="inlineStr">
        <is>
          <t xml:space="preserve">naics:336611</t>
        </is>
      </c>
    </row>
    <row r="5453">
      <c r="B5453" s="0" t="inlineStr">
        <is>
          <t xml:space="preserve">N6833518G0018</t>
        </is>
      </c>
      <c r="C5453" s="0" t="inlineStr">
        <is>
          <t xml:space="preserve">broad_maritime</t>
        </is>
      </c>
      <c r="D5453" s="4">
        <v>0.0</v>
      </c>
      <c r="E5453" s="0" t="inlineStr">
        <is>
          <t xml:space="preserve">EPSILON SYSTEMS SOLUTIONS INC</t>
        </is>
      </c>
      <c r="F5453" s="0" t="inlineStr">
        <is>
          <t xml:space="preserve">naics:336611</t>
        </is>
      </c>
    </row>
    <row r="5454">
      <c r="B5454" s="0" t="inlineStr">
        <is>
          <t xml:space="preserve">N6833518G0017</t>
        </is>
      </c>
      <c r="C5454" s="0" t="inlineStr">
        <is>
          <t xml:space="preserve">broad_maritime</t>
        </is>
      </c>
      <c r="D5454" s="4">
        <v>0.0</v>
      </c>
      <c r="E5454" s="0" t="inlineStr">
        <is>
          <t xml:space="preserve">PRISM MARITIME, INC.</t>
        </is>
      </c>
      <c r="F5454" s="0" t="inlineStr">
        <is>
          <t xml:space="preserve">naics:336611</t>
        </is>
      </c>
    </row>
    <row r="5455">
      <c r="B5455" s="0" t="inlineStr">
        <is>
          <t xml:space="preserve">N6833516G0011</t>
        </is>
      </c>
      <c r="C5455" s="0" t="inlineStr">
        <is>
          <t xml:space="preserve">broad_maritime</t>
        </is>
      </c>
      <c r="D5455" s="4">
        <v>0.0</v>
      </c>
      <c r="E5455" s="0" t="inlineStr">
        <is>
          <t xml:space="preserve">QED SYSTEMS, INC.</t>
        </is>
      </c>
      <c r="F5455" s="0" t="inlineStr">
        <is>
          <t xml:space="preserve">naics:336611</t>
        </is>
      </c>
    </row>
    <row r="5456">
      <c r="B5456" s="0" t="inlineStr">
        <is>
          <t xml:space="preserve">N6833515G0017</t>
        </is>
      </c>
      <c r="C5456" s="0" t="inlineStr">
        <is>
          <t xml:space="preserve">broad_maritime</t>
        </is>
      </c>
      <c r="D5456" s="4">
        <v>0.0</v>
      </c>
      <c r="E5456" s="0" t="inlineStr">
        <is>
          <t xml:space="preserve">LA PLAYA INC OF VIRGINIA</t>
        </is>
      </c>
      <c r="F5456" s="0" t="inlineStr">
        <is>
          <t xml:space="preserve">naics:336611</t>
        </is>
      </c>
    </row>
    <row r="5457">
      <c r="B5457" s="0" t="inlineStr">
        <is>
          <t xml:space="preserve">N6833512G0069</t>
        </is>
      </c>
      <c r="C5457" s="0" t="inlineStr">
        <is>
          <t xml:space="preserve">broad_maritime</t>
        </is>
      </c>
      <c r="D5457" s="4">
        <v>0.0</v>
      </c>
      <c r="E5457" s="0" t="inlineStr">
        <is>
          <t xml:space="preserve">L3HARRIS MARITIME SERVICES INC</t>
        </is>
      </c>
      <c r="F5457" s="0" t="inlineStr">
        <is>
          <t xml:space="preserve">naics:336611</t>
        </is>
      </c>
    </row>
    <row r="5458">
      <c r="B5458" s="0" t="inlineStr">
        <is>
          <t xml:space="preserve">N6833512G0068</t>
        </is>
      </c>
      <c r="C5458" s="0" t="inlineStr">
        <is>
          <t xml:space="preserve">broad_maritime</t>
        </is>
      </c>
      <c r="D5458" s="4">
        <v>0.0</v>
      </c>
      <c r="E5458" s="0" t="inlineStr">
        <is>
          <t xml:space="preserve">GRYPHON TECHNOLOGIES, L.C.</t>
        </is>
      </c>
      <c r="F5458" s="0" t="inlineStr">
        <is>
          <t xml:space="preserve">naics:336611</t>
        </is>
      </c>
    </row>
    <row r="5459">
      <c r="B5459" s="0" t="inlineStr">
        <is>
          <t xml:space="preserve">N6833512G0067</t>
        </is>
      </c>
      <c r="C5459" s="0" t="inlineStr">
        <is>
          <t xml:space="preserve">broad_maritime</t>
        </is>
      </c>
      <c r="D5459" s="4">
        <v>0.0</v>
      </c>
      <c r="E5459" s="0" t="inlineStr">
        <is>
          <t xml:space="preserve">PRISM MARITIME, INC.</t>
        </is>
      </c>
      <c r="F5459" s="0" t="inlineStr">
        <is>
          <t xml:space="preserve">naics:336611</t>
        </is>
      </c>
    </row>
    <row r="5460">
      <c r="B5460" s="0" t="inlineStr">
        <is>
          <t xml:space="preserve">N6833512G0063</t>
        </is>
      </c>
      <c r="C5460" s="0" t="inlineStr">
        <is>
          <t xml:space="preserve">broad_maritime</t>
        </is>
      </c>
      <c r="D5460" s="4">
        <v>0.0</v>
      </c>
      <c r="E5460" s="0" t="inlineStr">
        <is>
          <t xml:space="preserve">EPSILON SYSTEMS SOLUTIONS INC</t>
        </is>
      </c>
      <c r="F5460" s="0" t="inlineStr">
        <is>
          <t xml:space="preserve">naics:336611</t>
        </is>
      </c>
    </row>
    <row r="5461">
      <c r="B5461" s="0" t="inlineStr">
        <is>
          <t xml:space="preserve">N6830623A0206</t>
        </is>
      </c>
      <c r="C5461" s="0" t="inlineStr">
        <is>
          <t xml:space="preserve">broad_maritime</t>
        </is>
      </c>
      <c r="D5461" s="4">
        <v>0.0</v>
      </c>
      <c r="E5461" s="0" t="inlineStr">
        <is>
          <t xml:space="preserve">JET DOCK SYSTEMS INC</t>
        </is>
      </c>
      <c r="F5461" s="0" t="inlineStr">
        <is>
          <t xml:space="preserve">naics:336611</t>
        </is>
      </c>
    </row>
    <row r="5462">
      <c r="B5462" s="0" t="inlineStr">
        <is>
          <t xml:space="preserve">N6824623G0004</t>
        </is>
      </c>
      <c r="C5462" s="0" t="inlineStr">
        <is>
          <t xml:space="preserve">broad_maritime</t>
        </is>
      </c>
      <c r="D5462" s="4">
        <v>0.0</v>
      </c>
      <c r="E5462" s="0" t="inlineStr">
        <is>
          <t xml:space="preserve">SHINKO CO.,LTD.</t>
        </is>
      </c>
      <c r="F5462" s="0" t="inlineStr">
        <is>
          <t xml:space="preserve">naics:336611</t>
        </is>
      </c>
    </row>
    <row r="5463">
      <c r="B5463" s="0" t="inlineStr">
        <is>
          <t xml:space="preserve">N6824623G0003</t>
        </is>
      </c>
      <c r="C5463" s="0" t="inlineStr">
        <is>
          <t xml:space="preserve">broad_maritime</t>
        </is>
      </c>
      <c r="D5463" s="4">
        <v>0.0</v>
      </c>
      <c r="E5463" s="0" t="inlineStr">
        <is>
          <t xml:space="preserve">ITO IRON WORKS &amp; SHIPBUILDING CO., LTD.</t>
        </is>
      </c>
      <c r="F5463" s="0" t="inlineStr">
        <is>
          <t xml:space="preserve">naics:336611</t>
        </is>
      </c>
    </row>
    <row r="5464">
      <c r="B5464" s="0" t="inlineStr">
        <is>
          <t xml:space="preserve">N6824623G0002</t>
        </is>
      </c>
      <c r="C5464" s="0" t="inlineStr">
        <is>
          <t xml:space="preserve">broad_maritime</t>
        </is>
      </c>
      <c r="D5464" s="4">
        <v>0.0</v>
      </c>
      <c r="E5464" s="0" t="inlineStr">
        <is>
          <t xml:space="preserve">TOYO TRUST TOKKI CO.,LTD.</t>
        </is>
      </c>
      <c r="F5464" s="0" t="inlineStr">
        <is>
          <t xml:space="preserve">naics:336611</t>
        </is>
      </c>
    </row>
    <row r="5465">
      <c r="B5465" s="0" t="inlineStr">
        <is>
          <t xml:space="preserve">N6824623G0001</t>
        </is>
      </c>
      <c r="C5465" s="0" t="inlineStr">
        <is>
          <t xml:space="preserve">broad_maritime</t>
        </is>
      </c>
      <c r="D5465" s="4">
        <v>0.0</v>
      </c>
      <c r="E5465" s="0" t="inlineStr">
        <is>
          <t xml:space="preserve">MOTOYAMA CO., LTD.</t>
        </is>
      </c>
      <c r="F5465" s="0" t="inlineStr">
        <is>
          <t xml:space="preserve">naics:336611</t>
        </is>
      </c>
    </row>
    <row r="5466">
      <c r="B5466" s="0" t="inlineStr">
        <is>
          <t xml:space="preserve">N6824622G0010</t>
        </is>
      </c>
      <c r="C5466" s="0" t="inlineStr">
        <is>
          <t xml:space="preserve">broad_maritime</t>
        </is>
      </c>
      <c r="D5466" s="4">
        <v>0.0</v>
      </c>
      <c r="E5466" s="0" t="inlineStr">
        <is>
          <t xml:space="preserve">NAKAJIMA NOZZLE CO., LTD.</t>
        </is>
      </c>
      <c r="F5466" s="0" t="inlineStr">
        <is>
          <t xml:space="preserve">naics:336611</t>
        </is>
      </c>
    </row>
    <row r="5467">
      <c r="B5467" s="0" t="inlineStr">
        <is>
          <t xml:space="preserve">N6824621G0023</t>
        </is>
      </c>
      <c r="C5467" s="0" t="inlineStr">
        <is>
          <t xml:space="preserve">broad_maritime</t>
        </is>
      </c>
      <c r="D5467" s="4">
        <v>0.0</v>
      </c>
      <c r="E5467" s="0" t="inlineStr">
        <is>
          <t xml:space="preserve">YAMAGUCHI MACHINERY CO.,LTD.</t>
        </is>
      </c>
      <c r="F5467" s="0" t="inlineStr">
        <is>
          <t xml:space="preserve">naics:336611</t>
        </is>
      </c>
    </row>
    <row r="5468">
      <c r="B5468" s="0" t="inlineStr">
        <is>
          <t xml:space="preserve">N6824620G0018</t>
        </is>
      </c>
      <c r="C5468" s="0" t="inlineStr">
        <is>
          <t xml:space="preserve">broad_maritime</t>
        </is>
      </c>
      <c r="D5468" s="4">
        <v>0.0</v>
      </c>
      <c r="E5468" s="0" t="inlineStr">
        <is>
          <t xml:space="preserve">SHINKO CO.,LTD.</t>
        </is>
      </c>
      <c r="F5468" s="0" t="inlineStr">
        <is>
          <t xml:space="preserve">naics:336611</t>
        </is>
      </c>
    </row>
    <row r="5469">
      <c r="B5469" s="0" t="inlineStr">
        <is>
          <t xml:space="preserve">N6824620G0009</t>
        </is>
      </c>
      <c r="C5469" s="0" t="inlineStr">
        <is>
          <t xml:space="preserve">broad_maritime</t>
        </is>
      </c>
      <c r="D5469" s="4">
        <v>0.0</v>
      </c>
      <c r="E5469" s="0" t="inlineStr">
        <is>
          <t xml:space="preserve">ITO IRON WORKS &amp; SHIPBUILDING CO., LTD.</t>
        </is>
      </c>
      <c r="F5469" s="0" t="inlineStr">
        <is>
          <t xml:space="preserve">naics:336611</t>
        </is>
      </c>
    </row>
    <row r="5470">
      <c r="B5470" s="0" t="inlineStr">
        <is>
          <t xml:space="preserve">N6824620G0005</t>
        </is>
      </c>
      <c r="C5470" s="0" t="inlineStr">
        <is>
          <t xml:space="preserve">broad_maritime</t>
        </is>
      </c>
      <c r="D5470" s="4">
        <v>0.0</v>
      </c>
      <c r="E5470" s="0" t="inlineStr">
        <is>
          <t xml:space="preserve">KUBO INDUSTRIES CO.,LTD.</t>
        </is>
      </c>
      <c r="F5470" s="0" t="inlineStr">
        <is>
          <t xml:space="preserve">naics:336611</t>
        </is>
      </c>
    </row>
    <row r="5471">
      <c r="B5471" s="0" t="inlineStr">
        <is>
          <t xml:space="preserve">N6824619G0016</t>
        </is>
      </c>
      <c r="C5471" s="0" t="inlineStr">
        <is>
          <t xml:space="preserve">broad_maritime</t>
        </is>
      </c>
      <c r="D5471" s="4">
        <v>0.0</v>
      </c>
      <c r="E5471" s="0" t="inlineStr">
        <is>
          <t xml:space="preserve">MOTOYAMA CO., LTD.</t>
        </is>
      </c>
      <c r="F5471" s="0" t="inlineStr">
        <is>
          <t xml:space="preserve">naics:336611</t>
        </is>
      </c>
    </row>
    <row r="5472">
      <c r="B5472" s="0" t="inlineStr">
        <is>
          <t xml:space="preserve">N6824619G0002</t>
        </is>
      </c>
      <c r="C5472" s="0" t="inlineStr">
        <is>
          <t xml:space="preserve">broad_maritime</t>
        </is>
      </c>
      <c r="D5472" s="4">
        <v>0.0</v>
      </c>
      <c r="E5472" s="0" t="inlineStr">
        <is>
          <t xml:space="preserve">TOYO TRUST TOKKI CO.,LTD.</t>
        </is>
      </c>
      <c r="F5472" s="0" t="inlineStr">
        <is>
          <t xml:space="preserve">naics:336611</t>
        </is>
      </c>
    </row>
    <row r="5473">
      <c r="B5473" s="0" t="inlineStr">
        <is>
          <t xml:space="preserve">N6824619G0001</t>
        </is>
      </c>
      <c r="C5473" s="0" t="inlineStr">
        <is>
          <t xml:space="preserve">broad_maritime</t>
        </is>
      </c>
      <c r="D5473" s="4">
        <v>0.0</v>
      </c>
      <c r="E5473" s="0" t="inlineStr">
        <is>
          <t xml:space="preserve">SASEBO HEAVY INDUSTRIES CO., LTD.</t>
        </is>
      </c>
      <c r="F5473" s="0" t="inlineStr">
        <is>
          <t xml:space="preserve">naics:336611</t>
        </is>
      </c>
    </row>
    <row r="5474">
      <c r="B5474" s="0" t="inlineStr">
        <is>
          <t xml:space="preserve">N6824618G0024</t>
        </is>
      </c>
      <c r="C5474" s="0" t="inlineStr">
        <is>
          <t xml:space="preserve">broad_maritime</t>
        </is>
      </c>
      <c r="D5474" s="4">
        <v>0.0</v>
      </c>
      <c r="E5474" s="0" t="inlineStr">
        <is>
          <t xml:space="preserve">SUMITOMO HEAVY INDUSTRIES, LTD</t>
        </is>
      </c>
      <c r="F5474" s="0" t="inlineStr">
        <is>
          <t xml:space="preserve">naics:336611</t>
        </is>
      </c>
    </row>
    <row r="5475">
      <c r="B5475" s="0" t="inlineStr">
        <is>
          <t xml:space="preserve">N6824618G0015</t>
        </is>
      </c>
      <c r="C5475" s="0" t="inlineStr">
        <is>
          <t xml:space="preserve">broad_maritime</t>
        </is>
      </c>
      <c r="D5475" s="4">
        <v>0.0</v>
      </c>
      <c r="E5475" s="0" t="inlineStr">
        <is>
          <t xml:space="preserve">YAMAGUCHI KIKO CO. LTD.</t>
        </is>
      </c>
      <c r="F5475" s="0" t="inlineStr">
        <is>
          <t xml:space="preserve">naics:336611</t>
        </is>
      </c>
    </row>
    <row r="5476">
      <c r="B5476" s="0" t="inlineStr">
        <is>
          <t xml:space="preserve">N6824618G0012</t>
        </is>
      </c>
      <c r="C5476" s="0" t="inlineStr">
        <is>
          <t xml:space="preserve">broad_maritime</t>
        </is>
      </c>
      <c r="D5476" s="4">
        <v>0.0</v>
      </c>
      <c r="E5476" s="0" t="inlineStr">
        <is>
          <t xml:space="preserve">SIGMA, K.K.</t>
        </is>
      </c>
      <c r="F5476" s="0" t="inlineStr">
        <is>
          <t xml:space="preserve">naics:336611</t>
        </is>
      </c>
    </row>
    <row r="5477">
      <c r="B5477" s="0" t="inlineStr">
        <is>
          <t xml:space="preserve">N6824618G0008</t>
        </is>
      </c>
      <c r="C5477" s="0" t="inlineStr">
        <is>
          <t xml:space="preserve">broad_maritime</t>
        </is>
      </c>
      <c r="D5477" s="4">
        <v>0.0</v>
      </c>
      <c r="E5477" s="0" t="inlineStr">
        <is>
          <t xml:space="preserve">SUDO SANGYO CO., LTD.</t>
        </is>
      </c>
      <c r="F5477" s="0" t="inlineStr">
        <is>
          <t xml:space="preserve">naics:336611</t>
        </is>
      </c>
    </row>
    <row r="5478">
      <c r="B5478" s="0" t="inlineStr">
        <is>
          <t xml:space="preserve">N6824618G0006</t>
        </is>
      </c>
      <c r="C5478" s="0" t="inlineStr">
        <is>
          <t xml:space="preserve">broad_maritime</t>
        </is>
      </c>
      <c r="D5478" s="4">
        <v>0.0</v>
      </c>
      <c r="E5478" s="0" t="inlineStr">
        <is>
          <t xml:space="preserve">SAN DENSHI KOGYO CO.,LTD.</t>
        </is>
      </c>
      <c r="F5478" s="0" t="inlineStr">
        <is>
          <t xml:space="preserve">naics:336611</t>
        </is>
      </c>
    </row>
    <row r="5479">
      <c r="B5479" s="0" t="inlineStr">
        <is>
          <t xml:space="preserve">N6824618G0004</t>
        </is>
      </c>
      <c r="C5479" s="0" t="inlineStr">
        <is>
          <t xml:space="preserve">broad_maritime</t>
        </is>
      </c>
      <c r="D5479" s="4">
        <v>0.0</v>
      </c>
      <c r="E5479" s="0" t="inlineStr">
        <is>
          <t xml:space="preserve">HOSEI CO., LTD.</t>
        </is>
      </c>
      <c r="F5479" s="0" t="inlineStr">
        <is>
          <t xml:space="preserve">naics:336611</t>
        </is>
      </c>
    </row>
    <row r="5480">
      <c r="B5480" s="0" t="inlineStr">
        <is>
          <t xml:space="preserve">N6824617G0023</t>
        </is>
      </c>
      <c r="C5480" s="0" t="inlineStr">
        <is>
          <t xml:space="preserve">broad_maritime</t>
        </is>
      </c>
      <c r="D5480" s="4">
        <v>0.0</v>
      </c>
      <c r="E5480" s="0" t="inlineStr">
        <is>
          <t xml:space="preserve">YAMAGUCHI MACHINERY CO.,LTD.</t>
        </is>
      </c>
      <c r="F5480" s="0" t="inlineStr">
        <is>
          <t xml:space="preserve">naics:336611</t>
        </is>
      </c>
    </row>
    <row r="5481">
      <c r="B5481" s="0" t="inlineStr">
        <is>
          <t xml:space="preserve">N6824617G0010</t>
        </is>
      </c>
      <c r="C5481" s="0" t="inlineStr">
        <is>
          <t xml:space="preserve">broad_maritime</t>
        </is>
      </c>
      <c r="D5481" s="4">
        <v>0.0</v>
      </c>
      <c r="E5481" s="0" t="inlineStr">
        <is>
          <t xml:space="preserve">NAKAJIMA NOZZLE CO., LTD.</t>
        </is>
      </c>
      <c r="F5481" s="0" t="inlineStr">
        <is>
          <t xml:space="preserve">naics:336611</t>
        </is>
      </c>
    </row>
    <row r="5482">
      <c r="B5482" s="0" t="inlineStr">
        <is>
          <t xml:space="preserve">N6824617G0003</t>
        </is>
      </c>
      <c r="C5482" s="0" t="inlineStr">
        <is>
          <t xml:space="preserve">broad_maritime</t>
        </is>
      </c>
      <c r="D5482" s="4">
        <v>0.0</v>
      </c>
      <c r="E5482" s="0" t="inlineStr">
        <is>
          <t xml:space="preserve">MITSUI E&amp;S HOLDINGS CO., LTD.</t>
        </is>
      </c>
      <c r="F5482" s="0" t="inlineStr">
        <is>
          <t xml:space="preserve">naics:336611</t>
        </is>
      </c>
    </row>
    <row r="5483">
      <c r="B5483" s="0" t="inlineStr">
        <is>
          <t xml:space="preserve">N6824616G0018</t>
        </is>
      </c>
      <c r="C5483" s="0" t="inlineStr">
        <is>
          <t xml:space="preserve">broad_maritime</t>
        </is>
      </c>
      <c r="D5483" s="4">
        <v>0.0</v>
      </c>
      <c r="E5483" s="0" t="inlineStr">
        <is>
          <t xml:space="preserve">SHINKO CO.,LTD.</t>
        </is>
      </c>
      <c r="F5483" s="0" t="inlineStr">
        <is>
          <t xml:space="preserve">naics:336611</t>
        </is>
      </c>
    </row>
    <row r="5484">
      <c r="B5484" s="0" t="inlineStr">
        <is>
          <t xml:space="preserve">N6824616G0009</t>
        </is>
      </c>
      <c r="C5484" s="0" t="inlineStr">
        <is>
          <t xml:space="preserve">broad_maritime</t>
        </is>
      </c>
      <c r="D5484" s="4">
        <v>0.0</v>
      </c>
      <c r="E5484" s="0" t="inlineStr">
        <is>
          <t xml:space="preserve">ITO IRON WORKS &amp; SHIPBUILDING CO., LTD.</t>
        </is>
      </c>
      <c r="F5484" s="0" t="inlineStr">
        <is>
          <t xml:space="preserve">naics:336611</t>
        </is>
      </c>
    </row>
    <row r="5485">
      <c r="B5485" s="0" t="inlineStr">
        <is>
          <t xml:space="preserve">N6824615G0016</t>
        </is>
      </c>
      <c r="C5485" s="0" t="inlineStr">
        <is>
          <t xml:space="preserve">broad_maritime</t>
        </is>
      </c>
      <c r="D5485" s="4">
        <v>0.0</v>
      </c>
      <c r="E5485" s="0" t="inlineStr">
        <is>
          <t xml:space="preserve">MOTOYAMA CO., LTD.</t>
        </is>
      </c>
      <c r="F5485" s="0" t="inlineStr">
        <is>
          <t xml:space="preserve">naics:336611</t>
        </is>
      </c>
    </row>
    <row r="5486">
      <c r="B5486" s="0" t="inlineStr">
        <is>
          <t xml:space="preserve">N6824615G0002</t>
        </is>
      </c>
      <c r="C5486" s="0" t="inlineStr">
        <is>
          <t xml:space="preserve">broad_maritime</t>
        </is>
      </c>
      <c r="D5486" s="4">
        <v>0.0</v>
      </c>
      <c r="E5486" s="0" t="inlineStr">
        <is>
          <t xml:space="preserve">TOYO TRUST TOKKI CO.,LTD.</t>
        </is>
      </c>
      <c r="F5486" s="0" t="inlineStr">
        <is>
          <t xml:space="preserve">naics:336611</t>
        </is>
      </c>
    </row>
    <row r="5487">
      <c r="B5487" s="0" t="inlineStr">
        <is>
          <t xml:space="preserve">N6824615G0001</t>
        </is>
      </c>
      <c r="C5487" s="0" t="inlineStr">
        <is>
          <t xml:space="preserve">broad_maritime</t>
        </is>
      </c>
      <c r="D5487" s="4">
        <v>0.0</v>
      </c>
      <c r="E5487" s="0" t="inlineStr">
        <is>
          <t xml:space="preserve">SASEBO HEAVY INDUSTRIES CO.,LTD.</t>
        </is>
      </c>
      <c r="F5487" s="0" t="inlineStr">
        <is>
          <t xml:space="preserve">naics:336611</t>
        </is>
      </c>
    </row>
    <row r="5488">
      <c r="B5488" s="0" t="inlineStr">
        <is>
          <t xml:space="preserve">N6824614G0024</t>
        </is>
      </c>
      <c r="C5488" s="0" t="inlineStr">
        <is>
          <t xml:space="preserve">broad_maritime</t>
        </is>
      </c>
      <c r="D5488" s="4">
        <v>0.0</v>
      </c>
      <c r="E5488" s="0" t="inlineStr">
        <is>
          <t xml:space="preserve">SUMITOMO HEAVY INDUSTRIES, LTD</t>
        </is>
      </c>
      <c r="F5488" s="0" t="inlineStr">
        <is>
          <t xml:space="preserve">naics:336611</t>
        </is>
      </c>
    </row>
    <row r="5489">
      <c r="B5489" s="0" t="inlineStr">
        <is>
          <t xml:space="preserve">N6824614G0008</t>
        </is>
      </c>
      <c r="C5489" s="0" t="inlineStr">
        <is>
          <t xml:space="preserve">broad_maritime</t>
        </is>
      </c>
      <c r="D5489" s="4">
        <v>0.0</v>
      </c>
      <c r="E5489" s="0" t="inlineStr">
        <is>
          <t xml:space="preserve">SUDO SANGYO CO., LTD.</t>
        </is>
      </c>
      <c r="F5489" s="0" t="inlineStr">
        <is>
          <t xml:space="preserve">naics:336611</t>
        </is>
      </c>
    </row>
    <row r="5490">
      <c r="B5490" s="0" t="inlineStr">
        <is>
          <t xml:space="preserve">N6824614G0006</t>
        </is>
      </c>
      <c r="C5490" s="0" t="inlineStr">
        <is>
          <t xml:space="preserve">broad_maritime</t>
        </is>
      </c>
      <c r="D5490" s="4">
        <v>0.0</v>
      </c>
      <c r="E5490" s="0" t="inlineStr">
        <is>
          <t xml:space="preserve">SAN DENSHI KOGYO CO.,LTD.</t>
        </is>
      </c>
      <c r="F5490" s="0" t="inlineStr">
        <is>
          <t xml:space="preserve">naics:336611</t>
        </is>
      </c>
    </row>
    <row r="5491">
      <c r="B5491" s="0" t="inlineStr">
        <is>
          <t xml:space="preserve">N6824614G0004</t>
        </is>
      </c>
      <c r="C5491" s="0" t="inlineStr">
        <is>
          <t xml:space="preserve">broad_maritime</t>
        </is>
      </c>
      <c r="D5491" s="4">
        <v>0.0</v>
      </c>
      <c r="E5491" s="0" t="inlineStr">
        <is>
          <t xml:space="preserve">HOSEI CO., LTD.</t>
        </is>
      </c>
      <c r="F5491" s="0" t="inlineStr">
        <is>
          <t xml:space="preserve">naics:336611</t>
        </is>
      </c>
    </row>
    <row r="5492">
      <c r="B5492" s="0" t="inlineStr">
        <is>
          <t xml:space="preserve">N6824612G0018</t>
        </is>
      </c>
      <c r="C5492" s="0" t="inlineStr">
        <is>
          <t xml:space="preserve">broad_maritime</t>
        </is>
      </c>
      <c r="D5492" s="4">
        <v>0.0</v>
      </c>
      <c r="E5492" s="0" t="inlineStr">
        <is>
          <t xml:space="preserve">SHINKO CO.,LTD.</t>
        </is>
      </c>
      <c r="F5492" s="0" t="inlineStr">
        <is>
          <t xml:space="preserve">naics:336611</t>
        </is>
      </c>
    </row>
    <row r="5493">
      <c r="B5493" s="0" t="inlineStr">
        <is>
          <t xml:space="preserve">N6824612G0009</t>
        </is>
      </c>
      <c r="C5493" s="0" t="inlineStr">
        <is>
          <t xml:space="preserve">broad_maritime</t>
        </is>
      </c>
      <c r="D5493" s="4">
        <v>0.0</v>
      </c>
      <c r="E5493" s="0" t="inlineStr">
        <is>
          <t xml:space="preserve">ITO IRON WORKS &amp; SHIPBUILDING CO., LTD.</t>
        </is>
      </c>
      <c r="F5493" s="0" t="inlineStr">
        <is>
          <t xml:space="preserve">naics:336611</t>
        </is>
      </c>
    </row>
    <row r="5494">
      <c r="B5494" s="0" t="inlineStr">
        <is>
          <t xml:space="preserve">N6817117G0006</t>
        </is>
      </c>
      <c r="C5494" s="0" t="inlineStr">
        <is>
          <t xml:space="preserve">broad_maritime</t>
        </is>
      </c>
      <c r="D5494" s="4">
        <v>0.0</v>
      </c>
      <c r="E5494" s="0" t="inlineStr">
        <is>
          <t xml:space="preserve">PANAGIOTIS THEODOROPOULOS SHIP REPAIRS LTD</t>
        </is>
      </c>
      <c r="F5494" s="0" t="inlineStr">
        <is>
          <t xml:space="preserve">naics:336611</t>
        </is>
      </c>
    </row>
    <row r="5495">
      <c r="B5495" s="0" t="inlineStr">
        <is>
          <t xml:space="preserve">N6449821G4002</t>
        </is>
      </c>
      <c r="C5495" s="0" t="inlineStr">
        <is>
          <t xml:space="preserve">broad_maritime</t>
        </is>
      </c>
      <c r="D5495" s="4">
        <v>0.0</v>
      </c>
      <c r="E5495" s="0" t="inlineStr">
        <is>
          <t xml:space="preserve">L3HARRIS MARITIME SERVICES INC</t>
        </is>
      </c>
      <c r="F5495" s="0" t="inlineStr">
        <is>
          <t xml:space="preserve">naics:336611; psc:2090</t>
        </is>
      </c>
    </row>
    <row r="5496">
      <c r="B5496" s="0" t="inlineStr">
        <is>
          <t xml:space="preserve">N6279320G0001</t>
        </is>
      </c>
      <c r="C5496" s="0" t="inlineStr">
        <is>
          <t xml:space="preserve">broad_maritime</t>
        </is>
      </c>
      <c r="D5496" s="4">
        <v>0.0</v>
      </c>
      <c r="E5496" s="0" t="inlineStr">
        <is>
          <t xml:space="preserve">HUNTINGTON INGALLS INC</t>
        </is>
      </c>
      <c r="F5496" s="0" t="inlineStr">
        <is>
          <t xml:space="preserve">naics:336611; psc:1905</t>
        </is>
      </c>
    </row>
    <row r="5497">
      <c r="B5497" s="0" t="inlineStr">
        <is>
          <t xml:space="preserve">N6278922A0002</t>
        </is>
      </c>
      <c r="C5497" s="0" t="inlineStr">
        <is>
          <t xml:space="preserve">broad_maritime</t>
        </is>
      </c>
      <c r="D5497" s="4">
        <v>0.0</v>
      </c>
      <c r="E5497" s="0" t="inlineStr">
        <is>
          <t xml:space="preserve">OCEANEERING INTERNATIONAL INC</t>
        </is>
      </c>
      <c r="F5497" s="0" t="inlineStr">
        <is>
          <t xml:space="preserve">naics:336611</t>
        </is>
      </c>
    </row>
    <row r="5498">
      <c r="B5498" s="0" t="inlineStr">
        <is>
          <t xml:space="preserve">N6278922A0001</t>
        </is>
      </c>
      <c r="C5498" s="0" t="inlineStr">
        <is>
          <t xml:space="preserve">broad_maritime</t>
        </is>
      </c>
      <c r="D5498" s="4">
        <v>0.0</v>
      </c>
      <c r="E5498" s="0" t="inlineStr">
        <is>
          <t xml:space="preserve">GENERAL DYNAMICS INFORMATION TECHNOLOGY, INC.</t>
        </is>
      </c>
      <c r="F5498" s="0" t="inlineStr">
        <is>
          <t xml:space="preserve">naics:336611</t>
        </is>
      </c>
    </row>
    <row r="5499">
      <c r="B5499" s="0" t="inlineStr">
        <is>
          <t xml:space="preserve">N6278917A0003</t>
        </is>
      </c>
      <c r="C5499" s="0" t="inlineStr">
        <is>
          <t xml:space="preserve">broad_maritime</t>
        </is>
      </c>
      <c r="D5499" s="4">
        <v>0.0</v>
      </c>
      <c r="E5499" s="0" t="inlineStr">
        <is>
          <t xml:space="preserve">OCEANEERING INTERNATIONAL INC</t>
        </is>
      </c>
      <c r="F5499" s="0" t="inlineStr">
        <is>
          <t xml:space="preserve">naics:336611</t>
        </is>
      </c>
    </row>
    <row r="5500">
      <c r="B5500" s="0" t="inlineStr">
        <is>
          <t xml:space="preserve">N6278917A0002</t>
        </is>
      </c>
      <c r="C5500" s="0" t="inlineStr">
        <is>
          <t xml:space="preserve">broad_maritime</t>
        </is>
      </c>
      <c r="D5500" s="4">
        <v>0.0</v>
      </c>
      <c r="E5500" s="0" t="inlineStr">
        <is>
          <t xml:space="preserve">L3HARRIS MARITIME SERVICES INC</t>
        </is>
      </c>
      <c r="F5500" s="0" t="inlineStr">
        <is>
          <t xml:space="preserve">naics:336611</t>
        </is>
      </c>
    </row>
    <row r="5501">
      <c r="B5501" s="0" t="inlineStr">
        <is>
          <t xml:space="preserve">N6278917A0001</t>
        </is>
      </c>
      <c r="C5501" s="0" t="inlineStr">
        <is>
          <t xml:space="preserve">broad_maritime</t>
        </is>
      </c>
      <c r="D5501" s="4">
        <v>0.0</v>
      </c>
      <c r="E5501" s="0" t="inlineStr">
        <is>
          <t xml:space="preserve">GENERAL DYNAMICS INFORMATION TECHNOLOGY, INC.</t>
        </is>
      </c>
      <c r="F5501" s="0" t="inlineStr">
        <is>
          <t xml:space="preserve">naics:336611</t>
        </is>
      </c>
    </row>
    <row r="5502">
      <c r="B5502" s="0" t="inlineStr">
        <is>
          <t xml:space="preserve">N6278916G0001</t>
        </is>
      </c>
      <c r="C5502" s="0" t="inlineStr">
        <is>
          <t xml:space="preserve">broad_maritime</t>
        </is>
      </c>
      <c r="D5502" s="4">
        <v>0.0</v>
      </c>
      <c r="E5502" s="0" t="inlineStr">
        <is>
          <t xml:space="preserve">ELECTRIC BOAT CORPORATION</t>
        </is>
      </c>
      <c r="F5502" s="0" t="inlineStr">
        <is>
          <t xml:space="preserve">naics:336611</t>
        </is>
      </c>
    </row>
    <row r="5503">
      <c r="B5503" s="0" t="inlineStr">
        <is>
          <t xml:space="preserve">N6278913G0001</t>
        </is>
      </c>
      <c r="C5503" s="0" t="inlineStr">
        <is>
          <t xml:space="preserve">broad_maritime</t>
        </is>
      </c>
      <c r="D5503" s="4">
        <v>0.0</v>
      </c>
      <c r="E5503" s="0" t="inlineStr">
        <is>
          <t xml:space="preserve">ELECTRIC BOAT CORPORATION</t>
        </is>
      </c>
      <c r="F5503" s="0" t="inlineStr">
        <is>
          <t xml:space="preserve">naics:336611; psc:1905</t>
        </is>
      </c>
    </row>
    <row r="5504">
      <c r="B5504" s="0" t="inlineStr">
        <is>
          <t xml:space="preserve">N6278910G0001</t>
        </is>
      </c>
      <c r="C5504" s="0" t="inlineStr">
        <is>
          <t xml:space="preserve">broad_maritime</t>
        </is>
      </c>
      <c r="D5504" s="4">
        <v>0.0</v>
      </c>
      <c r="E5504" s="0" t="inlineStr">
        <is>
          <t xml:space="preserve">ELECTRIC BOAT CORPORATION</t>
        </is>
      </c>
      <c r="F5504" s="0" t="inlineStr">
        <is>
          <t xml:space="preserve">naics:336611</t>
        </is>
      </c>
    </row>
    <row r="5505">
      <c r="B5505" s="0" t="inlineStr">
        <is>
          <t xml:space="preserve">N6264925GR003</t>
        </is>
      </c>
      <c r="C5505" s="0" t="inlineStr">
        <is>
          <t xml:space="preserve">broad_maritime</t>
        </is>
      </c>
      <c r="D5505" s="4">
        <v>0.0</v>
      </c>
      <c r="E5505" s="0" t="inlineStr">
        <is>
          <t xml:space="preserve">FOSTER ASIA PACIFIC PTE LTD</t>
        </is>
      </c>
      <c r="F5505" s="0" t="inlineStr">
        <is>
          <t xml:space="preserve">naics:336611</t>
        </is>
      </c>
    </row>
    <row r="5506">
      <c r="B5506" s="0" t="inlineStr">
        <is>
          <t xml:space="preserve">N6264925GL002</t>
        </is>
      </c>
      <c r="C5506" s="0" t="inlineStr">
        <is>
          <t xml:space="preserve">broad_maritime</t>
        </is>
      </c>
      <c r="D5506" s="4">
        <v>0.0</v>
      </c>
      <c r="E5506" s="0" t="inlineStr">
        <is>
          <t xml:space="preserve">BRIGHTSUN MARINE PTE LTD</t>
        </is>
      </c>
      <c r="F5506" s="0" t="inlineStr">
        <is>
          <t xml:space="preserve">naics:336611</t>
        </is>
      </c>
    </row>
    <row r="5507">
      <c r="B5507" s="0" t="inlineStr">
        <is>
          <t xml:space="preserve">N6264925GL001</t>
        </is>
      </c>
      <c r="C5507" s="0" t="inlineStr">
        <is>
          <t xml:space="preserve">broad_maritime</t>
        </is>
      </c>
      <c r="D5507" s="4">
        <v>0.0</v>
      </c>
      <c r="E5507" s="0" t="inlineStr">
        <is>
          <t xml:space="preserve">GOLTENS SINGAPORE PTE. LTD.</t>
        </is>
      </c>
      <c r="F5507" s="0" t="inlineStr">
        <is>
          <t xml:space="preserve">naics:336611</t>
        </is>
      </c>
    </row>
    <row r="5508">
      <c r="B5508" s="0" t="inlineStr">
        <is>
          <t xml:space="preserve">N6264925GKA03</t>
        </is>
      </c>
      <c r="C5508" s="0" t="inlineStr">
        <is>
          <t xml:space="preserve">broad_maritime</t>
        </is>
      </c>
      <c r="D5508" s="4">
        <v>0.0</v>
      </c>
      <c r="E5508" s="0" t="inlineStr">
        <is>
          <t xml:space="preserve">DSK CO., LTD.</t>
        </is>
      </c>
      <c r="F5508" s="0" t="inlineStr">
        <is>
          <t xml:space="preserve">naics:336611</t>
        </is>
      </c>
    </row>
    <row r="5509">
      <c r="B5509" s="0" t="inlineStr">
        <is>
          <t xml:space="preserve">N6264925GKA01</t>
        </is>
      </c>
      <c r="C5509" s="0" t="inlineStr">
        <is>
          <t xml:space="preserve">broad_maritime</t>
        </is>
      </c>
      <c r="D5509" s="4">
        <v>0.0</v>
      </c>
      <c r="E5509" s="0" t="inlineStr">
        <is>
          <t xml:space="preserve">ORIENT SHIPYARD AND MARINE SERVICE INC.</t>
        </is>
      </c>
      <c r="F5509" s="0" t="inlineStr">
        <is>
          <t xml:space="preserve">naics:336611</t>
        </is>
      </c>
    </row>
    <row r="5510">
      <c r="B5510" s="0" t="inlineStr">
        <is>
          <t xml:space="preserve">N6264925GK002</t>
        </is>
      </c>
      <c r="C5510" s="0" t="inlineStr">
        <is>
          <t xml:space="preserve">broad_maritime</t>
        </is>
      </c>
      <c r="D5510" s="4">
        <v>0.0</v>
      </c>
      <c r="E5510" s="0" t="inlineStr">
        <is>
          <t xml:space="preserve">INTERNATIONAL MARINE COMPANY</t>
        </is>
      </c>
      <c r="F5510" s="0" t="inlineStr">
        <is>
          <t xml:space="preserve">naics:336611</t>
        </is>
      </c>
    </row>
    <row r="5511">
      <c r="B5511" s="0" t="inlineStr">
        <is>
          <t xml:space="preserve">N6264925GK001</t>
        </is>
      </c>
      <c r="C5511" s="0" t="inlineStr">
        <is>
          <t xml:space="preserve">broad_maritime</t>
        </is>
      </c>
      <c r="D5511" s="4">
        <v>0.0</v>
      </c>
      <c r="E5511" s="0" t="inlineStr">
        <is>
          <t xml:space="preserve">DS MARINE SERVICE</t>
        </is>
      </c>
      <c r="F5511" s="0" t="inlineStr">
        <is>
          <t xml:space="preserve">naics:336611</t>
        </is>
      </c>
    </row>
    <row r="5512">
      <c r="B5512" s="0" t="inlineStr">
        <is>
          <t xml:space="preserve">N6264924G0003</t>
        </is>
      </c>
      <c r="C5512" s="0" t="inlineStr">
        <is>
          <t xml:space="preserve">broad_maritime</t>
        </is>
      </c>
      <c r="D5512" s="4">
        <v>0.0</v>
      </c>
      <c r="E5512" s="0" t="inlineStr">
        <is>
          <t xml:space="preserve">JONGHAP MARITIME INC.</t>
        </is>
      </c>
      <c r="F5512" s="0" t="inlineStr">
        <is>
          <t xml:space="preserve">naics:336611</t>
        </is>
      </c>
    </row>
    <row r="5513">
      <c r="B5513" s="0" t="inlineStr">
        <is>
          <t xml:space="preserve">N6264924G0001</t>
        </is>
      </c>
      <c r="C5513" s="0" t="inlineStr">
        <is>
          <t xml:space="preserve">broad_maritime</t>
        </is>
      </c>
      <c r="D5513" s="4">
        <v>0.0</v>
      </c>
      <c r="E5513" s="0" t="inlineStr">
        <is>
          <t xml:space="preserve">SUNJIN ENTECH CO.,LTD.</t>
        </is>
      </c>
      <c r="F5513" s="0" t="inlineStr">
        <is>
          <t xml:space="preserve">naics:336611</t>
        </is>
      </c>
    </row>
    <row r="5514">
      <c r="B5514" s="0" t="inlineStr">
        <is>
          <t xml:space="preserve">N6264923G0010</t>
        </is>
      </c>
      <c r="C5514" s="0" t="inlineStr">
        <is>
          <t xml:space="preserve">broad_maritime</t>
        </is>
      </c>
      <c r="D5514" s="4">
        <v>0.0</v>
      </c>
      <c r="E5514" s="0" t="inlineStr">
        <is>
          <t xml:space="preserve">MITSUBISHI HEAVY INDUSTRIES, LTD</t>
        </is>
      </c>
      <c r="F5514" s="0" t="inlineStr">
        <is>
          <t xml:space="preserve">naics:336611</t>
        </is>
      </c>
    </row>
    <row r="5515">
      <c r="B5515" s="0" t="inlineStr">
        <is>
          <t xml:space="preserve">N6264923G0008</t>
        </is>
      </c>
      <c r="C5515" s="0" t="inlineStr">
        <is>
          <t xml:space="preserve">broad_maritime</t>
        </is>
      </c>
      <c r="D5515" s="4">
        <v>0.0</v>
      </c>
      <c r="E5515" s="0" t="inlineStr">
        <is>
          <t xml:space="preserve">SHIN-ITOMAN SHIP YARD CO.,LTD</t>
        </is>
      </c>
      <c r="F5515" s="0" t="inlineStr">
        <is>
          <t xml:space="preserve">naics:336611</t>
        </is>
      </c>
    </row>
    <row r="5516">
      <c r="B5516" s="0" t="inlineStr">
        <is>
          <t xml:space="preserve">N6264923G0007</t>
        </is>
      </c>
      <c r="C5516" s="0" t="inlineStr">
        <is>
          <t xml:space="preserve">broad_maritime</t>
        </is>
      </c>
      <c r="D5516" s="4">
        <v>0.0</v>
      </c>
      <c r="E5516" s="0" t="inlineStr">
        <is>
          <t xml:space="preserve">ETAJIMA SHIPBUILDING CO., LTD.</t>
        </is>
      </c>
      <c r="F5516" s="0" t="inlineStr">
        <is>
          <t xml:space="preserve">naics:336611</t>
        </is>
      </c>
    </row>
    <row r="5517">
      <c r="B5517" s="0" t="inlineStr">
        <is>
          <t xml:space="preserve">N6264923G0006</t>
        </is>
      </c>
      <c r="C5517" s="0" t="inlineStr">
        <is>
          <t xml:space="preserve">broad_maritime</t>
        </is>
      </c>
      <c r="D5517" s="4">
        <v>0.0</v>
      </c>
      <c r="E5517" s="0" t="inlineStr">
        <is>
          <t xml:space="preserve">OKINAWA KIKAI SEIBI, K.K.</t>
        </is>
      </c>
      <c r="F5517" s="0" t="inlineStr">
        <is>
          <t xml:space="preserve">naics:336611</t>
        </is>
      </c>
    </row>
    <row r="5518">
      <c r="B5518" s="0" t="inlineStr">
        <is>
          <t xml:space="preserve">N6264923G0005</t>
        </is>
      </c>
      <c r="C5518" s="0" t="inlineStr">
        <is>
          <t xml:space="preserve">broad_maritime</t>
        </is>
      </c>
      <c r="D5518" s="4">
        <v>0.0</v>
      </c>
      <c r="E5518" s="0" t="inlineStr">
        <is>
          <t xml:space="preserve">YOKOHAMA ENGINEERING WORKS, LTD.</t>
        </is>
      </c>
      <c r="F5518" s="0" t="inlineStr">
        <is>
          <t xml:space="preserve">naics:336611</t>
        </is>
      </c>
    </row>
    <row r="5519">
      <c r="B5519" s="0" t="inlineStr">
        <is>
          <t xml:space="preserve">N6264923G0004</t>
        </is>
      </c>
      <c r="C5519" s="0" t="inlineStr">
        <is>
          <t xml:space="preserve">broad_maritime</t>
        </is>
      </c>
      <c r="D5519" s="4">
        <v>0.0</v>
      </c>
      <c r="E5519" s="0" t="inlineStr">
        <is>
          <t xml:space="preserve">SASEBO HEAVY INDUSTRIES CO., LTD.</t>
        </is>
      </c>
      <c r="F5519" s="0" t="inlineStr">
        <is>
          <t xml:space="preserve">naics:336611</t>
        </is>
      </c>
    </row>
    <row r="5520">
      <c r="B5520" s="0" t="inlineStr">
        <is>
          <t xml:space="preserve">N6264922G0007</t>
        </is>
      </c>
      <c r="C5520" s="0" t="inlineStr">
        <is>
          <t xml:space="preserve">broad_maritime</t>
        </is>
      </c>
      <c r="D5520" s="4">
        <v>0.0</v>
      </c>
      <c r="E5520" s="0" t="inlineStr">
        <is>
          <t xml:space="preserve">SAN DENSHI KOGYO CO.,LTD.</t>
        </is>
      </c>
      <c r="F5520" s="0" t="inlineStr">
        <is>
          <t xml:space="preserve">naics:336611</t>
        </is>
      </c>
    </row>
    <row r="5521">
      <c r="B5521" s="0" t="inlineStr">
        <is>
          <t xml:space="preserve">N6264922G0006</t>
        </is>
      </c>
      <c r="C5521" s="0" t="inlineStr">
        <is>
          <t xml:space="preserve">broad_maritime</t>
        </is>
      </c>
      <c r="D5521" s="4">
        <v>0.0</v>
      </c>
      <c r="E5521" s="0" t="inlineStr">
        <is>
          <t xml:space="preserve">HOSEI CO., LTD.</t>
        </is>
      </c>
      <c r="F5521" s="0" t="inlineStr">
        <is>
          <t xml:space="preserve">naics:336611</t>
        </is>
      </c>
    </row>
    <row r="5522">
      <c r="B5522" s="0" t="inlineStr">
        <is>
          <t xml:space="preserve">N6264922G0005</t>
        </is>
      </c>
      <c r="C5522" s="0" t="inlineStr">
        <is>
          <t xml:space="preserve">broad_maritime</t>
        </is>
      </c>
      <c r="D5522" s="4">
        <v>0.0</v>
      </c>
      <c r="E5522" s="0" t="inlineStr">
        <is>
          <t xml:space="preserve">SIGMA, K.K.</t>
        </is>
      </c>
      <c r="F5522" s="0" t="inlineStr">
        <is>
          <t xml:space="preserve">naics:336611</t>
        </is>
      </c>
    </row>
    <row r="5523">
      <c r="B5523" s="0" t="inlineStr">
        <is>
          <t xml:space="preserve">N6264922G0004</t>
        </is>
      </c>
      <c r="C5523" s="0" t="inlineStr">
        <is>
          <t xml:space="preserve">broad_maritime</t>
        </is>
      </c>
      <c r="D5523" s="4">
        <v>0.0</v>
      </c>
      <c r="E5523" s="0" t="inlineStr">
        <is>
          <t xml:space="preserve">SUDO SANGYO CO., LTD.</t>
        </is>
      </c>
      <c r="F5523" s="0" t="inlineStr">
        <is>
          <t xml:space="preserve">naics:336611</t>
        </is>
      </c>
    </row>
    <row r="5524">
      <c r="B5524" s="0" t="inlineStr">
        <is>
          <t xml:space="preserve">N6264922G0003</t>
        </is>
      </c>
      <c r="C5524" s="0" t="inlineStr">
        <is>
          <t xml:space="preserve">broad_maritime</t>
        </is>
      </c>
      <c r="D5524" s="4">
        <v>0.0</v>
      </c>
      <c r="E5524" s="0" t="inlineStr">
        <is>
          <t xml:space="preserve">YAMAGUCHI KIKO CO. LTD.</t>
        </is>
      </c>
      <c r="F5524" s="0" t="inlineStr">
        <is>
          <t xml:space="preserve">naics:336611</t>
        </is>
      </c>
    </row>
    <row r="5525">
      <c r="B5525" s="0" t="inlineStr">
        <is>
          <t xml:space="preserve">N6264922G0002</t>
        </is>
      </c>
      <c r="C5525" s="0" t="inlineStr">
        <is>
          <t xml:space="preserve">broad_maritime</t>
        </is>
      </c>
      <c r="D5525" s="4">
        <v>0.0</v>
      </c>
      <c r="E5525" s="0" t="inlineStr">
        <is>
          <t xml:space="preserve">JAPAN MARINE UNITED CORPORATION</t>
        </is>
      </c>
      <c r="F5525" s="0" t="inlineStr">
        <is>
          <t xml:space="preserve">naics:336611</t>
        </is>
      </c>
    </row>
    <row r="5526">
      <c r="B5526" s="0" t="inlineStr">
        <is>
          <t xml:space="preserve">N6264921G0002</t>
        </is>
      </c>
      <c r="C5526" s="0" t="inlineStr">
        <is>
          <t xml:space="preserve">broad_maritime</t>
        </is>
      </c>
      <c r="D5526" s="4">
        <v>0.0</v>
      </c>
      <c r="E5526" s="0" t="inlineStr">
        <is>
          <t xml:space="preserve">SUMITOMO HEAVY INDUSTRIES, LTD</t>
        </is>
      </c>
      <c r="F5526" s="0" t="inlineStr">
        <is>
          <t xml:space="preserve">naics:336611</t>
        </is>
      </c>
    </row>
    <row r="5527">
      <c r="B5527" s="0" t="inlineStr">
        <is>
          <t xml:space="preserve">N6264921G0001</t>
        </is>
      </c>
      <c r="C5527" s="0" t="inlineStr">
        <is>
          <t xml:space="preserve">broad_maritime</t>
        </is>
      </c>
      <c r="D5527" s="4">
        <v>0.0</v>
      </c>
      <c r="E5527" s="0" t="inlineStr">
        <is>
          <t xml:space="preserve">KEIHIN DOCK CO., LTD.</t>
        </is>
      </c>
      <c r="F5527" s="0" t="inlineStr">
        <is>
          <t xml:space="preserve">naics:336611</t>
        </is>
      </c>
    </row>
    <row r="5528">
      <c r="B5528" s="0" t="inlineStr">
        <is>
          <t xml:space="preserve">N6264920G0007</t>
        </is>
      </c>
      <c r="C5528" s="0" t="inlineStr">
        <is>
          <t xml:space="preserve">broad_maritime</t>
        </is>
      </c>
      <c r="D5528" s="4">
        <v>0.0</v>
      </c>
      <c r="E5528" s="0" t="inlineStr">
        <is>
          <t xml:space="preserve">NISSHIN KOGYO CO.,LTD.</t>
        </is>
      </c>
      <c r="F5528" s="0" t="inlineStr">
        <is>
          <t xml:space="preserve">naics:336611</t>
        </is>
      </c>
    </row>
    <row r="5529">
      <c r="B5529" s="0" t="inlineStr">
        <is>
          <t xml:space="preserve">N6264920G0006</t>
        </is>
      </c>
      <c r="C5529" s="0" t="inlineStr">
        <is>
          <t xml:space="preserve">broad_maritime</t>
        </is>
      </c>
      <c r="D5529" s="4">
        <v>0.0</v>
      </c>
      <c r="E5529" s="0" t="inlineStr">
        <is>
          <t xml:space="preserve">YOSHITOMI KOSAN CO., LTD</t>
        </is>
      </c>
      <c r="F5529" s="0" t="inlineStr">
        <is>
          <t xml:space="preserve">naics:336611</t>
        </is>
      </c>
    </row>
    <row r="5530">
      <c r="B5530" s="0" t="inlineStr">
        <is>
          <t xml:space="preserve">N6264920G0005</t>
        </is>
      </c>
      <c r="C5530" s="0" t="inlineStr">
        <is>
          <t xml:space="preserve">broad_maritime</t>
        </is>
      </c>
      <c r="D5530" s="4">
        <v>0.0</v>
      </c>
      <c r="E5530" s="0" t="inlineStr">
        <is>
          <t xml:space="preserve">JONGHAP MARITIME INC.</t>
        </is>
      </c>
      <c r="F5530" s="0" t="inlineStr">
        <is>
          <t xml:space="preserve">naics:336611</t>
        </is>
      </c>
    </row>
    <row r="5531">
      <c r="B5531" s="0" t="inlineStr">
        <is>
          <t xml:space="preserve">N6264920G0004</t>
        </is>
      </c>
      <c r="C5531" s="0" t="inlineStr">
        <is>
          <t xml:space="preserve">broad_maritime</t>
        </is>
      </c>
      <c r="D5531" s="4">
        <v>0.0</v>
      </c>
      <c r="E5531" s="0" t="inlineStr">
        <is>
          <t xml:space="preserve">HAEDONG MARINE SERVICE CO.,LTD</t>
        </is>
      </c>
      <c r="F5531" s="0" t="inlineStr">
        <is>
          <t xml:space="preserve">naics:336611</t>
        </is>
      </c>
    </row>
    <row r="5532">
      <c r="B5532" s="0" t="inlineStr">
        <is>
          <t xml:space="preserve">N6264920G0003</t>
        </is>
      </c>
      <c r="C5532" s="0" t="inlineStr">
        <is>
          <t xml:space="preserve">broad_maritime</t>
        </is>
      </c>
      <c r="D5532" s="4">
        <v>0.0</v>
      </c>
      <c r="E5532" s="0" t="inlineStr">
        <is>
          <t xml:space="preserve">SUNJIN ENTECH CO.,LTD.</t>
        </is>
      </c>
      <c r="F5532" s="0" t="inlineStr">
        <is>
          <t xml:space="preserve">naics:336611</t>
        </is>
      </c>
    </row>
    <row r="5533">
      <c r="B5533" s="0" t="inlineStr">
        <is>
          <t xml:space="preserve">N6264920G0002</t>
        </is>
      </c>
      <c r="C5533" s="0" t="inlineStr">
        <is>
          <t xml:space="preserve">broad_maritime</t>
        </is>
      </c>
      <c r="D5533" s="4">
        <v>0.0</v>
      </c>
      <c r="E5533" s="0" t="inlineStr">
        <is>
          <t xml:space="preserve">INTERNATIONAL MARINE COMPANY</t>
        </is>
      </c>
      <c r="F5533" s="0" t="inlineStr">
        <is>
          <t xml:space="preserve">naics:336611</t>
        </is>
      </c>
    </row>
    <row r="5534">
      <c r="B5534" s="0" t="inlineStr">
        <is>
          <t xml:space="preserve">N6264919G0001</t>
        </is>
      </c>
      <c r="C5534" s="0" t="inlineStr">
        <is>
          <t xml:space="preserve">broad_maritime</t>
        </is>
      </c>
      <c r="D5534" s="4">
        <v>0.0</v>
      </c>
      <c r="E5534" s="0" t="inlineStr">
        <is>
          <t xml:space="preserve">MITSUI E&amp;S HOLDINGS CO., LTD.</t>
        </is>
      </c>
      <c r="F5534" s="0" t="inlineStr">
        <is>
          <t xml:space="preserve">naics:336611</t>
        </is>
      </c>
    </row>
    <row r="5535">
      <c r="B5535" s="0" t="inlineStr">
        <is>
          <t xml:space="preserve">N6264918G0008</t>
        </is>
      </c>
      <c r="C5535" s="0" t="inlineStr">
        <is>
          <t xml:space="preserve">broad_maritime</t>
        </is>
      </c>
      <c r="D5535" s="4">
        <v>0.0</v>
      </c>
      <c r="E5535" s="0" t="inlineStr">
        <is>
          <t xml:space="preserve">NAKATANI SHIPBUILDING CO., LTD.</t>
        </is>
      </c>
      <c r="F5535" s="0" t="inlineStr">
        <is>
          <t xml:space="preserve">naics:336611</t>
        </is>
      </c>
    </row>
    <row r="5536">
      <c r="B5536" s="0" t="inlineStr">
        <is>
          <t xml:space="preserve">N6264918G0007</t>
        </is>
      </c>
      <c r="C5536" s="0" t="inlineStr">
        <is>
          <t xml:space="preserve">broad_maritime</t>
        </is>
      </c>
      <c r="D5536" s="4">
        <v>0.0</v>
      </c>
      <c r="E5536" s="0" t="inlineStr">
        <is>
          <t xml:space="preserve">ETAJIMA SHIPBUILDING CO., LTD.</t>
        </is>
      </c>
      <c r="F5536" s="0" t="inlineStr">
        <is>
          <t xml:space="preserve">naics:336611</t>
        </is>
      </c>
    </row>
    <row r="5537">
      <c r="B5537" s="0" t="inlineStr">
        <is>
          <t xml:space="preserve">N6264918G0006</t>
        </is>
      </c>
      <c r="C5537" s="0" t="inlineStr">
        <is>
          <t xml:space="preserve">broad_maritime</t>
        </is>
      </c>
      <c r="D5537" s="4">
        <v>0.0</v>
      </c>
      <c r="E5537" s="0" t="inlineStr">
        <is>
          <t xml:space="preserve">SHIN-ITOMAN SHIP YARD CO.,LTD</t>
        </is>
      </c>
      <c r="F5537" s="0" t="inlineStr">
        <is>
          <t xml:space="preserve">naics:336611</t>
        </is>
      </c>
    </row>
    <row r="5538">
      <c r="B5538" s="0" t="inlineStr">
        <is>
          <t xml:space="preserve">N6264918G0005</t>
        </is>
      </c>
      <c r="C5538" s="0" t="inlineStr">
        <is>
          <t xml:space="preserve">broad_maritime</t>
        </is>
      </c>
      <c r="D5538" s="4">
        <v>0.0</v>
      </c>
      <c r="E5538" s="0" t="inlineStr">
        <is>
          <t xml:space="preserve">OKINAWA KIKAI SEIBI, K.K.</t>
        </is>
      </c>
      <c r="F5538" s="0" t="inlineStr">
        <is>
          <t xml:space="preserve">naics:336611</t>
        </is>
      </c>
    </row>
    <row r="5539">
      <c r="B5539" s="0" t="inlineStr">
        <is>
          <t xml:space="preserve">N6264918G0004</t>
        </is>
      </c>
      <c r="C5539" s="0" t="inlineStr">
        <is>
          <t xml:space="preserve">broad_maritime</t>
        </is>
      </c>
      <c r="D5539" s="4">
        <v>0.0</v>
      </c>
      <c r="E5539" s="0" t="inlineStr">
        <is>
          <t xml:space="preserve">MITSUBISHI HEAVY INDUSTRIES, LTD</t>
        </is>
      </c>
      <c r="F5539" s="0" t="inlineStr">
        <is>
          <t xml:space="preserve">naics:336611</t>
        </is>
      </c>
    </row>
    <row r="5540">
      <c r="B5540" s="0" t="inlineStr">
        <is>
          <t xml:space="preserve">N6264918G0003</t>
        </is>
      </c>
      <c r="C5540" s="0" t="inlineStr">
        <is>
          <t xml:space="preserve">broad_maritime</t>
        </is>
      </c>
      <c r="D5540" s="4">
        <v>0.0</v>
      </c>
      <c r="E5540" s="0" t="inlineStr">
        <is>
          <t xml:space="preserve">NIIGATA SHIPBUILDING &amp; REPAIR,INC.</t>
        </is>
      </c>
      <c r="F5540" s="0" t="inlineStr">
        <is>
          <t xml:space="preserve">naics:336611</t>
        </is>
      </c>
    </row>
    <row r="5541">
      <c r="B5541" s="0" t="inlineStr">
        <is>
          <t xml:space="preserve">N6264918G0002</t>
        </is>
      </c>
      <c r="C5541" s="0" t="inlineStr">
        <is>
          <t xml:space="preserve">broad_maritime</t>
        </is>
      </c>
      <c r="D5541" s="4">
        <v>0.0</v>
      </c>
      <c r="E5541" s="0" t="inlineStr">
        <is>
          <t xml:space="preserve">YOKOHAMA ENGINEERING WORKS, LTD.</t>
        </is>
      </c>
      <c r="F5541" s="0" t="inlineStr">
        <is>
          <t xml:space="preserve">naics:336611</t>
        </is>
      </c>
    </row>
    <row r="5542">
      <c r="B5542" s="0" t="inlineStr">
        <is>
          <t xml:space="preserve">N6264917G0008</t>
        </is>
      </c>
      <c r="C5542" s="0" t="inlineStr">
        <is>
          <t xml:space="preserve">broad_maritime</t>
        </is>
      </c>
      <c r="D5542" s="4">
        <v>0.0</v>
      </c>
      <c r="E5542" s="0" t="inlineStr">
        <is>
          <t xml:space="preserve">MITSUI E&amp;S HOLDINGS CO., LTD.</t>
        </is>
      </c>
      <c r="F5542" s="0" t="inlineStr">
        <is>
          <t xml:space="preserve">naics:336611</t>
        </is>
      </c>
    </row>
    <row r="5543">
      <c r="B5543" s="0" t="inlineStr">
        <is>
          <t xml:space="preserve">N6264917G0007</t>
        </is>
      </c>
      <c r="C5543" s="0" t="inlineStr">
        <is>
          <t xml:space="preserve">broad_maritime</t>
        </is>
      </c>
      <c r="D5543" s="4">
        <v>0.0</v>
      </c>
      <c r="E5543" s="0" t="inlineStr">
        <is>
          <t xml:space="preserve">JAPAN MARINE UNITED CORPORATION</t>
        </is>
      </c>
      <c r="F5543" s="0" t="inlineStr">
        <is>
          <t xml:space="preserve">naics:336611</t>
        </is>
      </c>
    </row>
    <row r="5544">
      <c r="B5544" s="0" t="inlineStr">
        <is>
          <t xml:space="preserve">N6264917G0006</t>
        </is>
      </c>
      <c r="C5544" s="0" t="inlineStr">
        <is>
          <t xml:space="preserve">broad_maritime</t>
        </is>
      </c>
      <c r="D5544" s="4">
        <v>0.0</v>
      </c>
      <c r="E5544" s="0" t="inlineStr">
        <is>
          <t xml:space="preserve">SUMITOMO HEAVY INDUSTRIES, LTD</t>
        </is>
      </c>
      <c r="F5544" s="0" t="inlineStr">
        <is>
          <t xml:space="preserve">naics:336611</t>
        </is>
      </c>
    </row>
    <row r="5545">
      <c r="B5545" s="0" t="inlineStr">
        <is>
          <t xml:space="preserve">N6264917G0004</t>
        </is>
      </c>
      <c r="C5545" s="0" t="inlineStr">
        <is>
          <t xml:space="preserve">broad_maritime</t>
        </is>
      </c>
      <c r="D5545" s="4">
        <v>0.0</v>
      </c>
      <c r="E5545" s="0" t="inlineStr">
        <is>
          <t xml:space="preserve">NISSHIN KOGYO CO.,LTD.</t>
        </is>
      </c>
      <c r="F5545" s="0" t="inlineStr">
        <is>
          <t xml:space="preserve">naics:336611</t>
        </is>
      </c>
    </row>
    <row r="5546">
      <c r="B5546" s="0" t="inlineStr">
        <is>
          <t xml:space="preserve">N6264917G0003</t>
        </is>
      </c>
      <c r="C5546" s="0" t="inlineStr">
        <is>
          <t xml:space="preserve">broad_maritime</t>
        </is>
      </c>
      <c r="D5546" s="4">
        <v>0.0</v>
      </c>
      <c r="E5546" s="0" t="inlineStr">
        <is>
          <t xml:space="preserve">YOSHITOMI KOSAN CO., LTD</t>
        </is>
      </c>
      <c r="F5546" s="0" t="inlineStr">
        <is>
          <t xml:space="preserve">naics:336611</t>
        </is>
      </c>
    </row>
    <row r="5547">
      <c r="B5547" s="0" t="inlineStr">
        <is>
          <t xml:space="preserve">N6264917G0002</t>
        </is>
      </c>
      <c r="C5547" s="0" t="inlineStr">
        <is>
          <t xml:space="preserve">broad_maritime</t>
        </is>
      </c>
      <c r="D5547" s="4">
        <v>0.0</v>
      </c>
      <c r="E5547" s="0" t="inlineStr">
        <is>
          <t xml:space="preserve">KEIHIN DOCK CO., LTD.</t>
        </is>
      </c>
      <c r="F5547" s="0" t="inlineStr">
        <is>
          <t xml:space="preserve">naics:336611</t>
        </is>
      </c>
    </row>
    <row r="5548">
      <c r="B5548" s="0" t="inlineStr">
        <is>
          <t xml:space="preserve">N6264915G0005</t>
        </is>
      </c>
      <c r="C5548" s="0" t="inlineStr">
        <is>
          <t xml:space="preserve">broad_maritime</t>
        </is>
      </c>
      <c r="D5548" s="4">
        <v>0.0</v>
      </c>
      <c r="E5548" s="0" t="inlineStr">
        <is>
          <t xml:space="preserve">SUNJIN ENTECH CO.,LTD.</t>
        </is>
      </c>
      <c r="F5548" s="0" t="inlineStr">
        <is>
          <t xml:space="preserve">naics:336611</t>
        </is>
      </c>
    </row>
    <row r="5549">
      <c r="B5549" s="0" t="inlineStr">
        <is>
          <t xml:space="preserve">N6264915G0004</t>
        </is>
      </c>
      <c r="C5549" s="0" t="inlineStr">
        <is>
          <t xml:space="preserve">broad_maritime</t>
        </is>
      </c>
      <c r="D5549" s="4">
        <v>0.0</v>
      </c>
      <c r="E5549" s="0" t="inlineStr">
        <is>
          <t xml:space="preserve">ORIENT SHIPYARD CO., LTD.</t>
        </is>
      </c>
      <c r="F5549" s="0" t="inlineStr">
        <is>
          <t xml:space="preserve">naics:336611</t>
        </is>
      </c>
    </row>
    <row r="5550">
      <c r="B5550" s="0" t="inlineStr">
        <is>
          <t xml:space="preserve">N6264915G0003</t>
        </is>
      </c>
      <c r="C5550" s="0" t="inlineStr">
        <is>
          <t xml:space="preserve">broad_maritime</t>
        </is>
      </c>
      <c r="D5550" s="4">
        <v>0.0</v>
      </c>
      <c r="E5550" s="0" t="inlineStr">
        <is>
          <t xml:space="preserve">HAEDONG MARINE SERVICE CO.,LTD</t>
        </is>
      </c>
      <c r="F5550" s="0" t="inlineStr">
        <is>
          <t xml:space="preserve">naics:336611</t>
        </is>
      </c>
    </row>
    <row r="5551">
      <c r="B5551" s="0" t="inlineStr">
        <is>
          <t xml:space="preserve">N6264915G0002</t>
        </is>
      </c>
      <c r="C5551" s="0" t="inlineStr">
        <is>
          <t xml:space="preserve">broad_maritime</t>
        </is>
      </c>
      <c r="D5551" s="4">
        <v>0.0</v>
      </c>
      <c r="E5551" s="0" t="inlineStr">
        <is>
          <t xml:space="preserve">JONGHAP MARITIME INC.</t>
        </is>
      </c>
      <c r="F5551" s="0" t="inlineStr">
        <is>
          <t xml:space="preserve">naics:336611</t>
        </is>
      </c>
    </row>
    <row r="5552">
      <c r="B5552" s="0" t="inlineStr">
        <is>
          <t xml:space="preserve">N6264915G0001</t>
        </is>
      </c>
      <c r="C5552" s="0" t="inlineStr">
        <is>
          <t xml:space="preserve">broad_maritime</t>
        </is>
      </c>
      <c r="D5552" s="4">
        <v>0.0</v>
      </c>
      <c r="E5552" s="0" t="inlineStr">
        <is>
          <t xml:space="preserve">INTERNATIONAL MARINE COMPANY</t>
        </is>
      </c>
      <c r="F5552" s="0" t="inlineStr">
        <is>
          <t xml:space="preserve">naics:336611</t>
        </is>
      </c>
    </row>
    <row r="5553">
      <c r="B5553" s="0" t="inlineStr">
        <is>
          <t xml:space="preserve">N6264914G0006</t>
        </is>
      </c>
      <c r="C5553" s="0" t="inlineStr">
        <is>
          <t xml:space="preserve">broad_maritime</t>
        </is>
      </c>
      <c r="D5553" s="4">
        <v>0.0</v>
      </c>
      <c r="E5553" s="0" t="inlineStr">
        <is>
          <t xml:space="preserve">SANKEI NAINENKI CO. LTD.</t>
        </is>
      </c>
      <c r="F5553" s="0" t="inlineStr">
        <is>
          <t xml:space="preserve">naics:336611</t>
        </is>
      </c>
    </row>
    <row r="5554">
      <c r="B5554" s="0" t="inlineStr">
        <is>
          <t xml:space="preserve">N6264914G0005</t>
        </is>
      </c>
      <c r="C5554" s="0" t="inlineStr">
        <is>
          <t xml:space="preserve">broad_maritime</t>
        </is>
      </c>
      <c r="D5554" s="4">
        <v>0.0</v>
      </c>
      <c r="E5554" s="0" t="inlineStr">
        <is>
          <t xml:space="preserve">YOKOHAMA ENGINEERING WORKS, LTD.</t>
        </is>
      </c>
      <c r="F5554" s="0" t="inlineStr">
        <is>
          <t xml:space="preserve">naics:336611</t>
        </is>
      </c>
    </row>
    <row r="5555">
      <c r="B5555" s="0" t="inlineStr">
        <is>
          <t xml:space="preserve">N6264911G0002</t>
        </is>
      </c>
      <c r="C5555" s="0" t="inlineStr">
        <is>
          <t xml:space="preserve">broad_maritime</t>
        </is>
      </c>
      <c r="D5555" s="4">
        <v>0.0</v>
      </c>
      <c r="E5555" s="0" t="inlineStr">
        <is>
          <t xml:space="preserve">JONGHAP MARITIME INC.</t>
        </is>
      </c>
      <c r="F5555" s="0" t="inlineStr">
        <is>
          <t xml:space="preserve">naics:336611</t>
        </is>
      </c>
    </row>
    <row r="5556">
      <c r="B5556" s="0" t="inlineStr">
        <is>
          <t xml:space="preserve">N6133124A0002</t>
        </is>
      </c>
      <c r="C5556" s="0" t="inlineStr">
        <is>
          <t xml:space="preserve">broad_maritime</t>
        </is>
      </c>
      <c r="D5556" s="4">
        <v>0.0</v>
      </c>
      <c r="E5556" s="0" t="inlineStr">
        <is>
          <t xml:space="preserve">ANCHOR INNOVATION, INC.</t>
        </is>
      </c>
      <c r="F5556" s="0" t="inlineStr">
        <is>
          <t xml:space="preserve">naics:336611</t>
        </is>
      </c>
    </row>
    <row r="5557">
      <c r="B5557" s="0" t="inlineStr">
        <is>
          <t xml:space="preserve">N6133124A0001</t>
        </is>
      </c>
      <c r="C5557" s="0" t="inlineStr">
        <is>
          <t xml:space="preserve">broad_maritime</t>
        </is>
      </c>
      <c r="D5557" s="4">
        <v>0.0</v>
      </c>
      <c r="E5557" s="0" t="inlineStr">
        <is>
          <t xml:space="preserve">SUNSET MARINE, INC.</t>
        </is>
      </c>
      <c r="F5557" s="0" t="inlineStr">
        <is>
          <t xml:space="preserve">naics:336611</t>
        </is>
      </c>
    </row>
    <row r="5558">
      <c r="B5558" s="0" t="inlineStr">
        <is>
          <t xml:space="preserve">N6133123A0002</t>
        </is>
      </c>
      <c r="C5558" s="0" t="inlineStr">
        <is>
          <t xml:space="preserve">broad_maritime</t>
        </is>
      </c>
      <c r="D5558" s="4">
        <v>0.0</v>
      </c>
      <c r="E5558" s="0" t="inlineStr">
        <is>
          <t xml:space="preserve">MONTGOMERY MOTORS LTD</t>
        </is>
      </c>
      <c r="F5558" s="0" t="inlineStr">
        <is>
          <t xml:space="preserve">naics:336611</t>
        </is>
      </c>
    </row>
    <row r="5559">
      <c r="B5559" s="0" t="inlineStr">
        <is>
          <t xml:space="preserve">N6133122A0001</t>
        </is>
      </c>
      <c r="C5559" s="0" t="inlineStr">
        <is>
          <t xml:space="preserve">broad_maritime</t>
        </is>
      </c>
      <c r="D5559" s="4">
        <v>0.0</v>
      </c>
      <c r="E5559" s="0" t="inlineStr">
        <is>
          <t xml:space="preserve">HYDRA MARINE LLC</t>
        </is>
      </c>
      <c r="F5559" s="0" t="inlineStr">
        <is>
          <t xml:space="preserve">naics:336611</t>
        </is>
      </c>
    </row>
    <row r="5560">
      <c r="B5560" s="0" t="inlineStr">
        <is>
          <t xml:space="preserve">N6133120A0004</t>
        </is>
      </c>
      <c r="C5560" s="0" t="inlineStr">
        <is>
          <t xml:space="preserve">broad_maritime</t>
        </is>
      </c>
      <c r="D5560" s="4">
        <v>0.0</v>
      </c>
      <c r="E5560" s="0" t="inlineStr">
        <is>
          <t xml:space="preserve">SHIP MAINTENANCE LLC</t>
        </is>
      </c>
      <c r="F5560" s="0" t="inlineStr">
        <is>
          <t xml:space="preserve">naics:336611</t>
        </is>
      </c>
    </row>
    <row r="5561">
      <c r="B5561" s="0" t="inlineStr">
        <is>
          <t xml:space="preserve">N4940013GA700</t>
        </is>
      </c>
      <c r="C5561" s="0" t="inlineStr">
        <is>
          <t xml:space="preserve">broad_maritime</t>
        </is>
      </c>
      <c r="D5561" s="4">
        <v>0.0</v>
      </c>
      <c r="E5561" s="0" t="inlineStr">
        <is>
          <t xml:space="preserve">HEAVY ENGINEERING INDUSTRIES AND SHIPBUILDING COMPANY K.S.C.</t>
        </is>
      </c>
      <c r="F5561" s="0" t="inlineStr">
        <is>
          <t xml:space="preserve">naics:336611</t>
        </is>
      </c>
    </row>
    <row r="5562">
      <c r="B5562" s="0" t="inlineStr">
        <is>
          <t xml:space="preserve">N4940013GA611</t>
        </is>
      </c>
      <c r="C5562" s="0" t="inlineStr">
        <is>
          <t xml:space="preserve">broad_maritime</t>
        </is>
      </c>
      <c r="D5562" s="4">
        <v>0.0</v>
      </c>
      <c r="E5562" s="0" t="inlineStr">
        <is>
          <t xml:space="preserve">GRANDWELD(BRANCH OF ATOS INTERNATIONAL)L.L.C</t>
        </is>
      </c>
      <c r="F5562" s="0" t="inlineStr">
        <is>
          <t xml:space="preserve">naics:336611</t>
        </is>
      </c>
    </row>
    <row r="5563">
      <c r="B5563" s="0" t="inlineStr">
        <is>
          <t xml:space="preserve">N4940013GA610</t>
        </is>
      </c>
      <c r="C5563" s="0" t="inlineStr">
        <is>
          <t xml:space="preserve">broad_maritime</t>
        </is>
      </c>
      <c r="D5563" s="4">
        <v>0.0</v>
      </c>
      <c r="E5563" s="0" t="inlineStr">
        <is>
          <t xml:space="preserve">MAN DIESEL &amp; TURBO MIDDLE EAST LLC</t>
        </is>
      </c>
      <c r="F5563" s="0" t="inlineStr">
        <is>
          <t xml:space="preserve">naics:336611</t>
        </is>
      </c>
    </row>
    <row r="5564">
      <c r="B5564" s="0" t="inlineStr">
        <is>
          <t xml:space="preserve">N4940013GA609</t>
        </is>
      </c>
      <c r="C5564" s="0" t="inlineStr">
        <is>
          <t xml:space="preserve">broad_maritime</t>
        </is>
      </c>
      <c r="D5564" s="4">
        <v>0.0</v>
      </c>
      <c r="E5564" s="0" t="inlineStr">
        <is>
          <t xml:space="preserve">WARTSILA LLC</t>
        </is>
      </c>
      <c r="F5564" s="0" t="inlineStr">
        <is>
          <t xml:space="preserve">naics:336611</t>
        </is>
      </c>
    </row>
    <row r="5565">
      <c r="B5565" s="0" t="inlineStr">
        <is>
          <t xml:space="preserve">N4940013GA607</t>
        </is>
      </c>
      <c r="C5565" s="0" t="inlineStr">
        <is>
          <t xml:space="preserve">broad_maritime</t>
        </is>
      </c>
      <c r="D5565" s="4">
        <v>0.0</v>
      </c>
      <c r="E5565" s="0" t="inlineStr">
        <is>
          <t xml:space="preserve">U M C INTERNATIONAL PLC</t>
        </is>
      </c>
      <c r="F5565" s="0" t="inlineStr">
        <is>
          <t xml:space="preserve">naics:336611</t>
        </is>
      </c>
    </row>
    <row r="5566">
      <c r="B5566" s="0" t="inlineStr">
        <is>
          <t xml:space="preserve">N4940013GA606</t>
        </is>
      </c>
      <c r="C5566" s="0" t="inlineStr">
        <is>
          <t xml:space="preserve">broad_maritime</t>
        </is>
      </c>
      <c r="D5566" s="4">
        <v>0.0</v>
      </c>
      <c r="E5566" s="0" t="inlineStr">
        <is>
          <t xml:space="preserve">NICO INTERNATIONAL (DUBAI BRANCH)</t>
        </is>
      </c>
      <c r="F5566" s="0" t="inlineStr">
        <is>
          <t xml:space="preserve">naics:336611</t>
        </is>
      </c>
    </row>
    <row r="5567">
      <c r="B5567" s="0" t="inlineStr">
        <is>
          <t xml:space="preserve">N4940013GA604</t>
        </is>
      </c>
      <c r="C5567" s="0" t="inlineStr">
        <is>
          <t xml:space="preserve">broad_maritime</t>
        </is>
      </c>
      <c r="D5567" s="4">
        <v>0.0</v>
      </c>
      <c r="E5567" s="0" t="inlineStr">
        <is>
          <t xml:space="preserve">ALBWARDY MARINE ENGINEERING</t>
        </is>
      </c>
      <c r="F5567" s="0" t="inlineStr">
        <is>
          <t xml:space="preserve">naics:336611</t>
        </is>
      </c>
    </row>
    <row r="5568">
      <c r="B5568" s="0" t="inlineStr">
        <is>
          <t xml:space="preserve">N4940013GA501</t>
        </is>
      </c>
      <c r="C5568" s="0" t="inlineStr">
        <is>
          <t xml:space="preserve">broad_maritime</t>
        </is>
      </c>
      <c r="D5568" s="4">
        <v>0.0</v>
      </c>
      <c r="E5568" s="0" t="inlineStr">
        <is>
          <t xml:space="preserve">BAHRAIN SHIP REPAIRING &amp; ENGINEERING CO.</t>
        </is>
      </c>
      <c r="F5568" s="0" t="inlineStr">
        <is>
          <t xml:space="preserve">naics:336611</t>
        </is>
      </c>
    </row>
    <row r="5569">
      <c r="B5569" s="0" t="inlineStr">
        <is>
          <t xml:space="preserve">N4940013GA500</t>
        </is>
      </c>
      <c r="C5569" s="0" t="inlineStr">
        <is>
          <t xml:space="preserve">broad_maritime</t>
        </is>
      </c>
      <c r="D5569" s="4">
        <v>0.0</v>
      </c>
      <c r="E5569" s="0" t="inlineStr">
        <is>
          <t xml:space="preserve">ARAB SHIPBUILDING &amp; REPAIR YARD CO. (ASRY)</t>
        </is>
      </c>
      <c r="F5569" s="0" t="inlineStr">
        <is>
          <t xml:space="preserve">naics:336611</t>
        </is>
      </c>
    </row>
    <row r="5570">
      <c r="B5570" s="0" t="inlineStr">
        <is>
          <t xml:space="preserve">N4523A20A0300</t>
        </is>
      </c>
      <c r="C5570" s="0" t="inlineStr">
        <is>
          <t xml:space="preserve">broad_maritime</t>
        </is>
      </c>
      <c r="D5570" s="4">
        <v>0.0</v>
      </c>
      <c r="E5570" s="0" t="inlineStr">
        <is>
          <t xml:space="preserve">CURTISS-WRIGHT ELECTRO-MECHANICAL CORPORATION</t>
        </is>
      </c>
      <c r="F5570" s="0" t="inlineStr">
        <is>
          <t xml:space="preserve">naics:336611; psc:1905</t>
        </is>
      </c>
    </row>
    <row r="5571">
      <c r="B5571" s="0" t="inlineStr">
        <is>
          <t xml:space="preserve">N4034524G0007</t>
        </is>
      </c>
      <c r="C5571" s="0" t="inlineStr">
        <is>
          <t xml:space="preserve">broad_maritime</t>
        </is>
      </c>
      <c r="D5571" s="4">
        <v>0.0</v>
      </c>
      <c r="E5571" s="0" t="inlineStr">
        <is>
          <t xml:space="preserve">HANWHA OCEAN CO., LTD.</t>
        </is>
      </c>
      <c r="F5571" s="0" t="inlineStr">
        <is>
          <t xml:space="preserve">naics:336611</t>
        </is>
      </c>
    </row>
    <row r="5572">
      <c r="B5572" s="0" t="inlineStr">
        <is>
          <t xml:space="preserve">N4034524G0006</t>
        </is>
      </c>
      <c r="C5572" s="0" t="inlineStr">
        <is>
          <t xml:space="preserve">broad_maritime</t>
        </is>
      </c>
      <c r="D5572" s="4">
        <v>0.0</v>
      </c>
      <c r="E5572" s="0" t="inlineStr">
        <is>
          <t xml:space="preserve">HD HYUNDAI HEAVY INDUSTRIES CO.,LTD.</t>
        </is>
      </c>
      <c r="F5572" s="0" t="inlineStr">
        <is>
          <t xml:space="preserve">naics:336611</t>
        </is>
      </c>
    </row>
    <row r="5573">
      <c r="B5573" s="0" t="inlineStr">
        <is>
          <t xml:space="preserve">N4034524G0005</t>
        </is>
      </c>
      <c r="C5573" s="0" t="inlineStr">
        <is>
          <t xml:space="preserve">broad_maritime</t>
        </is>
      </c>
      <c r="D5573" s="4">
        <v>0.0</v>
      </c>
      <c r="E5573" s="0" t="inlineStr">
        <is>
          <t xml:space="preserve">EVERLLENCE SINGAPORE PTE. LTD.</t>
        </is>
      </c>
      <c r="F5573" s="0" t="inlineStr">
        <is>
          <t xml:space="preserve">naics:336611</t>
        </is>
      </c>
    </row>
    <row r="5574">
      <c r="B5574" s="0" t="inlineStr">
        <is>
          <t xml:space="preserve">N4034524G0004</t>
        </is>
      </c>
      <c r="C5574" s="0" t="inlineStr">
        <is>
          <t xml:space="preserve">broad_maritime</t>
        </is>
      </c>
      <c r="D5574" s="4">
        <v>0.0</v>
      </c>
      <c r="E5574" s="0" t="inlineStr">
        <is>
          <t xml:space="preserve">COCHIN SHIPYARD LIMITED</t>
        </is>
      </c>
      <c r="F5574" s="0" t="inlineStr">
        <is>
          <t xml:space="preserve">naics:336611</t>
        </is>
      </c>
    </row>
    <row r="5575">
      <c r="B5575" s="0" t="inlineStr">
        <is>
          <t xml:space="preserve">N4034524G0003</t>
        </is>
      </c>
      <c r="C5575" s="0" t="inlineStr">
        <is>
          <t xml:space="preserve">broad_maritime</t>
        </is>
      </c>
      <c r="D5575" s="4">
        <v>0.0</v>
      </c>
      <c r="E5575" s="0" t="inlineStr">
        <is>
          <t xml:space="preserve">GOA SHIPYARD LIMITED</t>
        </is>
      </c>
      <c r="F5575" s="0" t="inlineStr">
        <is>
          <t xml:space="preserve">naics:336611</t>
        </is>
      </c>
    </row>
    <row r="5576">
      <c r="B5576" s="0" t="inlineStr">
        <is>
          <t xml:space="preserve">N4034524G0002</t>
        </is>
      </c>
      <c r="C5576" s="0" t="inlineStr">
        <is>
          <t xml:space="preserve">broad_maritime</t>
        </is>
      </c>
      <c r="D5576" s="4">
        <v>0.0</v>
      </c>
      <c r="E5576" s="0" t="inlineStr">
        <is>
          <t xml:space="preserve">UNITHAI SHIPYARD &amp; ENGINEERING LIMITED - BRANCH</t>
        </is>
      </c>
      <c r="F5576" s="0" t="inlineStr">
        <is>
          <t xml:space="preserve">naics:336611</t>
        </is>
      </c>
    </row>
    <row r="5577">
      <c r="B5577" s="0" t="inlineStr">
        <is>
          <t xml:space="preserve">N4034524G0001</t>
        </is>
      </c>
      <c r="C5577" s="0" t="inlineStr">
        <is>
          <t xml:space="preserve">broad_maritime</t>
        </is>
      </c>
      <c r="D5577" s="4">
        <v>0.0</v>
      </c>
      <c r="E5577" s="0" t="inlineStr">
        <is>
          <t xml:space="preserve">IKAD ENGINEERING PTY LTD</t>
        </is>
      </c>
      <c r="F5577" s="0" t="inlineStr">
        <is>
          <t xml:space="preserve">naics:336611</t>
        </is>
      </c>
    </row>
    <row r="5578">
      <c r="B5578" s="0" t="inlineStr">
        <is>
          <t xml:space="preserve">N4034523G0006</t>
        </is>
      </c>
      <c r="C5578" s="0" t="inlineStr">
        <is>
          <t xml:space="preserve">broad_maritime</t>
        </is>
      </c>
      <c r="D5578" s="4">
        <v>0.0</v>
      </c>
      <c r="E5578" s="0" t="inlineStr">
        <is>
          <t xml:space="preserve">MAZAGON DOCK SHIPBUILDERS LIMITED</t>
        </is>
      </c>
      <c r="F5578" s="0" t="inlineStr">
        <is>
          <t xml:space="preserve">naics:336611</t>
        </is>
      </c>
    </row>
    <row r="5579">
      <c r="B5579" s="0" t="inlineStr">
        <is>
          <t xml:space="preserve">N4034523G0005</t>
        </is>
      </c>
      <c r="C5579" s="0" t="inlineStr">
        <is>
          <t xml:space="preserve">broad_maritime</t>
        </is>
      </c>
      <c r="D5579" s="4">
        <v>0.0</v>
      </c>
      <c r="E5579" s="0" t="inlineStr">
        <is>
          <t xml:space="preserve">VISION AIR &amp; SEA SERVICES, INC.</t>
        </is>
      </c>
      <c r="F5579" s="0" t="inlineStr">
        <is>
          <t xml:space="preserve">naics:336611</t>
        </is>
      </c>
    </row>
    <row r="5580">
      <c r="B5580" s="0" t="inlineStr">
        <is>
          <t xml:space="preserve">N4034523G0004</t>
        </is>
      </c>
      <c r="C5580" s="0" t="inlineStr">
        <is>
          <t xml:space="preserve">broad_maritime</t>
        </is>
      </c>
      <c r="D5580" s="4">
        <v>0.0</v>
      </c>
      <c r="E5580" s="0" t="inlineStr">
        <is>
          <t xml:space="preserve">SUBIC DRYDOCK CORPORATION</t>
        </is>
      </c>
      <c r="F5580" s="0" t="inlineStr">
        <is>
          <t xml:space="preserve">naics:336611</t>
        </is>
      </c>
    </row>
    <row r="5581">
      <c r="B5581" s="0" t="inlineStr">
        <is>
          <t xml:space="preserve">N4034523G0003</t>
        </is>
      </c>
      <c r="C5581" s="0" t="inlineStr">
        <is>
          <t xml:space="preserve">broad_maritime</t>
        </is>
      </c>
      <c r="D5581" s="4">
        <v>0.0</v>
      </c>
      <c r="E5581" s="0" t="inlineStr">
        <is>
          <t xml:space="preserve">LARSEN &amp; TOUBRO LTD.</t>
        </is>
      </c>
      <c r="F5581" s="0" t="inlineStr">
        <is>
          <t xml:space="preserve">naics:336611</t>
        </is>
      </c>
    </row>
    <row r="5582">
      <c r="B5582" s="0" t="inlineStr">
        <is>
          <t xml:space="preserve">N4034523G0002</t>
        </is>
      </c>
      <c r="C5582" s="0" t="inlineStr">
        <is>
          <t xml:space="preserve">broad_maritime</t>
        </is>
      </c>
      <c r="D5582" s="4">
        <v>0.0</v>
      </c>
      <c r="E5582" s="0" t="inlineStr">
        <is>
          <t xml:space="preserve">COLOMBO DOCKYARD PLC</t>
        </is>
      </c>
      <c r="F5582" s="0" t="inlineStr">
        <is>
          <t xml:space="preserve">naics:336611</t>
        </is>
      </c>
    </row>
    <row r="5583">
      <c r="B5583" s="0" t="inlineStr">
        <is>
          <t xml:space="preserve">N4034523G0001</t>
        </is>
      </c>
      <c r="C5583" s="0" t="inlineStr">
        <is>
          <t xml:space="preserve">broad_maritime</t>
        </is>
      </c>
      <c r="D5583" s="4">
        <v>0.0</v>
      </c>
      <c r="E5583" s="0" t="inlineStr">
        <is>
          <t xml:space="preserve">HERMA SHIPYARD, INC.</t>
        </is>
      </c>
      <c r="F5583" s="0" t="inlineStr">
        <is>
          <t xml:space="preserve">naics:336611</t>
        </is>
      </c>
    </row>
    <row r="5584">
      <c r="B5584" s="0" t="inlineStr">
        <is>
          <t xml:space="preserve">N4034522G0003</t>
        </is>
      </c>
      <c r="C5584" s="0" t="inlineStr">
        <is>
          <t xml:space="preserve">broad_maritime</t>
        </is>
      </c>
      <c r="D5584" s="4">
        <v>0.0</v>
      </c>
      <c r="E5584" s="0" t="inlineStr">
        <is>
          <t xml:space="preserve">TROPICAL REEF SHIPYARD PTY LTD</t>
        </is>
      </c>
      <c r="F5584" s="0" t="inlineStr">
        <is>
          <t xml:space="preserve">naics:336611</t>
        </is>
      </c>
    </row>
    <row r="5585">
      <c r="B5585" s="0" t="inlineStr">
        <is>
          <t xml:space="preserve">N4034521G0004</t>
        </is>
      </c>
      <c r="C5585" s="0" t="inlineStr">
        <is>
          <t xml:space="preserve">broad_maritime</t>
        </is>
      </c>
      <c r="D5585" s="4">
        <v>0.0</v>
      </c>
      <c r="E5585" s="0" t="inlineStr">
        <is>
          <t xml:space="preserve">ST ENGINEERING MARINE LTD.</t>
        </is>
      </c>
      <c r="F5585" s="0" t="inlineStr">
        <is>
          <t xml:space="preserve">naics:336611</t>
        </is>
      </c>
    </row>
    <row r="5586">
      <c r="B5586" s="0" t="inlineStr">
        <is>
          <t xml:space="preserve">N4034521G0003</t>
        </is>
      </c>
      <c r="C5586" s="0" t="inlineStr">
        <is>
          <t xml:space="preserve">broad_maritime</t>
        </is>
      </c>
      <c r="D5586" s="4">
        <v>0.0</v>
      </c>
      <c r="E5586" s="0" t="inlineStr">
        <is>
          <t xml:space="preserve">AUSTAL PHILIPPINES PTY LIMITED</t>
        </is>
      </c>
      <c r="F5586" s="0" t="inlineStr">
        <is>
          <t xml:space="preserve">naics:336611</t>
        </is>
      </c>
    </row>
    <row r="5587">
      <c r="B5587" s="0" t="inlineStr">
        <is>
          <t xml:space="preserve">N4034521G0002</t>
        </is>
      </c>
      <c r="C5587" s="0" t="inlineStr">
        <is>
          <t xml:space="preserve">broad_maritime</t>
        </is>
      </c>
      <c r="D5587" s="4">
        <v>0.0</v>
      </c>
      <c r="E5587" s="0" t="inlineStr">
        <is>
          <t xml:space="preserve">SEATRIUM REPAIRS &amp; UPGRADES PTE. LTD.</t>
        </is>
      </c>
      <c r="F5587" s="0" t="inlineStr">
        <is>
          <t xml:space="preserve">naics:336611</t>
        </is>
      </c>
    </row>
    <row r="5588">
      <c r="B5588" s="0" t="inlineStr">
        <is>
          <t xml:space="preserve">N4034521G0001</t>
        </is>
      </c>
      <c r="C5588" s="0" t="inlineStr">
        <is>
          <t xml:space="preserve">broad_maritime</t>
        </is>
      </c>
      <c r="D5588" s="4">
        <v>0.0</v>
      </c>
      <c r="E5588" s="0" t="inlineStr">
        <is>
          <t xml:space="preserve">CYCLECT SINGAPORE PTE LTD</t>
        </is>
      </c>
      <c r="F5588" s="0" t="inlineStr">
        <is>
          <t xml:space="preserve">naics:336611</t>
        </is>
      </c>
    </row>
    <row r="5589">
      <c r="B5589" s="0" t="inlineStr">
        <is>
          <t xml:space="preserve">N4034520G0002</t>
        </is>
      </c>
      <c r="C5589" s="0" t="inlineStr">
        <is>
          <t xml:space="preserve">broad_maritime</t>
        </is>
      </c>
      <c r="D5589" s="4">
        <v>0.0</v>
      </c>
      <c r="E5589" s="0" t="inlineStr">
        <is>
          <t xml:space="preserve">MARUNDA PRIVATE LIMITED</t>
        </is>
      </c>
      <c r="F5589" s="0" t="inlineStr">
        <is>
          <t xml:space="preserve">naics:336611</t>
        </is>
      </c>
    </row>
    <row r="5590">
      <c r="B5590" s="0" t="inlineStr">
        <is>
          <t xml:space="preserve">N4034520G0001</t>
        </is>
      </c>
      <c r="C5590" s="0" t="inlineStr">
        <is>
          <t xml:space="preserve">broad_maritime</t>
        </is>
      </c>
      <c r="D5590" s="4">
        <v>0.0</v>
      </c>
      <c r="E5590" s="0" t="inlineStr">
        <is>
          <t xml:space="preserve">AUSTAL SHIPS PTY LTD</t>
        </is>
      </c>
      <c r="F5590" s="0" t="inlineStr">
        <is>
          <t xml:space="preserve">naics:336611</t>
        </is>
      </c>
    </row>
    <row r="5591">
      <c r="B5591" s="0" t="inlineStr">
        <is>
          <t xml:space="preserve">N4034519G0016</t>
        </is>
      </c>
      <c r="C5591" s="0" t="inlineStr">
        <is>
          <t xml:space="preserve">broad_maritime</t>
        </is>
      </c>
      <c r="D5591" s="4">
        <v>0.0</v>
      </c>
      <c r="E5591" s="0" t="inlineStr">
        <is>
          <t xml:space="preserve">CAMRANH SHIPYARD CO LTD</t>
        </is>
      </c>
      <c r="F5591" s="0" t="inlineStr">
        <is>
          <t xml:space="preserve">naics:336611</t>
        </is>
      </c>
    </row>
    <row r="5592">
      <c r="B5592" s="0" t="inlineStr">
        <is>
          <t xml:space="preserve">N4034519G0015</t>
        </is>
      </c>
      <c r="C5592" s="0" t="inlineStr">
        <is>
          <t xml:space="preserve">broad_maritime</t>
        </is>
      </c>
      <c r="D5592" s="4">
        <v>0.0</v>
      </c>
      <c r="E5592" s="0" t="inlineStr">
        <is>
          <t xml:space="preserve">ROLLS-ROYCE SOLUTIONS ASIA PTE. LTD.</t>
        </is>
      </c>
      <c r="F5592" s="0" t="inlineStr">
        <is>
          <t xml:space="preserve">naics:336611</t>
        </is>
      </c>
    </row>
    <row r="5593">
      <c r="B5593" s="0" t="inlineStr">
        <is>
          <t xml:space="preserve">N4034519G0014</t>
        </is>
      </c>
      <c r="C5593" s="0" t="inlineStr">
        <is>
          <t xml:space="preserve">broad_maritime</t>
        </is>
      </c>
      <c r="D5593" s="4">
        <v>0.0</v>
      </c>
      <c r="E5593" s="0" t="inlineStr">
        <is>
          <t xml:space="preserve">UNITHAI SHIPYARD &amp; ENGINEERING LIMITED - BRANCH</t>
        </is>
      </c>
      <c r="F5593" s="0" t="inlineStr">
        <is>
          <t xml:space="preserve">naics:336611</t>
        </is>
      </c>
    </row>
    <row r="5594">
      <c r="B5594" s="0" t="inlineStr">
        <is>
          <t xml:space="preserve">N4034519G0013</t>
        </is>
      </c>
      <c r="C5594" s="0" t="inlineStr">
        <is>
          <t xml:space="preserve">broad_maritime</t>
        </is>
      </c>
      <c r="D5594" s="4">
        <v>0.0</v>
      </c>
      <c r="E5594" s="0" t="inlineStr">
        <is>
          <t xml:space="preserve">EVERLLENCE SINGAPORE PTE. LTD.</t>
        </is>
      </c>
      <c r="F5594" s="0" t="inlineStr">
        <is>
          <t xml:space="preserve">naics:336611</t>
        </is>
      </c>
    </row>
    <row r="5595">
      <c r="B5595" s="0" t="inlineStr">
        <is>
          <t xml:space="preserve">N4034519G0012</t>
        </is>
      </c>
      <c r="C5595" s="0" t="inlineStr">
        <is>
          <t xml:space="preserve">broad_maritime</t>
        </is>
      </c>
      <c r="D5595" s="4">
        <v>0.0</v>
      </c>
      <c r="E5595" s="0" t="inlineStr">
        <is>
          <t xml:space="preserve">DDW-PAXOCEAN SHIPYARD PTE. LTD.</t>
        </is>
      </c>
      <c r="F5595" s="0" t="inlineStr">
        <is>
          <t xml:space="preserve">naics:336611</t>
        </is>
      </c>
    </row>
    <row r="5596">
      <c r="B5596" s="0" t="inlineStr">
        <is>
          <t xml:space="preserve">N4034519G0011</t>
        </is>
      </c>
      <c r="C5596" s="0" t="inlineStr">
        <is>
          <t xml:space="preserve">broad_maritime</t>
        </is>
      </c>
      <c r="D5596" s="4">
        <v>0.0</v>
      </c>
      <c r="E5596" s="0" t="inlineStr">
        <is>
          <t xml:space="preserve">AVM MARINE SERVICES PTE. LTD.</t>
        </is>
      </c>
      <c r="F5596" s="0" t="inlineStr">
        <is>
          <t xml:space="preserve">naics:336611</t>
        </is>
      </c>
    </row>
    <row r="5597">
      <c r="B5597" s="0" t="inlineStr">
        <is>
          <t xml:space="preserve">N4034519G0010</t>
        </is>
      </c>
      <c r="C5597" s="0" t="inlineStr">
        <is>
          <t xml:space="preserve">broad_maritime</t>
        </is>
      </c>
      <c r="D5597" s="4">
        <v>0.0</v>
      </c>
      <c r="E5597" s="0" t="inlineStr">
        <is>
          <t xml:space="preserve">SES MARINE SERVICES (PTE) LTD</t>
        </is>
      </c>
      <c r="F5597" s="0" t="inlineStr">
        <is>
          <t xml:space="preserve">naics:336611</t>
        </is>
      </c>
    </row>
    <row r="5598">
      <c r="B5598" s="0" t="inlineStr">
        <is>
          <t xml:space="preserve">N4034519G0009</t>
        </is>
      </c>
      <c r="C5598" s="0" t="inlineStr">
        <is>
          <t xml:space="preserve">broad_maritime</t>
        </is>
      </c>
      <c r="D5598" s="4">
        <v>0.0</v>
      </c>
      <c r="E5598" s="0" t="inlineStr">
        <is>
          <t xml:space="preserve">VISION AIR &amp; SEA SERVICES, INC.</t>
        </is>
      </c>
      <c r="F5598" s="0" t="inlineStr">
        <is>
          <t xml:space="preserve">naics:336611</t>
        </is>
      </c>
    </row>
    <row r="5599">
      <c r="B5599" s="0" t="inlineStr">
        <is>
          <t xml:space="preserve">N4034519G0008</t>
        </is>
      </c>
      <c r="C5599" s="0" t="inlineStr">
        <is>
          <t xml:space="preserve">broad_maritime</t>
        </is>
      </c>
      <c r="D5599" s="4">
        <v>0.0</v>
      </c>
      <c r="E5599" s="0" t="inlineStr">
        <is>
          <t xml:space="preserve">FOSTER ASIA PACIFIC PTE LTD</t>
        </is>
      </c>
      <c r="F5599" s="0" t="inlineStr">
        <is>
          <t xml:space="preserve">naics:336611</t>
        </is>
      </c>
    </row>
    <row r="5600">
      <c r="B5600" s="0" t="inlineStr">
        <is>
          <t xml:space="preserve">N4034519G0007</t>
        </is>
      </c>
      <c r="C5600" s="0" t="inlineStr">
        <is>
          <t xml:space="preserve">broad_maritime</t>
        </is>
      </c>
      <c r="D5600" s="4">
        <v>0.0</v>
      </c>
      <c r="E5600" s="0" t="inlineStr">
        <is>
          <t xml:space="preserve">SPCO HOLDINGS PTE. LTD.</t>
        </is>
      </c>
      <c r="F5600" s="0" t="inlineStr">
        <is>
          <t xml:space="preserve">naics:336611</t>
        </is>
      </c>
    </row>
    <row r="5601">
      <c r="B5601" s="0" t="inlineStr">
        <is>
          <t xml:space="preserve">N4034519G0006</t>
        </is>
      </c>
      <c r="C5601" s="0" t="inlineStr">
        <is>
          <t xml:space="preserve">broad_maritime</t>
        </is>
      </c>
      <c r="D5601" s="4">
        <v>0.0</v>
      </c>
      <c r="E5601" s="0" t="inlineStr">
        <is>
          <t xml:space="preserve">THE FREMANTLE FOUNDRY AND ENGINEERING COMPANY PROPRIETARY LIMITED</t>
        </is>
      </c>
      <c r="F5601" s="0" t="inlineStr">
        <is>
          <t xml:space="preserve">naics:336611</t>
        </is>
      </c>
    </row>
    <row r="5602">
      <c r="B5602" s="0" t="inlineStr">
        <is>
          <t xml:space="preserve">N4034519G0005</t>
        </is>
      </c>
      <c r="C5602" s="0" t="inlineStr">
        <is>
          <t xml:space="preserve">broad_maritime</t>
        </is>
      </c>
      <c r="D5602" s="4">
        <v>0.0</v>
      </c>
      <c r="E5602" s="0" t="inlineStr">
        <is>
          <t xml:space="preserve">PEARL MARINE ENGINEERING PTY LTD</t>
        </is>
      </c>
      <c r="F5602" s="0" t="inlineStr">
        <is>
          <t xml:space="preserve">naics:336611</t>
        </is>
      </c>
    </row>
    <row r="5603">
      <c r="B5603" s="0" t="inlineStr">
        <is>
          <t xml:space="preserve">N4034519G0004</t>
        </is>
      </c>
      <c r="C5603" s="0" t="inlineStr">
        <is>
          <t xml:space="preserve">broad_maritime</t>
        </is>
      </c>
      <c r="D5603" s="4">
        <v>0.0</v>
      </c>
      <c r="E5603" s="0" t="inlineStr">
        <is>
          <t xml:space="preserve">NAVCOM SOLUTIONS PTY LTD</t>
        </is>
      </c>
      <c r="F5603" s="0" t="inlineStr">
        <is>
          <t xml:space="preserve">naics:336611</t>
        </is>
      </c>
    </row>
    <row r="5604">
      <c r="B5604" s="0" t="inlineStr">
        <is>
          <t xml:space="preserve">N4034519G0003</t>
        </is>
      </c>
      <c r="C5604" s="0" t="inlineStr">
        <is>
          <t xml:space="preserve">broad_maritime</t>
        </is>
      </c>
      <c r="D5604" s="4">
        <v>0.0</v>
      </c>
      <c r="E5604" s="0" t="inlineStr">
        <is>
          <t xml:space="preserve">IKAD ENGINEERING PTY LTD</t>
        </is>
      </c>
      <c r="F5604" s="0" t="inlineStr">
        <is>
          <t xml:space="preserve">naics:336611</t>
        </is>
      </c>
    </row>
    <row r="5605">
      <c r="B5605" s="0" t="inlineStr">
        <is>
          <t xml:space="preserve">N4034519G0002</t>
        </is>
      </c>
      <c r="C5605" s="0" t="inlineStr">
        <is>
          <t xml:space="preserve">broad_maritime</t>
        </is>
      </c>
      <c r="D5605" s="4">
        <v>0.0</v>
      </c>
      <c r="E5605" s="0" t="inlineStr">
        <is>
          <t xml:space="preserve">TRANSLIFT PORT EQUIPMENT SERVICES, INC</t>
        </is>
      </c>
      <c r="F5605" s="0" t="inlineStr">
        <is>
          <t xml:space="preserve">naics:336611</t>
        </is>
      </c>
    </row>
    <row r="5606">
      <c r="B5606" s="0" t="inlineStr">
        <is>
          <t xml:space="preserve">N4034519G0001</t>
        </is>
      </c>
      <c r="C5606" s="0" t="inlineStr">
        <is>
          <t xml:space="preserve">broad_maritime</t>
        </is>
      </c>
      <c r="D5606" s="4">
        <v>0.0</v>
      </c>
      <c r="E5606" s="0" t="inlineStr">
        <is>
          <t xml:space="preserve">SUBIC DRYDOCK CORPORATION</t>
        </is>
      </c>
      <c r="F5606" s="0" t="inlineStr">
        <is>
          <t xml:space="preserve">naics:336611</t>
        </is>
      </c>
    </row>
    <row r="5607">
      <c r="B5607" s="0" t="inlineStr">
        <is>
          <t xml:space="preserve">N4034517G0002</t>
        </is>
      </c>
      <c r="C5607" s="0" t="inlineStr">
        <is>
          <t xml:space="preserve">broad_maritime</t>
        </is>
      </c>
      <c r="D5607" s="4">
        <v>0.0</v>
      </c>
      <c r="E5607" s="0" t="inlineStr">
        <is>
          <t xml:space="preserve">ST ENGINEERING MARINE LTD.</t>
        </is>
      </c>
      <c r="F5607" s="0" t="inlineStr">
        <is>
          <t xml:space="preserve">naics:336611</t>
        </is>
      </c>
    </row>
    <row r="5608">
      <c r="B5608" s="0" t="inlineStr">
        <is>
          <t xml:space="preserve">N4034517G0001</t>
        </is>
      </c>
      <c r="C5608" s="0" t="inlineStr">
        <is>
          <t xml:space="preserve">broad_maritime</t>
        </is>
      </c>
      <c r="D5608" s="4">
        <v>0.0</v>
      </c>
      <c r="E5608" s="0" t="inlineStr">
        <is>
          <t xml:space="preserve">RELIANCE DEFENCE AND ENGINEERING LIMITED</t>
        </is>
      </c>
      <c r="F5608" s="0" t="inlineStr">
        <is>
          <t xml:space="preserve">naics:336611</t>
        </is>
      </c>
    </row>
    <row r="5609">
      <c r="B5609" s="0" t="inlineStr">
        <is>
          <t xml:space="preserve">N4034516G0003</t>
        </is>
      </c>
      <c r="C5609" s="0" t="inlineStr">
        <is>
          <t xml:space="preserve">broad_maritime</t>
        </is>
      </c>
      <c r="D5609" s="4">
        <v>0.0</v>
      </c>
      <c r="E5609" s="0" t="inlineStr">
        <is>
          <t xml:space="preserve">PARSH MARINE PHILIPPINES INC</t>
        </is>
      </c>
      <c r="F5609" s="0" t="inlineStr">
        <is>
          <t xml:space="preserve">naics:336611</t>
        </is>
      </c>
    </row>
    <row r="5610">
      <c r="B5610" s="0" t="inlineStr">
        <is>
          <t xml:space="preserve">N4034516G0002</t>
        </is>
      </c>
      <c r="C5610" s="0" t="inlineStr">
        <is>
          <t xml:space="preserve">broad_maritime</t>
        </is>
      </c>
      <c r="D5610" s="4">
        <v>0.0</v>
      </c>
      <c r="E5610" s="0" t="inlineStr">
        <is>
          <t xml:space="preserve">NAVSPECS 635 INSULATION CONTRACTORS</t>
        </is>
      </c>
      <c r="F5610" s="0" t="inlineStr">
        <is>
          <t xml:space="preserve">naics:336611</t>
        </is>
      </c>
    </row>
    <row r="5611">
      <c r="B5611" s="0" t="inlineStr">
        <is>
          <t xml:space="preserve">N4034516G0001</t>
        </is>
      </c>
      <c r="C5611" s="0" t="inlineStr">
        <is>
          <t xml:space="preserve">broad_maritime</t>
        </is>
      </c>
      <c r="D5611" s="4">
        <v>0.0</v>
      </c>
      <c r="E5611" s="0" t="inlineStr">
        <is>
          <t xml:space="preserve">DDW-PAXOCEAN SHIPYARD PTE. LTD.</t>
        </is>
      </c>
      <c r="F5611" s="0" t="inlineStr">
        <is>
          <t xml:space="preserve">naics:336611</t>
        </is>
      </c>
    </row>
    <row r="5612">
      <c r="B5612" s="0" t="inlineStr">
        <is>
          <t xml:space="preserve">N4034515G0022</t>
        </is>
      </c>
      <c r="C5612" s="0" t="inlineStr">
        <is>
          <t xml:space="preserve">broad_maritime</t>
        </is>
      </c>
      <c r="D5612" s="4">
        <v>0.0</v>
      </c>
      <c r="E5612" s="0" t="inlineStr">
        <is>
          <t xml:space="preserve">THE FREMANTLE FOUNDRY AND ENGINEERING COMPANY PROPRIETARY LIMITED</t>
        </is>
      </c>
      <c r="F5612" s="0" t="inlineStr">
        <is>
          <t xml:space="preserve">naics:336611</t>
        </is>
      </c>
    </row>
    <row r="5613">
      <c r="B5613" s="0" t="inlineStr">
        <is>
          <t xml:space="preserve">N4034515G0021</t>
        </is>
      </c>
      <c r="C5613" s="0" t="inlineStr">
        <is>
          <t xml:space="preserve">broad_maritime</t>
        </is>
      </c>
      <c r="D5613" s="4">
        <v>0.0</v>
      </c>
      <c r="E5613" s="0" t="inlineStr">
        <is>
          <t xml:space="preserve">NAVCOM SOLUTIONS PTY LTD</t>
        </is>
      </c>
      <c r="F5613" s="0" t="inlineStr">
        <is>
          <t xml:space="preserve">naics:336611</t>
        </is>
      </c>
    </row>
    <row r="5614">
      <c r="B5614" s="0" t="inlineStr">
        <is>
          <t xml:space="preserve">N4034515G0020</t>
        </is>
      </c>
      <c r="C5614" s="0" t="inlineStr">
        <is>
          <t xml:space="preserve">broad_maritime</t>
        </is>
      </c>
      <c r="D5614" s="4">
        <v>0.0</v>
      </c>
      <c r="E5614" s="0" t="inlineStr">
        <is>
          <t xml:space="preserve">CAMRANH SHIPYARD CO LTD</t>
        </is>
      </c>
      <c r="F5614" s="0" t="inlineStr">
        <is>
          <t xml:space="preserve">naics:336611</t>
        </is>
      </c>
    </row>
    <row r="5615">
      <c r="B5615" s="0" t="inlineStr">
        <is>
          <t xml:space="preserve">N4034515G0019</t>
        </is>
      </c>
      <c r="C5615" s="0" t="inlineStr">
        <is>
          <t xml:space="preserve">broad_maritime</t>
        </is>
      </c>
      <c r="D5615" s="4">
        <v>0.0</v>
      </c>
      <c r="E5615" s="0" t="inlineStr">
        <is>
          <t xml:space="preserve">SAIGON SHIPMARIN SHIPYARD</t>
        </is>
      </c>
      <c r="F5615" s="0" t="inlineStr">
        <is>
          <t xml:space="preserve">naics:336611</t>
        </is>
      </c>
    </row>
    <row r="5616">
      <c r="B5616" s="0" t="inlineStr">
        <is>
          <t xml:space="preserve">N4034515G0018</t>
        </is>
      </c>
      <c r="C5616" s="0" t="inlineStr">
        <is>
          <t xml:space="preserve">broad_maritime</t>
        </is>
      </c>
      <c r="D5616" s="4">
        <v>0.0</v>
      </c>
      <c r="E5616" s="0" t="inlineStr">
        <is>
          <t xml:space="preserve">WANG TAK ENGINEERING &amp; SHIPBUILDING COMPANY LIMITED</t>
        </is>
      </c>
      <c r="F5616" s="0" t="inlineStr">
        <is>
          <t xml:space="preserve">naics:336611</t>
        </is>
      </c>
    </row>
    <row r="5617">
      <c r="B5617" s="0" t="inlineStr">
        <is>
          <t xml:space="preserve">N4034515G0017</t>
        </is>
      </c>
      <c r="C5617" s="0" t="inlineStr">
        <is>
          <t xml:space="preserve">broad_maritime</t>
        </is>
      </c>
      <c r="D5617" s="4">
        <v>0.0</v>
      </c>
      <c r="E5617" s="0" t="inlineStr">
        <is>
          <t xml:space="preserve">HHIC-PHIL., INC.</t>
        </is>
      </c>
      <c r="F5617" s="0" t="inlineStr">
        <is>
          <t xml:space="preserve">naics:336611</t>
        </is>
      </c>
    </row>
    <row r="5618">
      <c r="B5618" s="0" t="inlineStr">
        <is>
          <t xml:space="preserve">N4034515G0016</t>
        </is>
      </c>
      <c r="C5618" s="0" t="inlineStr">
        <is>
          <t xml:space="preserve">broad_maritime</t>
        </is>
      </c>
      <c r="D5618" s="4">
        <v>0.0</v>
      </c>
      <c r="E5618" s="0" t="inlineStr">
        <is>
          <t xml:space="preserve">TRANSLIFT PORT EQUIPMENT SERVICES, INC</t>
        </is>
      </c>
      <c r="F5618" s="0" t="inlineStr">
        <is>
          <t xml:space="preserve">naics:336611</t>
        </is>
      </c>
    </row>
    <row r="5619">
      <c r="B5619" s="0" t="inlineStr">
        <is>
          <t xml:space="preserve">N4034515G0015</t>
        </is>
      </c>
      <c r="C5619" s="0" t="inlineStr">
        <is>
          <t xml:space="preserve">broad_maritime</t>
        </is>
      </c>
      <c r="D5619" s="4">
        <v>0.0</v>
      </c>
      <c r="E5619" s="0" t="inlineStr">
        <is>
          <t xml:space="preserve">SUBIC DRYDOCK CORPORATION</t>
        </is>
      </c>
      <c r="F5619" s="0" t="inlineStr">
        <is>
          <t xml:space="preserve">naics:336611</t>
        </is>
      </c>
    </row>
    <row r="5620">
      <c r="B5620" s="0" t="inlineStr">
        <is>
          <t xml:space="preserve">N4034515G0014</t>
        </is>
      </c>
      <c r="C5620" s="0" t="inlineStr">
        <is>
          <t xml:space="preserve">broad_maritime</t>
        </is>
      </c>
      <c r="D5620" s="4">
        <v>0.0</v>
      </c>
      <c r="E5620" s="0" t="inlineStr">
        <is>
          <t xml:space="preserve">UNITHAI SHIPYARD &amp; ENGINEERING LIMITED</t>
        </is>
      </c>
      <c r="F5620" s="0" t="inlineStr">
        <is>
          <t xml:space="preserve">naics:336611</t>
        </is>
      </c>
    </row>
    <row r="5621">
      <c r="B5621" s="0" t="inlineStr">
        <is>
          <t xml:space="preserve">N4034515G0013</t>
        </is>
      </c>
      <c r="C5621" s="0" t="inlineStr">
        <is>
          <t xml:space="preserve">broad_maritime</t>
        </is>
      </c>
      <c r="D5621" s="4">
        <v>0.0</v>
      </c>
      <c r="E5621" s="0" t="inlineStr">
        <is>
          <t xml:space="preserve">AUSTINDO (WA) PTY LTD</t>
        </is>
      </c>
      <c r="F5621" s="0" t="inlineStr">
        <is>
          <t xml:space="preserve">naics:336611</t>
        </is>
      </c>
    </row>
    <row r="5622">
      <c r="B5622" s="0" t="inlineStr">
        <is>
          <t xml:space="preserve">N4034515G0012</t>
        </is>
      </c>
      <c r="C5622" s="0" t="inlineStr">
        <is>
          <t xml:space="preserve">broad_maritime</t>
        </is>
      </c>
      <c r="D5622" s="4">
        <v>0.0</v>
      </c>
      <c r="E5622" s="0" t="inlineStr">
        <is>
          <t xml:space="preserve">FORGACS ENGINEERING PTY. LIMITED</t>
        </is>
      </c>
      <c r="F5622" s="0" t="inlineStr">
        <is>
          <t xml:space="preserve">naics:336611</t>
        </is>
      </c>
    </row>
    <row r="5623">
      <c r="B5623" s="0" t="inlineStr">
        <is>
          <t xml:space="preserve">N4034515G0011</t>
        </is>
      </c>
      <c r="C5623" s="0" t="inlineStr">
        <is>
          <t xml:space="preserve">broad_maritime</t>
        </is>
      </c>
      <c r="D5623" s="4">
        <v>0.0</v>
      </c>
      <c r="E5623" s="0" t="inlineStr">
        <is>
          <t xml:space="preserve">PEARL MARINE ENGINEERING PTY LTD</t>
        </is>
      </c>
      <c r="F5623" s="0" t="inlineStr">
        <is>
          <t xml:space="preserve">naics:336611</t>
        </is>
      </c>
    </row>
    <row r="5624">
      <c r="B5624" s="0" t="inlineStr">
        <is>
          <t xml:space="preserve">N4034515G0010</t>
        </is>
      </c>
      <c r="C5624" s="0" t="inlineStr">
        <is>
          <t xml:space="preserve">broad_maritime</t>
        </is>
      </c>
      <c r="D5624" s="4">
        <v>0.0</v>
      </c>
      <c r="E5624" s="0" t="inlineStr">
        <is>
          <t xml:space="preserve">AVM MARINE SERVICES PTE. LTD.</t>
        </is>
      </c>
      <c r="F5624" s="0" t="inlineStr">
        <is>
          <t xml:space="preserve">naics:336611</t>
        </is>
      </c>
    </row>
    <row r="5625">
      <c r="B5625" s="0" t="inlineStr">
        <is>
          <t xml:space="preserve">N4034515G0009</t>
        </is>
      </c>
      <c r="C5625" s="0" t="inlineStr">
        <is>
          <t xml:space="preserve">broad_maritime</t>
        </is>
      </c>
      <c r="D5625" s="4">
        <v>0.0</v>
      </c>
      <c r="E5625" s="0" t="inlineStr">
        <is>
          <t xml:space="preserve">EVERLLENCE SINGAPORE PTE. LTD.</t>
        </is>
      </c>
      <c r="F5625" s="0" t="inlineStr">
        <is>
          <t xml:space="preserve">naics:336611</t>
        </is>
      </c>
    </row>
    <row r="5626">
      <c r="B5626" s="0" t="inlineStr">
        <is>
          <t xml:space="preserve">N4034515G0008</t>
        </is>
      </c>
      <c r="C5626" s="0" t="inlineStr">
        <is>
          <t xml:space="preserve">broad_maritime</t>
        </is>
      </c>
      <c r="D5626" s="4">
        <v>0.0</v>
      </c>
      <c r="E5626" s="0" t="inlineStr">
        <is>
          <t xml:space="preserve">MARUNDA PRIVATE LIMITED</t>
        </is>
      </c>
      <c r="F5626" s="0" t="inlineStr">
        <is>
          <t xml:space="preserve">naics:336611</t>
        </is>
      </c>
    </row>
    <row r="5627">
      <c r="B5627" s="0" t="inlineStr">
        <is>
          <t xml:space="preserve">N4034515G0007</t>
        </is>
      </c>
      <c r="C5627" s="0" t="inlineStr">
        <is>
          <t xml:space="preserve">broad_maritime</t>
        </is>
      </c>
      <c r="D5627" s="4">
        <v>0.0</v>
      </c>
      <c r="E5627" s="0" t="inlineStr">
        <is>
          <t xml:space="preserve">SES MARINE SERVICES (PTE) LTD</t>
        </is>
      </c>
      <c r="F5627" s="0" t="inlineStr">
        <is>
          <t xml:space="preserve">naics:336611</t>
        </is>
      </c>
    </row>
    <row r="5628">
      <c r="B5628" s="0" t="inlineStr">
        <is>
          <t xml:space="preserve">N4034515G0006</t>
        </is>
      </c>
      <c r="C5628" s="0" t="inlineStr">
        <is>
          <t xml:space="preserve">broad_maritime</t>
        </is>
      </c>
      <c r="D5628" s="4">
        <v>0.0</v>
      </c>
      <c r="E5628" s="0" t="inlineStr">
        <is>
          <t xml:space="preserve">KWONG SOON ENGINEERING COMPANY PRIVATE LIMITED</t>
        </is>
      </c>
      <c r="F5628" s="0" t="inlineStr">
        <is>
          <t xml:space="preserve">naics:336611</t>
        </is>
      </c>
    </row>
    <row r="5629">
      <c r="B5629" s="0" t="inlineStr">
        <is>
          <t xml:space="preserve">N4034515G0005</t>
        </is>
      </c>
      <c r="C5629" s="0" t="inlineStr">
        <is>
          <t xml:space="preserve">broad_maritime</t>
        </is>
      </c>
      <c r="D5629" s="4">
        <v>0.0</v>
      </c>
      <c r="E5629" s="0" t="inlineStr">
        <is>
          <t xml:space="preserve">FOSTER ASIA PACIFIC PTE LTD</t>
        </is>
      </c>
      <c r="F5629" s="0" t="inlineStr">
        <is>
          <t xml:space="preserve">naics:336611</t>
        </is>
      </c>
    </row>
    <row r="5630">
      <c r="B5630" s="0" t="inlineStr">
        <is>
          <t xml:space="preserve">N4034515G0004</t>
        </is>
      </c>
      <c r="C5630" s="0" t="inlineStr">
        <is>
          <t xml:space="preserve">broad_maritime</t>
        </is>
      </c>
      <c r="D5630" s="4">
        <v>0.0</v>
      </c>
      <c r="E5630" s="0" t="inlineStr">
        <is>
          <t xml:space="preserve">CYCLECT SINGAPORE PTE LTD</t>
        </is>
      </c>
      <c r="F5630" s="0" t="inlineStr">
        <is>
          <t xml:space="preserve">naics:336611</t>
        </is>
      </c>
    </row>
    <row r="5631">
      <c r="B5631" s="0" t="inlineStr">
        <is>
          <t xml:space="preserve">N4034515G0002</t>
        </is>
      </c>
      <c r="C5631" s="0" t="inlineStr">
        <is>
          <t xml:space="preserve">broad_maritime</t>
        </is>
      </c>
      <c r="D5631" s="4">
        <v>0.0</v>
      </c>
      <c r="E5631" s="0" t="inlineStr">
        <is>
          <t xml:space="preserve">SEATRIUM REPAIRS &amp; UPGRADES PTE. LTD.</t>
        </is>
      </c>
      <c r="F5631" s="0" t="inlineStr">
        <is>
          <t xml:space="preserve">naics:336611</t>
        </is>
      </c>
    </row>
    <row r="5632">
      <c r="B5632" s="0" t="inlineStr">
        <is>
          <t xml:space="preserve">N4034515G0001</t>
        </is>
      </c>
      <c r="C5632" s="0" t="inlineStr">
        <is>
          <t xml:space="preserve">broad_maritime</t>
        </is>
      </c>
      <c r="D5632" s="4">
        <v>0.0</v>
      </c>
      <c r="E5632" s="0" t="inlineStr">
        <is>
          <t xml:space="preserve">KEPPEL SHIPYARD LIMITED</t>
        </is>
      </c>
      <c r="F5632" s="0" t="inlineStr">
        <is>
          <t xml:space="preserve">naics:336611</t>
        </is>
      </c>
    </row>
    <row r="5633">
      <c r="B5633" s="0" t="inlineStr">
        <is>
          <t xml:space="preserve">N4034513G0001</t>
        </is>
      </c>
      <c r="C5633" s="0" t="inlineStr">
        <is>
          <t xml:space="preserve">broad_maritime</t>
        </is>
      </c>
      <c r="D5633" s="4">
        <v>0.0</v>
      </c>
      <c r="E5633" s="0" t="inlineStr">
        <is>
          <t xml:space="preserve">HHIC-PHIL., INC.</t>
        </is>
      </c>
      <c r="F5633" s="0" t="inlineStr">
        <is>
          <t xml:space="preserve">naics:336611</t>
        </is>
      </c>
    </row>
    <row r="5634">
      <c r="B5634" s="0" t="inlineStr">
        <is>
          <t xml:space="preserve">N4034512G0002</t>
        </is>
      </c>
      <c r="C5634" s="0" t="inlineStr">
        <is>
          <t xml:space="preserve">broad_maritime</t>
        </is>
      </c>
      <c r="D5634" s="4">
        <v>0.0</v>
      </c>
      <c r="E5634" s="0" t="inlineStr">
        <is>
          <t xml:space="preserve">EVERLLENCE SINGAPORE PTE. LTD.</t>
        </is>
      </c>
      <c r="F5634" s="0" t="inlineStr">
        <is>
          <t xml:space="preserve">naics:336611</t>
        </is>
      </c>
    </row>
    <row r="5635">
      <c r="B5635" s="0" t="inlineStr">
        <is>
          <t xml:space="preserve">N4034512G0001</t>
        </is>
      </c>
      <c r="C5635" s="0" t="inlineStr">
        <is>
          <t xml:space="preserve">broad_maritime</t>
        </is>
      </c>
      <c r="D5635" s="4">
        <v>0.0</v>
      </c>
      <c r="E5635" s="0" t="inlineStr">
        <is>
          <t xml:space="preserve">AVM MARINE SERVICES PTE. LTD.</t>
        </is>
      </c>
      <c r="F5635" s="0" t="inlineStr">
        <is>
          <t xml:space="preserve">naics:336611</t>
        </is>
      </c>
    </row>
    <row r="5636">
      <c r="B5636" s="0" t="inlineStr">
        <is>
          <t xml:space="preserve">N4034511G0002</t>
        </is>
      </c>
      <c r="C5636" s="0" t="inlineStr">
        <is>
          <t xml:space="preserve">broad_maritime</t>
        </is>
      </c>
      <c r="D5636" s="4">
        <v>0.0</v>
      </c>
      <c r="E5636" s="0" t="inlineStr">
        <is>
          <t xml:space="preserve">TRANSLIFT PORT EQUIPMENT SERVICES, INC</t>
        </is>
      </c>
      <c r="F5636" s="0" t="inlineStr">
        <is>
          <t xml:space="preserve">naics:336611</t>
        </is>
      </c>
    </row>
    <row r="5637">
      <c r="B5637" s="0" t="inlineStr">
        <is>
          <t xml:space="preserve">N4034510G0001</t>
        </is>
      </c>
      <c r="C5637" s="0" t="inlineStr">
        <is>
          <t xml:space="preserve">broad_maritime</t>
        </is>
      </c>
      <c r="D5637" s="4">
        <v>0.0</v>
      </c>
      <c r="E5637" s="0" t="inlineStr">
        <is>
          <t xml:space="preserve">CAMRANH SHIPYARD CO LTD</t>
        </is>
      </c>
      <c r="F5637" s="0" t="inlineStr">
        <is>
          <t xml:space="preserve">naics:336611</t>
        </is>
      </c>
    </row>
    <row r="5638">
      <c r="B5638" s="0" t="inlineStr">
        <is>
          <t xml:space="preserve">N4034509G0031</t>
        </is>
      </c>
      <c r="C5638" s="0" t="inlineStr">
        <is>
          <t xml:space="preserve">broad_maritime</t>
        </is>
      </c>
      <c r="D5638" s="4">
        <v>0.0</v>
      </c>
      <c r="E5638" s="0" t="inlineStr">
        <is>
          <t xml:space="preserve">MISCELLANEOUS FOREIGN AWARDEES</t>
        </is>
      </c>
      <c r="F5638" s="0" t="inlineStr">
        <is>
          <t xml:space="preserve">naics:336611</t>
        </is>
      </c>
    </row>
    <row r="5639">
      <c r="B5639" s="0" t="inlineStr">
        <is>
          <t xml:space="preserve">N4034509G0027</t>
        </is>
      </c>
      <c r="C5639" s="0" t="inlineStr">
        <is>
          <t xml:space="preserve">broad_maritime</t>
        </is>
      </c>
      <c r="D5639" s="4">
        <v>0.0</v>
      </c>
      <c r="E5639" s="0" t="inlineStr">
        <is>
          <t xml:space="preserve">WANG TAK ENGINEERING &amp; SHIPBUILDING COMPANY LIMITED</t>
        </is>
      </c>
      <c r="F5639" s="0" t="inlineStr">
        <is>
          <t xml:space="preserve">naics:336611</t>
        </is>
      </c>
    </row>
    <row r="5640">
      <c r="B5640" s="0" t="inlineStr">
        <is>
          <t xml:space="preserve">N4034509G0023</t>
        </is>
      </c>
      <c r="C5640" s="0" t="inlineStr">
        <is>
          <t xml:space="preserve">broad_maritime</t>
        </is>
      </c>
      <c r="D5640" s="4">
        <v>0.0</v>
      </c>
      <c r="E5640" s="0" t="inlineStr">
        <is>
          <t xml:space="preserve">SUBIC DRYDOCK CORPORATION</t>
        </is>
      </c>
      <c r="F5640" s="0" t="inlineStr">
        <is>
          <t xml:space="preserve">naics:336611</t>
        </is>
      </c>
    </row>
    <row r="5641">
      <c r="B5641" s="0" t="inlineStr">
        <is>
          <t xml:space="preserve">N4034509G0018</t>
        </is>
      </c>
      <c r="C5641" s="0" t="inlineStr">
        <is>
          <t xml:space="preserve">broad_maritime</t>
        </is>
      </c>
      <c r="D5641" s="4">
        <v>0.0</v>
      </c>
      <c r="E5641" s="0" t="inlineStr">
        <is>
          <t xml:space="preserve">UNITHAI SHIPYARD &amp; ENGINEERING LIMITED</t>
        </is>
      </c>
      <c r="F5641" s="0" t="inlineStr">
        <is>
          <t xml:space="preserve">naics:336611</t>
        </is>
      </c>
    </row>
    <row r="5642">
      <c r="B5642" s="0" t="inlineStr">
        <is>
          <t xml:space="preserve">N4034509G0015</t>
        </is>
      </c>
      <c r="C5642" s="0" t="inlineStr">
        <is>
          <t xml:space="preserve">broad_maritime</t>
        </is>
      </c>
      <c r="D5642" s="4">
        <v>0.0</v>
      </c>
      <c r="E5642" s="0" t="inlineStr">
        <is>
          <t xml:space="preserve">MISCELLANEOUS FOREIGN AWARDEES</t>
        </is>
      </c>
      <c r="F5642" s="0" t="inlineStr">
        <is>
          <t xml:space="preserve">naics:336611</t>
        </is>
      </c>
    </row>
    <row r="5643">
      <c r="B5643" s="0" t="inlineStr">
        <is>
          <t xml:space="preserve">N4034509G0013</t>
        </is>
      </c>
      <c r="C5643" s="0" t="inlineStr">
        <is>
          <t xml:space="preserve">broad_maritime</t>
        </is>
      </c>
      <c r="D5643" s="4">
        <v>0.0</v>
      </c>
      <c r="E5643" s="0" t="inlineStr">
        <is>
          <t xml:space="preserve">MISCELLANEOUS FOREIGN AWARDEES</t>
        </is>
      </c>
      <c r="F5643" s="0" t="inlineStr">
        <is>
          <t xml:space="preserve">naics:336611</t>
        </is>
      </c>
    </row>
    <row r="5644">
      <c r="B5644" s="0" t="inlineStr">
        <is>
          <t xml:space="preserve">N4034509G0012</t>
        </is>
      </c>
      <c r="C5644" s="0" t="inlineStr">
        <is>
          <t xml:space="preserve">broad_maritime</t>
        </is>
      </c>
      <c r="D5644" s="4">
        <v>0.0</v>
      </c>
      <c r="E5644" s="0" t="inlineStr">
        <is>
          <t xml:space="preserve">MISCELLANEOUS FOREIGN AWARDEES</t>
        </is>
      </c>
      <c r="F5644" s="0" t="inlineStr">
        <is>
          <t xml:space="preserve">naics:336611</t>
        </is>
      </c>
    </row>
    <row r="5645">
      <c r="B5645" s="0" t="inlineStr">
        <is>
          <t xml:space="preserve">N4034509G0011</t>
        </is>
      </c>
      <c r="C5645" s="0" t="inlineStr">
        <is>
          <t xml:space="preserve">broad_maritime</t>
        </is>
      </c>
      <c r="D5645" s="4">
        <v>0.0</v>
      </c>
      <c r="E5645" s="0" t="inlineStr">
        <is>
          <t xml:space="preserve">MISCELLANEOUS FOREIGN AWARDEES</t>
        </is>
      </c>
      <c r="F5645" s="0" t="inlineStr">
        <is>
          <t xml:space="preserve">naics:336611</t>
        </is>
      </c>
    </row>
    <row r="5646">
      <c r="B5646" s="0" t="inlineStr">
        <is>
          <t xml:space="preserve">N4034509G0008</t>
        </is>
      </c>
      <c r="C5646" s="0" t="inlineStr">
        <is>
          <t xml:space="preserve">broad_maritime</t>
        </is>
      </c>
      <c r="D5646" s="4">
        <v>0.0</v>
      </c>
      <c r="E5646" s="0" t="inlineStr">
        <is>
          <t xml:space="preserve">MARUNDA PRIVATE LIMITED</t>
        </is>
      </c>
      <c r="F5646" s="0" t="inlineStr">
        <is>
          <t xml:space="preserve">naics:336611</t>
        </is>
      </c>
    </row>
    <row r="5647">
      <c r="B5647" s="0" t="inlineStr">
        <is>
          <t xml:space="preserve">N4034509G0007</t>
        </is>
      </c>
      <c r="C5647" s="0" t="inlineStr">
        <is>
          <t xml:space="preserve">broad_maritime</t>
        </is>
      </c>
      <c r="D5647" s="4">
        <v>0.0</v>
      </c>
      <c r="E5647" s="0" t="inlineStr">
        <is>
          <t xml:space="preserve">SES MARINE SERVICES (PTE) LTD</t>
        </is>
      </c>
      <c r="F5647" s="0" t="inlineStr">
        <is>
          <t xml:space="preserve">naics:336611</t>
        </is>
      </c>
    </row>
    <row r="5648">
      <c r="B5648" s="0" t="inlineStr">
        <is>
          <t xml:space="preserve">N4034509G0006</t>
        </is>
      </c>
      <c r="C5648" s="0" t="inlineStr">
        <is>
          <t xml:space="preserve">broad_maritime</t>
        </is>
      </c>
      <c r="D5648" s="4">
        <v>0.0</v>
      </c>
      <c r="E5648" s="0" t="inlineStr">
        <is>
          <t xml:space="preserve">KWONG SOON ENGINEERING COMPANY PRIVATE LIMITED</t>
        </is>
      </c>
      <c r="F5648" s="0" t="inlineStr">
        <is>
          <t xml:space="preserve">naics:336611</t>
        </is>
      </c>
    </row>
    <row r="5649">
      <c r="B5649" s="0" t="inlineStr">
        <is>
          <t xml:space="preserve">N4034509G0005</t>
        </is>
      </c>
      <c r="C5649" s="0" t="inlineStr">
        <is>
          <t xml:space="preserve">broad_maritime</t>
        </is>
      </c>
      <c r="D5649" s="4">
        <v>0.0</v>
      </c>
      <c r="E5649" s="0" t="inlineStr">
        <is>
          <t xml:space="preserve">FOSTER ASIA PACIFIC PTE LTD</t>
        </is>
      </c>
      <c r="F5649" s="0" t="inlineStr">
        <is>
          <t xml:space="preserve">naics:336611</t>
        </is>
      </c>
    </row>
    <row r="5650">
      <c r="B5650" s="0" t="inlineStr">
        <is>
          <t xml:space="preserve">N4034509G0004</t>
        </is>
      </c>
      <c r="C5650" s="0" t="inlineStr">
        <is>
          <t xml:space="preserve">broad_maritime</t>
        </is>
      </c>
      <c r="D5650" s="4">
        <v>0.0</v>
      </c>
      <c r="E5650" s="0" t="inlineStr">
        <is>
          <t xml:space="preserve">CYCLECT SINGAPORE PTE LTD</t>
        </is>
      </c>
      <c r="F5650" s="0" t="inlineStr">
        <is>
          <t xml:space="preserve">naics:336611</t>
        </is>
      </c>
    </row>
    <row r="5651">
      <c r="B5651" s="0" t="inlineStr">
        <is>
          <t xml:space="preserve">N4034509G0002</t>
        </is>
      </c>
      <c r="C5651" s="0" t="inlineStr">
        <is>
          <t xml:space="preserve">broad_maritime</t>
        </is>
      </c>
      <c r="D5651" s="4">
        <v>0.0</v>
      </c>
      <c r="E5651" s="0" t="inlineStr">
        <is>
          <t xml:space="preserve">SEATRIUM REPAIRS &amp; UPGRADES PTE. LTD.</t>
        </is>
      </c>
      <c r="F5651" s="0" t="inlineStr">
        <is>
          <t xml:space="preserve">naics:336611</t>
        </is>
      </c>
    </row>
    <row r="5652">
      <c r="B5652" s="0" t="inlineStr">
        <is>
          <t xml:space="preserve">N4034509G0001</t>
        </is>
      </c>
      <c r="C5652" s="0" t="inlineStr">
        <is>
          <t xml:space="preserve">broad_maritime</t>
        </is>
      </c>
      <c r="D5652" s="4">
        <v>0.0</v>
      </c>
      <c r="E5652" s="0" t="inlineStr">
        <is>
          <t xml:space="preserve">KEPPEL SHIPYARD LIMITED</t>
        </is>
      </c>
      <c r="F5652" s="0" t="inlineStr">
        <is>
          <t xml:space="preserve">naics:336611</t>
        </is>
      </c>
    </row>
    <row r="5653">
      <c r="B5653" s="0" t="inlineStr">
        <is>
          <t xml:space="preserve">N4033925GF004</t>
        </is>
      </c>
      <c r="C5653" s="0" t="inlineStr">
        <is>
          <t xml:space="preserve">broad_maritime</t>
        </is>
      </c>
      <c r="D5653" s="4">
        <v>0.0</v>
      </c>
      <c r="E5653" s="0" t="inlineStr">
        <is>
          <t xml:space="preserve">HULL DIVING SERVICES CO. W.L.L.</t>
        </is>
      </c>
      <c r="F5653" s="0" t="inlineStr">
        <is>
          <t xml:space="preserve">naics:336611</t>
        </is>
      </c>
    </row>
    <row r="5654">
      <c r="B5654" s="0" t="inlineStr">
        <is>
          <t xml:space="preserve">N4033925GF002</t>
        </is>
      </c>
      <c r="C5654" s="0" t="inlineStr">
        <is>
          <t xml:space="preserve">broad_maritime</t>
        </is>
      </c>
      <c r="D5654" s="4">
        <v>0.0</v>
      </c>
      <c r="E5654" s="0" t="inlineStr">
        <is>
          <t xml:space="preserve">SULTAN AIRCONDITIONING &amp; REFRIGERATION SERVICES W.L.L.</t>
        </is>
      </c>
      <c r="F5654" s="0" t="inlineStr">
        <is>
          <t xml:space="preserve">naics:336611</t>
        </is>
      </c>
    </row>
    <row r="5655">
      <c r="B5655" s="0" t="inlineStr">
        <is>
          <t xml:space="preserve">N4033925GF001</t>
        </is>
      </c>
      <c r="C5655" s="0" t="inlineStr">
        <is>
          <t xml:space="preserve">broad_maritime</t>
        </is>
      </c>
      <c r="D5655" s="4">
        <v>0.0</v>
      </c>
      <c r="E5655" s="0" t="inlineStr">
        <is>
          <t xml:space="preserve">NASS MARINE SERVICES CO WLL</t>
        </is>
      </c>
      <c r="F5655" s="0" t="inlineStr">
        <is>
          <t xml:space="preserve">naics:336611</t>
        </is>
      </c>
    </row>
    <row r="5656">
      <c r="B5656" s="0" t="inlineStr">
        <is>
          <t xml:space="preserve">N4033924GF001</t>
        </is>
      </c>
      <c r="C5656" s="0" t="inlineStr">
        <is>
          <t xml:space="preserve">broad_maritime</t>
        </is>
      </c>
      <c r="D5656" s="4">
        <v>0.0</v>
      </c>
      <c r="E5656" s="0" t="inlineStr">
        <is>
          <t xml:space="preserve">DUQM NAVAL DOCKYARD SAOC</t>
        </is>
      </c>
      <c r="F5656" s="0" t="inlineStr">
        <is>
          <t xml:space="preserve">naics:336611</t>
        </is>
      </c>
    </row>
    <row r="5657">
      <c r="B5657" s="0" t="inlineStr">
        <is>
          <t xml:space="preserve">N4033921GS004</t>
        </is>
      </c>
      <c r="C5657" s="0" t="inlineStr">
        <is>
          <t xml:space="preserve">broad_maritime</t>
        </is>
      </c>
      <c r="D5657" s="4">
        <v>0.0</v>
      </c>
      <c r="E5657" s="0" t="inlineStr">
        <is>
          <t xml:space="preserve">ARAB SHIPBUILDING &amp; REPAIR YARD CO. (ASRY)</t>
        </is>
      </c>
      <c r="F5657" s="0" t="inlineStr">
        <is>
          <t xml:space="preserve">naics:336611</t>
        </is>
      </c>
    </row>
    <row r="5658">
      <c r="B5658" s="0" t="inlineStr">
        <is>
          <t xml:space="preserve">N4033921GS003</t>
        </is>
      </c>
      <c r="C5658" s="0" t="inlineStr">
        <is>
          <t xml:space="preserve">broad_maritime</t>
        </is>
      </c>
      <c r="D5658" s="4">
        <v>0.0</v>
      </c>
      <c r="E5658" s="0" t="inlineStr">
        <is>
          <t xml:space="preserve">BAHRAIN SHIP REPAIRING &amp; ENGINEERING CO.</t>
        </is>
      </c>
      <c r="F5658" s="0" t="inlineStr">
        <is>
          <t xml:space="preserve">naics:336611</t>
        </is>
      </c>
    </row>
    <row r="5659">
      <c r="B5659" s="0" t="inlineStr">
        <is>
          <t xml:space="preserve">N4033919GA001</t>
        </is>
      </c>
      <c r="C5659" s="0" t="inlineStr">
        <is>
          <t xml:space="preserve">broad_maritime</t>
        </is>
      </c>
      <c r="D5659" s="4">
        <v>0.0</v>
      </c>
      <c r="E5659" s="0" t="inlineStr">
        <is>
          <t xml:space="preserve">ARAB SHIPBUILDING &amp; REPAIR YARD CO. (ASRY)</t>
        </is>
      </c>
      <c r="F5659" s="0" t="inlineStr">
        <is>
          <t xml:space="preserve">naics:336611</t>
        </is>
      </c>
    </row>
    <row r="5660">
      <c r="B5660" s="0" t="inlineStr">
        <is>
          <t xml:space="preserve">N4033918GA003</t>
        </is>
      </c>
      <c r="C5660" s="0" t="inlineStr">
        <is>
          <t xml:space="preserve">broad_maritime</t>
        </is>
      </c>
      <c r="D5660" s="4">
        <v>0.0</v>
      </c>
      <c r="E5660" s="0" t="inlineStr">
        <is>
          <t xml:space="preserve">BAHRAIN SHIP REPAIRING &amp; ENGINEERING CO.</t>
        </is>
      </c>
      <c r="F5660" s="0" t="inlineStr">
        <is>
          <t xml:space="preserve">naics:336611</t>
        </is>
      </c>
    </row>
    <row r="5661">
      <c r="B5661" s="0" t="inlineStr">
        <is>
          <t xml:space="preserve">N0016721A0018</t>
        </is>
      </c>
      <c r="C5661" s="0" t="inlineStr">
        <is>
          <t xml:space="preserve">broad_maritime</t>
        </is>
      </c>
      <c r="D5661" s="4">
        <v>0.0</v>
      </c>
      <c r="E5661" s="0" t="inlineStr">
        <is>
          <t xml:space="preserve">DEFENSE MARITIME SOLUTIONS, INC.</t>
        </is>
      </c>
      <c r="F5661" s="0" t="inlineStr">
        <is>
          <t xml:space="preserve">naics:336611</t>
        </is>
      </c>
    </row>
    <row r="5662">
      <c r="B5662" s="0" t="inlineStr">
        <is>
          <t xml:space="preserve">N0016721A0017</t>
        </is>
      </c>
      <c r="C5662" s="0" t="inlineStr">
        <is>
          <t xml:space="preserve">broad_maritime</t>
        </is>
      </c>
      <c r="D5662" s="4">
        <v>0.0</v>
      </c>
      <c r="E5662" s="0" t="inlineStr">
        <is>
          <t xml:space="preserve">WILLERDING ACQUISITION CORP.</t>
        </is>
      </c>
      <c r="F5662" s="0" t="inlineStr">
        <is>
          <t xml:space="preserve">naics:336611</t>
        </is>
      </c>
    </row>
    <row r="5663">
      <c r="B5663" s="0" t="inlineStr">
        <is>
          <t xml:space="preserve">N0016721A0016</t>
        </is>
      </c>
      <c r="C5663" s="0" t="inlineStr">
        <is>
          <t xml:space="preserve">broad_maritime</t>
        </is>
      </c>
      <c r="D5663" s="4">
        <v>0.0</v>
      </c>
      <c r="E5663" s="0" t="inlineStr">
        <is>
          <t xml:space="preserve">COLONNA'S SHIP YARD, INCORPORATED</t>
        </is>
      </c>
      <c r="F5663" s="0" t="inlineStr">
        <is>
          <t xml:space="preserve">naics:336611</t>
        </is>
      </c>
    </row>
    <row r="5664">
      <c r="B5664" s="0" t="inlineStr">
        <is>
          <t xml:space="preserve">N0016721A0015</t>
        </is>
      </c>
      <c r="C5664" s="0" t="inlineStr">
        <is>
          <t xml:space="preserve">broad_maritime</t>
        </is>
      </c>
      <c r="D5664" s="4">
        <v>0.0</v>
      </c>
      <c r="E5664" s="0" t="inlineStr">
        <is>
          <t xml:space="preserve">MAJOR TOOL &amp; MACHINE INC</t>
        </is>
      </c>
      <c r="F5664" s="0" t="inlineStr">
        <is>
          <t xml:space="preserve">naics:336611</t>
        </is>
      </c>
    </row>
    <row r="5665">
      <c r="B5665" s="0" t="inlineStr">
        <is>
          <t xml:space="preserve">N0016721A0014</t>
        </is>
      </c>
      <c r="C5665" s="0" t="inlineStr">
        <is>
          <t xml:space="preserve">broad_maritime</t>
        </is>
      </c>
      <c r="D5665" s="4">
        <v>0.0</v>
      </c>
      <c r="E5665" s="0" t="inlineStr">
        <is>
          <t xml:space="preserve">MAGNA MACHINE CO.</t>
        </is>
      </c>
      <c r="F5665" s="0" t="inlineStr">
        <is>
          <t xml:space="preserve">naics:336611</t>
        </is>
      </c>
    </row>
    <row r="5666">
      <c r="B5666" s="0" t="inlineStr">
        <is>
          <t xml:space="preserve">N0016721A0013</t>
        </is>
      </c>
      <c r="C5666" s="0" t="inlineStr">
        <is>
          <t xml:space="preserve">broad_maritime</t>
        </is>
      </c>
      <c r="D5666" s="4">
        <v>0.0</v>
      </c>
      <c r="E5666" s="0" t="inlineStr">
        <is>
          <t xml:space="preserve">INTEGRITESTING INC</t>
        </is>
      </c>
      <c r="F5666" s="0" t="inlineStr">
        <is>
          <t xml:space="preserve">naics:336611</t>
        </is>
      </c>
    </row>
    <row r="5667">
      <c r="B5667" s="0" t="inlineStr">
        <is>
          <t xml:space="preserve">N0016721A0012</t>
        </is>
      </c>
      <c r="C5667" s="0" t="inlineStr">
        <is>
          <t xml:space="preserve">broad_maritime</t>
        </is>
      </c>
      <c r="D5667" s="4">
        <v>0.0</v>
      </c>
      <c r="E5667" s="0" t="inlineStr">
        <is>
          <t xml:space="preserve">GENERAL ATOMICS</t>
        </is>
      </c>
      <c r="F5667" s="0" t="inlineStr">
        <is>
          <t xml:space="preserve">naics:336611</t>
        </is>
      </c>
    </row>
    <row r="5668">
      <c r="B5668" s="0" t="inlineStr">
        <is>
          <t xml:space="preserve">N0016721A0011</t>
        </is>
      </c>
      <c r="C5668" s="0" t="inlineStr">
        <is>
          <t xml:space="preserve">broad_maritime</t>
        </is>
      </c>
      <c r="D5668" s="4">
        <v>0.0</v>
      </c>
      <c r="E5668" s="0" t="inlineStr">
        <is>
          <t xml:space="preserve">EDCO, INC.</t>
        </is>
      </c>
      <c r="F5668" s="0" t="inlineStr">
        <is>
          <t xml:space="preserve">naics:336611</t>
        </is>
      </c>
    </row>
    <row r="5669">
      <c r="B5669" s="0" t="inlineStr">
        <is>
          <t xml:space="preserve">N0016721A0010</t>
        </is>
      </c>
      <c r="C5669" s="0" t="inlineStr">
        <is>
          <t xml:space="preserve">broad_maritime</t>
        </is>
      </c>
      <c r="D5669" s="4">
        <v>0.0</v>
      </c>
      <c r="E5669" s="0" t="inlineStr">
        <is>
          <t xml:space="preserve">CONCURRENT TECHNOLOGIES CORP</t>
        </is>
      </c>
      <c r="F5669" s="0" t="inlineStr">
        <is>
          <t xml:space="preserve">naics:336611</t>
        </is>
      </c>
    </row>
    <row r="5670">
      <c r="B5670" s="0" t="inlineStr">
        <is>
          <t xml:space="preserve">N0016721A0009</t>
        </is>
      </c>
      <c r="C5670" s="0" t="inlineStr">
        <is>
          <t xml:space="preserve">broad_maritime</t>
        </is>
      </c>
      <c r="D5670" s="4">
        <v>0.0</v>
      </c>
      <c r="E5670" s="0" t="inlineStr">
        <is>
          <t xml:space="preserve">CHESAPEAKE MACHINING &amp; FABRICATION, INC.</t>
        </is>
      </c>
      <c r="F5670" s="0" t="inlineStr">
        <is>
          <t xml:space="preserve">naics:336611</t>
        </is>
      </c>
    </row>
    <row r="5671">
      <c r="B5671" s="0" t="inlineStr">
        <is>
          <t xml:space="preserve">N0016721A0008</t>
        </is>
      </c>
      <c r="C5671" s="0" t="inlineStr">
        <is>
          <t xml:space="preserve">broad_maritime</t>
        </is>
      </c>
      <c r="D5671" s="4">
        <v>0.0</v>
      </c>
      <c r="E5671" s="0" t="inlineStr">
        <is>
          <t xml:space="preserve">NORTH WIND SYSTEMS LLC</t>
        </is>
      </c>
      <c r="F5671" s="0" t="inlineStr">
        <is>
          <t xml:space="preserve">naics:336611</t>
        </is>
      </c>
    </row>
    <row r="5672">
      <c r="B5672" s="0" t="inlineStr">
        <is>
          <t xml:space="preserve">N0016721A0007</t>
        </is>
      </c>
      <c r="C5672" s="0" t="inlineStr">
        <is>
          <t xml:space="preserve">broad_maritime</t>
        </is>
      </c>
      <c r="D5672" s="4">
        <v>0.0</v>
      </c>
      <c r="E5672" s="0" t="inlineStr">
        <is>
          <t xml:space="preserve">CACI, INC. - FEDERAL</t>
        </is>
      </c>
      <c r="F5672" s="0" t="inlineStr">
        <is>
          <t xml:space="preserve">naics:336611</t>
        </is>
      </c>
    </row>
    <row r="5673">
      <c r="B5673" s="0" t="inlineStr">
        <is>
          <t xml:space="preserve">N0016721A0004</t>
        </is>
      </c>
      <c r="C5673" s="0" t="inlineStr">
        <is>
          <t xml:space="preserve">broad_maritime</t>
        </is>
      </c>
      <c r="D5673" s="4">
        <v>0.0</v>
      </c>
      <c r="E5673" s="0" t="inlineStr">
        <is>
          <t xml:space="preserve">ADVEX CORPORATION</t>
        </is>
      </c>
      <c r="F5673" s="0" t="inlineStr">
        <is>
          <t xml:space="preserve">naics:336611</t>
        </is>
      </c>
    </row>
    <row r="5674">
      <c r="B5674" s="0" t="inlineStr">
        <is>
          <t xml:space="preserve">N0010424GZX01</t>
        </is>
      </c>
      <c r="C5674" s="0" t="inlineStr">
        <is>
          <t xml:space="preserve">broad_maritime</t>
        </is>
      </c>
      <c r="D5674" s="4">
        <v>0.0</v>
      </c>
      <c r="E5674" s="0" t="inlineStr">
        <is>
          <t xml:space="preserve">CURTISS-WRIGHT ELECTRO-MECHANICAL CORPORATION</t>
        </is>
      </c>
      <c r="F5674" s="0" t="inlineStr">
        <is>
          <t xml:space="preserve">naics:336611</t>
        </is>
      </c>
    </row>
    <row r="5675">
      <c r="B5675" s="0" t="inlineStr">
        <is>
          <t xml:space="preserve">N0010420GVR01</t>
        </is>
      </c>
      <c r="C5675" s="0" t="inlineStr">
        <is>
          <t xml:space="preserve">broad_maritime</t>
        </is>
      </c>
      <c r="D5675" s="4">
        <v>0.0</v>
      </c>
      <c r="E5675" s="0" t="inlineStr">
        <is>
          <t xml:space="preserve">BENDER CCP, INC.</t>
        </is>
      </c>
      <c r="F5675" s="0" t="inlineStr">
        <is>
          <t xml:space="preserve">naics:336611</t>
        </is>
      </c>
    </row>
    <row r="5676">
      <c r="B5676" s="0" t="inlineStr">
        <is>
          <t xml:space="preserve">N0010419GU401</t>
        </is>
      </c>
      <c r="C5676" s="0" t="inlineStr">
        <is>
          <t xml:space="preserve">broad_maritime</t>
        </is>
      </c>
      <c r="D5676" s="4">
        <v>0.0</v>
      </c>
      <c r="E5676" s="0" t="inlineStr">
        <is>
          <t xml:space="preserve">ART CRAFT FABRICATORS INC</t>
        </is>
      </c>
      <c r="F5676" s="0" t="inlineStr">
        <is>
          <t xml:space="preserve">naics:336611</t>
        </is>
      </c>
    </row>
    <row r="5677">
      <c r="B5677" s="0" t="inlineStr">
        <is>
          <t xml:space="preserve">N0010419GU301</t>
        </is>
      </c>
      <c r="C5677" s="0" t="inlineStr">
        <is>
          <t xml:space="preserve">broad_maritime</t>
        </is>
      </c>
      <c r="D5677" s="4">
        <v>0.0</v>
      </c>
      <c r="E5677" s="0" t="inlineStr">
        <is>
          <t xml:space="preserve">BAE SYSTEMS MARITIME SOLUTIONS NORFOLK INC.</t>
        </is>
      </c>
      <c r="F5677" s="0" t="inlineStr">
        <is>
          <t xml:space="preserve">naics:336611</t>
        </is>
      </c>
    </row>
    <row r="5678">
      <c r="B5678" s="0" t="inlineStr">
        <is>
          <t xml:space="preserve">N0010419GU001</t>
        </is>
      </c>
      <c r="C5678" s="0" t="inlineStr">
        <is>
          <t xml:space="preserve">broad_maritime</t>
        </is>
      </c>
      <c r="D5678" s="4">
        <v>0.0</v>
      </c>
      <c r="E5678" s="0" t="inlineStr">
        <is>
          <t xml:space="preserve">BAE SYSTEMS MARITIME SOLUTIONS SAN DIEGO INC.</t>
        </is>
      </c>
      <c r="F5678" s="0" t="inlineStr">
        <is>
          <t xml:space="preserve">naics:336611</t>
        </is>
      </c>
    </row>
    <row r="5679">
      <c r="B5679" s="0" t="inlineStr">
        <is>
          <t xml:space="preserve">N0010418GNH01</t>
        </is>
      </c>
      <c r="C5679" s="0" t="inlineStr">
        <is>
          <t xml:space="preserve">broad_maritime</t>
        </is>
      </c>
      <c r="D5679" s="4">
        <v>0.0</v>
      </c>
      <c r="E5679" s="0" t="inlineStr">
        <is>
          <t xml:space="preserve">OCEANEERING INTERNATIONAL INC</t>
        </is>
      </c>
      <c r="F5679" s="0" t="inlineStr">
        <is>
          <t xml:space="preserve">naics:336611</t>
        </is>
      </c>
    </row>
    <row r="5680">
      <c r="B5680" s="0" t="inlineStr">
        <is>
          <t xml:space="preserve">N0010414GA752</t>
        </is>
      </c>
      <c r="C5680" s="0" t="inlineStr">
        <is>
          <t xml:space="preserve">broad_maritime</t>
        </is>
      </c>
      <c r="D5680" s="4">
        <v>0.0</v>
      </c>
      <c r="E5680" s="0" t="inlineStr">
        <is>
          <t xml:space="preserve">COLONNA'S SHIPYARD INC</t>
        </is>
      </c>
      <c r="F5680" s="0" t="inlineStr">
        <is>
          <t xml:space="preserve">naics:336611</t>
        </is>
      </c>
    </row>
    <row r="5681">
      <c r="B5681" s="0" t="inlineStr">
        <is>
          <t xml:space="preserve">N0010414GA751</t>
        </is>
      </c>
      <c r="C5681" s="0" t="inlineStr">
        <is>
          <t xml:space="preserve">broad_maritime</t>
        </is>
      </c>
      <c r="D5681" s="4">
        <v>0.0</v>
      </c>
      <c r="E5681" s="0" t="inlineStr">
        <is>
          <t xml:space="preserve">ROLLS-ROYCE MARINE NORTH AMERICA INC.</t>
        </is>
      </c>
      <c r="F5681" s="0" t="inlineStr">
        <is>
          <t xml:space="preserve">naics:336611</t>
        </is>
      </c>
    </row>
    <row r="5682">
      <c r="B5682" s="0" t="inlineStr">
        <is>
          <t xml:space="preserve">N0010413GA756</t>
        </is>
      </c>
      <c r="C5682" s="0" t="inlineStr">
        <is>
          <t xml:space="preserve">broad_maritime</t>
        </is>
      </c>
      <c r="D5682" s="4">
        <v>0.0</v>
      </c>
      <c r="E5682" s="0" t="inlineStr">
        <is>
          <t xml:space="preserve">ROLLS-ROYCE MARINE NORTH AMERICA INC.</t>
        </is>
      </c>
      <c r="F5682" s="0" t="inlineStr">
        <is>
          <t xml:space="preserve">naics:336611</t>
        </is>
      </c>
    </row>
    <row r="5683">
      <c r="B5683" s="0" t="inlineStr">
        <is>
          <t xml:space="preserve">N0010413GA752</t>
        </is>
      </c>
      <c r="C5683" s="0" t="inlineStr">
        <is>
          <t xml:space="preserve">broad_maritime</t>
        </is>
      </c>
      <c r="D5683" s="4">
        <v>0.0</v>
      </c>
      <c r="E5683" s="0" t="inlineStr">
        <is>
          <t xml:space="preserve">JORGENSEN FORGE CORPORATION, THE</t>
        </is>
      </c>
      <c r="F5683" s="0" t="inlineStr">
        <is>
          <t xml:space="preserve">naics:336611</t>
        </is>
      </c>
    </row>
    <row r="5684">
      <c r="B5684" s="0" t="inlineStr">
        <is>
          <t xml:space="preserve">N0010413GA751</t>
        </is>
      </c>
      <c r="C5684" s="0" t="inlineStr">
        <is>
          <t xml:space="preserve">broad_maritime</t>
        </is>
      </c>
      <c r="D5684" s="4">
        <v>0.0</v>
      </c>
      <c r="E5684" s="0" t="inlineStr">
        <is>
          <t xml:space="preserve">ERIE FORGE &amp; STEEL INC</t>
        </is>
      </c>
      <c r="F5684" s="0" t="inlineStr">
        <is>
          <t xml:space="preserve">naics:336611</t>
        </is>
      </c>
    </row>
    <row r="5685">
      <c r="B5685" s="0" t="inlineStr">
        <is>
          <t xml:space="preserve">N0010410GA754</t>
        </is>
      </c>
      <c r="C5685" s="0" t="inlineStr">
        <is>
          <t xml:space="preserve">broad_maritime</t>
        </is>
      </c>
      <c r="D5685" s="4">
        <v>0.0</v>
      </c>
      <c r="E5685" s="0" t="inlineStr">
        <is>
          <t xml:space="preserve">BAE SYSTEMS MARITIME SOLUTIONS NORFOLK INC.</t>
        </is>
      </c>
      <c r="F5685" s="0" t="inlineStr">
        <is>
          <t xml:space="preserve">naics:336611</t>
        </is>
      </c>
    </row>
    <row r="5686">
      <c r="B5686" s="0" t="inlineStr">
        <is>
          <t xml:space="preserve">N0010410GA303</t>
        </is>
      </c>
      <c r="C5686" s="0" t="inlineStr">
        <is>
          <t xml:space="preserve">broad_maritime</t>
        </is>
      </c>
      <c r="D5686" s="4">
        <v>0.0</v>
      </c>
      <c r="E5686" s="0" t="inlineStr">
        <is>
          <t xml:space="preserve">BALL AEROSPACE &amp; TECHNOLOGIES CORP.</t>
        </is>
      </c>
      <c r="F5686" s="0" t="inlineStr">
        <is>
          <t xml:space="preserve">naics:336611</t>
        </is>
      </c>
    </row>
    <row r="5687">
      <c r="B5687" s="0" t="inlineStr">
        <is>
          <t xml:space="preserve">N0010409GA755</t>
        </is>
      </c>
      <c r="C5687" s="0" t="inlineStr">
        <is>
          <t xml:space="preserve">broad_maritime</t>
        </is>
      </c>
      <c r="D5687" s="4">
        <v>0.0</v>
      </c>
      <c r="E5687" s="0" t="inlineStr">
        <is>
          <t xml:space="preserve">ROLLS-ROYCE MARINE NORTH AMERICA INC.</t>
        </is>
      </c>
      <c r="F5687" s="0" t="inlineStr">
        <is>
          <t xml:space="preserve">naics:336611</t>
        </is>
      </c>
    </row>
    <row r="5688">
      <c r="B5688" s="0" t="inlineStr">
        <is>
          <t xml:space="preserve">N0002425G4139</t>
        </is>
      </c>
      <c r="C5688" s="0" t="inlineStr">
        <is>
          <t xml:space="preserve">broad_maritime</t>
        </is>
      </c>
      <c r="D5688" s="4">
        <v>0.0</v>
      </c>
      <c r="E5688" s="0" t="inlineStr">
        <is>
          <t xml:space="preserve">UNITED STATES MARINE INC</t>
        </is>
      </c>
      <c r="F5688" s="0" t="inlineStr">
        <is>
          <t xml:space="preserve">naics:336611</t>
        </is>
      </c>
    </row>
    <row r="5689">
      <c r="B5689" s="0" t="inlineStr">
        <is>
          <t xml:space="preserve">N0002425G2404</t>
        </is>
      </c>
      <c r="C5689" s="0" t="inlineStr">
        <is>
          <t xml:space="preserve">broad_maritime</t>
        </is>
      </c>
      <c r="D5689" s="4">
        <v>0.0</v>
      </c>
      <c r="E5689" s="0" t="inlineStr">
        <is>
          <t xml:space="preserve">TEXTRON SYSTEMS CORP</t>
        </is>
      </c>
      <c r="F5689" s="0" t="inlineStr">
        <is>
          <t xml:space="preserve">naics:336611; psc:1905</t>
        </is>
      </c>
    </row>
    <row r="5690">
      <c r="B5690" s="0" t="inlineStr">
        <is>
          <t xml:space="preserve">N0002425G2306</t>
        </is>
      </c>
      <c r="C5690" s="0" t="inlineStr">
        <is>
          <t xml:space="preserve">broad_maritime</t>
        </is>
      </c>
      <c r="D5690" s="4">
        <v>0.0</v>
      </c>
      <c r="E5690" s="0" t="inlineStr">
        <is>
          <t xml:space="preserve">HUNTINGTON INGALLS INCORPORATED</t>
        </is>
      </c>
      <c r="F5690" s="0" t="inlineStr">
        <is>
          <t xml:space="preserve">naics:336611; psc:1905</t>
        </is>
      </c>
    </row>
    <row r="5691">
      <c r="B5691" s="0" t="inlineStr">
        <is>
          <t xml:space="preserve">N0002425G2305</t>
        </is>
      </c>
      <c r="C5691" s="0" t="inlineStr">
        <is>
          <t xml:space="preserve">broad_maritime</t>
        </is>
      </c>
      <c r="D5691" s="4">
        <v>0.0</v>
      </c>
      <c r="E5691" s="0" t="inlineStr">
        <is>
          <t xml:space="preserve">BATH IRON WORKS CORPORATION</t>
        </is>
      </c>
      <c r="F5691" s="0" t="inlineStr">
        <is>
          <t xml:space="preserve">naics:336611; psc:1905</t>
        </is>
      </c>
    </row>
    <row r="5692">
      <c r="B5692" s="0" t="inlineStr">
        <is>
          <t xml:space="preserve">N0002423G4303</t>
        </is>
      </c>
      <c r="C5692" s="0" t="inlineStr">
        <is>
          <t xml:space="preserve">broad_maritime</t>
        </is>
      </c>
      <c r="D5692" s="4">
        <v>0.0</v>
      </c>
      <c r="E5692" s="0" t="inlineStr">
        <is>
          <t xml:space="preserve">ELECTRIC BOAT CORPORATION</t>
        </is>
      </c>
      <c r="F5692" s="0" t="inlineStr">
        <is>
          <t xml:space="preserve">naics:336611; psc:1905</t>
        </is>
      </c>
    </row>
    <row r="5693">
      <c r="B5693" s="0" t="inlineStr">
        <is>
          <t xml:space="preserve">N0002422G4304</t>
        </is>
      </c>
      <c r="C5693" s="0" t="inlineStr">
        <is>
          <t xml:space="preserve">broad_maritime</t>
        </is>
      </c>
      <c r="D5693" s="4">
        <v>0.0</v>
      </c>
      <c r="E5693" s="0" t="inlineStr">
        <is>
          <t xml:space="preserve">ELECTRIC BOAT CORPORATION</t>
        </is>
      </c>
      <c r="F5693" s="0" t="inlineStr">
        <is>
          <t xml:space="preserve">naics:336611; psc:1905</t>
        </is>
      </c>
    </row>
    <row r="5694">
      <c r="B5694" s="0" t="inlineStr">
        <is>
          <t xml:space="preserve">N0002422G4303</t>
        </is>
      </c>
      <c r="C5694" s="0" t="inlineStr">
        <is>
          <t xml:space="preserve">broad_maritime</t>
        </is>
      </c>
      <c r="D5694" s="4">
        <v>0.0</v>
      </c>
      <c r="E5694" s="0" t="inlineStr">
        <is>
          <t xml:space="preserve">HUNTINGTON INGALLS INC</t>
        </is>
      </c>
      <c r="F5694" s="0" t="inlineStr">
        <is>
          <t xml:space="preserve">naics:336611; psc:1905</t>
        </is>
      </c>
    </row>
    <row r="5695">
      <c r="B5695" s="0" t="inlineStr">
        <is>
          <t xml:space="preserve">N0002422G2303</t>
        </is>
      </c>
      <c r="C5695" s="0" t="inlineStr">
        <is>
          <t xml:space="preserve">broad_maritime</t>
        </is>
      </c>
      <c r="D5695" s="4">
        <v>0.0</v>
      </c>
      <c r="E5695" s="0" t="inlineStr">
        <is>
          <t xml:space="preserve">HUNTINGTON INGALLS INCORPORATED</t>
        </is>
      </c>
      <c r="F5695" s="0" t="inlineStr">
        <is>
          <t xml:space="preserve">naics:336611; psc:1905</t>
        </is>
      </c>
    </row>
    <row r="5696">
      <c r="B5696" s="0" t="inlineStr">
        <is>
          <t xml:space="preserve">N0002421G4305</t>
        </is>
      </c>
      <c r="C5696" s="0" t="inlineStr">
        <is>
          <t xml:space="preserve">broad_maritime</t>
        </is>
      </c>
      <c r="D5696" s="4">
        <v>0.0</v>
      </c>
      <c r="E5696" s="0" t="inlineStr">
        <is>
          <t xml:space="preserve">HUNTINGTON INGALLS INC</t>
        </is>
      </c>
      <c r="F5696" s="0" t="inlineStr">
        <is>
          <t xml:space="preserve">naics:336611; psc:1905</t>
        </is>
      </c>
    </row>
    <row r="5697">
      <c r="B5697" s="0" t="inlineStr">
        <is>
          <t xml:space="preserve">N0002421G4216</t>
        </is>
      </c>
      <c r="C5697" s="0" t="inlineStr">
        <is>
          <t xml:space="preserve">broad_maritime</t>
        </is>
      </c>
      <c r="D5697" s="4">
        <v>0.0</v>
      </c>
      <c r="E5697" s="0" t="inlineStr">
        <is>
          <t xml:space="preserve">UNITED STATES MARINE INC</t>
        </is>
      </c>
      <c r="F5697" s="0" t="inlineStr">
        <is>
          <t xml:space="preserve">naics:336611</t>
        </is>
      </c>
    </row>
    <row r="5698">
      <c r="B5698" s="0" t="inlineStr">
        <is>
          <t xml:space="preserve">N0002421G2503</t>
        </is>
      </c>
      <c r="C5698" s="0" t="inlineStr">
        <is>
          <t xml:space="preserve">broad_maritime</t>
        </is>
      </c>
      <c r="D5698" s="4">
        <v>0.0</v>
      </c>
      <c r="E5698" s="0" t="inlineStr">
        <is>
          <t xml:space="preserve">NATIONAL STEEL AND SHIPBUILDING COMPANY</t>
        </is>
      </c>
      <c r="F5698" s="0" t="inlineStr">
        <is>
          <t xml:space="preserve">naics:336611</t>
        </is>
      </c>
    </row>
    <row r="5699">
      <c r="B5699" s="0" t="inlineStr">
        <is>
          <t xml:space="preserve">N0002421A4105</t>
        </is>
      </c>
      <c r="C5699" s="0" t="inlineStr">
        <is>
          <t xml:space="preserve">broad_maritime</t>
        </is>
      </c>
      <c r="D5699" s="4">
        <v>0.0</v>
      </c>
      <c r="E5699" s="0" t="inlineStr">
        <is>
          <t xml:space="preserve">ROLLS-ROYCE SOLUTIONS AMERICA INC</t>
        </is>
      </c>
      <c r="F5699" s="0" t="inlineStr">
        <is>
          <t xml:space="preserve">naics:336611</t>
        </is>
      </c>
    </row>
    <row r="5700">
      <c r="B5700" s="0" t="inlineStr">
        <is>
          <t xml:space="preserve">N0002420G4107</t>
        </is>
      </c>
      <c r="C5700" s="0" t="inlineStr">
        <is>
          <t xml:space="preserve">broad_maritime</t>
        </is>
      </c>
      <c r="D5700" s="4">
        <v>0.0</v>
      </c>
      <c r="E5700" s="0" t="inlineStr">
        <is>
          <t xml:space="preserve">BAE SYSTEMS LAND &amp; ARMAMENTS L.P.</t>
        </is>
      </c>
      <c r="F5700" s="0" t="inlineStr">
        <is>
          <t xml:space="preserve">naics:336611</t>
        </is>
      </c>
    </row>
    <row r="5701">
      <c r="B5701" s="0" t="inlineStr">
        <is>
          <t xml:space="preserve">N0002419G2319</t>
        </is>
      </c>
      <c r="C5701" s="0" t="inlineStr">
        <is>
          <t xml:space="preserve">broad_maritime</t>
        </is>
      </c>
      <c r="D5701" s="4">
        <v>0.0</v>
      </c>
      <c r="E5701" s="0" t="inlineStr">
        <is>
          <t xml:space="preserve">LOCKHEED MARTIN CORPORATION</t>
        </is>
      </c>
      <c r="F5701" s="0" t="inlineStr">
        <is>
          <t xml:space="preserve">naics:336611; psc:1905</t>
        </is>
      </c>
    </row>
    <row r="5702">
      <c r="B5702" s="0" t="inlineStr">
        <is>
          <t xml:space="preserve">N0002419G2318</t>
        </is>
      </c>
      <c r="C5702" s="0" t="inlineStr">
        <is>
          <t xml:space="preserve">broad_maritime</t>
        </is>
      </c>
      <c r="D5702" s="4">
        <v>0.0</v>
      </c>
      <c r="E5702" s="0" t="inlineStr">
        <is>
          <t xml:space="preserve">AUSTAL USA, LLC</t>
        </is>
      </c>
      <c r="F5702" s="0" t="inlineStr">
        <is>
          <t xml:space="preserve">naics:336611; psc:1905</t>
        </is>
      </c>
    </row>
    <row r="5703">
      <c r="B5703" s="0" t="inlineStr">
        <is>
          <t xml:space="preserve">N0002418G4113</t>
        </is>
      </c>
      <c r="C5703" s="0" t="inlineStr">
        <is>
          <t xml:space="preserve">broad_maritime</t>
        </is>
      </c>
      <c r="D5703" s="4">
        <v>0.0</v>
      </c>
      <c r="E5703" s="0" t="inlineStr">
        <is>
          <t xml:space="preserve">GENERAL ELECTRIC COMPANY</t>
        </is>
      </c>
      <c r="F5703" s="0" t="inlineStr">
        <is>
          <t xml:space="preserve">naics:336611</t>
        </is>
      </c>
    </row>
    <row r="5704">
      <c r="B5704" s="0" t="inlineStr">
        <is>
          <t xml:space="preserve">N0002417G4216</t>
        </is>
      </c>
      <c r="C5704" s="0" t="inlineStr">
        <is>
          <t xml:space="preserve">broad_maritime</t>
        </is>
      </c>
      <c r="D5704" s="4">
        <v>0.0</v>
      </c>
      <c r="E5704" s="0" t="inlineStr">
        <is>
          <t xml:space="preserve">UNITED STATES MARINE INC</t>
        </is>
      </c>
      <c r="F5704" s="0" t="inlineStr">
        <is>
          <t xml:space="preserve">naics:336611</t>
        </is>
      </c>
    </row>
    <row r="5705">
      <c r="B5705" s="0" t="inlineStr">
        <is>
          <t xml:space="preserve">N0002416G4305</t>
        </is>
      </c>
      <c r="C5705" s="0" t="inlineStr">
        <is>
          <t xml:space="preserve">broad_maritime</t>
        </is>
      </c>
      <c r="D5705" s="4">
        <v>0.0</v>
      </c>
      <c r="E5705" s="0" t="inlineStr">
        <is>
          <t xml:space="preserve">HUNTINGTON INGALLS INCORPORATED</t>
        </is>
      </c>
      <c r="F5705" s="0" t="inlineStr">
        <is>
          <t xml:space="preserve">naics:336611</t>
        </is>
      </c>
    </row>
    <row r="5706">
      <c r="B5706" s="0" t="inlineStr">
        <is>
          <t xml:space="preserve">N0002416G4303</t>
        </is>
      </c>
      <c r="C5706" s="0" t="inlineStr">
        <is>
          <t xml:space="preserve">broad_maritime</t>
        </is>
      </c>
      <c r="D5706" s="4">
        <v>0.0</v>
      </c>
      <c r="E5706" s="0" t="inlineStr">
        <is>
          <t xml:space="preserve">HUNTINGTON INGALLS INC</t>
        </is>
      </c>
      <c r="F5706" s="0" t="inlineStr">
        <is>
          <t xml:space="preserve">naics:336611; psc:1905</t>
        </is>
      </c>
    </row>
    <row r="5707">
      <c r="B5707" s="0" t="inlineStr">
        <is>
          <t xml:space="preserve">N0002416G4302</t>
        </is>
      </c>
      <c r="C5707" s="0" t="inlineStr">
        <is>
          <t xml:space="preserve">broad_maritime</t>
        </is>
      </c>
      <c r="D5707" s="4">
        <v>0.0</v>
      </c>
      <c r="E5707" s="0" t="inlineStr">
        <is>
          <t xml:space="preserve">ELECTRIC BOAT CORPORATION</t>
        </is>
      </c>
      <c r="F5707" s="0" t="inlineStr">
        <is>
          <t xml:space="preserve">naics:336611; psc:1905</t>
        </is>
      </c>
    </row>
    <row r="5708">
      <c r="B5708" s="0" t="inlineStr">
        <is>
          <t xml:space="preserve">N0002416G2303</t>
        </is>
      </c>
      <c r="C5708" s="0" t="inlineStr">
        <is>
          <t xml:space="preserve">broad_maritime</t>
        </is>
      </c>
      <c r="D5708" s="4">
        <v>0.0</v>
      </c>
      <c r="E5708" s="0" t="inlineStr">
        <is>
          <t xml:space="preserve">HUNTINGTON INGALLS INCORPORATED</t>
        </is>
      </c>
      <c r="F5708" s="0" t="inlineStr">
        <is>
          <t xml:space="preserve">naics:336611; psc:1905</t>
        </is>
      </c>
    </row>
    <row r="5709">
      <c r="B5709" s="0" t="inlineStr">
        <is>
          <t xml:space="preserve">N0002416G2301</t>
        </is>
      </c>
      <c r="C5709" s="0" t="inlineStr">
        <is>
          <t xml:space="preserve">broad_maritime</t>
        </is>
      </c>
      <c r="D5709" s="4">
        <v>0.0</v>
      </c>
      <c r="E5709" s="0" t="inlineStr">
        <is>
          <t xml:space="preserve">BATH IRON WORKS CORPORATION</t>
        </is>
      </c>
      <c r="F5709" s="0" t="inlineStr">
        <is>
          <t xml:space="preserve">naics:336611; psc:1905</t>
        </is>
      </c>
    </row>
    <row r="5710">
      <c r="B5710" s="0" t="inlineStr">
        <is>
          <t xml:space="preserve">N0002416G2218</t>
        </is>
      </c>
      <c r="C5710" s="0" t="inlineStr">
        <is>
          <t xml:space="preserve">other_small</t>
        </is>
      </c>
      <c r="D5710" s="4">
        <v>0.0</v>
      </c>
      <c r="E5710" s="0" t="inlineStr">
        <is>
          <t xml:space="preserve">AUSTAL USA, LLC</t>
        </is>
      </c>
      <c r="F5710" s="0" t="inlineStr">
        <is>
          <t xml:space="preserve">naics:336611; psc:1990</t>
        </is>
      </c>
    </row>
    <row r="5711">
      <c r="B5711" s="0" t="inlineStr">
        <is>
          <t xml:space="preserve">N0002416G2214</t>
        </is>
      </c>
      <c r="C5711" s="0" t="inlineStr">
        <is>
          <t xml:space="preserve">other_small</t>
        </is>
      </c>
      <c r="D5711" s="4">
        <v>0.0</v>
      </c>
      <c r="E5711" s="0" t="inlineStr">
        <is>
          <t xml:space="preserve">NATIONAL STEEL AND SHIPBUILDING COMPANY</t>
        </is>
      </c>
      <c r="F5711" s="0" t="inlineStr">
        <is>
          <t xml:space="preserve">naics:336611; psc:1990</t>
        </is>
      </c>
    </row>
    <row r="5712">
      <c r="B5712" s="0" t="inlineStr">
        <is>
          <t xml:space="preserve">N0002415G4209</t>
        </is>
      </c>
      <c r="C5712" s="0" t="inlineStr">
        <is>
          <t xml:space="preserve">broad_maritime</t>
        </is>
      </c>
      <c r="D5712" s="4">
        <v>0.0</v>
      </c>
      <c r="E5712" s="0" t="inlineStr">
        <is>
          <t xml:space="preserve">SWIFTSHIPS, LLC</t>
        </is>
      </c>
      <c r="F5712" s="0" t="inlineStr">
        <is>
          <t xml:space="preserve">naics:336611</t>
        </is>
      </c>
    </row>
    <row r="5713">
      <c r="B5713" s="0" t="inlineStr">
        <is>
          <t xml:space="preserve">N0002415G4104</t>
        </is>
      </c>
      <c r="C5713" s="0" t="inlineStr">
        <is>
          <t xml:space="preserve">broad_maritime</t>
        </is>
      </c>
      <c r="D5713" s="4">
        <v>0.0</v>
      </c>
      <c r="E5713" s="0" t="inlineStr">
        <is>
          <t xml:space="preserve">BAE SYSTEMS LAND &amp; ARMAMENTS L.P.</t>
        </is>
      </c>
      <c r="F5713" s="0" t="inlineStr">
        <is>
          <t xml:space="preserve">naics:336611</t>
        </is>
      </c>
    </row>
    <row r="5714">
      <c r="B5714" s="0" t="inlineStr">
        <is>
          <t xml:space="preserve">N0002415G2304</t>
        </is>
      </c>
      <c r="C5714" s="0" t="inlineStr">
        <is>
          <t xml:space="preserve">broad_maritime</t>
        </is>
      </c>
      <c r="D5714" s="4">
        <v>0.0</v>
      </c>
      <c r="E5714" s="0" t="inlineStr">
        <is>
          <t xml:space="preserve">AUSTAL USA, LLC</t>
        </is>
      </c>
      <c r="F5714" s="0" t="inlineStr">
        <is>
          <t xml:space="preserve">naics:336611</t>
        </is>
      </c>
    </row>
    <row r="5715">
      <c r="B5715" s="0" t="inlineStr">
        <is>
          <t xml:space="preserve">N0002415G2303</t>
        </is>
      </c>
      <c r="C5715" s="0" t="inlineStr">
        <is>
          <t xml:space="preserve">broad_maritime</t>
        </is>
      </c>
      <c r="D5715" s="4">
        <v>0.0</v>
      </c>
      <c r="E5715" s="0" t="inlineStr">
        <is>
          <t xml:space="preserve">LOCKHEED MARTIN CORPORATION</t>
        </is>
      </c>
      <c r="F5715" s="0" t="inlineStr">
        <is>
          <t xml:space="preserve">naics:336611; psc:1905</t>
        </is>
      </c>
    </row>
    <row r="5716">
      <c r="B5716" s="0" t="inlineStr">
        <is>
          <t xml:space="preserve">N0002414G4303</t>
        </is>
      </c>
      <c r="C5716" s="0" t="inlineStr">
        <is>
          <t xml:space="preserve">broad_maritime</t>
        </is>
      </c>
      <c r="D5716" s="4">
        <v>0.0</v>
      </c>
      <c r="E5716" s="0" t="inlineStr">
        <is>
          <t xml:space="preserve">HUNTINGTON INGALLS INC</t>
        </is>
      </c>
      <c r="F5716" s="0" t="inlineStr">
        <is>
          <t xml:space="preserve">naics:336611; psc:2090</t>
        </is>
      </c>
    </row>
    <row r="5717">
      <c r="B5717" s="0" t="inlineStr">
        <is>
          <t xml:space="preserve">N0002414G4302</t>
        </is>
      </c>
      <c r="C5717" s="0" t="inlineStr">
        <is>
          <t xml:space="preserve">broad_maritime</t>
        </is>
      </c>
      <c r="D5717" s="4">
        <v>0.0</v>
      </c>
      <c r="E5717" s="0" t="inlineStr">
        <is>
          <t xml:space="preserve">ELECTRIC BOAT CORPORATION</t>
        </is>
      </c>
      <c r="F5717" s="0" t="inlineStr">
        <is>
          <t xml:space="preserve">naics:336611; psc:2090</t>
        </is>
      </c>
    </row>
    <row r="5718">
      <c r="B5718" s="0" t="inlineStr">
        <is>
          <t xml:space="preserve">N0002414G4301</t>
        </is>
      </c>
      <c r="C5718" s="0" t="inlineStr">
        <is>
          <t xml:space="preserve">broad_maritime</t>
        </is>
      </c>
      <c r="D5718" s="4">
        <v>0.0</v>
      </c>
      <c r="E5718" s="0" t="inlineStr">
        <is>
          <t xml:space="preserve">HUNTINGTON INGALLS INC</t>
        </is>
      </c>
      <c r="F5718" s="0" t="inlineStr">
        <is>
          <t xml:space="preserve">naics:336611; psc:1905</t>
        </is>
      </c>
    </row>
    <row r="5719">
      <c r="B5719" s="0" t="inlineStr">
        <is>
          <t xml:space="preserve">N0002414G4300</t>
        </is>
      </c>
      <c r="C5719" s="0" t="inlineStr">
        <is>
          <t xml:space="preserve">broad_maritime</t>
        </is>
      </c>
      <c r="D5719" s="4">
        <v>0.0</v>
      </c>
      <c r="E5719" s="0" t="inlineStr">
        <is>
          <t xml:space="preserve">ELECTRIC BOAT CORPORATION</t>
        </is>
      </c>
      <c r="F5719" s="0" t="inlineStr">
        <is>
          <t xml:space="preserve">naics:336611; psc:1905</t>
        </is>
      </c>
    </row>
    <row r="5720">
      <c r="B5720" s="0" t="inlineStr">
        <is>
          <t xml:space="preserve">N0002414G2114</t>
        </is>
      </c>
      <c r="C5720" s="0" t="inlineStr">
        <is>
          <t xml:space="preserve">broad_maritime</t>
        </is>
      </c>
      <c r="D5720" s="4">
        <v>0.0</v>
      </c>
      <c r="E5720" s="0" t="inlineStr">
        <is>
          <t xml:space="preserve">HUNTINGTON INGALLS INC</t>
        </is>
      </c>
      <c r="F5720" s="0" t="inlineStr">
        <is>
          <t xml:space="preserve">naics:336611; psc:1905</t>
        </is>
      </c>
    </row>
    <row r="5721">
      <c r="B5721" s="0" t="inlineStr">
        <is>
          <t xml:space="preserve">N0002413G2404</t>
        </is>
      </c>
      <c r="C5721" s="0" t="inlineStr">
        <is>
          <t xml:space="preserve">broad_maritime</t>
        </is>
      </c>
      <c r="D5721" s="4">
        <v>0.0</v>
      </c>
      <c r="E5721" s="0" t="inlineStr">
        <is>
          <t xml:space="preserve">HUNTINGTON INGALLS INCORPORATED</t>
        </is>
      </c>
      <c r="F5721" s="0" t="inlineStr">
        <is>
          <t xml:space="preserve">naics:336611</t>
        </is>
      </c>
    </row>
    <row r="5722">
      <c r="B5722" s="0" t="inlineStr">
        <is>
          <t xml:space="preserve">N0002413G2316</t>
        </is>
      </c>
      <c r="C5722" s="0" t="inlineStr">
        <is>
          <t xml:space="preserve">broad_maritime</t>
        </is>
      </c>
      <c r="D5722" s="4">
        <v>0.0</v>
      </c>
      <c r="E5722" s="0" t="inlineStr">
        <is>
          <t xml:space="preserve">BATH IRON WORKS CORPORATION</t>
        </is>
      </c>
      <c r="F5722" s="0" t="inlineStr">
        <is>
          <t xml:space="preserve">naics:336611; psc:1905</t>
        </is>
      </c>
    </row>
    <row r="5723">
      <c r="B5723" s="0" t="inlineStr">
        <is>
          <t xml:space="preserve">N0002412G4330</t>
        </is>
      </c>
      <c r="C5723" s="0" t="inlineStr">
        <is>
          <t xml:space="preserve">broad_maritime</t>
        </is>
      </c>
      <c r="D5723" s="4">
        <v>0.0</v>
      </c>
      <c r="E5723" s="0" t="inlineStr">
        <is>
          <t xml:space="preserve">BATH IRON WORKS CORPORATION</t>
        </is>
      </c>
      <c r="F5723" s="0" t="inlineStr">
        <is>
          <t xml:space="preserve">naics:336611; psc:1905</t>
        </is>
      </c>
    </row>
    <row r="5724">
      <c r="B5724" s="0" t="inlineStr">
        <is>
          <t xml:space="preserve">N0002412G2317</t>
        </is>
      </c>
      <c r="C5724" s="0" t="inlineStr">
        <is>
          <t xml:space="preserve">broad_maritime</t>
        </is>
      </c>
      <c r="D5724" s="4">
        <v>0.0</v>
      </c>
      <c r="E5724" s="0" t="inlineStr">
        <is>
          <t xml:space="preserve">LOCKHEED MARTIN CORPORATION</t>
        </is>
      </c>
      <c r="F5724" s="0" t="inlineStr">
        <is>
          <t xml:space="preserve">naics:336611; psc:1905</t>
        </is>
      </c>
    </row>
    <row r="5725">
      <c r="B5725" s="0" t="inlineStr">
        <is>
          <t xml:space="preserve">N0002409G2300</t>
        </is>
      </c>
      <c r="C5725" s="0" t="inlineStr">
        <is>
          <t xml:space="preserve">broad_maritime</t>
        </is>
      </c>
      <c r="D5725" s="4">
        <v>0.0</v>
      </c>
      <c r="E5725" s="0" t="inlineStr">
        <is>
          <t xml:space="preserve">LOCKHEED MARTIN CORPORATION</t>
        </is>
      </c>
      <c r="F5725" s="0" t="inlineStr">
        <is>
          <t xml:space="preserve">naics:336611</t>
        </is>
      </c>
    </row>
    <row r="5726">
      <c r="B5726" s="0" t="inlineStr">
        <is>
          <t xml:space="preserve">N0002401G2300</t>
        </is>
      </c>
      <c r="C5726" s="0" t="inlineStr">
        <is>
          <t xml:space="preserve">broad_maritime</t>
        </is>
      </c>
      <c r="D5726" s="4">
        <v>0.0</v>
      </c>
      <c r="E5726" s="0" t="inlineStr">
        <is>
          <t xml:space="preserve">NORTHROP GRUMMAN SHIP SYSTEMS,</t>
        </is>
      </c>
      <c r="F5726" s="0" t="inlineStr">
        <is>
          <t xml:space="preserve">naics:336611</t>
        </is>
      </c>
    </row>
    <row r="5727">
      <c r="B5727" s="0" t="inlineStr">
        <is>
          <t xml:space="preserve">M6700419G1000</t>
        </is>
      </c>
      <c r="C5727" s="0" t="inlineStr">
        <is>
          <t xml:space="preserve">broad_maritime</t>
        </is>
      </c>
      <c r="D5727" s="4">
        <v>0.0</v>
      </c>
      <c r="E5727" s="0" t="inlineStr">
        <is>
          <t xml:space="preserve">ST. JOHNS BOAT COMPANY</t>
        </is>
      </c>
      <c r="F5727" s="0" t="inlineStr">
        <is>
          <t xml:space="preserve">naics:336611</t>
        </is>
      </c>
    </row>
    <row r="5728">
      <c r="B5728" s="0" t="inlineStr">
        <is>
          <t xml:space="preserve">M6700416G1002</t>
        </is>
      </c>
      <c r="C5728" s="0" t="inlineStr">
        <is>
          <t xml:space="preserve">broad_maritime</t>
        </is>
      </c>
      <c r="D5728" s="4">
        <v>0.0</v>
      </c>
      <c r="E5728" s="0" t="inlineStr">
        <is>
          <t xml:space="preserve">NORTH FLORIDA SHIPYARDS, INC.</t>
        </is>
      </c>
      <c r="F5728" s="0" t="inlineStr">
        <is>
          <t xml:space="preserve">naics:336611</t>
        </is>
      </c>
    </row>
    <row r="5729">
      <c r="B5729" s="0" t="inlineStr">
        <is>
          <t xml:space="preserve">M6700415G1000</t>
        </is>
      </c>
      <c r="C5729" s="0" t="inlineStr">
        <is>
          <t xml:space="preserve">broad_maritime</t>
        </is>
      </c>
      <c r="D5729" s="4">
        <v>0.0</v>
      </c>
      <c r="E5729" s="0" t="inlineStr">
        <is>
          <t xml:space="preserve">W &amp; D SHIPS DECK WORKS INC.</t>
        </is>
      </c>
      <c r="F5729" s="0" t="inlineStr">
        <is>
          <t xml:space="preserve">naics:336611</t>
        </is>
      </c>
    </row>
    <row r="5730">
      <c r="B5730" s="0" t="inlineStr">
        <is>
          <t xml:space="preserve">M6700414G0010</t>
        </is>
      </c>
      <c r="C5730" s="0" t="inlineStr">
        <is>
          <t xml:space="preserve">broad_maritime</t>
        </is>
      </c>
      <c r="D5730" s="4">
        <v>0.0</v>
      </c>
      <c r="E5730" s="0" t="inlineStr">
        <is>
          <t xml:space="preserve">NORTH FLORIDA SHIPYARDS, INC.</t>
        </is>
      </c>
      <c r="F5730" s="0" t="inlineStr">
        <is>
          <t xml:space="preserve">naics:336611</t>
        </is>
      </c>
    </row>
    <row r="5731">
      <c r="B5731" s="0" t="inlineStr">
        <is>
          <t xml:space="preserve">N6264923A0001</t>
        </is>
      </c>
      <c r="C5731" s="0" t="inlineStr">
        <is>
          <t xml:space="preserve">small_craft</t>
        </is>
      </c>
      <c r="D5731" s="4">
        <v>0.0</v>
      </c>
      <c r="E5731" s="0" t="inlineStr">
        <is>
          <t xml:space="preserve">MISCELLANEOUS FOREIGN AWARDEES</t>
        </is>
      </c>
      <c r="F5731" s="0" t="inlineStr">
        <is>
          <t xml:space="preserve">naics:336612</t>
        </is>
      </c>
    </row>
    <row r="5732">
      <c r="B5732" s="0" t="inlineStr">
        <is>
          <t xml:space="preserve">N0016724A0005</t>
        </is>
      </c>
      <c r="C5732" s="0" t="inlineStr">
        <is>
          <t xml:space="preserve">small_craft</t>
        </is>
      </c>
      <c r="D5732" s="4">
        <v>0.0</v>
      </c>
      <c r="E5732" s="0" t="inlineStr">
        <is>
          <t xml:space="preserve">CAPE MARINE SERVICES LLC</t>
        </is>
      </c>
      <c r="F5732" s="0" t="inlineStr">
        <is>
          <t xml:space="preserve">naics:336612</t>
        </is>
      </c>
    </row>
    <row r="5733">
      <c r="B5733" s="0" t="inlineStr">
        <is>
          <t xml:space="preserve">N0016723A0060</t>
        </is>
      </c>
      <c r="C5733" s="0" t="inlineStr">
        <is>
          <t xml:space="preserve">small_craft</t>
        </is>
      </c>
      <c r="D5733" s="4">
        <v>0.0</v>
      </c>
      <c r="E5733" s="0" t="inlineStr">
        <is>
          <t xml:space="preserve">LAMY MARINE, INC.</t>
        </is>
      </c>
      <c r="F5733" s="0" t="inlineStr">
        <is>
          <t xml:space="preserve">naics:336612</t>
        </is>
      </c>
    </row>
    <row r="5734">
      <c r="B5734" s="0" t="inlineStr">
        <is>
          <t xml:space="preserve">N0016723A0059</t>
        </is>
      </c>
      <c r="C5734" s="0" t="inlineStr">
        <is>
          <t xml:space="preserve">small_craft</t>
        </is>
      </c>
      <c r="D5734" s="4">
        <v>0.0</v>
      </c>
      <c r="E5734" s="0" t="inlineStr">
        <is>
          <t xml:space="preserve">AYERS MARINE ELECTRONICS, INC.</t>
        </is>
      </c>
      <c r="F5734" s="0" t="inlineStr">
        <is>
          <t xml:space="preserve">naics:336612</t>
        </is>
      </c>
    </row>
    <row r="5735">
      <c r="B5735" s="0" t="inlineStr">
        <is>
          <t xml:space="preserve">N0016723A0058</t>
        </is>
      </c>
      <c r="C5735" s="0" t="inlineStr">
        <is>
          <t xml:space="preserve">small_craft</t>
        </is>
      </c>
      <c r="D5735" s="4">
        <v>0.0</v>
      </c>
      <c r="E5735" s="0" t="inlineStr">
        <is>
          <t xml:space="preserve">BAY DIESEL CORP</t>
        </is>
      </c>
      <c r="F5735" s="0" t="inlineStr">
        <is>
          <t xml:space="preserve">naics:336612</t>
        </is>
      </c>
    </row>
    <row r="5736">
      <c r="B5736" s="0" t="inlineStr">
        <is>
          <t xml:space="preserve">N0016723A0057</t>
        </is>
      </c>
      <c r="C5736" s="0" t="inlineStr">
        <is>
          <t xml:space="preserve">small_craft</t>
        </is>
      </c>
      <c r="D5736" s="4">
        <v>0.0</v>
      </c>
      <c r="E5736" s="0" t="inlineStr">
        <is>
          <t xml:space="preserve">ANCHOR INNOVATION, INC.</t>
        </is>
      </c>
      <c r="F5736" s="0" t="inlineStr">
        <is>
          <t xml:space="preserve">naics:336612</t>
        </is>
      </c>
    </row>
    <row r="5737">
      <c r="B5737" s="0" t="inlineStr">
        <is>
          <t xml:space="preserve">N0016723A0056</t>
        </is>
      </c>
      <c r="C5737" s="0" t="inlineStr">
        <is>
          <t xml:space="preserve">small_craft</t>
        </is>
      </c>
      <c r="D5737" s="4">
        <v>0.0</v>
      </c>
      <c r="E5737" s="0" t="inlineStr">
        <is>
          <t xml:space="preserve">ATLANTIC MARINE, LLC</t>
        </is>
      </c>
      <c r="F5737" s="0" t="inlineStr">
        <is>
          <t xml:space="preserve">naics:336612</t>
        </is>
      </c>
    </row>
    <row r="5738">
      <c r="B5738" s="0" t="inlineStr">
        <is>
          <t xml:space="preserve">N0016723A0055</t>
        </is>
      </c>
      <c r="C5738" s="0" t="inlineStr">
        <is>
          <t xml:space="preserve">small_craft</t>
        </is>
      </c>
      <c r="D5738" s="4">
        <v>0.0</v>
      </c>
      <c r="E5738" s="0" t="inlineStr">
        <is>
          <t xml:space="preserve">QED SYSTEMS, INC.</t>
        </is>
      </c>
      <c r="F5738" s="0" t="inlineStr">
        <is>
          <t xml:space="preserve">naics:336612</t>
        </is>
      </c>
    </row>
    <row r="5739">
      <c r="B5739" s="0" t="inlineStr">
        <is>
          <t xml:space="preserve">N0016723A0054</t>
        </is>
      </c>
      <c r="C5739" s="0" t="inlineStr">
        <is>
          <t xml:space="preserve">small_craft</t>
        </is>
      </c>
      <c r="D5739" s="4">
        <v>0.0</v>
      </c>
      <c r="E5739" s="0" t="inlineStr">
        <is>
          <t xml:space="preserve">ADVANCED MACHINE &amp; TOOLING, INC.</t>
        </is>
      </c>
      <c r="F5739" s="0" t="inlineStr">
        <is>
          <t xml:space="preserve">naics:336612</t>
        </is>
      </c>
    </row>
    <row r="5740">
      <c r="B5740" s="0" t="inlineStr">
        <is>
          <t xml:space="preserve">N0016723A0053</t>
        </is>
      </c>
      <c r="C5740" s="0" t="inlineStr">
        <is>
          <t xml:space="preserve">small_craft</t>
        </is>
      </c>
      <c r="D5740" s="4">
        <v>0.0</v>
      </c>
      <c r="E5740" s="0" t="inlineStr">
        <is>
          <t xml:space="preserve">VIRGINIA SPEED, INC.</t>
        </is>
      </c>
      <c r="F5740" s="0" t="inlineStr">
        <is>
          <t xml:space="preserve">naics:336612</t>
        </is>
      </c>
    </row>
    <row r="5741">
      <c r="B5741" s="0" t="inlineStr">
        <is>
          <t xml:space="preserve">N0016723A0052</t>
        </is>
      </c>
      <c r="C5741" s="0" t="inlineStr">
        <is>
          <t xml:space="preserve">small_craft</t>
        </is>
      </c>
      <c r="D5741" s="4">
        <v>0.0</v>
      </c>
      <c r="E5741" s="0" t="inlineStr">
        <is>
          <t xml:space="preserve">FAIRLEAD BOATWORKS, INC.</t>
        </is>
      </c>
      <c r="F5741" s="0" t="inlineStr">
        <is>
          <t xml:space="preserve">naics:336612</t>
        </is>
      </c>
    </row>
    <row r="5742">
      <c r="B5742" s="0" t="inlineStr">
        <is>
          <t xml:space="preserve">N0016723A0051</t>
        </is>
      </c>
      <c r="C5742" s="0" t="inlineStr">
        <is>
          <t xml:space="preserve">small_craft</t>
        </is>
      </c>
      <c r="D5742" s="4">
        <v>0.0</v>
      </c>
      <c r="E5742" s="0" t="inlineStr">
        <is>
          <t xml:space="preserve">UNITED STATES MARINE INC</t>
        </is>
      </c>
      <c r="F5742" s="0" t="inlineStr">
        <is>
          <t xml:space="preserve">naics:336612</t>
        </is>
      </c>
    </row>
    <row r="5743">
      <c r="B5743" s="0" t="inlineStr">
        <is>
          <t xml:space="preserve">N0016723A0050</t>
        </is>
      </c>
      <c r="C5743" s="0" t="inlineStr">
        <is>
          <t xml:space="preserve">small_craft</t>
        </is>
      </c>
      <c r="D5743" s="4">
        <v>0.0</v>
      </c>
      <c r="E5743" s="0" t="inlineStr">
        <is>
          <t xml:space="preserve">BEACH MARINE SERVICES INC</t>
        </is>
      </c>
      <c r="F5743" s="0" t="inlineStr">
        <is>
          <t xml:space="preserve">naics:336612</t>
        </is>
      </c>
    </row>
    <row r="5744">
      <c r="B5744" s="0" t="inlineStr">
        <is>
          <t xml:space="preserve">N0016723A0044</t>
        </is>
      </c>
      <c r="C5744" s="0" t="inlineStr">
        <is>
          <t xml:space="preserve">small_craft</t>
        </is>
      </c>
      <c r="D5744" s="4">
        <v>0.0</v>
      </c>
      <c r="E5744" s="0" t="inlineStr">
        <is>
          <t xml:space="preserve">WESTERN BRANCH DIESEL, LLC</t>
        </is>
      </c>
      <c r="F5744" s="0" t="inlineStr">
        <is>
          <t xml:space="preserve">naics:336612</t>
        </is>
      </c>
    </row>
    <row r="5745">
      <c r="B5745" s="0" t="inlineStr">
        <is>
          <t xml:space="preserve">N0010424GCQ01</t>
        </is>
      </c>
      <c r="C5745" s="0" t="inlineStr">
        <is>
          <t xml:space="preserve">small_craft</t>
        </is>
      </c>
      <c r="D5745" s="4">
        <v>0.0</v>
      </c>
      <c r="E5745" s="0" t="inlineStr">
        <is>
          <t xml:space="preserve">BIRD-JOHNSON PROPELLER COMPANY, LLC</t>
        </is>
      </c>
      <c r="F5745" s="0" t="inlineStr">
        <is>
          <t xml:space="preserve">naics:336612</t>
        </is>
      </c>
    </row>
    <row r="5746">
      <c r="B5746" s="0" t="inlineStr">
        <is>
          <t xml:space="preserve">N0010423GZL01</t>
        </is>
      </c>
      <c r="C5746" s="0" t="inlineStr">
        <is>
          <t xml:space="preserve">small_craft</t>
        </is>
      </c>
      <c r="D5746" s="4">
        <v>0.0</v>
      </c>
      <c r="E5746" s="0" t="inlineStr">
        <is>
          <t xml:space="preserve">DEFENSE MARITIME SOLUTIONS, INC.</t>
        </is>
      </c>
      <c r="F5746" s="0" t="inlineStr">
        <is>
          <t xml:space="preserve">naics:336612</t>
        </is>
      </c>
    </row>
    <row r="5747">
      <c r="B5747" s="0" t="inlineStr">
        <is>
          <t xml:space="preserve">N0010419GUF01</t>
        </is>
      </c>
      <c r="C5747" s="0" t="inlineStr">
        <is>
          <t xml:space="preserve">small_craft</t>
        </is>
      </c>
      <c r="D5747" s="4">
        <v>0.0</v>
      </c>
      <c r="E5747" s="0" t="inlineStr">
        <is>
          <t xml:space="preserve">ROLLS-ROYCE MARINE NORTH AMERICA INC.</t>
        </is>
      </c>
      <c r="F5747" s="0" t="inlineStr">
        <is>
          <t xml:space="preserve">naics:336612</t>
        </is>
      </c>
    </row>
    <row r="5748">
      <c r="B5748" s="0" t="inlineStr">
        <is>
          <t xml:space="preserve">N6278912P0007</t>
        </is>
      </c>
      <c r="C5748" s="0" t="inlineStr">
        <is>
          <t xml:space="preserve">broad_maritime</t>
        </is>
      </c>
      <c r="D5748" s="4">
        <v>0.0</v>
      </c>
      <c r="E5748" s="0" t="inlineStr">
        <is>
          <t xml:space="preserve">ELECTRIC BOAT CORPORATION</t>
        </is>
      </c>
      <c r="F5748" s="0" t="inlineStr">
        <is>
          <t xml:space="preserve">psc:1905</t>
        </is>
      </c>
    </row>
    <row r="5749">
      <c r="B5749" s="0" t="inlineStr">
        <is>
          <t xml:space="preserve">N0002419G2304</t>
        </is>
      </c>
      <c r="C5749" s="0" t="inlineStr">
        <is>
          <t xml:space="preserve">broad_maritime</t>
        </is>
      </c>
      <c r="D5749" s="4">
        <v>0.0</v>
      </c>
      <c r="E5749" s="0" t="inlineStr">
        <is>
          <t xml:space="preserve">L3 TECHNOLOGIES, INC.</t>
        </is>
      </c>
      <c r="F5749" s="0" t="inlineStr">
        <is>
          <t xml:space="preserve">psc:1905</t>
        </is>
      </c>
    </row>
    <row r="5750">
      <c r="B5750" s="0" t="inlineStr">
        <is>
          <t xml:space="preserve">N3220513P1381</t>
        </is>
      </c>
      <c r="C5750" s="0" t="inlineStr">
        <is>
          <t xml:space="preserve">other_small</t>
        </is>
      </c>
      <c r="D5750" s="4">
        <v>0.0</v>
      </c>
      <c r="E5750" s="0" t="inlineStr">
        <is>
          <t xml:space="preserve">SURVIVAL SYSTEMS INTERNATIONAL, INC</t>
        </is>
      </c>
      <c r="F5750" s="0" t="inlineStr">
        <is>
          <t xml:space="preserve">psc:1925</t>
        </is>
      </c>
    </row>
    <row r="5751">
      <c r="B5751" s="0" t="inlineStr">
        <is>
          <t xml:space="preserve">N6660410P2309</t>
        </is>
      </c>
      <c r="C5751" s="0" t="inlineStr">
        <is>
          <t xml:space="preserve">small_craft</t>
        </is>
      </c>
      <c r="D5751" s="4">
        <v>0.0</v>
      </c>
      <c r="E5751" s="0" t="inlineStr">
        <is>
          <t xml:space="preserve">CAPTAIN HOOKS SPORT FISHING</t>
        </is>
      </c>
      <c r="F5751" s="0" t="inlineStr">
        <is>
          <t xml:space="preserve">psc:1940</t>
        </is>
      </c>
    </row>
    <row r="5752">
      <c r="B5752" s="0" t="inlineStr">
        <is>
          <t xml:space="preserve">N5532118F1AB4</t>
        </is>
      </c>
      <c r="C5752" s="0" t="inlineStr">
        <is>
          <t xml:space="preserve">small_craft</t>
        </is>
      </c>
      <c r="D5752" s="4">
        <v>0.0</v>
      </c>
      <c r="E5752" s="0" t="inlineStr">
        <is>
          <t xml:space="preserve">DAVID JOSEPH EASTERBROOK LTD</t>
        </is>
      </c>
      <c r="F5752" s="0" t="inlineStr">
        <is>
          <t xml:space="preserve">psc:1940</t>
        </is>
      </c>
    </row>
    <row r="5753">
      <c r="B5753" s="0" t="inlineStr">
        <is>
          <t xml:space="preserve">N3595A21F0018</t>
        </is>
      </c>
      <c r="C5753" s="0" t="inlineStr">
        <is>
          <t xml:space="preserve">small_craft</t>
        </is>
      </c>
      <c r="D5753" s="4">
        <v>0.0</v>
      </c>
      <c r="E5753" s="0" t="inlineStr">
        <is>
          <t xml:space="preserve">ZODIAC OF NORTH AMERICA, INC.</t>
        </is>
      </c>
      <c r="F5753" s="0" t="inlineStr">
        <is>
          <t xml:space="preserve">psc:1940</t>
        </is>
      </c>
    </row>
    <row r="5754">
      <c r="B5754" s="0" t="inlineStr">
        <is>
          <t xml:space="preserve">N3595A21F0015</t>
        </is>
      </c>
      <c r="C5754" s="0" t="inlineStr">
        <is>
          <t xml:space="preserve">small_craft</t>
        </is>
      </c>
      <c r="D5754" s="4">
        <v>0.0</v>
      </c>
      <c r="E5754" s="0" t="inlineStr">
        <is>
          <t xml:space="preserve">ZODIAC OF NORTH AMERICA, INC.</t>
        </is>
      </c>
      <c r="F5754" s="0" t="inlineStr">
        <is>
          <t xml:space="preserve">psc:1940</t>
        </is>
      </c>
    </row>
    <row r="5755">
      <c r="B5755" s="0" t="inlineStr">
        <is>
          <t xml:space="preserve">N3595A21F0014</t>
        </is>
      </c>
      <c r="C5755" s="0" t="inlineStr">
        <is>
          <t xml:space="preserve">small_craft</t>
        </is>
      </c>
      <c r="D5755" s="4">
        <v>0.0</v>
      </c>
      <c r="E5755" s="0" t="inlineStr">
        <is>
          <t xml:space="preserve">W S DARLEY &amp; CO</t>
        </is>
      </c>
      <c r="F5755" s="0" t="inlineStr">
        <is>
          <t xml:space="preserve">psc:1940</t>
        </is>
      </c>
    </row>
    <row r="5756">
      <c r="B5756" s="0" t="inlineStr">
        <is>
          <t xml:space="preserve">N0610A22F0002</t>
        </is>
      </c>
      <c r="C5756" s="0" t="inlineStr">
        <is>
          <t xml:space="preserve">small_craft</t>
        </is>
      </c>
      <c r="D5756" s="4">
        <v>0.0</v>
      </c>
      <c r="E5756" s="0" t="inlineStr">
        <is>
          <t xml:space="preserve">ZODIAC OF NORTH AMERICA, INC.</t>
        </is>
      </c>
      <c r="F5756" s="0" t="inlineStr">
        <is>
          <t xml:space="preserve">psc:1940</t>
        </is>
      </c>
    </row>
    <row r="5757">
      <c r="B5757" s="0" t="inlineStr">
        <is>
          <t xml:space="preserve">N0060414P3457</t>
        </is>
      </c>
      <c r="C5757" s="0" t="inlineStr">
        <is>
          <t xml:space="preserve">small_craft</t>
        </is>
      </c>
      <c r="D5757" s="4">
        <v>0.0</v>
      </c>
      <c r="E5757" s="0" t="inlineStr">
        <is>
          <t xml:space="preserve">ALPHASCAPE LLC</t>
        </is>
      </c>
      <c r="F5757" s="0" t="inlineStr">
        <is>
          <t xml:space="preserve">psc:1940</t>
        </is>
      </c>
    </row>
    <row r="5758">
      <c r="B5758" s="0" t="inlineStr">
        <is>
          <t xml:space="preserve">N0002421F22K1</t>
        </is>
      </c>
      <c r="C5758" s="0" t="inlineStr">
        <is>
          <t xml:space="preserve">small_craft</t>
        </is>
      </c>
      <c r="D5758" s="4">
        <v>0.0</v>
      </c>
      <c r="E5758" s="0" t="inlineStr">
        <is>
          <t xml:space="preserve">WILLARD MARINE, INC.</t>
        </is>
      </c>
      <c r="F5758" s="0" t="inlineStr">
        <is>
          <t xml:space="preserve">psc:1940</t>
        </is>
      </c>
    </row>
    <row r="5759">
      <c r="B5759" s="0" t="inlineStr">
        <is>
          <t xml:space="preserve">N0002420F22K2</t>
        </is>
      </c>
      <c r="C5759" s="0" t="inlineStr">
        <is>
          <t xml:space="preserve">small_craft</t>
        </is>
      </c>
      <c r="D5759" s="4">
        <v>0.0</v>
      </c>
      <c r="E5759" s="0" t="inlineStr">
        <is>
          <t xml:space="preserve">WILLARD MARINE, INC.</t>
        </is>
      </c>
      <c r="F5759" s="0" t="inlineStr">
        <is>
          <t xml:space="preserve">psc:1940</t>
        </is>
      </c>
    </row>
    <row r="5760">
      <c r="B5760" s="0" t="inlineStr">
        <is>
          <t xml:space="preserve">N0002420F22K1</t>
        </is>
      </c>
      <c r="C5760" s="0" t="inlineStr">
        <is>
          <t xml:space="preserve">small_craft</t>
        </is>
      </c>
      <c r="D5760" s="4">
        <v>0.0</v>
      </c>
      <c r="E5760" s="0" t="inlineStr">
        <is>
          <t xml:space="preserve">WILLARD MARINE, INC.</t>
        </is>
      </c>
      <c r="F5760" s="0" t="inlineStr">
        <is>
          <t xml:space="preserve">psc:1940</t>
        </is>
      </c>
    </row>
    <row r="5761">
      <c r="B5761" s="0" t="inlineStr">
        <is>
          <t xml:space="preserve">N6133119P0146</t>
        </is>
      </c>
      <c r="C5761" s="0" t="inlineStr">
        <is>
          <t xml:space="preserve">other_small</t>
        </is>
      </c>
      <c r="D5761" s="4">
        <v>0.0</v>
      </c>
      <c r="E5761" s="0" t="inlineStr">
        <is>
          <t xml:space="preserve">BUNDY, EVANGELINE</t>
        </is>
      </c>
      <c r="F5761" s="0" t="inlineStr">
        <is>
          <t xml:space="preserve">psc:1990</t>
        </is>
      </c>
    </row>
    <row r="5762">
      <c r="B5762" s="0" t="inlineStr">
        <is>
          <t xml:space="preserve">N3220520F1945</t>
        </is>
      </c>
      <c r="C5762" s="0" t="inlineStr">
        <is>
          <t xml:space="preserve">other_small</t>
        </is>
      </c>
      <c r="D5762" s="4">
        <v>0.0</v>
      </c>
      <c r="E5762" s="0" t="inlineStr">
        <is>
          <t xml:space="preserve">LAKE SHORE SYSTEMS, INC.</t>
        </is>
      </c>
      <c r="F5762" s="0" t="inlineStr">
        <is>
          <t xml:space="preserve">psc:1990</t>
        </is>
      </c>
    </row>
    <row r="5763">
      <c r="B5763" s="0" t="inlineStr">
        <is>
          <t xml:space="preserve">N3220519F6761</t>
        </is>
      </c>
      <c r="C5763" s="0" t="inlineStr">
        <is>
          <t xml:space="preserve">other_small</t>
        </is>
      </c>
      <c r="D5763" s="4">
        <v>0.0</v>
      </c>
      <c r="E5763" s="0" t="inlineStr">
        <is>
          <t xml:space="preserve">LAKE SHORE SYSTEMS, INC.</t>
        </is>
      </c>
      <c r="F5763" s="0" t="inlineStr">
        <is>
          <t xml:space="preserve">psc:1990</t>
        </is>
      </c>
    </row>
    <row r="5764">
      <c r="B5764" s="0" t="inlineStr">
        <is>
          <t xml:space="preserve">N3220519F6755</t>
        </is>
      </c>
      <c r="C5764" s="0" t="inlineStr">
        <is>
          <t xml:space="preserve">other_small</t>
        </is>
      </c>
      <c r="D5764" s="4">
        <v>0.0</v>
      </c>
      <c r="E5764" s="0" t="inlineStr">
        <is>
          <t xml:space="preserve">LAKE SHORE SYSTEMS, INC.</t>
        </is>
      </c>
      <c r="F5764" s="0" t="inlineStr">
        <is>
          <t xml:space="preserve">psc:1990</t>
        </is>
      </c>
    </row>
    <row r="5765">
      <c r="B5765" s="0" t="inlineStr">
        <is>
          <t xml:space="preserve">N3220519F6709</t>
        </is>
      </c>
      <c r="C5765" s="0" t="inlineStr">
        <is>
          <t xml:space="preserve">other_small</t>
        </is>
      </c>
      <c r="D5765" s="4">
        <v>0.0</v>
      </c>
      <c r="E5765" s="0" t="inlineStr">
        <is>
          <t xml:space="preserve">LAKE SHORE SYSTEMS, INC.</t>
        </is>
      </c>
      <c r="F5765" s="0" t="inlineStr">
        <is>
          <t xml:space="preserve">psc:1990</t>
        </is>
      </c>
    </row>
    <row r="5766">
      <c r="B5766" s="0" t="inlineStr">
        <is>
          <t xml:space="preserve">M6700414A0003</t>
        </is>
      </c>
      <c r="C5766" s="0" t="inlineStr">
        <is>
          <t xml:space="preserve">other_small</t>
        </is>
      </c>
      <c r="D5766" s="4">
        <v>0.0</v>
      </c>
      <c r="E5766" s="0" t="inlineStr">
        <is>
          <t xml:space="preserve">CANNON MARINE PARTNERS, LLC</t>
        </is>
      </c>
      <c r="F5766" s="0" t="inlineStr">
        <is>
          <t xml:space="preserve">psc:1990</t>
        </is>
      </c>
    </row>
    <row r="5767">
      <c r="B5767" s="0" t="inlineStr">
        <is>
          <t xml:space="preserve">N3220513A6215</t>
        </is>
      </c>
      <c r="C5767" s="0" t="inlineStr">
        <is>
          <t xml:space="preserve">broad_maritime</t>
        </is>
      </c>
      <c r="D5767" s="4">
        <v>0.0</v>
      </c>
      <c r="E5767" s="0" t="inlineStr">
        <is>
          <t xml:space="preserve">FAIRLEAD INTEGRATED POWER AND CONTROLS, LLC</t>
        </is>
      </c>
      <c r="F5767" s="0" t="inlineStr">
        <is>
          <t xml:space="preserve">psc:2090</t>
        </is>
      </c>
    </row>
  </sheetData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18" customWidth="1"/>
    <col min="3" max="3" width="14" customWidth="1"/>
    <col min="4" max="4" width="12" customWidth="1"/>
    <col min="5" max="5" width="13" customWidth="1"/>
    <col min="6" max="6" width="22" customWidth="1"/>
    <col min="7" max="7" width="8" customWidth="1"/>
    <col min="8" max="8" width="7" customWidth="1"/>
    <col min="9" max="9" width="42" customWidth="1"/>
    <col min="10" max="10" width="18" customWidth="1"/>
  </cols>
  <sheetData>
    <row r="1"/>
    <row r="2">
      <c r="B2" s="8" t="inlineStr">
        <is>
          <t xml:space="preserve">Portal Notices</t>
        </is>
      </c>
      <c r="C2" s="8"/>
      <c r="D2" s="8"/>
      <c r="E2" s="8"/>
      <c r="F2" s="8"/>
      <c r="G2" s="8"/>
      <c r="H2" s="8"/>
      <c r="I2" s="8"/>
      <c r="J2" s="8"/>
    </row>
    <row r="3">
      <c r="B3" s="60" t="inlineStr">
        <is>
          <t xml:space="preserve">The 669 maritime notices the portal showed, categorized by what is being bought. Subject usv_autonomy is ~2%; recurring sustainment (ship repair and parts) is ~65%.</t>
        </is>
      </c>
    </row>
    <row r="5">
      <c r="B5" s="9" t="inlineStr">
        <is>
          <t xml:space="preserve">§1 - SAM Opportunities notices on hand, by subject (Finding 1)</t>
        </is>
      </c>
      <c r="C5" s="9"/>
      <c r="D5" s="9"/>
      <c r="E5" s="9"/>
      <c r="F5" s="9"/>
      <c r="G5" s="9"/>
      <c r="H5" s="9"/>
      <c r="I5" s="9"/>
      <c r="J5" s="9"/>
    </row>
    <row r="7">
      <c r="B7" s="2" t="inlineStr">
        <is>
          <t xml:space="preserve">Notice ID</t>
        </is>
      </c>
      <c r="C7" s="2" t="inlineStr">
        <is>
          <t xml:space="preserve">Type</t>
        </is>
      </c>
      <c r="D7" s="2" t="inlineStr">
        <is>
          <t xml:space="preserve">Posted</t>
        </is>
      </c>
      <c r="E7" s="2" t="inlineStr">
        <is>
          <t xml:space="preserve">Buyer</t>
        </is>
      </c>
      <c r="F7" s="2" t="inlineStr">
        <is>
          <t xml:space="preserve">Subject</t>
        </is>
      </c>
      <c r="G7" s="2" t="inlineStr">
        <is>
          <t xml:space="preserve">NAICS</t>
        </is>
      </c>
      <c r="H7" s="2" t="inlineStr">
        <is>
          <t xml:space="preserve">PSC</t>
        </is>
      </c>
      <c r="I7" s="2" t="inlineStr">
        <is>
          <t xml:space="preserve">Title</t>
        </is>
      </c>
      <c r="J7" s="2" t="inlineStr">
        <is>
          <t xml:space="preserve">Solicitation</t>
        </is>
      </c>
    </row>
    <row r="8">
      <c r="B8" s="0" t="inlineStr">
        <is>
          <t xml:space="preserve">adb09927bf6045819455cddc19330b4a</t>
        </is>
      </c>
      <c r="C8" s="0" t="inlineStr">
        <is>
          <t xml:space="preserve">Presolicitation</t>
        </is>
      </c>
      <c r="D8" s="0" t="inlineStr">
        <is>
          <t xml:space="preserve">2025-11-05</t>
        </is>
      </c>
      <c r="E8" s="0" t="inlineStr">
        <is>
          <t xml:space="preserve">Navy/USMC</t>
        </is>
      </c>
      <c r="F8" s="0" t="inlineStr">
        <is>
          <t xml:space="preserve">usv_autonomy</t>
        </is>
      </c>
      <c r="G8" s="0" t="inlineStr">
        <is>
          <t xml:space="preserve">541330</t>
        </is>
      </c>
      <c r="H8" s="0" t="inlineStr">
        <is>
          <t xml:space="preserve">J059</t>
        </is>
      </c>
      <c r="I8" s="0" t="inlineStr">
        <is>
          <t xml:space="preserve">Unmanned Maritime Systems Support (UMSS)</t>
        </is>
      </c>
      <c r="J8" s="0" t="inlineStr">
        <is>
          <t xml:space="preserve">N66001_25_R_0024</t>
        </is>
      </c>
    </row>
    <row r="9">
      <c r="B9" s="0" t="inlineStr">
        <is>
          <t xml:space="preserve">9deb06ebb8cd4f6db5d975da1cfa2782</t>
        </is>
      </c>
      <c r="C9" s="0" t="inlineStr">
        <is>
          <t xml:space="preserve">Solicitation</t>
        </is>
      </c>
      <c r="D9" s="0" t="inlineStr">
        <is>
          <t xml:space="preserve">2025-12-10</t>
        </is>
      </c>
      <c r="E9" s="0" t="inlineStr">
        <is>
          <t xml:space="preserve">Navy/USMC</t>
        </is>
      </c>
      <c r="F9" s="0" t="inlineStr">
        <is>
          <t xml:space="preserve">usv_autonomy</t>
        </is>
      </c>
      <c r="G9" s="0" t="inlineStr">
        <is>
          <t xml:space="preserve">541330</t>
        </is>
      </c>
      <c r="H9" s="0" t="inlineStr">
        <is>
          <t xml:space="preserve">J059</t>
        </is>
      </c>
      <c r="I9" s="0" t="inlineStr">
        <is>
          <t xml:space="preserve">Unmanned Maritime Systems Support (UMSS)</t>
        </is>
      </c>
      <c r="J9" s="0" t="inlineStr">
        <is>
          <t xml:space="preserve">N6600126R0018</t>
        </is>
      </c>
    </row>
    <row r="10">
      <c r="B10" s="0" t="inlineStr">
        <is>
          <t xml:space="preserve">930b288442584843b94ec1d27d2279fe</t>
        </is>
      </c>
      <c r="C10" s="0" t="inlineStr">
        <is>
          <t xml:space="preserve">Solicitation</t>
        </is>
      </c>
      <c r="D10" s="0" t="inlineStr">
        <is>
          <t xml:space="preserve">2026-01-08</t>
        </is>
      </c>
      <c r="E10" s="0" t="inlineStr">
        <is>
          <t xml:space="preserve">Navy/USMC</t>
        </is>
      </c>
      <c r="F10" s="0" t="inlineStr">
        <is>
          <t xml:space="preserve">usv_autonomy</t>
        </is>
      </c>
      <c r="G10" s="0" t="inlineStr">
        <is>
          <t xml:space="preserve">541330</t>
        </is>
      </c>
      <c r="H10" s="0" t="inlineStr">
        <is>
          <t xml:space="preserve">R425</t>
        </is>
      </c>
      <c r="I10" s="0" t="inlineStr">
        <is>
          <t xml:space="preserve">Unmanned Maritime Systems (UMS) Support</t>
        </is>
      </c>
      <c r="J10" s="0" t="inlineStr">
        <is>
          <t xml:space="preserve">N6133126R3102</t>
        </is>
      </c>
    </row>
    <row r="11">
      <c r="B11" s="0" t="inlineStr">
        <is>
          <t xml:space="preserve">42aee566e9c74f5ea089d2b6e567ca68</t>
        </is>
      </c>
      <c r="C11" s="0" t="inlineStr">
        <is>
          <t xml:space="preserve">Solicitation</t>
        </is>
      </c>
      <c r="D11" s="0" t="inlineStr">
        <is>
          <t xml:space="preserve">2026-05-06</t>
        </is>
      </c>
      <c r="E11" s="0" t="inlineStr">
        <is>
          <t xml:space="preserve">Navy/USMC</t>
        </is>
      </c>
      <c r="F11" s="0" t="inlineStr">
        <is>
          <t xml:space="preserve">usv_autonomy</t>
        </is>
      </c>
      <c r="G11" s="0" t="inlineStr">
        <is>
          <t xml:space="preserve">541512</t>
        </is>
      </c>
      <c r="H11" s="0" t="inlineStr">
        <is>
          <t xml:space="preserve">7G22</t>
        </is>
      </c>
      <c r="I11" s="0" t="inlineStr">
        <is>
          <t xml:space="preserve">Area of Interest (AOI): Information and Communications Technology (ICT) for Unmanned Surface Vessels (USV)</t>
        </is>
      </c>
      <c r="J11" s="0" t="inlineStr">
        <is>
          <t xml:space="preserve">N0003926RA005</t>
        </is>
      </c>
    </row>
    <row r="12">
      <c r="B12" s="0" t="inlineStr">
        <is>
          <t xml:space="preserve">dec45644b193428db38e9ef0df7cada9</t>
        </is>
      </c>
      <c r="C12" s="0" t="inlineStr">
        <is>
          <t xml:space="preserve">Solicitation</t>
        </is>
      </c>
      <c r="D12" s="0" t="inlineStr">
        <is>
          <t xml:space="preserve">2026-06-08</t>
        </is>
      </c>
      <c r="E12" s="0" t="inlineStr">
        <is>
          <t xml:space="preserve">Civil/Other</t>
        </is>
      </c>
      <c r="F12" s="0" t="inlineStr">
        <is>
          <t xml:space="preserve">usv_autonomy</t>
        </is>
      </c>
      <c r="G12" s="0" t="inlineStr">
        <is>
          <t xml:space="preserve">334511</t>
        </is>
      </c>
      <c r="H12" s="0" t="inlineStr">
        <is>
          <t xml:space="preserve">6680</t>
        </is>
      </c>
      <c r="I12" s="0" t="inlineStr">
        <is>
          <t xml:space="preserve">USV FOR MEAS and BATHYMETRY SURVEYS IAW SALIENTS</t>
        </is>
      </c>
      <c r="J12" s="0" t="inlineStr">
        <is>
          <t xml:space="preserve">140G0126Q0169</t>
        </is>
      </c>
    </row>
    <row r="13">
      <c r="B13" s="0" t="inlineStr">
        <is>
          <t xml:space="preserve">583abe432ccb4cddb523c8c3e672ded5</t>
        </is>
      </c>
      <c r="C13" s="0" t="inlineStr">
        <is>
          <t xml:space="preserve">Special Notice</t>
        </is>
      </c>
      <c r="D13" s="0" t="inlineStr">
        <is>
          <t xml:space="preserve">2026-06-11</t>
        </is>
      </c>
      <c r="E13" s="0" t="inlineStr">
        <is>
          <t xml:space="preserve">Other DoD</t>
        </is>
      </c>
      <c r="F13" s="0" t="inlineStr">
        <is>
          <t xml:space="preserve">usv_autonomy</t>
        </is>
      </c>
      <c r="I13" s="0" t="inlineStr">
        <is>
          <t xml:space="preserve">Federal Business Opportunities posting Request for Information Assured Access to Maritime Autonomous Surface Ships</t>
        </is>
      </c>
      <c r="J13" s="0" t="inlineStr">
        <is>
          <t xml:space="preserve">USTC2026001</t>
        </is>
      </c>
    </row>
    <row r="14">
      <c r="B14" s="0" t="inlineStr">
        <is>
          <t xml:space="preserve">63623804dc004f36b804373f0fa98c4e</t>
        </is>
      </c>
      <c r="C14" s="0" t="inlineStr">
        <is>
          <t xml:space="preserve">Special Notice</t>
        </is>
      </c>
      <c r="D14" s="0" t="inlineStr">
        <is>
          <t xml:space="preserve">2026-06-11</t>
        </is>
      </c>
      <c r="E14" s="0" t="inlineStr">
        <is>
          <t xml:space="preserve">Navy/USMC</t>
        </is>
      </c>
      <c r="F14" s="0" t="inlineStr">
        <is>
          <t xml:space="preserve">usv_autonomy</t>
        </is>
      </c>
      <c r="G14" s="0" t="inlineStr">
        <is>
          <t xml:space="preserve">541715</t>
        </is>
      </c>
      <c r="I14" s="0" t="inlineStr">
        <is>
          <t xml:space="preserve">NSWC-PHD MATAC OTA Request for Solutions: USV C2 laboratory Expansion Project</t>
        </is>
      </c>
      <c r="J14" s="0" t="inlineStr">
        <is>
          <t xml:space="preserve">REQ-AS-002</t>
        </is>
      </c>
    </row>
    <row r="15">
      <c r="B15" s="0" t="inlineStr">
        <is>
          <t xml:space="preserve">8fc07bff4f6745b59168bd6cf65ad4ae</t>
        </is>
      </c>
      <c r="C15" s="0" t="inlineStr">
        <is>
          <t xml:space="preserve">Solicitation</t>
        </is>
      </c>
      <c r="D15" s="0" t="inlineStr">
        <is>
          <t xml:space="preserve">2026-03-26</t>
        </is>
      </c>
      <c r="E15" s="0" t="inlineStr">
        <is>
          <t xml:space="preserve">Navy/USMC</t>
        </is>
      </c>
      <c r="F15" s="0" t="inlineStr">
        <is>
          <t xml:space="preserve">usv_autonomy</t>
        </is>
      </c>
      <c r="G15" s="0" t="inlineStr">
        <is>
          <t xml:space="preserve">541330</t>
        </is>
      </c>
      <c r="H15" s="0" t="inlineStr">
        <is>
          <t xml:space="preserve">H216</t>
        </is>
      </c>
      <c r="I15" s="0" t="inlineStr">
        <is>
          <t xml:space="preserve">NAWCAD (WOLF) Ship and Air Integrated Warfare Division Small Unmanned Aircraft Systems (SUAS) Reusable Architecture (SRA)</t>
        </is>
      </c>
      <c r="J15" s="0" t="inlineStr">
        <is>
          <t xml:space="preserve">N0042126R1006</t>
        </is>
      </c>
    </row>
    <row r="16">
      <c r="B16" s="0" t="inlineStr">
        <is>
          <t xml:space="preserve">5a5b3b20ce7447a0b3d7014a5c857992</t>
        </is>
      </c>
      <c r="C16" s="0" t="inlineStr">
        <is>
          <t xml:space="preserve">Special Notice</t>
        </is>
      </c>
      <c r="D16" s="0" t="inlineStr">
        <is>
          <t xml:space="preserve">2026-05-18</t>
        </is>
      </c>
      <c r="E16" s="0" t="inlineStr">
        <is>
          <t xml:space="preserve">Army</t>
        </is>
      </c>
      <c r="F16" s="0" t="inlineStr">
        <is>
          <t xml:space="preserve">usv_autonomy</t>
        </is>
      </c>
      <c r="I16" s="0" t="inlineStr">
        <is>
          <t xml:space="preserve">Capability Program Executive (CPE) Mission Autonomy Commercial Solution Opening (CSO) Area of Interest 002 Bridge Erection Boat (BEB) Autonomous Operations</t>
        </is>
      </c>
      <c r="J16" s="0" t="inlineStr">
        <is>
          <t xml:space="preserve">W912CH26SC003AoI002</t>
        </is>
      </c>
    </row>
    <row r="17">
      <c r="B17" s="0" t="inlineStr">
        <is>
          <t xml:space="preserve">c9a5ea2425964b6a8c66d8fe9c7fc65c</t>
        </is>
      </c>
      <c r="C17" s="0" t="inlineStr">
        <is>
          <t xml:space="preserve">Combined Synopsis/Solicitation</t>
        </is>
      </c>
      <c r="D17" s="0" t="inlineStr">
        <is>
          <t xml:space="preserve">2026-06-01</t>
        </is>
      </c>
      <c r="E17" s="0" t="inlineStr">
        <is>
          <t xml:space="preserve">Navy/USMC</t>
        </is>
      </c>
      <c r="F17" s="0" t="inlineStr">
        <is>
          <t xml:space="preserve">usv_autonomy</t>
        </is>
      </c>
      <c r="G17" s="0" t="inlineStr">
        <is>
          <t xml:space="preserve">541330</t>
        </is>
      </c>
      <c r="H17" s="0" t="inlineStr">
        <is>
          <t xml:space="preserve">R425</t>
        </is>
      </c>
      <c r="I17" s="0" t="inlineStr">
        <is>
          <t xml:space="preserve">Sole Source to Woods Hole Oceanographic Institute for Unmanned Underwater Vehicle Resilience In-Water Test Support  per attachments</t>
        </is>
      </c>
      <c r="J17" s="0" t="inlineStr">
        <is>
          <t xml:space="preserve">N61331-26-Q-KS34</t>
        </is>
      </c>
    </row>
    <row r="18">
      <c r="B18" s="0" t="inlineStr">
        <is>
          <t xml:space="preserve">0ba4990fa76747cfb3d57ea49991bf5b</t>
        </is>
      </c>
      <c r="C18" s="0" t="inlineStr">
        <is>
          <t xml:space="preserve">Special Notice</t>
        </is>
      </c>
      <c r="D18" s="0" t="inlineStr">
        <is>
          <t xml:space="preserve">2026-06-11</t>
        </is>
      </c>
      <c r="E18" s="0" t="inlineStr">
        <is>
          <t xml:space="preserve">Navy/USMC</t>
        </is>
      </c>
      <c r="F18" s="0" t="inlineStr">
        <is>
          <t xml:space="preserve">usv_autonomy</t>
        </is>
      </c>
      <c r="I18" s="0" t="inlineStr">
        <is>
          <t xml:space="preserve">Subsea and Seabed Warfare and Robotic Autonomous Systems Industry Day</t>
        </is>
      </c>
      <c r="J18" s="0" t="inlineStr">
        <is>
          <t xml:space="preserve">N00253-ID-SSW-RAS-06152026</t>
        </is>
      </c>
    </row>
    <row r="19">
      <c r="B19" s="0" t="inlineStr">
        <is>
          <t xml:space="preserve">0530ce59a5084be0b0f720a7ef4daaff</t>
        </is>
      </c>
      <c r="C19" s="0" t="inlineStr">
        <is>
          <t xml:space="preserve">Solicitation</t>
        </is>
      </c>
      <c r="D19" s="0" t="inlineStr">
        <is>
          <t xml:space="preserve">2026-06-08</t>
        </is>
      </c>
      <c r="E19" s="0" t="inlineStr">
        <is>
          <t xml:space="preserve">Navy/USMC</t>
        </is>
      </c>
      <c r="F19" s="0" t="inlineStr">
        <is>
          <t xml:space="preserve">usv_autonomy</t>
        </is>
      </c>
      <c r="G19" s="0" t="inlineStr">
        <is>
          <t xml:space="preserve">541330</t>
        </is>
      </c>
      <c r="H19" s="0" t="inlineStr">
        <is>
          <t xml:space="preserve">R702</t>
        </is>
      </c>
      <c r="I19" s="0" t="inlineStr">
        <is>
          <t xml:space="preserve">OCEAN FLOOR MAPPING WITH LONG-ENDURANCE UNMANNED SYSTEMS</t>
        </is>
      </c>
      <c r="J19" s="0" t="inlineStr">
        <is>
          <t xml:space="preserve">N0018926RL021</t>
        </is>
      </c>
    </row>
    <row r="20">
      <c r="B20" s="0" t="inlineStr">
        <is>
          <t xml:space="preserve">a59703eddd0a4e02b05461557049744d</t>
        </is>
      </c>
      <c r="C20" s="0" t="inlineStr">
        <is>
          <t xml:space="preserve">Sources Sought</t>
        </is>
      </c>
      <c r="D20" s="0" t="inlineStr">
        <is>
          <t xml:space="preserve">2026-06-11</t>
        </is>
      </c>
      <c r="E20" s="0" t="inlineStr">
        <is>
          <t xml:space="preserve">Coast Guard</t>
        </is>
      </c>
      <c r="F20" s="0" t="inlineStr">
        <is>
          <t xml:space="preserve">usv_autonomy</t>
        </is>
      </c>
      <c r="G20" s="0" t="inlineStr">
        <is>
          <t xml:space="preserve">541715</t>
        </is>
      </c>
      <c r="H20" s="0" t="inlineStr">
        <is>
          <t xml:space="preserve">AJ12</t>
        </is>
      </c>
      <c r="I20" s="0" t="inlineStr">
        <is>
          <t xml:space="preserve">Micro-Uncrewed (UxS) Systems for Dangerous Vessel Compartment Inspections</t>
        </is>
      </c>
      <c r="J20" s="0" t="inlineStr">
        <is>
          <t xml:space="preserve">70Z02326RFI0003</t>
        </is>
      </c>
    </row>
    <row r="21">
      <c r="B21" s="0" t="inlineStr">
        <is>
          <t xml:space="preserve">a6f064c736744b438ec14d905939675f</t>
        </is>
      </c>
      <c r="C21" s="0" t="inlineStr">
        <is>
          <t xml:space="preserve">Special Notice</t>
        </is>
      </c>
      <c r="D21" s="0" t="inlineStr">
        <is>
          <t xml:space="preserve">2025-12-17</t>
        </is>
      </c>
      <c r="E21" s="0" t="inlineStr">
        <is>
          <t xml:space="preserve">Navy/USMC</t>
        </is>
      </c>
      <c r="F21" s="0" t="inlineStr">
        <is>
          <t xml:space="preserve">ship_repair_maintenance</t>
        </is>
      </c>
      <c r="G21" s="0" t="inlineStr">
        <is>
          <t xml:space="preserve">336611</t>
        </is>
      </c>
      <c r="H21" s="0" t="inlineStr">
        <is>
          <t xml:space="preserve">J020</t>
        </is>
      </c>
      <c r="I21" s="0" t="inlineStr">
        <is>
          <t xml:space="preserve">Domestic Private Sector CMAV Workload Estimate</t>
        </is>
      </c>
      <c r="J21" s="0" t="inlineStr">
        <is>
          <t xml:space="preserve">CNRMC-CMAV-Projection</t>
        </is>
      </c>
    </row>
    <row r="22">
      <c r="B22" s="0" t="inlineStr">
        <is>
          <t xml:space="preserve">6e5cad2ba2254abdac40550d7a458eae</t>
        </is>
      </c>
      <c r="C22" s="0" t="inlineStr">
        <is>
          <t xml:space="preserve">Special Notice</t>
        </is>
      </c>
      <c r="D22" s="0" t="inlineStr">
        <is>
          <t xml:space="preserve">2025-12-17</t>
        </is>
      </c>
      <c r="E22" s="0" t="inlineStr">
        <is>
          <t xml:space="preserve">Navy/USMC</t>
        </is>
      </c>
      <c r="F22" s="0" t="inlineStr">
        <is>
          <t xml:space="preserve">ship_repair_maintenance</t>
        </is>
      </c>
      <c r="G22" s="0" t="inlineStr">
        <is>
          <t xml:space="preserve">336611</t>
        </is>
      </c>
      <c r="H22" s="0" t="inlineStr">
        <is>
          <t xml:space="preserve">J020</t>
        </is>
      </c>
      <c r="I22" s="0" t="inlineStr">
        <is>
          <t xml:space="preserve">Private Sector Workload Forecast Material for Public Website</t>
        </is>
      </c>
      <c r="J22" s="0" t="inlineStr">
        <is>
          <t xml:space="preserve">CNRMC-Projection2</t>
        </is>
      </c>
    </row>
    <row r="23">
      <c r="B23" s="0" t="inlineStr">
        <is>
          <t xml:space="preserve">cfda51b224934fa2be7d2904b485ae56</t>
        </is>
      </c>
      <c r="C23" s="0" t="inlineStr">
        <is>
          <t xml:space="preserve">Solicitation</t>
        </is>
      </c>
      <c r="D23" s="0" t="inlineStr">
        <is>
          <t xml:space="preserve">2025-06-19</t>
        </is>
      </c>
      <c r="E23" s="0" t="inlineStr">
        <is>
          <t xml:space="preserve">Navy/USMC</t>
        </is>
      </c>
      <c r="F23" s="0" t="inlineStr">
        <is>
          <t xml:space="preserve">ship_repair_maintenance</t>
        </is>
      </c>
      <c r="G23" s="0" t="inlineStr">
        <is>
          <t xml:space="preserve">336611</t>
        </is>
      </c>
      <c r="H23" s="0" t="inlineStr">
        <is>
          <t xml:space="preserve">J999</t>
        </is>
      </c>
      <c r="I23" s="0" t="inlineStr">
        <is>
          <t xml:space="preserve">USNS EARL WARREN (T-AO 207) POST SHAKEDOWN AVAILABILITY Solicitation</t>
        </is>
      </c>
      <c r="J23" s="0" t="inlineStr">
        <is>
          <t xml:space="preserve">N3220525R4020</t>
        </is>
      </c>
    </row>
    <row r="24">
      <c r="B24" s="0" t="inlineStr">
        <is>
          <t xml:space="preserve">d834469937c44d2cb2612b1315591e75</t>
        </is>
      </c>
      <c r="C24" s="0" t="inlineStr">
        <is>
          <t xml:space="preserve">Solicitation</t>
        </is>
      </c>
      <c r="D24" s="0" t="inlineStr">
        <is>
          <t xml:space="preserve">2025-06-20</t>
        </is>
      </c>
      <c r="E24" s="0" t="inlineStr">
        <is>
          <t xml:space="preserve">Navy/USMC</t>
        </is>
      </c>
      <c r="F24" s="0" t="inlineStr">
        <is>
          <t xml:space="preserve">ship_repair_maintenance</t>
        </is>
      </c>
      <c r="G24" s="0" t="inlineStr">
        <is>
          <t xml:space="preserve">336611</t>
        </is>
      </c>
      <c r="H24" s="0" t="inlineStr">
        <is>
          <t xml:space="preserve">J019</t>
        </is>
      </c>
      <c r="I24" s="0" t="inlineStr">
        <is>
          <t xml:space="preserve">Maintenance, Repair, and Preservation of Bangor Caisson 1 Prime</t>
        </is>
      </c>
      <c r="J24" s="0" t="inlineStr">
        <is>
          <t xml:space="preserve">N4523A25R6002</t>
        </is>
      </c>
    </row>
    <row r="25">
      <c r="B25" s="0" t="inlineStr">
        <is>
          <t xml:space="preserve">3dcc446cb6e9406dbdc6ebf40a77edc7</t>
        </is>
      </c>
      <c r="C25" s="0" t="inlineStr">
        <is>
          <t xml:space="preserve">Combined Synopsis/Solicitation</t>
        </is>
      </c>
      <c r="D25" s="0" t="inlineStr">
        <is>
          <t xml:space="preserve">2025-06-23</t>
        </is>
      </c>
      <c r="E25" s="0" t="inlineStr">
        <is>
          <t xml:space="preserve">Army</t>
        </is>
      </c>
      <c r="F25" s="0" t="inlineStr">
        <is>
          <t xml:space="preserve">other</t>
        </is>
      </c>
      <c r="G25" s="0" t="inlineStr">
        <is>
          <t xml:space="preserve">336611</t>
        </is>
      </c>
      <c r="H25" s="0" t="inlineStr">
        <is>
          <t xml:space="preserve">1920</t>
        </is>
      </c>
      <c r="I25" s="0" t="inlineStr">
        <is>
          <t xml:space="preserve">Custom electrofishing boat</t>
        </is>
      </c>
      <c r="J25" s="0" t="inlineStr">
        <is>
          <t xml:space="preserve">W911S225U0854</t>
        </is>
      </c>
    </row>
    <row r="26">
      <c r="B26" s="0" t="inlineStr">
        <is>
          <t xml:space="preserve">056f2d78a40c4369a5919b88bb5be310</t>
        </is>
      </c>
      <c r="C26" s="0" t="inlineStr">
        <is>
          <t xml:space="preserve">Combined Synopsis/Solicitation</t>
        </is>
      </c>
      <c r="D26" s="0" t="inlineStr">
        <is>
          <t xml:space="preserve">2025-06-24</t>
        </is>
      </c>
      <c r="E26" s="0" t="inlineStr">
        <is>
          <t xml:space="preserve">Army</t>
        </is>
      </c>
      <c r="F26" s="0" t="inlineStr">
        <is>
          <t xml:space="preserve">vessel_procurement</t>
        </is>
      </c>
      <c r="G26" s="0" t="inlineStr">
        <is>
          <t xml:space="preserve">336612</t>
        </is>
      </c>
      <c r="H26" s="0" t="inlineStr">
        <is>
          <t xml:space="preserve">1940</t>
        </is>
      </c>
      <c r="I26" s="0" t="inlineStr">
        <is>
          <t xml:space="preserve">Jet Skis</t>
        </is>
      </c>
      <c r="J26" s="0" t="inlineStr">
        <is>
          <t xml:space="preserve">W911S225U0978</t>
        </is>
      </c>
    </row>
    <row r="27">
      <c r="B27" s="0" t="inlineStr">
        <is>
          <t xml:space="preserve">e2a3d2a59815454788908eac0e5d3739</t>
        </is>
      </c>
      <c r="C27" s="0" t="inlineStr">
        <is>
          <t xml:space="preserve">Solicitation</t>
        </is>
      </c>
      <c r="D27" s="0" t="inlineStr">
        <is>
          <t xml:space="preserve">2025-06-23</t>
        </is>
      </c>
      <c r="E27" s="0" t="inlineStr">
        <is>
          <t xml:space="preserve">Navy/USMC</t>
        </is>
      </c>
      <c r="F27" s="0" t="inlineStr">
        <is>
          <t xml:space="preserve">ship_repair_maintenance</t>
        </is>
      </c>
      <c r="G27" s="0" t="inlineStr">
        <is>
          <t xml:space="preserve">336611</t>
        </is>
      </c>
      <c r="H27" s="0" t="inlineStr">
        <is>
          <t xml:space="preserve">J998</t>
        </is>
      </c>
      <c r="I27" s="0" t="inlineStr">
        <is>
          <t xml:space="preserve">USNS ROBERT E. SIMANEK, PSA</t>
        </is>
      </c>
      <c r="J27" s="0" t="inlineStr">
        <is>
          <t xml:space="preserve">N3220525R4083</t>
        </is>
      </c>
    </row>
    <row r="28">
      <c r="B28" s="0" t="inlineStr">
        <is>
          <t xml:space="preserve">d7af01a351cc4ae8a10143c52a489209</t>
        </is>
      </c>
      <c r="C28" s="0" t="inlineStr">
        <is>
          <t xml:space="preserve">Solicitation</t>
        </is>
      </c>
      <c r="D28" s="0" t="inlineStr">
        <is>
          <t xml:space="preserve">2025-07-08</t>
        </is>
      </c>
      <c r="E28" s="0" t="inlineStr">
        <is>
          <t xml:space="preserve">Army</t>
        </is>
      </c>
      <c r="F28" s="0" t="inlineStr">
        <is>
          <t xml:space="preserve">ship_repair_maintenance</t>
        </is>
      </c>
      <c r="G28" s="0" t="inlineStr">
        <is>
          <t xml:space="preserve">336611</t>
        </is>
      </c>
      <c r="H28" s="0" t="inlineStr">
        <is>
          <t xml:space="preserve">J019</t>
        </is>
      </c>
      <c r="I28" s="0" t="inlineStr">
        <is>
          <t xml:space="preserve">Army Watercraft Sustainment Maintenance (AWSM) Program Zone 1 CONUS (UPDATE 0008)(AMENDMENT 0005)</t>
        </is>
      </c>
      <c r="J28" s="0" t="inlineStr">
        <is>
          <t xml:space="preserve">W912CH25RA005</t>
        </is>
      </c>
    </row>
    <row r="29">
      <c r="B29" s="0" t="inlineStr">
        <is>
          <t xml:space="preserve">6deeb3980f8b4b61bdc8d17fc1184993</t>
        </is>
      </c>
      <c r="C29" s="0" t="inlineStr">
        <is>
          <t xml:space="preserve">Solicitation</t>
        </is>
      </c>
      <c r="D29" s="0" t="inlineStr">
        <is>
          <t xml:space="preserve">2025-07-08</t>
        </is>
      </c>
      <c r="E29" s="0" t="inlineStr">
        <is>
          <t xml:space="preserve">Army</t>
        </is>
      </c>
      <c r="F29" s="0" t="inlineStr">
        <is>
          <t xml:space="preserve">ship_repair_maintenance</t>
        </is>
      </c>
      <c r="G29" s="0" t="inlineStr">
        <is>
          <t xml:space="preserve">336611</t>
        </is>
      </c>
      <c r="H29" s="0" t="inlineStr">
        <is>
          <t xml:space="preserve">J019</t>
        </is>
      </c>
      <c r="I29" s="0" t="inlineStr">
        <is>
          <t xml:space="preserve">Army Watercraft Sustainment Maintenance (AWSM) Program Zone 2 OCONUS (UPDATE 0008)(AMENDMENT 0005)</t>
        </is>
      </c>
      <c r="J29" s="0" t="inlineStr">
        <is>
          <t xml:space="preserve">W912CH25RA006</t>
        </is>
      </c>
    </row>
    <row r="30">
      <c r="B30" s="0" t="inlineStr">
        <is>
          <t xml:space="preserve">4a6cbf883a5a452c8d74b19a16782e5b</t>
        </is>
      </c>
      <c r="C30" s="0" t="inlineStr">
        <is>
          <t xml:space="preserve">Solicitation</t>
        </is>
      </c>
      <c r="D30" s="0" t="inlineStr">
        <is>
          <t xml:space="preserve">2025-07-31</t>
        </is>
      </c>
      <c r="E30" s="0" t="inlineStr">
        <is>
          <t xml:space="preserve">Navy/USMC</t>
        </is>
      </c>
      <c r="F30" s="0" t="inlineStr">
        <is>
          <t xml:space="preserve">ship_repair_maintenance</t>
        </is>
      </c>
      <c r="G30" s="0" t="inlineStr">
        <is>
          <t xml:space="preserve">336611</t>
        </is>
      </c>
      <c r="H30" s="0" t="inlineStr">
        <is>
          <t xml:space="preserve">J998</t>
        </is>
      </c>
      <c r="I30" s="0" t="inlineStr">
        <is>
          <t xml:space="preserve">East Coast General Ship Repair IDIQ</t>
        </is>
      </c>
      <c r="J30" s="0" t="inlineStr">
        <is>
          <t xml:space="preserve">N3220522R0012</t>
        </is>
      </c>
    </row>
    <row r="31">
      <c r="B31" s="0" t="inlineStr">
        <is>
          <t xml:space="preserve">8d0d7c8b4c4744a59895884662571b38</t>
        </is>
      </c>
      <c r="C31" s="0" t="inlineStr">
        <is>
          <t xml:space="preserve">Solicitation</t>
        </is>
      </c>
      <c r="D31" s="0" t="inlineStr">
        <is>
          <t xml:space="preserve">2025-08-07</t>
        </is>
      </c>
      <c r="E31" s="0" t="inlineStr">
        <is>
          <t xml:space="preserve">Navy/USMC</t>
        </is>
      </c>
      <c r="F31" s="0" t="inlineStr">
        <is>
          <t xml:space="preserve">ship_repair_maintenance</t>
        </is>
      </c>
      <c r="G31" s="0" t="inlineStr">
        <is>
          <t xml:space="preserve">336611</t>
        </is>
      </c>
      <c r="H31" s="0" t="inlineStr">
        <is>
          <t xml:space="preserve">J998</t>
        </is>
      </c>
      <c r="I31" s="0" t="inlineStr">
        <is>
          <t xml:space="preserve">N3220525R4094 - USNS BIG HORN Deactivation Availability</t>
        </is>
      </c>
      <c r="J31" s="0" t="inlineStr">
        <is>
          <t xml:space="preserve">N3220525R4094</t>
        </is>
      </c>
    </row>
    <row r="32">
      <c r="B32" s="0" t="inlineStr">
        <is>
          <t xml:space="preserve">2a6193fa6ed6466f91f8bfce1a7a3cbc</t>
        </is>
      </c>
      <c r="C32" s="0" t="inlineStr">
        <is>
          <t xml:space="preserve">Combined Synopsis/Solicitation</t>
        </is>
      </c>
      <c r="D32" s="0" t="inlineStr">
        <is>
          <t xml:space="preserve">2025-08-08</t>
        </is>
      </c>
      <c r="E32" s="0" t="inlineStr">
        <is>
          <t xml:space="preserve">Army</t>
        </is>
      </c>
      <c r="F32" s="0" t="inlineStr">
        <is>
          <t xml:space="preserve">ship_repair_maintenance</t>
        </is>
      </c>
      <c r="G32" s="0" t="inlineStr">
        <is>
          <t xml:space="preserve">336611</t>
        </is>
      </c>
      <c r="H32" s="0" t="inlineStr">
        <is>
          <t xml:space="preserve">J998</t>
        </is>
      </c>
      <c r="I32" s="0" t="inlineStr">
        <is>
          <t xml:space="preserve">DRY DOCK OVERHAUL REPAIRS TO TUG KENOSHA</t>
        </is>
      </c>
      <c r="J32" s="0" t="inlineStr">
        <is>
          <t xml:space="preserve">W912P625QA007</t>
        </is>
      </c>
    </row>
    <row r="33">
      <c r="B33" s="0" t="inlineStr">
        <is>
          <t xml:space="preserve">f587a0b189fc4dbd9ec40f1ac962fb48</t>
        </is>
      </c>
      <c r="C33" s="0" t="inlineStr">
        <is>
          <t xml:space="preserve">Solicitation</t>
        </is>
      </c>
      <c r="D33" s="0" t="inlineStr">
        <is>
          <t xml:space="preserve">2025-08-07</t>
        </is>
      </c>
      <c r="E33" s="0" t="inlineStr">
        <is>
          <t xml:space="preserve">Army</t>
        </is>
      </c>
      <c r="F33" s="0" t="inlineStr">
        <is>
          <t xml:space="preserve">ship_repair_maintenance</t>
        </is>
      </c>
      <c r="G33" s="0" t="inlineStr">
        <is>
          <t xml:space="preserve">336611</t>
        </is>
      </c>
      <c r="H33" s="0" t="inlineStr">
        <is>
          <t xml:space="preserve">J019</t>
        </is>
      </c>
      <c r="I33" s="0" t="inlineStr">
        <is>
          <t xml:space="preserve">MV CHARLES MERRILL DRYDOCK AND REPAIRS</t>
        </is>
      </c>
      <c r="J33" s="0" t="inlineStr">
        <is>
          <t xml:space="preserve">W9123725QA040</t>
        </is>
      </c>
    </row>
    <row r="34">
      <c r="B34" s="0" t="inlineStr">
        <is>
          <t xml:space="preserve">bcac9219edc940d494297c47f83d3cfc</t>
        </is>
      </c>
      <c r="C34" s="0" t="inlineStr">
        <is>
          <t xml:space="preserve">Presolicitation</t>
        </is>
      </c>
      <c r="D34" s="0" t="inlineStr">
        <is>
          <t xml:space="preserve">2025-08-19</t>
        </is>
      </c>
      <c r="E34" s="0" t="inlineStr">
        <is>
          <t xml:space="preserve">Navy/USMC</t>
        </is>
      </c>
      <c r="F34" s="0" t="inlineStr">
        <is>
          <t xml:space="preserve">other</t>
        </is>
      </c>
      <c r="G34" s="0" t="inlineStr">
        <is>
          <t xml:space="preserve">336612</t>
        </is>
      </c>
      <c r="H34" s="0" t="inlineStr">
        <is>
          <t xml:space="preserve">6920</t>
        </is>
      </c>
      <c r="I34" s="0" t="inlineStr">
        <is>
          <t xml:space="preserve">Prototype Boat Target</t>
        </is>
      </c>
      <c r="J34" s="0" t="inlineStr">
        <is>
          <t xml:space="preserve">N6893625Q5141</t>
        </is>
      </c>
    </row>
    <row r="35">
      <c r="B35" s="0" t="inlineStr">
        <is>
          <t xml:space="preserve">fcee79c98f1047f295a15113878a451e</t>
        </is>
      </c>
      <c r="C35" s="0" t="inlineStr">
        <is>
          <t xml:space="preserve">Presolicitation</t>
        </is>
      </c>
      <c r="D35" s="0" t="inlineStr">
        <is>
          <t xml:space="preserve">2025-08-21</t>
        </is>
      </c>
      <c r="E35" s="0" t="inlineStr">
        <is>
          <t xml:space="preserve">Navy/USMC</t>
        </is>
      </c>
      <c r="F35" s="0" t="inlineStr">
        <is>
          <t xml:space="preserve">other</t>
        </is>
      </c>
      <c r="G35" s="0" t="inlineStr">
        <is>
          <t xml:space="preserve">336612</t>
        </is>
      </c>
      <c r="H35" s="0" t="inlineStr">
        <is>
          <t xml:space="preserve">6920</t>
        </is>
      </c>
      <c r="I35" s="0" t="inlineStr">
        <is>
          <t xml:space="preserve">Specialized Target</t>
        </is>
      </c>
      <c r="J35" s="0" t="inlineStr">
        <is>
          <t xml:space="preserve">N6893625Q5146</t>
        </is>
      </c>
    </row>
    <row r="36">
      <c r="B36" s="0" t="inlineStr">
        <is>
          <t xml:space="preserve">18bbbda1a4c04b2daf9d89af7794c48c</t>
        </is>
      </c>
      <c r="C36" s="0" t="inlineStr">
        <is>
          <t xml:space="preserve">Combined Synopsis/Solicitation</t>
        </is>
      </c>
      <c r="D36" s="0" t="inlineStr">
        <is>
          <t xml:space="preserve">2025-08-28</t>
        </is>
      </c>
      <c r="E36" s="0" t="inlineStr">
        <is>
          <t xml:space="preserve">Army</t>
        </is>
      </c>
      <c r="F36" s="0" t="inlineStr">
        <is>
          <t xml:space="preserve">other</t>
        </is>
      </c>
      <c r="G36" s="0" t="inlineStr">
        <is>
          <t xml:space="preserve">336611</t>
        </is>
      </c>
      <c r="H36" s="0" t="inlineStr">
        <is>
          <t xml:space="preserve">4240</t>
        </is>
      </c>
      <c r="I36" s="0" t="inlineStr">
        <is>
          <t xml:space="preserve">Swiftwater Rescue Boat</t>
        </is>
      </c>
      <c r="J36" s="0" t="inlineStr">
        <is>
          <t xml:space="preserve">W911S225U1845</t>
        </is>
      </c>
    </row>
    <row r="37">
      <c r="B37" s="0" t="inlineStr">
        <is>
          <t xml:space="preserve">5d1d5dcf32f141179439d9cdfcbdebee</t>
        </is>
      </c>
      <c r="C37" s="0" t="inlineStr">
        <is>
          <t xml:space="preserve">Solicitation</t>
        </is>
      </c>
      <c r="D37" s="0" t="inlineStr">
        <is>
          <t xml:space="preserve">2025-08-28</t>
        </is>
      </c>
      <c r="E37" s="0" t="inlineStr">
        <is>
          <t xml:space="preserve">Army</t>
        </is>
      </c>
      <c r="F37" s="0" t="inlineStr">
        <is>
          <t xml:space="preserve">ship_repair_maintenance</t>
        </is>
      </c>
      <c r="G37" s="0" t="inlineStr">
        <is>
          <t xml:space="preserve">336611</t>
        </is>
      </c>
      <c r="H37" s="0" t="inlineStr">
        <is>
          <t xml:space="preserve">J019</t>
        </is>
      </c>
      <c r="I37" s="0" t="inlineStr">
        <is>
          <t xml:space="preserve">FY25 Debris Vessel Reynolds Maintenance</t>
        </is>
      </c>
      <c r="J37" s="0" t="inlineStr">
        <is>
          <t xml:space="preserve">W912DR25QA037</t>
        </is>
      </c>
    </row>
    <row r="38">
      <c r="B38" s="0" t="inlineStr">
        <is>
          <t xml:space="preserve">ea7e6d9a693a4efab04ba10dc0a89c69</t>
        </is>
      </c>
      <c r="C38" s="0" t="inlineStr">
        <is>
          <t xml:space="preserve">Solicitation</t>
        </is>
      </c>
      <c r="D38" s="0" t="inlineStr">
        <is>
          <t xml:space="preserve">2025-08-15</t>
        </is>
      </c>
      <c r="E38" s="0" t="inlineStr">
        <is>
          <t xml:space="preserve">Navy/USMC</t>
        </is>
      </c>
      <c r="F38" s="0" t="inlineStr">
        <is>
          <t xml:space="preserve">ship_repair_maintenance</t>
        </is>
      </c>
      <c r="G38" s="0" t="inlineStr">
        <is>
          <t xml:space="preserve">336611</t>
        </is>
      </c>
      <c r="H38" s="0" t="inlineStr">
        <is>
          <t xml:space="preserve">J998</t>
        </is>
      </c>
      <c r="I38" s="0" t="inlineStr">
        <is>
          <t xml:space="preserve">USNS LEROY GRUMMAN (T-AO 195) FY26 MTA</t>
        </is>
      </c>
      <c r="J38" s="0" t="inlineStr">
        <is>
          <t xml:space="preserve">N3220525R0008</t>
        </is>
      </c>
    </row>
    <row r="39">
      <c r="B39" s="0" t="inlineStr">
        <is>
          <t xml:space="preserve">73ecaea2f9894ad491fdc7bcdbfecb39</t>
        </is>
      </c>
      <c r="C39" s="0" t="inlineStr">
        <is>
          <t xml:space="preserve">Solicitation</t>
        </is>
      </c>
      <c r="D39" s="0" t="inlineStr">
        <is>
          <t xml:space="preserve">2025-09-09</t>
        </is>
      </c>
      <c r="E39" s="0" t="inlineStr">
        <is>
          <t xml:space="preserve">Army</t>
        </is>
      </c>
      <c r="F39" s="0" t="inlineStr">
        <is>
          <t xml:space="preserve">other</t>
        </is>
      </c>
      <c r="G39" s="0" t="inlineStr">
        <is>
          <t xml:space="preserve">336611</t>
        </is>
      </c>
      <c r="H39" s="0" t="inlineStr">
        <is>
          <t xml:space="preserve">1935</t>
        </is>
      </c>
      <c r="I39" s="0" t="inlineStr">
        <is>
          <t xml:space="preserve">3251 MVS Crane Barge Replacement</t>
        </is>
      </c>
      <c r="J39" s="0" t="inlineStr">
        <is>
          <t xml:space="preserve">W912BU25BA019</t>
        </is>
      </c>
    </row>
    <row r="40">
      <c r="B40" s="0" t="inlineStr">
        <is>
          <t xml:space="preserve">f5ee2104b6ec4a44a9fc4001403410ca</t>
        </is>
      </c>
      <c r="C40" s="0" t="inlineStr">
        <is>
          <t xml:space="preserve">Solicitation</t>
        </is>
      </c>
      <c r="D40" s="0" t="inlineStr">
        <is>
          <t xml:space="preserve">2025-09-12</t>
        </is>
      </c>
      <c r="E40" s="0" t="inlineStr">
        <is>
          <t xml:space="preserve">Army</t>
        </is>
      </c>
      <c r="F40" s="0" t="inlineStr">
        <is>
          <t xml:space="preserve">other</t>
        </is>
      </c>
      <c r="G40" s="0" t="inlineStr">
        <is>
          <t xml:space="preserve">336612</t>
        </is>
      </c>
      <c r="H40" s="0" t="inlineStr">
        <is>
          <t xml:space="preserve">5670</t>
        </is>
      </c>
      <c r="I40" s="0" t="inlineStr">
        <is>
          <t xml:space="preserve">Burnsville Floating Dock</t>
        </is>
      </c>
      <c r="J40" s="0" t="inlineStr">
        <is>
          <t xml:space="preserve">W9123725QA079</t>
        </is>
      </c>
    </row>
    <row r="41">
      <c r="B41" s="0" t="inlineStr">
        <is>
          <t xml:space="preserve">f75113da58454234884c2d337304c205</t>
        </is>
      </c>
      <c r="C41" s="0" t="inlineStr">
        <is>
          <t xml:space="preserve">Solicitation</t>
        </is>
      </c>
      <c r="D41" s="0" t="inlineStr">
        <is>
          <t xml:space="preserve">2025-09-15</t>
        </is>
      </c>
      <c r="E41" s="0" t="inlineStr">
        <is>
          <t xml:space="preserve">Army</t>
        </is>
      </c>
      <c r="F41" s="0" t="inlineStr">
        <is>
          <t xml:space="preserve">other</t>
        </is>
      </c>
      <c r="G41" s="0" t="inlineStr">
        <is>
          <t xml:space="preserve">336611</t>
        </is>
      </c>
      <c r="H41" s="0" t="inlineStr">
        <is>
          <t xml:space="preserve">1935</t>
        </is>
      </c>
      <c r="I41" s="0" t="inlineStr">
        <is>
          <t xml:space="preserve">3489 CELRE Soo Area Lift Floating Crane</t>
        </is>
      </c>
      <c r="J41" s="0" t="inlineStr">
        <is>
          <t xml:space="preserve">W912BU25BA020</t>
        </is>
      </c>
    </row>
    <row r="42">
      <c r="B42" s="0" t="inlineStr">
        <is>
          <t xml:space="preserve">0f6bcd1a8dfa472783b950505703c250</t>
        </is>
      </c>
      <c r="C42" s="0" t="inlineStr">
        <is>
          <t xml:space="preserve">Solicitation</t>
        </is>
      </c>
      <c r="D42" s="0" t="inlineStr">
        <is>
          <t xml:space="preserve">2025-09-18</t>
        </is>
      </c>
      <c r="E42" s="0" t="inlineStr">
        <is>
          <t xml:space="preserve">Army</t>
        </is>
      </c>
      <c r="F42" s="0" t="inlineStr">
        <is>
          <t xml:space="preserve">vessel_procurement</t>
        </is>
      </c>
      <c r="G42" s="0" t="inlineStr">
        <is>
          <t xml:space="preserve">336611</t>
        </is>
      </c>
      <c r="H42" s="0" t="inlineStr">
        <is>
          <t xml:space="preserve">1925</t>
        </is>
      </c>
      <c r="I42" s="0" t="inlineStr">
        <is>
          <t xml:space="preserve">3348 NAB MV REYNOLDS REPLACEMENT</t>
        </is>
      </c>
      <c r="J42" s="0" t="inlineStr">
        <is>
          <t xml:space="preserve">W912BU25BA021</t>
        </is>
      </c>
    </row>
    <row r="43">
      <c r="B43" s="0" t="inlineStr">
        <is>
          <t xml:space="preserve">df2a140525aa46419b3a1b2c23e0cf23</t>
        </is>
      </c>
      <c r="C43" s="0" t="inlineStr">
        <is>
          <t xml:space="preserve">Combined Synopsis/Solicitation</t>
        </is>
      </c>
      <c r="D43" s="0" t="inlineStr">
        <is>
          <t xml:space="preserve">2025-08-14</t>
        </is>
      </c>
      <c r="E43" s="0" t="inlineStr">
        <is>
          <t xml:space="preserve">Other DoD</t>
        </is>
      </c>
      <c r="F43" s="0" t="inlineStr">
        <is>
          <t xml:space="preserve">vessel_procurement</t>
        </is>
      </c>
      <c r="G43" s="0" t="inlineStr">
        <is>
          <t xml:space="preserve">336612</t>
        </is>
      </c>
      <c r="H43" s="0" t="inlineStr">
        <is>
          <t xml:space="preserve">1990</t>
        </is>
      </c>
      <c r="I43" s="0" t="inlineStr">
        <is>
          <t xml:space="preserve">Watercraft Targets MATOC(s)</t>
        </is>
      </c>
      <c r="J43" s="0" t="inlineStr">
        <is>
          <t xml:space="preserve">FA282325R0004</t>
        </is>
      </c>
    </row>
    <row r="44">
      <c r="B44" s="0" t="inlineStr">
        <is>
          <t xml:space="preserve">4759abe846114581861f1b38426a37c2</t>
        </is>
      </c>
      <c r="C44" s="0" t="inlineStr">
        <is>
          <t xml:space="preserve">Presolicitation</t>
        </is>
      </c>
      <c r="D44" s="0" t="inlineStr">
        <is>
          <t xml:space="preserve">2025-07-25</t>
        </is>
      </c>
      <c r="E44" s="0" t="inlineStr">
        <is>
          <t xml:space="preserve">Navy/USMC</t>
        </is>
      </c>
      <c r="F44" s="0" t="inlineStr">
        <is>
          <t xml:space="preserve">other</t>
        </is>
      </c>
      <c r="G44" s="0" t="inlineStr">
        <is>
          <t xml:space="preserve">336611</t>
        </is>
      </c>
      <c r="H44" s="0" t="inlineStr">
        <is>
          <t xml:space="preserve">2830</t>
        </is>
      </c>
      <c r="I44" s="0" t="inlineStr">
        <is>
          <t xml:space="preserve">N3904025Q1008- SSTG PNSY</t>
        </is>
      </c>
      <c r="J44" s="0" t="inlineStr">
        <is>
          <t xml:space="preserve">N3904025Q1008</t>
        </is>
      </c>
    </row>
    <row r="45">
      <c r="B45" s="0" t="inlineStr">
        <is>
          <t xml:space="preserve">707c3f4efbf548d9ac78c3fd090dc1d0</t>
        </is>
      </c>
      <c r="C45" s="0" t="inlineStr">
        <is>
          <t xml:space="preserve">Solicitation</t>
        </is>
      </c>
      <c r="D45" s="0" t="inlineStr">
        <is>
          <t xml:space="preserve">2025-10-07</t>
        </is>
      </c>
      <c r="E45" s="0" t="inlineStr">
        <is>
          <t xml:space="preserve">Navy/USMC</t>
        </is>
      </c>
      <c r="F45" s="0" t="inlineStr">
        <is>
          <t xml:space="preserve">ship_repair_maintenance</t>
        </is>
      </c>
      <c r="G45" s="0" t="inlineStr">
        <is>
          <t xml:space="preserve">336611</t>
        </is>
      </c>
      <c r="H45" s="0" t="inlineStr">
        <is>
          <t xml:space="preserve">J019</t>
        </is>
      </c>
      <c r="I45" s="0" t="inlineStr">
        <is>
          <t xml:space="preserve">N4523A25R1107 - Maintenance, Repair, and Preservation of YTT-10</t>
        </is>
      </c>
      <c r="J45" s="0" t="inlineStr">
        <is>
          <t xml:space="preserve">N4523A25R1107</t>
        </is>
      </c>
    </row>
    <row r="46">
      <c r="B46" s="0" t="inlineStr">
        <is>
          <t xml:space="preserve">b365d20d1f414759950dcfbc78a5e589</t>
        </is>
      </c>
      <c r="C46" s="0" t="inlineStr">
        <is>
          <t xml:space="preserve">Solicitation</t>
        </is>
      </c>
      <c r="D46" s="0" t="inlineStr">
        <is>
          <t xml:space="preserve">2025-10-08</t>
        </is>
      </c>
      <c r="E46" s="0" t="inlineStr">
        <is>
          <t xml:space="preserve">Navy/USMC</t>
        </is>
      </c>
      <c r="F46" s="0" t="inlineStr">
        <is>
          <t xml:space="preserve">ship_repair_maintenance</t>
        </is>
      </c>
      <c r="G46" s="0" t="inlineStr">
        <is>
          <t xml:space="preserve">336611</t>
        </is>
      </c>
      <c r="H46" s="0" t="inlineStr">
        <is>
          <t xml:space="preserve">J999</t>
        </is>
      </c>
      <c r="I46" s="0" t="inlineStr">
        <is>
          <t xml:space="preserve">USNS GRASP (T-ARS 51)</t>
        </is>
      </c>
      <c r="J46" s="0" t="inlineStr">
        <is>
          <t xml:space="preserve">N3220525R4081</t>
        </is>
      </c>
    </row>
    <row r="47">
      <c r="B47" s="0" t="inlineStr">
        <is>
          <t xml:space="preserve">cb274a1edb8244628c364028d9947eba</t>
        </is>
      </c>
      <c r="C47" s="0" t="inlineStr">
        <is>
          <t xml:space="preserve">Presolicitation</t>
        </is>
      </c>
      <c r="D47" s="0" t="inlineStr">
        <is>
          <t xml:space="preserve">2025-10-08</t>
        </is>
      </c>
      <c r="E47" s="0" t="inlineStr">
        <is>
          <t xml:space="preserve">Navy/USMC</t>
        </is>
      </c>
      <c r="F47" s="0" t="inlineStr">
        <is>
          <t xml:space="preserve">vessel_procurement</t>
        </is>
      </c>
      <c r="G47" s="0" t="inlineStr">
        <is>
          <t xml:space="preserve">336612</t>
        </is>
      </c>
      <c r="H47" s="0" t="inlineStr">
        <is>
          <t xml:space="preserve">1940</t>
        </is>
      </c>
      <c r="I47" s="0" t="inlineStr">
        <is>
          <t xml:space="preserve">Bullfrog target tow package</t>
        </is>
      </c>
      <c r="J47" s="0" t="inlineStr">
        <is>
          <t xml:space="preserve">N6893626Q5003</t>
        </is>
      </c>
    </row>
    <row r="48">
      <c r="B48" s="0" t="inlineStr">
        <is>
          <t xml:space="preserve">d47677da823d4f3fb4107d351cce0e3c</t>
        </is>
      </c>
      <c r="C48" s="0" t="inlineStr">
        <is>
          <t xml:space="preserve">Solicitation</t>
        </is>
      </c>
      <c r="D48" s="0" t="inlineStr">
        <is>
          <t xml:space="preserve">2025-10-10</t>
        </is>
      </c>
      <c r="E48" s="0" t="inlineStr">
        <is>
          <t xml:space="preserve">Navy/USMC</t>
        </is>
      </c>
      <c r="F48" s="0" t="inlineStr">
        <is>
          <t xml:space="preserve">ship_repair_maintenance</t>
        </is>
      </c>
      <c r="G48" s="0" t="inlineStr">
        <is>
          <t xml:space="preserve">336611</t>
        </is>
      </c>
      <c r="H48" s="0" t="inlineStr">
        <is>
          <t xml:space="preserve">J998</t>
        </is>
      </c>
      <c r="I48" s="0" t="inlineStr">
        <is>
          <t xml:space="preserve">USS IWO JIMA (LHD 7) FY26 Selected Restricted Availability (SRA) Request for Proposal (RFP)</t>
        </is>
      </c>
      <c r="J48" s="0" t="inlineStr">
        <is>
          <t xml:space="preserve">N0002425R4405</t>
        </is>
      </c>
    </row>
    <row r="49">
      <c r="B49" s="0" t="inlineStr">
        <is>
          <t xml:space="preserve">9f77eb1165444d35886906cb6280d67e</t>
        </is>
      </c>
      <c r="C49" s="0" t="inlineStr">
        <is>
          <t xml:space="preserve">Solicitation</t>
        </is>
      </c>
      <c r="D49" s="0" t="inlineStr">
        <is>
          <t xml:space="preserve">2025-10-14</t>
        </is>
      </c>
      <c r="E49" s="0" t="inlineStr">
        <is>
          <t xml:space="preserve">Navy/USMC</t>
        </is>
      </c>
      <c r="F49" s="0" t="inlineStr">
        <is>
          <t xml:space="preserve">ship_repair_maintenance</t>
        </is>
      </c>
      <c r="G49" s="0" t="inlineStr">
        <is>
          <t xml:space="preserve">336611</t>
        </is>
      </c>
      <c r="H49" s="0" t="inlineStr">
        <is>
          <t xml:space="preserve">J999</t>
        </is>
      </c>
      <c r="I49" s="0" t="inlineStr">
        <is>
          <t xml:space="preserve">Solicitation Notice is for the USNS WASHINGTON CHAMBERS FY26 ROH/DD.</t>
        </is>
      </c>
      <c r="J49" s="0" t="inlineStr">
        <is>
          <t xml:space="preserve">N3220525R4045</t>
        </is>
      </c>
    </row>
    <row r="50">
      <c r="B50" s="0" t="inlineStr">
        <is>
          <t xml:space="preserve">e82c67835f0245659c8385cf2941a2fb</t>
        </is>
      </c>
      <c r="C50" s="0" t="inlineStr">
        <is>
          <t xml:space="preserve">Solicitation</t>
        </is>
      </c>
      <c r="D50" s="0" t="inlineStr">
        <is>
          <t xml:space="preserve">2025-10-22</t>
        </is>
      </c>
      <c r="E50" s="0" t="inlineStr">
        <is>
          <t xml:space="preserve">Navy/USMC</t>
        </is>
      </c>
      <c r="F50" s="0" t="inlineStr">
        <is>
          <t xml:space="preserve">ship_repair_maintenance</t>
        </is>
      </c>
      <c r="G50" s="0" t="inlineStr">
        <is>
          <t xml:space="preserve">336611</t>
        </is>
      </c>
      <c r="H50" s="0" t="inlineStr">
        <is>
          <t xml:space="preserve">J998</t>
        </is>
      </c>
      <c r="I50" s="0" t="inlineStr">
        <is>
          <t xml:space="preserve">USNS JOSHUA HUMPHREYS FY26 MTA</t>
        </is>
      </c>
      <c r="J50" s="0" t="inlineStr">
        <is>
          <t xml:space="preserve">N3220525R6034</t>
        </is>
      </c>
    </row>
    <row r="51">
      <c r="B51" s="0" t="inlineStr">
        <is>
          <t xml:space="preserve">795b22764cd047aaa543d1be9416dbf9</t>
        </is>
      </c>
      <c r="C51" s="0" t="inlineStr">
        <is>
          <t xml:space="preserve">Solicitation</t>
        </is>
      </c>
      <c r="D51" s="0" t="inlineStr">
        <is>
          <t xml:space="preserve">2025-10-29</t>
        </is>
      </c>
      <c r="E51" s="0" t="inlineStr">
        <is>
          <t xml:space="preserve">Navy/USMC</t>
        </is>
      </c>
      <c r="F51" s="0" t="inlineStr">
        <is>
          <t xml:space="preserve">ship_repair_maintenance</t>
        </is>
      </c>
      <c r="G51" s="0" t="inlineStr">
        <is>
          <t xml:space="preserve">336611</t>
        </is>
      </c>
      <c r="H51" s="0" t="inlineStr">
        <is>
          <t xml:space="preserve">J998</t>
        </is>
      </c>
      <c r="I51" s="0" t="inlineStr">
        <is>
          <t xml:space="preserve">USS TRUXTUN (DDG 103) FY26 Depot Modernization Period (DMP) Request for Proposal</t>
        </is>
      </c>
      <c r="J51" s="0" t="inlineStr">
        <is>
          <t xml:space="preserve">N0002425R4410</t>
        </is>
      </c>
    </row>
    <row r="52">
      <c r="B52" s="0" t="inlineStr">
        <is>
          <t xml:space="preserve">04d3a4fef878465bbaeaced1b43895bf</t>
        </is>
      </c>
      <c r="C52" s="0" t="inlineStr">
        <is>
          <t xml:space="preserve">Solicitation</t>
        </is>
      </c>
      <c r="D52" s="0" t="inlineStr">
        <is>
          <t xml:space="preserve">2025-11-03</t>
        </is>
      </c>
      <c r="E52" s="0" t="inlineStr">
        <is>
          <t xml:space="preserve">Navy/USMC</t>
        </is>
      </c>
      <c r="F52" s="0" t="inlineStr">
        <is>
          <t xml:space="preserve">ship_repair_maintenance</t>
        </is>
      </c>
      <c r="G52" s="0" t="inlineStr">
        <is>
          <t xml:space="preserve">336611</t>
        </is>
      </c>
      <c r="H52" s="0" t="inlineStr">
        <is>
          <t xml:space="preserve">J998</t>
        </is>
      </c>
      <c r="I52" s="0" t="inlineStr">
        <is>
          <t xml:space="preserve">FY26 USNS JOHN ERISSON DEACTIVATION</t>
        </is>
      </c>
      <c r="J52" s="0" t="inlineStr">
        <is>
          <t xml:space="preserve">N3220525R6014</t>
        </is>
      </c>
    </row>
    <row r="53">
      <c r="B53" s="0" t="inlineStr">
        <is>
          <t xml:space="preserve">a34fc62f6c674d0688feee44ce0d37f3</t>
        </is>
      </c>
      <c r="C53" s="0" t="inlineStr">
        <is>
          <t xml:space="preserve">Solicitation</t>
        </is>
      </c>
      <c r="D53" s="0" t="inlineStr">
        <is>
          <t xml:space="preserve">2025-11-03</t>
        </is>
      </c>
      <c r="E53" s="0" t="inlineStr">
        <is>
          <t xml:space="preserve">Army</t>
        </is>
      </c>
      <c r="F53" s="0" t="inlineStr">
        <is>
          <t xml:space="preserve">marine_components_parts</t>
        </is>
      </c>
      <c r="G53" s="0" t="inlineStr">
        <is>
          <t xml:space="preserve">336611</t>
        </is>
      </c>
      <c r="H53" s="0" t="inlineStr">
        <is>
          <t xml:space="preserve">2040</t>
        </is>
      </c>
      <c r="I53" s="0" t="inlineStr">
        <is>
          <t xml:space="preserve">R3F LCF Binkley Barge Spuds</t>
        </is>
      </c>
      <c r="J53" s="0" t="inlineStr">
        <is>
          <t xml:space="preserve">W9123726QA002</t>
        </is>
      </c>
    </row>
    <row r="54">
      <c r="B54" s="0" t="inlineStr">
        <is>
          <t xml:space="preserve">080d18ae939f4eb994d8899a6fdab948</t>
        </is>
      </c>
      <c r="C54" s="0" t="inlineStr">
        <is>
          <t xml:space="preserve">Solicitation</t>
        </is>
      </c>
      <c r="D54" s="0" t="inlineStr">
        <is>
          <t xml:space="preserve">2025-10-07</t>
        </is>
      </c>
      <c r="E54" s="0" t="inlineStr">
        <is>
          <t xml:space="preserve">Army</t>
        </is>
      </c>
      <c r="F54" s="0" t="inlineStr">
        <is>
          <t xml:space="preserve">vessel_procurement</t>
        </is>
      </c>
      <c r="G54" s="0" t="inlineStr">
        <is>
          <t xml:space="preserve">336611</t>
        </is>
      </c>
      <c r="H54" s="0" t="inlineStr">
        <is>
          <t xml:space="preserve">1925</t>
        </is>
      </c>
      <c r="I54" s="0" t="inlineStr">
        <is>
          <t xml:space="preserve">3228 CESWG Survey Vessel</t>
        </is>
      </c>
      <c r="J54" s="0" t="inlineStr">
        <is>
          <t xml:space="preserve">W912BU25RA018</t>
        </is>
      </c>
    </row>
    <row r="55">
      <c r="B55" s="0" t="inlineStr">
        <is>
          <t xml:space="preserve">680bfe7cb9b54718ac1f12a288767f3d</t>
        </is>
      </c>
      <c r="C55" s="0" t="inlineStr">
        <is>
          <t xml:space="preserve">Solicitation</t>
        </is>
      </c>
      <c r="D55" s="0" t="inlineStr">
        <is>
          <t xml:space="preserve">2025-11-06</t>
        </is>
      </c>
      <c r="E55" s="0" t="inlineStr">
        <is>
          <t xml:space="preserve">Navy/USMC</t>
        </is>
      </c>
      <c r="F55" s="0" t="inlineStr">
        <is>
          <t xml:space="preserve">ship_repair_maintenance</t>
        </is>
      </c>
      <c r="G55" s="0" t="inlineStr">
        <is>
          <t xml:space="preserve">336611</t>
        </is>
      </c>
      <c r="H55" s="0" t="inlineStr">
        <is>
          <t xml:space="preserve">J998</t>
        </is>
      </c>
      <c r="I55" s="0" t="inlineStr">
        <is>
          <t xml:space="preserve">USNS COMFORT (T-AH 20) Mid-Term Availability (MTA)</t>
        </is>
      </c>
      <c r="J55" s="0" t="inlineStr">
        <is>
          <t xml:space="preserve">N3220525R4087</t>
        </is>
      </c>
    </row>
    <row r="56">
      <c r="B56" s="0" t="inlineStr">
        <is>
          <t xml:space="preserve">2b94277d34e645e096934a878f76aa50</t>
        </is>
      </c>
      <c r="C56" s="0" t="inlineStr">
        <is>
          <t xml:space="preserve">Solicitation</t>
        </is>
      </c>
      <c r="D56" s="0" t="inlineStr">
        <is>
          <t xml:space="preserve">2025-11-04</t>
        </is>
      </c>
      <c r="E56" s="0" t="inlineStr">
        <is>
          <t xml:space="preserve">Army</t>
        </is>
      </c>
      <c r="F56" s="0" t="inlineStr">
        <is>
          <t xml:space="preserve">ship_repair_maintenance</t>
        </is>
      </c>
      <c r="G56" s="0" t="inlineStr">
        <is>
          <t xml:space="preserve">336611</t>
        </is>
      </c>
      <c r="H56" s="0" t="inlineStr">
        <is>
          <t xml:space="preserve">J998</t>
        </is>
      </c>
      <c r="I56" s="0" t="inlineStr">
        <is>
          <t xml:space="preserve">3577 NASA PEGASUS Barge FY25 Drydock</t>
        </is>
      </c>
      <c r="J56" s="0" t="inlineStr">
        <is>
          <t xml:space="preserve">W912BU25BA023</t>
        </is>
      </c>
    </row>
    <row r="57">
      <c r="B57" s="0" t="inlineStr">
        <is>
          <t xml:space="preserve">0d3d02a47f4845f19e84b10fda1c79fa</t>
        </is>
      </c>
      <c r="C57" s="0" t="inlineStr">
        <is>
          <t xml:space="preserve">Solicitation</t>
        </is>
      </c>
      <c r="D57" s="0" t="inlineStr">
        <is>
          <t xml:space="preserve">2025-11-20</t>
        </is>
      </c>
      <c r="E57" s="0" t="inlineStr">
        <is>
          <t xml:space="preserve">Navy/USMC</t>
        </is>
      </c>
      <c r="F57" s="0" t="inlineStr">
        <is>
          <t xml:space="preserve">ship_repair_maintenance</t>
        </is>
      </c>
      <c r="G57" s="0" t="inlineStr">
        <is>
          <t xml:space="preserve">336611</t>
        </is>
      </c>
      <c r="H57" s="0" t="inlineStr">
        <is>
          <t xml:space="preserve">J998</t>
        </is>
      </c>
      <c r="I57" s="0" t="inlineStr">
        <is>
          <t xml:space="preserve">USS SAN ANTONIO (LPD 17) FY26 Selected Restricted Availability (SRA) Request for Proposal (RFP)</t>
        </is>
      </c>
      <c r="J57" s="0" t="inlineStr">
        <is>
          <t xml:space="preserve">N0002425R4417</t>
        </is>
      </c>
    </row>
    <row r="58">
      <c r="B58" s="0" t="inlineStr">
        <is>
          <t xml:space="preserve">db533d9f3c7e46c3bbc7a1426a80b3a6</t>
        </is>
      </c>
      <c r="C58" s="0" t="inlineStr">
        <is>
          <t xml:space="preserve">Solicitation</t>
        </is>
      </c>
      <c r="D58" s="0" t="inlineStr">
        <is>
          <t xml:space="preserve">2025-11-26</t>
        </is>
      </c>
      <c r="E58" s="0" t="inlineStr">
        <is>
          <t xml:space="preserve">Navy/USMC</t>
        </is>
      </c>
      <c r="F58" s="0" t="inlineStr">
        <is>
          <t xml:space="preserve">ship_repair_maintenance</t>
        </is>
      </c>
      <c r="G58" s="0" t="inlineStr">
        <is>
          <t xml:space="preserve">336611</t>
        </is>
      </c>
      <c r="H58" s="0" t="inlineStr">
        <is>
          <t xml:space="preserve">J999</t>
        </is>
      </c>
      <c r="I58" s="0" t="inlineStr">
        <is>
          <t xml:space="preserve">Ventilation Cleaning TRF Bangor</t>
        </is>
      </c>
      <c r="J58" s="0" t="inlineStr">
        <is>
          <t xml:space="preserve">N4523A26R0801</t>
        </is>
      </c>
    </row>
    <row r="59">
      <c r="B59" s="0" t="inlineStr">
        <is>
          <t xml:space="preserve">ba93d3c438844453955c8230d9bd1491</t>
        </is>
      </c>
      <c r="C59" s="0" t="inlineStr">
        <is>
          <t xml:space="preserve">Solicitation</t>
        </is>
      </c>
      <c r="D59" s="0" t="inlineStr">
        <is>
          <t xml:space="preserve">2025-12-05</t>
        </is>
      </c>
      <c r="E59" s="0" t="inlineStr">
        <is>
          <t xml:space="preserve">Navy/USMC</t>
        </is>
      </c>
      <c r="F59" s="0" t="inlineStr">
        <is>
          <t xml:space="preserve">vessel_procurement</t>
        </is>
      </c>
      <c r="G59" s="0" t="inlineStr">
        <is>
          <t xml:space="preserve">336611</t>
        </is>
      </c>
      <c r="H59" s="0" t="inlineStr">
        <is>
          <t xml:space="preserve">1905</t>
        </is>
      </c>
      <c r="I59" s="0" t="inlineStr">
        <is>
          <t xml:space="preserve">Littoral Combat Ship Planning Yard Support</t>
        </is>
      </c>
      <c r="J59" s="0" t="inlineStr">
        <is>
          <t xml:space="preserve">N0002424R4313</t>
        </is>
      </c>
    </row>
    <row r="60">
      <c r="B60" s="0" t="inlineStr">
        <is>
          <t xml:space="preserve">8c72a34e0a634ae08d8be87803d3d02b</t>
        </is>
      </c>
      <c r="C60" s="0" t="inlineStr">
        <is>
          <t xml:space="preserve">Sources Sought</t>
        </is>
      </c>
      <c r="D60" s="0" t="inlineStr">
        <is>
          <t xml:space="preserve">2025-12-03</t>
        </is>
      </c>
      <c r="E60" s="0" t="inlineStr">
        <is>
          <t xml:space="preserve">Other DoD</t>
        </is>
      </c>
      <c r="F60" s="0" t="inlineStr">
        <is>
          <t xml:space="preserve">other</t>
        </is>
      </c>
      <c r="G60" s="0" t="inlineStr">
        <is>
          <t xml:space="preserve">336611</t>
        </is>
      </c>
      <c r="H60" s="0" t="inlineStr">
        <is>
          <t xml:space="preserve">1720</t>
        </is>
      </c>
      <c r="I60" s="0" t="inlineStr">
        <is>
          <t xml:space="preserve">MODULE ASSEMBLY,JET</t>
        </is>
      </c>
      <c r="J60" s="0" t="inlineStr">
        <is>
          <t xml:space="preserve">SPE7M126R0003</t>
        </is>
      </c>
    </row>
    <row r="61">
      <c r="B61" s="0" t="inlineStr">
        <is>
          <t xml:space="preserve">19b9ee33eb424e7abe1948d3632eb3cd</t>
        </is>
      </c>
      <c r="C61" s="0" t="inlineStr">
        <is>
          <t xml:space="preserve">Solicitation</t>
        </is>
      </c>
      <c r="D61" s="0" t="inlineStr">
        <is>
          <t xml:space="preserve">2025-12-10</t>
        </is>
      </c>
      <c r="E61" s="0" t="inlineStr">
        <is>
          <t xml:space="preserve">Navy/USMC</t>
        </is>
      </c>
      <c r="F61" s="0" t="inlineStr">
        <is>
          <t xml:space="preserve">ship_repair_maintenance</t>
        </is>
      </c>
      <c r="G61" s="0" t="inlineStr">
        <is>
          <t xml:space="preserve">336611</t>
        </is>
      </c>
      <c r="H61" s="0" t="inlineStr">
        <is>
          <t xml:space="preserve">J999</t>
        </is>
      </c>
      <c r="I61" s="0" t="inlineStr">
        <is>
          <t xml:space="preserve">USNS MERCY (T-AH 19) FY26 ROH/DD</t>
        </is>
      </c>
      <c r="J61" s="0" t="inlineStr">
        <is>
          <t xml:space="preserve">N3220525R4149</t>
        </is>
      </c>
    </row>
    <row r="62">
      <c r="B62" s="0" t="inlineStr">
        <is>
          <t xml:space="preserve">1b53082770b84a12bcd3a232c1cc2bde</t>
        </is>
      </c>
      <c r="C62" s="0" t="inlineStr">
        <is>
          <t xml:space="preserve">Solicitation</t>
        </is>
      </c>
      <c r="D62" s="0" t="inlineStr">
        <is>
          <t xml:space="preserve">2025-12-15</t>
        </is>
      </c>
      <c r="E62" s="0" t="inlineStr">
        <is>
          <t xml:space="preserve">Navy/USMC</t>
        </is>
      </c>
      <c r="F62" s="0" t="inlineStr">
        <is>
          <t xml:space="preserve">ship_repair_maintenance</t>
        </is>
      </c>
      <c r="G62" s="0" t="inlineStr">
        <is>
          <t xml:space="preserve">336611</t>
        </is>
      </c>
      <c r="H62" s="0" t="inlineStr">
        <is>
          <t xml:space="preserve">J998</t>
        </is>
      </c>
      <c r="I62" s="0" t="inlineStr">
        <is>
          <t xml:space="preserve">USNS ROBERT E. PEARY (T-AKE 5) FY26 ROH</t>
        </is>
      </c>
      <c r="J62" s="0" t="inlineStr">
        <is>
          <t xml:space="preserve">N3220525R6040</t>
        </is>
      </c>
    </row>
    <row r="63">
      <c r="B63" s="0" t="inlineStr">
        <is>
          <t xml:space="preserve">84c957ba58844e87be36e398d30cf5bb</t>
        </is>
      </c>
      <c r="C63" s="0" t="inlineStr">
        <is>
          <t xml:space="preserve">Sources Sought</t>
        </is>
      </c>
      <c r="D63" s="0" t="inlineStr">
        <is>
          <t xml:space="preserve">2025-11-20</t>
        </is>
      </c>
      <c r="E63" s="0" t="inlineStr">
        <is>
          <t xml:space="preserve">Other DoD</t>
        </is>
      </c>
      <c r="F63" s="0" t="inlineStr">
        <is>
          <t xml:space="preserve">vessel_procurement</t>
        </is>
      </c>
      <c r="G63" s="0" t="inlineStr">
        <is>
          <t xml:space="preserve">336612</t>
        </is>
      </c>
      <c r="H63" s="0" t="inlineStr">
        <is>
          <t xml:space="preserve">1925</t>
        </is>
      </c>
      <c r="I63" s="0" t="inlineStr">
        <is>
          <t xml:space="preserve">Special Service Vessel for Pituffik Space Base, Greenland</t>
        </is>
      </c>
      <c r="J63" s="0" t="inlineStr">
        <is>
          <t xml:space="preserve">FA252326R0003</t>
        </is>
      </c>
    </row>
    <row r="64">
      <c r="B64" s="0" t="inlineStr">
        <is>
          <t xml:space="preserve">bd0d23bd00a64fbe861faaa82d29e431</t>
        </is>
      </c>
      <c r="C64" s="0" t="inlineStr">
        <is>
          <t xml:space="preserve">Solicitation</t>
        </is>
      </c>
      <c r="D64" s="0" t="inlineStr">
        <is>
          <t xml:space="preserve">2026-01-09</t>
        </is>
      </c>
      <c r="E64" s="0" t="inlineStr">
        <is>
          <t xml:space="preserve">Navy/USMC</t>
        </is>
      </c>
      <c r="F64" s="0" t="inlineStr">
        <is>
          <t xml:space="preserve">ship_repair_maintenance</t>
        </is>
      </c>
      <c r="G64" s="0" t="inlineStr">
        <is>
          <t xml:space="preserve">336611</t>
        </is>
      </c>
      <c r="H64" s="0" t="inlineStr">
        <is>
          <t xml:space="preserve">J999</t>
        </is>
      </c>
      <c r="I64" s="0" t="inlineStr">
        <is>
          <t xml:space="preserve">USNS GUADALUPE FY26 Mid-Term Availability</t>
        </is>
      </c>
      <c r="J64" s="0" t="inlineStr">
        <is>
          <t xml:space="preserve">N3220526R6010</t>
        </is>
      </c>
    </row>
    <row r="65">
      <c r="B65" s="0" t="inlineStr">
        <is>
          <t xml:space="preserve">822c8f30712b484f8ea0bef79e4c2de7</t>
        </is>
      </c>
      <c r="C65" s="0" t="inlineStr">
        <is>
          <t xml:space="preserve">Presolicitation</t>
        </is>
      </c>
      <c r="D65" s="0" t="inlineStr">
        <is>
          <t xml:space="preserve">2025-12-12</t>
        </is>
      </c>
      <c r="E65" s="0" t="inlineStr">
        <is>
          <t xml:space="preserve">Navy/USMC</t>
        </is>
      </c>
      <c r="F65" s="0" t="inlineStr">
        <is>
          <t xml:space="preserve">ship_repair_maintenance</t>
        </is>
      </c>
      <c r="G65" s="0" t="inlineStr">
        <is>
          <t xml:space="preserve">336611</t>
        </is>
      </c>
      <c r="H65" s="0" t="inlineStr">
        <is>
          <t xml:space="preserve">J999</t>
        </is>
      </c>
      <c r="I65" s="0" t="inlineStr">
        <is>
          <t xml:space="preserve">Marine Boatyard Support and Industrial Support Lot II Follow-on MAC-IDIQ</t>
        </is>
      </c>
      <c r="J65" s="0" t="inlineStr">
        <is>
          <t xml:space="preserve">N5523625R0012</t>
        </is>
      </c>
    </row>
    <row r="66">
      <c r="B66" s="0" t="inlineStr">
        <is>
          <t xml:space="preserve">6bc5aeb7da9b4560bf53e317b19a15d1</t>
        </is>
      </c>
      <c r="C66" s="0" t="inlineStr">
        <is>
          <t xml:space="preserve">Solicitation</t>
        </is>
      </c>
      <c r="D66" s="0" t="inlineStr">
        <is>
          <t xml:space="preserve">2026-01-14</t>
        </is>
      </c>
      <c r="E66" s="0" t="inlineStr">
        <is>
          <t xml:space="preserve">Navy/USMC</t>
        </is>
      </c>
      <c r="F66" s="0" t="inlineStr">
        <is>
          <t xml:space="preserve">services_rdte</t>
        </is>
      </c>
      <c r="G66" s="0" t="inlineStr">
        <is>
          <t xml:space="preserve">336611</t>
        </is>
      </c>
      <c r="H66" s="0" t="inlineStr">
        <is>
          <t xml:space="preserve">R425</t>
        </is>
      </c>
      <c r="I66" s="0" t="inlineStr">
        <is>
          <t xml:space="preserve">LPD17 SCD 31127 and 86344 under Big Blue 3 MAC, N6449821D0013-0023</t>
        </is>
      </c>
      <c r="J66" s="0" t="inlineStr">
        <is>
          <t xml:space="preserve">N6449826Q5042</t>
        </is>
      </c>
    </row>
    <row r="67">
      <c r="B67" s="0" t="inlineStr">
        <is>
          <t xml:space="preserve">ed81787b95ff4242b59d27ed64956231</t>
        </is>
      </c>
      <c r="C67" s="0" t="inlineStr">
        <is>
          <t xml:space="preserve">Solicitation</t>
        </is>
      </c>
      <c r="D67" s="0" t="inlineStr">
        <is>
          <t xml:space="preserve">2026-01-15</t>
        </is>
      </c>
      <c r="E67" s="0" t="inlineStr">
        <is>
          <t xml:space="preserve">Navy/USMC</t>
        </is>
      </c>
      <c r="F67" s="0" t="inlineStr">
        <is>
          <t xml:space="preserve">ship_repair_maintenance</t>
        </is>
      </c>
      <c r="G67" s="0" t="inlineStr">
        <is>
          <t xml:space="preserve">336611</t>
        </is>
      </c>
      <c r="H67" s="0" t="inlineStr">
        <is>
          <t xml:space="preserve">J998</t>
        </is>
      </c>
      <c r="I67" s="0" t="inlineStr">
        <is>
          <t xml:space="preserve">USNS LARAMIE ROH/DD FY 26</t>
        </is>
      </c>
      <c r="J67" s="0" t="inlineStr">
        <is>
          <t xml:space="preserve">N3220526R6027</t>
        </is>
      </c>
    </row>
    <row r="68">
      <c r="B68" s="0" t="inlineStr">
        <is>
          <t xml:space="preserve">11fbfebebdb14a7691702dc55749effc</t>
        </is>
      </c>
      <c r="C68" s="0" t="inlineStr">
        <is>
          <t xml:space="preserve">Solicitation</t>
        </is>
      </c>
      <c r="D68" s="0" t="inlineStr">
        <is>
          <t xml:space="preserve">2026-02-02</t>
        </is>
      </c>
      <c r="E68" s="0" t="inlineStr">
        <is>
          <t xml:space="preserve">Army</t>
        </is>
      </c>
      <c r="F68" s="0" t="inlineStr">
        <is>
          <t xml:space="preserve">ship_repair_maintenance</t>
        </is>
      </c>
      <c r="G68" s="0" t="inlineStr">
        <is>
          <t xml:space="preserve">336611</t>
        </is>
      </c>
      <c r="H68" s="0" t="inlineStr">
        <is>
          <t xml:space="preserve">J019</t>
        </is>
      </c>
      <c r="I68" s="0" t="inlineStr">
        <is>
          <t xml:space="preserve">Vessel Repair IDIQ MATOC</t>
        </is>
      </c>
      <c r="J68" s="0" t="inlineStr">
        <is>
          <t xml:space="preserve">W9123626RA001</t>
        </is>
      </c>
    </row>
    <row r="69">
      <c r="B69" s="0" t="inlineStr">
        <is>
          <t xml:space="preserve">52015d3a96ec42f19f84ea17179a4f76</t>
        </is>
      </c>
      <c r="C69" s="0" t="inlineStr">
        <is>
          <t xml:space="preserve">Combined Synopsis/Solicitation</t>
        </is>
      </c>
      <c r="D69" s="0" t="inlineStr">
        <is>
          <t xml:space="preserve">2026-01-28</t>
        </is>
      </c>
      <c r="E69" s="0" t="inlineStr">
        <is>
          <t xml:space="preserve">Army</t>
        </is>
      </c>
      <c r="F69" s="0" t="inlineStr">
        <is>
          <t xml:space="preserve">ship_repair_maintenance</t>
        </is>
      </c>
      <c r="G69" s="0" t="inlineStr">
        <is>
          <t xml:space="preserve">336611</t>
        </is>
      </c>
      <c r="H69" s="0" t="inlineStr">
        <is>
          <t xml:space="preserve">J019</t>
        </is>
      </c>
      <c r="I69" s="0" t="inlineStr">
        <is>
          <t xml:space="preserve">Dredge McFarland Miscellaneous Steel Repairs</t>
        </is>
      </c>
      <c r="J69" s="0" t="inlineStr">
        <is>
          <t xml:space="preserve">W912BU26QA008</t>
        </is>
      </c>
    </row>
    <row r="70">
      <c r="B70" s="0" t="inlineStr">
        <is>
          <t xml:space="preserve">7cb9bce19733457291903ab4bf53cef5</t>
        </is>
      </c>
      <c r="C70" s="0" t="inlineStr">
        <is>
          <t xml:space="preserve">Combined Synopsis/Solicitation</t>
        </is>
      </c>
      <c r="D70" s="0" t="inlineStr">
        <is>
          <t xml:space="preserve">2026-01-28</t>
        </is>
      </c>
      <c r="E70" s="0" t="inlineStr">
        <is>
          <t xml:space="preserve">Army</t>
        </is>
      </c>
      <c r="F70" s="0" t="inlineStr">
        <is>
          <t xml:space="preserve">marine_components_parts</t>
        </is>
      </c>
      <c r="G70" s="0" t="inlineStr">
        <is>
          <t xml:space="preserve">336611</t>
        </is>
      </c>
      <c r="H70" s="0" t="inlineStr">
        <is>
          <t xml:space="preserve">2040</t>
        </is>
      </c>
      <c r="I70" s="0" t="inlineStr">
        <is>
          <t xml:space="preserve">Tent Barge Recessed Shell Bitts</t>
        </is>
      </c>
      <c r="J70" s="0" t="inlineStr">
        <is>
          <t xml:space="preserve">W912P926QA006</t>
        </is>
      </c>
    </row>
    <row r="71">
      <c r="B71" s="0" t="inlineStr">
        <is>
          <t xml:space="preserve">c1af1562ceae436baf0bd667d1467596</t>
        </is>
      </c>
      <c r="C71" s="0" t="inlineStr">
        <is>
          <t xml:space="preserve">Solicitation</t>
        </is>
      </c>
      <c r="D71" s="0" t="inlineStr">
        <is>
          <t xml:space="preserve">2026-01-29</t>
        </is>
      </c>
      <c r="E71" s="0" t="inlineStr">
        <is>
          <t xml:space="preserve">Navy/USMC</t>
        </is>
      </c>
      <c r="F71" s="0" t="inlineStr">
        <is>
          <t xml:space="preserve">ship_repair_maintenance</t>
        </is>
      </c>
      <c r="G71" s="0" t="inlineStr">
        <is>
          <t xml:space="preserve">336611</t>
        </is>
      </c>
      <c r="H71" s="0" t="inlineStr">
        <is>
          <t xml:space="preserve">J998</t>
        </is>
      </c>
      <c r="I71" s="0" t="inlineStr">
        <is>
          <t xml:space="preserve">FY26 USNS KANAWHA MTA</t>
        </is>
      </c>
      <c r="J71" s="0" t="inlineStr">
        <is>
          <t xml:space="preserve">N3220525R6023</t>
        </is>
      </c>
    </row>
    <row r="72">
      <c r="B72" s="0" t="inlineStr">
        <is>
          <t xml:space="preserve">e99083c6a24b47f18f24408f21f527d4</t>
        </is>
      </c>
      <c r="C72" s="0" t="inlineStr">
        <is>
          <t xml:space="preserve">Sources Sought</t>
        </is>
      </c>
      <c r="D72" s="0" t="inlineStr">
        <is>
          <t xml:space="preserve">2026-02-03</t>
        </is>
      </c>
      <c r="E72" s="0" t="inlineStr">
        <is>
          <t xml:space="preserve">Navy/USMC</t>
        </is>
      </c>
      <c r="F72" s="0" t="inlineStr">
        <is>
          <t xml:space="preserve">ship_repair_maintenance</t>
        </is>
      </c>
      <c r="G72" s="0" t="inlineStr">
        <is>
          <t xml:space="preserve">336611</t>
        </is>
      </c>
      <c r="H72" s="0" t="inlineStr">
        <is>
          <t xml:space="preserve">J999</t>
        </is>
      </c>
      <c r="I72" s="0" t="inlineStr">
        <is>
          <t xml:space="preserve">Commercial Industrial Services (CIS) Preservation (Interior and Exterior Surfaces) Services Follow-on MAC-IDIQ</t>
        </is>
      </c>
      <c r="J72" s="0" t="inlineStr">
        <is>
          <t xml:space="preserve">N5523626R0008</t>
        </is>
      </c>
    </row>
    <row r="73">
      <c r="B73" s="0" t="inlineStr">
        <is>
          <t xml:space="preserve">1a4e329de4c84504ae3613f52dae0201</t>
        </is>
      </c>
      <c r="C73" s="0" t="inlineStr">
        <is>
          <t xml:space="preserve">Solicitation</t>
        </is>
      </c>
      <c r="D73" s="0" t="inlineStr">
        <is>
          <t xml:space="preserve">2026-02-02</t>
        </is>
      </c>
      <c r="E73" s="0" t="inlineStr">
        <is>
          <t xml:space="preserve">Navy/USMC</t>
        </is>
      </c>
      <c r="F73" s="0" t="inlineStr">
        <is>
          <t xml:space="preserve">marine_components_parts</t>
        </is>
      </c>
      <c r="G73" s="0" t="inlineStr">
        <is>
          <t xml:space="preserve">336611</t>
        </is>
      </c>
      <c r="H73" s="0" t="inlineStr">
        <is>
          <t xml:space="preserve">2010</t>
        </is>
      </c>
      <c r="I73" s="0" t="inlineStr">
        <is>
          <t xml:space="preserve">N0016726R0002</t>
        </is>
      </c>
      <c r="J73" s="0" t="inlineStr">
        <is>
          <t xml:space="preserve">N0016726R0002</t>
        </is>
      </c>
    </row>
    <row r="74">
      <c r="B74" s="0" t="inlineStr">
        <is>
          <t xml:space="preserve">52afdd4efd674a0f8f5e33298c62a01d</t>
        </is>
      </c>
      <c r="C74" s="0" t="inlineStr">
        <is>
          <t xml:space="preserve">Sources Sought</t>
        </is>
      </c>
      <c r="D74" s="0" t="inlineStr">
        <is>
          <t xml:space="preserve">2026-02-12</t>
        </is>
      </c>
      <c r="E74" s="0" t="inlineStr">
        <is>
          <t xml:space="preserve">Army</t>
        </is>
      </c>
      <c r="F74" s="0" t="inlineStr">
        <is>
          <t xml:space="preserve">ship_repair_maintenance</t>
        </is>
      </c>
      <c r="G74" s="0" t="inlineStr">
        <is>
          <t xml:space="preserve">336611</t>
        </is>
      </c>
      <c r="H74" s="0" t="inlineStr">
        <is>
          <t xml:space="preserve">J019</t>
        </is>
      </c>
      <c r="I74" s="0" t="inlineStr">
        <is>
          <t xml:space="preserve">DRYDOCKING AND REPAIR OF SURVEY VESSEL DAMRELL</t>
        </is>
      </c>
      <c r="J74" s="0" t="inlineStr">
        <is>
          <t xml:space="preserve">W9127826QA006</t>
        </is>
      </c>
    </row>
    <row r="75">
      <c r="B75" s="0" t="inlineStr">
        <is>
          <t xml:space="preserve">599b88d89d954de2998c26a6b2ea1bd4</t>
        </is>
      </c>
      <c r="C75" s="0" t="inlineStr">
        <is>
          <t xml:space="preserve">Solicitation</t>
        </is>
      </c>
      <c r="D75" s="0" t="inlineStr">
        <is>
          <t xml:space="preserve">2026-01-28</t>
        </is>
      </c>
      <c r="E75" s="0" t="inlineStr">
        <is>
          <t xml:space="preserve">Navy/USMC</t>
        </is>
      </c>
      <c r="F75" s="0" t="inlineStr">
        <is>
          <t xml:space="preserve">ship_repair_maintenance</t>
        </is>
      </c>
      <c r="G75" s="0" t="inlineStr">
        <is>
          <t xml:space="preserve">336611</t>
        </is>
      </c>
      <c r="H75" s="0" t="inlineStr">
        <is>
          <t xml:space="preserve">J998</t>
        </is>
      </c>
      <c r="I75" s="0" t="inlineStr">
        <is>
          <t xml:space="preserve">USNS POINT LOMA (T-EPF 15) POST-SHAKEDOWN AVAILABILITY</t>
        </is>
      </c>
      <c r="J75" s="0" t="inlineStr">
        <is>
          <t xml:space="preserve">N3220526R0020</t>
        </is>
      </c>
    </row>
    <row r="76">
      <c r="B76" s="0" t="inlineStr">
        <is>
          <t xml:space="preserve">32e704e53e6a4451a9e2c1dbc0977e47</t>
        </is>
      </c>
      <c r="C76" s="0" t="inlineStr">
        <is>
          <t xml:space="preserve">Solicitation</t>
        </is>
      </c>
      <c r="D76" s="0" t="inlineStr">
        <is>
          <t xml:space="preserve">2026-02-24</t>
        </is>
      </c>
      <c r="E76" s="0" t="inlineStr">
        <is>
          <t xml:space="preserve">Navy/USMC</t>
        </is>
      </c>
      <c r="F76" s="0" t="inlineStr">
        <is>
          <t xml:space="preserve">services_rdte</t>
        </is>
      </c>
      <c r="G76" s="0" t="inlineStr">
        <is>
          <t xml:space="preserve">336611</t>
        </is>
      </c>
      <c r="H76" s="0" t="inlineStr">
        <is>
          <t xml:space="preserve">R425</t>
        </is>
      </c>
      <c r="I76" s="0" t="inlineStr">
        <is>
          <t xml:space="preserve">N6449826Q5054</t>
        </is>
      </c>
      <c r="J76" s="0" t="inlineStr">
        <is>
          <t xml:space="preserve">N6449826Q5054</t>
        </is>
      </c>
    </row>
    <row r="77">
      <c r="B77" s="0" t="inlineStr">
        <is>
          <t xml:space="preserve">4349b2104c584ac8b0f519e78d0a7f18</t>
        </is>
      </c>
      <c r="C77" s="0" t="inlineStr">
        <is>
          <t xml:space="preserve">Solicitation</t>
        </is>
      </c>
      <c r="D77" s="0" t="inlineStr">
        <is>
          <t xml:space="preserve">2026-03-09</t>
        </is>
      </c>
      <c r="E77" s="0" t="inlineStr">
        <is>
          <t xml:space="preserve">Navy/USMC</t>
        </is>
      </c>
      <c r="F77" s="0" t="inlineStr">
        <is>
          <t xml:space="preserve">services_rdte</t>
        </is>
      </c>
      <c r="G77" s="0" t="inlineStr">
        <is>
          <t xml:space="preserve">336611</t>
        </is>
      </c>
      <c r="H77" s="0" t="inlineStr">
        <is>
          <t xml:space="preserve">R425</t>
        </is>
      </c>
      <c r="I77" s="0" t="inlineStr">
        <is>
          <t xml:space="preserve">SMALL BUSINESS BIG BLUE ONLY N6449826Q5060</t>
        </is>
      </c>
      <c r="J77" s="0" t="inlineStr">
        <is>
          <t xml:space="preserve">N6449826Q5060</t>
        </is>
      </c>
    </row>
    <row r="78">
      <c r="B78" s="0" t="inlineStr">
        <is>
          <t xml:space="preserve">e3aa3444224f4b4e9ac4f1a3684f3008</t>
        </is>
      </c>
      <c r="C78" s="0" t="inlineStr">
        <is>
          <t xml:space="preserve">Solicitation</t>
        </is>
      </c>
      <c r="D78" s="0" t="inlineStr">
        <is>
          <t xml:space="preserve">2026-03-16</t>
        </is>
      </c>
      <c r="E78" s="0" t="inlineStr">
        <is>
          <t xml:space="preserve">Navy/USMC</t>
        </is>
      </c>
      <c r="F78" s="0" t="inlineStr">
        <is>
          <t xml:space="preserve">ship_repair_maintenance</t>
        </is>
      </c>
      <c r="G78" s="0" t="inlineStr">
        <is>
          <t xml:space="preserve">336611</t>
        </is>
      </c>
      <c r="H78" s="0" t="inlineStr">
        <is>
          <t xml:space="preserve">J998</t>
        </is>
      </c>
      <c r="I78" s="0" t="inlineStr">
        <is>
          <t xml:space="preserve">Solicitation Notice is for the USNS WILLIAM MCLEAN FY26 ROH/DD</t>
        </is>
      </c>
      <c r="J78" s="0" t="inlineStr">
        <is>
          <t xml:space="preserve">N3220526R0019</t>
        </is>
      </c>
    </row>
    <row r="79">
      <c r="B79" s="0" t="inlineStr">
        <is>
          <t xml:space="preserve">d44df546a6dd41a6bd5063d9a70892c4</t>
        </is>
      </c>
      <c r="C79" s="0" t="inlineStr">
        <is>
          <t xml:space="preserve">Solicitation</t>
        </is>
      </c>
      <c r="D79" s="0" t="inlineStr">
        <is>
          <t xml:space="preserve">2026-03-11</t>
        </is>
      </c>
      <c r="E79" s="0" t="inlineStr">
        <is>
          <t xml:space="preserve">Navy/USMC</t>
        </is>
      </c>
      <c r="F79" s="0" t="inlineStr">
        <is>
          <t xml:space="preserve">ship_repair_maintenance</t>
        </is>
      </c>
      <c r="G79" s="0" t="inlineStr">
        <is>
          <t xml:space="preserve">336611</t>
        </is>
      </c>
      <c r="H79" s="0" t="inlineStr">
        <is>
          <t xml:space="preserve">J999</t>
        </is>
      </c>
      <c r="I79" s="0" t="inlineStr">
        <is>
          <t xml:space="preserve">USNS HENRY J. KAISER FY 27 ROH/DD</t>
        </is>
      </c>
      <c r="J79" s="0" t="inlineStr">
        <is>
          <t xml:space="preserve">N3220526R6024</t>
        </is>
      </c>
    </row>
    <row r="80">
      <c r="B80" s="0" t="inlineStr">
        <is>
          <t xml:space="preserve">b6788a7273af4a32b98b6c43896b18e9</t>
        </is>
      </c>
      <c r="C80" s="0" t="inlineStr">
        <is>
          <t xml:space="preserve">Solicitation</t>
        </is>
      </c>
      <c r="D80" s="0" t="inlineStr">
        <is>
          <t xml:space="preserve">2026-03-11</t>
        </is>
      </c>
      <c r="E80" s="0" t="inlineStr">
        <is>
          <t xml:space="preserve">Army</t>
        </is>
      </c>
      <c r="F80" s="0" t="inlineStr">
        <is>
          <t xml:space="preserve">ship_repair_maintenance</t>
        </is>
      </c>
      <c r="G80" s="0" t="inlineStr">
        <is>
          <t xml:space="preserve">336611</t>
        </is>
      </c>
      <c r="H80" s="0" t="inlineStr">
        <is>
          <t xml:space="preserve">J020</t>
        </is>
      </c>
      <c r="I80" s="0" t="inlineStr">
        <is>
          <t xml:space="preserve">Shipyard Overhaul of the S/V RECONNAISSANCE</t>
        </is>
      </c>
      <c r="J80" s="0" t="inlineStr">
        <is>
          <t xml:space="preserve">W912BU26QA010</t>
        </is>
      </c>
    </row>
    <row r="81">
      <c r="B81" s="0" t="inlineStr">
        <is>
          <t xml:space="preserve">d244db2b7aae4c5386b8146ea5eeb2fa</t>
        </is>
      </c>
      <c r="C81" s="0" t="inlineStr">
        <is>
          <t xml:space="preserve">Combined Synopsis/Solicitation</t>
        </is>
      </c>
      <c r="D81" s="0" t="inlineStr">
        <is>
          <t xml:space="preserve">2026-03-16</t>
        </is>
      </c>
      <c r="E81" s="0" t="inlineStr">
        <is>
          <t xml:space="preserve">Coast Guard</t>
        </is>
      </c>
      <c r="F81" s="0" t="inlineStr">
        <is>
          <t xml:space="preserve">ship_repair_maintenance</t>
        </is>
      </c>
      <c r="G81" s="0" t="inlineStr">
        <is>
          <t xml:space="preserve">336611</t>
        </is>
      </c>
      <c r="H81" s="0" t="inlineStr">
        <is>
          <t xml:space="preserve">J999</t>
        </is>
      </c>
      <c r="I81" s="0" t="inlineStr">
        <is>
          <t xml:space="preserve">Dry-dock (DD): USCGC ALEX HALEY FY26 Repair</t>
        </is>
      </c>
      <c r="J81" s="0" t="inlineStr">
        <is>
          <t xml:space="preserve">70Z08526QLREP0012</t>
        </is>
      </c>
    </row>
    <row r="82">
      <c r="B82" s="0" t="inlineStr">
        <is>
          <t xml:space="preserve">4604a5bb19064ddc96471af397c2ceb4</t>
        </is>
      </c>
      <c r="C82" s="0" t="inlineStr">
        <is>
          <t xml:space="preserve">Solicitation</t>
        </is>
      </c>
      <c r="D82" s="0" t="inlineStr">
        <is>
          <t xml:space="preserve">2026-02-19</t>
        </is>
      </c>
      <c r="E82" s="0" t="inlineStr">
        <is>
          <t xml:space="preserve">Navy/USMC</t>
        </is>
      </c>
      <c r="F82" s="0" t="inlineStr">
        <is>
          <t xml:space="preserve">ship_repair_maintenance</t>
        </is>
      </c>
      <c r="G82" s="0" t="inlineStr">
        <is>
          <t xml:space="preserve">336611</t>
        </is>
      </c>
      <c r="H82" s="0" t="inlineStr">
        <is>
          <t xml:space="preserve">J019</t>
        </is>
      </c>
      <c r="I82" s="0" t="inlineStr">
        <is>
          <t xml:space="preserve">Repair and Modernization IDIQ YC-UF-UFDD</t>
        </is>
      </c>
      <c r="J82" s="0" t="inlineStr">
        <is>
          <t xml:space="preserve">N4523A26R0003</t>
        </is>
      </c>
    </row>
    <row r="83">
      <c r="B83" s="0" t="inlineStr">
        <is>
          <t xml:space="preserve">0d9cfb2c5ba54bc2ae542b25241e4c1f</t>
        </is>
      </c>
      <c r="C83" s="0" t="inlineStr">
        <is>
          <t xml:space="preserve">Special Notice</t>
        </is>
      </c>
      <c r="D83" s="0" t="inlineStr">
        <is>
          <t xml:space="preserve">2026-03-26</t>
        </is>
      </c>
      <c r="E83" s="0" t="inlineStr">
        <is>
          <t xml:space="preserve">Navy/USMC</t>
        </is>
      </c>
      <c r="F83" s="0" t="inlineStr">
        <is>
          <t xml:space="preserve">ship_repair_maintenance</t>
        </is>
      </c>
      <c r="G83" s="0" t="inlineStr">
        <is>
          <t xml:space="preserve">336611</t>
        </is>
      </c>
      <c r="H83" s="0" t="inlineStr">
        <is>
          <t xml:space="preserve">J998</t>
        </is>
      </c>
      <c r="I83" s="0" t="inlineStr">
        <is>
          <t xml:space="preserve">Touch Labor Support Services for Ultra High Pressure Operators</t>
        </is>
      </c>
      <c r="J83" s="0" t="inlineStr">
        <is>
          <t xml:space="preserve">N3904026UHPNOTICE</t>
        </is>
      </c>
    </row>
    <row r="84">
      <c r="B84" s="0" t="inlineStr">
        <is>
          <t xml:space="preserve">9d97f19803564c37b84e73a50f14d3f4</t>
        </is>
      </c>
      <c r="C84" s="0" t="inlineStr">
        <is>
          <t xml:space="preserve">Solicitation</t>
        </is>
      </c>
      <c r="D84" s="0" t="inlineStr">
        <is>
          <t xml:space="preserve">2026-03-12</t>
        </is>
      </c>
      <c r="E84" s="0" t="inlineStr">
        <is>
          <t xml:space="preserve">Navy/USMC</t>
        </is>
      </c>
      <c r="F84" s="0" t="inlineStr">
        <is>
          <t xml:space="preserve">services_rdte</t>
        </is>
      </c>
      <c r="G84" s="0" t="inlineStr">
        <is>
          <t xml:space="preserve">336611</t>
        </is>
      </c>
      <c r="H84" s="0" t="inlineStr">
        <is>
          <t xml:space="preserve">R425</t>
        </is>
      </c>
      <c r="I84" s="0" t="inlineStr">
        <is>
          <t xml:space="preserve">BIG BLUE 3 MAC - N6449826Q5063</t>
        </is>
      </c>
      <c r="J84" s="0" t="inlineStr">
        <is>
          <t xml:space="preserve">N6449826Q5063</t>
        </is>
      </c>
    </row>
    <row r="85">
      <c r="B85" s="0" t="inlineStr">
        <is>
          <t xml:space="preserve">f8aa12e7b9d1433a85f7a52c567baee8</t>
        </is>
      </c>
      <c r="C85" s="0" t="inlineStr">
        <is>
          <t xml:space="preserve">Solicitation</t>
        </is>
      </c>
      <c r="D85" s="0" t="inlineStr">
        <is>
          <t xml:space="preserve">2026-03-27</t>
        </is>
      </c>
      <c r="E85" s="0" t="inlineStr">
        <is>
          <t xml:space="preserve">Coast Guard</t>
        </is>
      </c>
      <c r="F85" s="0" t="inlineStr">
        <is>
          <t xml:space="preserve">ship_repair_maintenance</t>
        </is>
      </c>
      <c r="G85" s="0" t="inlineStr">
        <is>
          <t xml:space="preserve">336611</t>
        </is>
      </c>
      <c r="H85" s="0" t="inlineStr">
        <is>
          <t xml:space="preserve">J999</t>
        </is>
      </c>
      <c r="I85" s="0" t="inlineStr">
        <is>
          <t xml:space="preserve">Dockside (DS): USCGC MIDGETT FY26 Repair</t>
        </is>
      </c>
      <c r="J85" s="0" t="inlineStr">
        <is>
          <t xml:space="preserve">70Z08526QLREP0011</t>
        </is>
      </c>
    </row>
    <row r="86">
      <c r="B86" s="0" t="inlineStr">
        <is>
          <t xml:space="preserve">d177ca3b10a94d99a028de44375c4bdc</t>
        </is>
      </c>
      <c r="C86" s="0" t="inlineStr">
        <is>
          <t xml:space="preserve">Solicitation</t>
        </is>
      </c>
      <c r="D86" s="0" t="inlineStr">
        <is>
          <t xml:space="preserve">2026-03-25</t>
        </is>
      </c>
      <c r="E86" s="0" t="inlineStr">
        <is>
          <t xml:space="preserve">Army</t>
        </is>
      </c>
      <c r="F86" s="0" t="inlineStr">
        <is>
          <t xml:space="preserve">ship_repair_maintenance</t>
        </is>
      </c>
      <c r="G86" s="0" t="inlineStr">
        <is>
          <t xml:space="preserve">336611</t>
        </is>
      </c>
      <c r="H86" s="0" t="inlineStr">
        <is>
          <t xml:space="preserve">J019</t>
        </is>
      </c>
      <c r="I86" s="0" t="inlineStr">
        <is>
          <t xml:space="preserve">Recertification of Dredge McFARLAND Rescue Boat</t>
        </is>
      </c>
      <c r="J86" s="0" t="inlineStr">
        <is>
          <t xml:space="preserve">W912BU26QA021</t>
        </is>
      </c>
    </row>
    <row r="87">
      <c r="B87" s="0" t="inlineStr">
        <is>
          <t xml:space="preserve">04d8ae8aa6774d1b89432bf82710f3ea</t>
        </is>
      </c>
      <c r="C87" s="0" t="inlineStr">
        <is>
          <t xml:space="preserve">Solicitation</t>
        </is>
      </c>
      <c r="D87" s="0" t="inlineStr">
        <is>
          <t xml:space="preserve">2026-03-09</t>
        </is>
      </c>
      <c r="E87" s="0" t="inlineStr">
        <is>
          <t xml:space="preserve">Navy/USMC</t>
        </is>
      </c>
      <c r="F87" s="0" t="inlineStr">
        <is>
          <t xml:space="preserve">services_rdte</t>
        </is>
      </c>
      <c r="G87" s="0" t="inlineStr">
        <is>
          <t xml:space="preserve">336611</t>
        </is>
      </c>
      <c r="H87" s="0" t="inlineStr">
        <is>
          <t xml:space="preserve">R425</t>
        </is>
      </c>
      <c r="I87" s="0" t="inlineStr">
        <is>
          <t xml:space="preserve">Item 27- D40 Equipment Services MAC- SPDS</t>
        </is>
      </c>
      <c r="J87" s="0" t="inlineStr">
        <is>
          <t xml:space="preserve">N6449826Q5076</t>
        </is>
      </c>
    </row>
    <row r="88">
      <c r="B88" s="0" t="inlineStr">
        <is>
          <t xml:space="preserve">20861c84b93f418eaa98abbf1fbb761c</t>
        </is>
      </c>
      <c r="C88" s="0" t="inlineStr">
        <is>
          <t xml:space="preserve">Combined Synopsis/Solicitation</t>
        </is>
      </c>
      <c r="D88" s="0" t="inlineStr">
        <is>
          <t xml:space="preserve">2026-04-03</t>
        </is>
      </c>
      <c r="E88" s="0" t="inlineStr">
        <is>
          <t xml:space="preserve">Navy/USMC</t>
        </is>
      </c>
      <c r="F88" s="0" t="inlineStr">
        <is>
          <t xml:space="preserve">other</t>
        </is>
      </c>
      <c r="G88" s="0" t="inlineStr">
        <is>
          <t xml:space="preserve">336611</t>
        </is>
      </c>
      <c r="H88" s="0" t="inlineStr">
        <is>
          <t xml:space="preserve">L020</t>
        </is>
      </c>
      <c r="I88" s="0" t="inlineStr">
        <is>
          <t xml:space="preserve">Technical Representative for Geislinger Couplings</t>
        </is>
      </c>
      <c r="J88" s="0" t="inlineStr">
        <is>
          <t xml:space="preserve">N5005426Q0113</t>
        </is>
      </c>
    </row>
    <row r="89">
      <c r="B89" s="0" t="inlineStr">
        <is>
          <t xml:space="preserve">8c24dcc4127d41b89084207b93799d16</t>
        </is>
      </c>
      <c r="C89" s="0" t="inlineStr">
        <is>
          <t xml:space="preserve">Sources Sought</t>
        </is>
      </c>
      <c r="D89" s="0" t="inlineStr">
        <is>
          <t xml:space="preserve">2026-04-08</t>
        </is>
      </c>
      <c r="E89" s="0" t="inlineStr">
        <is>
          <t xml:space="preserve">Navy/USMC</t>
        </is>
      </c>
      <c r="F89" s="0" t="inlineStr">
        <is>
          <t xml:space="preserve">ship_repair_maintenance</t>
        </is>
      </c>
      <c r="G89" s="0" t="inlineStr">
        <is>
          <t xml:space="preserve">336611</t>
        </is>
      </c>
      <c r="H89" s="0" t="inlineStr">
        <is>
          <t xml:space="preserve">J998</t>
        </is>
      </c>
      <c r="I89" s="0" t="inlineStr">
        <is>
          <t xml:space="preserve">USNS OSCAR V. PETERSON (T-AO 206) FY 27 MTA SOURCES SOUGHT NOTICE</t>
        </is>
      </c>
      <c r="J89" s="0" t="inlineStr">
        <is>
          <t xml:space="preserve">N3220526R6075</t>
        </is>
      </c>
    </row>
    <row r="90">
      <c r="B90" s="0" t="inlineStr">
        <is>
          <t xml:space="preserve">819424119ec049659a678f30d0c4d1d1</t>
        </is>
      </c>
      <c r="C90" s="0" t="inlineStr">
        <is>
          <t xml:space="preserve">Solicitation</t>
        </is>
      </c>
      <c r="D90" s="0" t="inlineStr">
        <is>
          <t xml:space="preserve">2026-04-08</t>
        </is>
      </c>
      <c r="E90" s="0" t="inlineStr">
        <is>
          <t xml:space="preserve">Navy/USMC</t>
        </is>
      </c>
      <c r="F90" s="0" t="inlineStr">
        <is>
          <t xml:space="preserve">ship_repair_maintenance</t>
        </is>
      </c>
      <c r="G90" s="0" t="inlineStr">
        <is>
          <t xml:space="preserve">336611</t>
        </is>
      </c>
      <c r="H90" s="0" t="inlineStr">
        <is>
          <t xml:space="preserve">1905</t>
        </is>
      </c>
      <c r="I90" s="0" t="inlineStr">
        <is>
          <t xml:space="preserve">LPD 30-31 FOA PSA</t>
        </is>
      </c>
      <c r="J90" s="0" t="inlineStr">
        <is>
          <t xml:space="preserve">N0002426R2420</t>
        </is>
      </c>
    </row>
    <row r="91">
      <c r="B91" s="0" t="inlineStr">
        <is>
          <t xml:space="preserve">c5ec2487d605447290d158b837f522b8</t>
        </is>
      </c>
      <c r="C91" s="0" t="inlineStr">
        <is>
          <t xml:space="preserve">Combined Synopsis/Solicitation</t>
        </is>
      </c>
      <c r="D91" s="0" t="inlineStr">
        <is>
          <t xml:space="preserve">2026-04-08</t>
        </is>
      </c>
      <c r="E91" s="0" t="inlineStr">
        <is>
          <t xml:space="preserve">Coast Guard</t>
        </is>
      </c>
      <c r="F91" s="0" t="inlineStr">
        <is>
          <t xml:space="preserve">ship_repair_maintenance</t>
        </is>
      </c>
      <c r="G91" s="0" t="inlineStr">
        <is>
          <t xml:space="preserve">336611</t>
        </is>
      </c>
      <c r="H91" s="0" t="inlineStr">
        <is>
          <t xml:space="preserve">J999</t>
        </is>
      </c>
      <c r="I91" s="0" t="inlineStr">
        <is>
          <t xml:space="preserve">Dockside (DS): USCGC KIMBALL FY26 Repair</t>
        </is>
      </c>
      <c r="J91" s="0" t="inlineStr">
        <is>
          <t xml:space="preserve">70Z08526QLREP0013</t>
        </is>
      </c>
    </row>
    <row r="92">
      <c r="B92" s="0" t="inlineStr">
        <is>
          <t xml:space="preserve">8ff0c6b8c3464b039a381aeb330208ef</t>
        </is>
      </c>
      <c r="C92" s="0" t="inlineStr">
        <is>
          <t xml:space="preserve">Solicitation</t>
        </is>
      </c>
      <c r="D92" s="0" t="inlineStr">
        <is>
          <t xml:space="preserve">2026-03-26</t>
        </is>
      </c>
      <c r="E92" s="0" t="inlineStr">
        <is>
          <t xml:space="preserve">Navy/USMC</t>
        </is>
      </c>
      <c r="F92" s="0" t="inlineStr">
        <is>
          <t xml:space="preserve">services_rdte</t>
        </is>
      </c>
      <c r="G92" s="0" t="inlineStr">
        <is>
          <t xml:space="preserve">336611</t>
        </is>
      </c>
      <c r="H92" s="0" t="inlineStr">
        <is>
          <t xml:space="preserve">R425</t>
        </is>
      </c>
      <c r="I92" s="0" t="inlineStr">
        <is>
          <t xml:space="preserve">SOLICITATION FOR Big Blue 3 MAC (N6449821D0013 - N6449821D0023) PROPULSION AND AUXILLIARY CONTROL SYSTEM (PACS) and BALLAST AND DAMAGE CONTROL SYSTEMS (BCS/DCS) INSTALLATION UPGRADE.</t>
        </is>
      </c>
      <c r="J92" s="0" t="inlineStr">
        <is>
          <t xml:space="preserve">N6449826Q5075</t>
        </is>
      </c>
    </row>
    <row r="93">
      <c r="B93" s="0" t="inlineStr">
        <is>
          <t xml:space="preserve">bc9396d0f7674e8fad6c4cb191313582</t>
        </is>
      </c>
      <c r="C93" s="0" t="inlineStr">
        <is>
          <t xml:space="preserve">Presolicitation</t>
        </is>
      </c>
      <c r="D93" s="0" t="inlineStr">
        <is>
          <t xml:space="preserve">2026-04-06</t>
        </is>
      </c>
      <c r="E93" s="0" t="inlineStr">
        <is>
          <t xml:space="preserve">Other DoD</t>
        </is>
      </c>
      <c r="F93" s="0" t="inlineStr">
        <is>
          <t xml:space="preserve">other</t>
        </is>
      </c>
      <c r="G93" s="0" t="inlineStr">
        <is>
          <t xml:space="preserve">336611</t>
        </is>
      </c>
      <c r="H93" s="0" t="inlineStr">
        <is>
          <t xml:space="preserve">1720</t>
        </is>
      </c>
      <c r="I93" s="0" t="inlineStr">
        <is>
          <t xml:space="preserve">MODULE ASSEMBLY,JET</t>
        </is>
      </c>
      <c r="J93" s="0" t="inlineStr">
        <is>
          <t xml:space="preserve">SPE7M126R0003</t>
        </is>
      </c>
    </row>
    <row r="94">
      <c r="B94" s="0" t="inlineStr">
        <is>
          <t xml:space="preserve">8e3b7fda4d914925943647009504287a</t>
        </is>
      </c>
      <c r="C94" s="0" t="inlineStr">
        <is>
          <t xml:space="preserve">Solicitation</t>
        </is>
      </c>
      <c r="D94" s="0" t="inlineStr">
        <is>
          <t xml:space="preserve">2026-04-15</t>
        </is>
      </c>
      <c r="E94" s="0" t="inlineStr">
        <is>
          <t xml:space="preserve">Navy/USMC</t>
        </is>
      </c>
      <c r="F94" s="0" t="inlineStr">
        <is>
          <t xml:space="preserve">services_rdte</t>
        </is>
      </c>
      <c r="G94" s="0" t="inlineStr">
        <is>
          <t xml:space="preserve">336611</t>
        </is>
      </c>
      <c r="H94" s="0" t="inlineStr">
        <is>
          <t xml:space="preserve">R425</t>
        </is>
      </c>
      <c r="I94" s="0" t="inlineStr">
        <is>
          <t xml:space="preserve">Big Blue 3 MAC (N6449821D0013 - N6449821D0023) SALINITY MONITORING SYSTEMS INSTALLATION UPGRADE</t>
        </is>
      </c>
      <c r="J94" s="0" t="inlineStr">
        <is>
          <t xml:space="preserve">N6449826Q5078</t>
        </is>
      </c>
    </row>
    <row r="95">
      <c r="B95" s="0" t="inlineStr">
        <is>
          <t xml:space="preserve">b3b52ff0cea1435f9060c8d422508b2a</t>
        </is>
      </c>
      <c r="C95" s="0" t="inlineStr">
        <is>
          <t xml:space="preserve">Solicitation</t>
        </is>
      </c>
      <c r="D95" s="0" t="inlineStr">
        <is>
          <t xml:space="preserve">2026-04-16</t>
        </is>
      </c>
      <c r="E95" s="0" t="inlineStr">
        <is>
          <t xml:space="preserve">Navy/USMC</t>
        </is>
      </c>
      <c r="F95" s="0" t="inlineStr">
        <is>
          <t xml:space="preserve">ship_repair_maintenance</t>
        </is>
      </c>
      <c r="G95" s="0" t="inlineStr">
        <is>
          <t xml:space="preserve">336611</t>
        </is>
      </c>
      <c r="H95" s="0" t="inlineStr">
        <is>
          <t xml:space="preserve">J998</t>
        </is>
      </c>
      <c r="I95" s="0" t="inlineStr">
        <is>
          <t xml:space="preserve">USNS JOSHUA HUMPHREYS (T-AO 188) FY27 ROH/DD</t>
        </is>
      </c>
      <c r="J95" s="0" t="inlineStr">
        <is>
          <t xml:space="preserve">N3220526R0022</t>
        </is>
      </c>
    </row>
    <row r="96">
      <c r="B96" s="0" t="inlineStr">
        <is>
          <t xml:space="preserve">2c70d54e65e64ed6bffd069bda0897d8</t>
        </is>
      </c>
      <c r="C96" s="0" t="inlineStr">
        <is>
          <t xml:space="preserve">Combined Synopsis/Solicitation</t>
        </is>
      </c>
      <c r="D96" s="0" t="inlineStr">
        <is>
          <t xml:space="preserve">2026-04-16</t>
        </is>
      </c>
      <c r="E96" s="0" t="inlineStr">
        <is>
          <t xml:space="preserve">Navy/USMC</t>
        </is>
      </c>
      <c r="F96" s="0" t="inlineStr">
        <is>
          <t xml:space="preserve">marine_components_parts</t>
        </is>
      </c>
      <c r="G96" s="0" t="inlineStr">
        <is>
          <t xml:space="preserve">336611</t>
        </is>
      </c>
      <c r="H96" s="0" t="inlineStr">
        <is>
          <t xml:space="preserve">2040</t>
        </is>
      </c>
      <c r="I96" s="0" t="inlineStr">
        <is>
          <t xml:space="preserve">Valve Plug and Seat Ring</t>
        </is>
      </c>
      <c r="J96" s="0" t="inlineStr">
        <is>
          <t xml:space="preserve">N5005426Q0120</t>
        </is>
      </c>
    </row>
    <row r="97">
      <c r="B97" s="0" t="inlineStr">
        <is>
          <t xml:space="preserve">314c418fefc347acb8a424d02ef30cfb</t>
        </is>
      </c>
      <c r="C97" s="0" t="inlineStr">
        <is>
          <t xml:space="preserve">Combined Synopsis/Solicitation</t>
        </is>
      </c>
      <c r="D97" s="0" t="inlineStr">
        <is>
          <t xml:space="preserve">2026-04-13</t>
        </is>
      </c>
      <c r="E97" s="0" t="inlineStr">
        <is>
          <t xml:space="preserve">Other DoD</t>
        </is>
      </c>
      <c r="F97" s="0" t="inlineStr">
        <is>
          <t xml:space="preserve">marine_components_parts</t>
        </is>
      </c>
      <c r="G97" s="0" t="inlineStr">
        <is>
          <t xml:space="preserve">336612</t>
        </is>
      </c>
      <c r="H97" s="0" t="inlineStr">
        <is>
          <t xml:space="preserve">2040</t>
        </is>
      </c>
      <c r="I97" s="0" t="inlineStr">
        <is>
          <t xml:space="preserve">Boat liner</t>
        </is>
      </c>
      <c r="J97" s="0" t="inlineStr">
        <is>
          <t xml:space="preserve">FA441726Q0072</t>
        </is>
      </c>
    </row>
    <row r="98">
      <c r="B98" s="0" t="inlineStr">
        <is>
          <t xml:space="preserve">57a90d58ce78440e812ba1fe27ab4d0c</t>
        </is>
      </c>
      <c r="C98" s="0" t="inlineStr">
        <is>
          <t xml:space="preserve">Solicitation</t>
        </is>
      </c>
      <c r="D98" s="0" t="inlineStr">
        <is>
          <t xml:space="preserve">2026-04-14</t>
        </is>
      </c>
      <c r="E98" s="0" t="inlineStr">
        <is>
          <t xml:space="preserve">Navy/USMC</t>
        </is>
      </c>
      <c r="F98" s="0" t="inlineStr">
        <is>
          <t xml:space="preserve">ship_repair_maintenance</t>
        </is>
      </c>
      <c r="G98" s="0" t="inlineStr">
        <is>
          <t xml:space="preserve">336611</t>
        </is>
      </c>
      <c r="H98" s="0" t="inlineStr">
        <is>
          <t xml:space="preserve">J999</t>
        </is>
      </c>
      <c r="I98" s="0" t="inlineStr">
        <is>
          <t xml:space="preserve">USNS ALAN SHEPARD FY26 MTA</t>
        </is>
      </c>
      <c r="J98" s="0" t="inlineStr">
        <is>
          <t xml:space="preserve">N3220526R0025</t>
        </is>
      </c>
    </row>
    <row r="99">
      <c r="B99" s="0" t="inlineStr">
        <is>
          <t xml:space="preserve">97ca659e60aa4e3e963892a5e8a0b39c</t>
        </is>
      </c>
      <c r="C99" s="0" t="inlineStr">
        <is>
          <t xml:space="preserve">Solicitation</t>
        </is>
      </c>
      <c r="D99" s="0" t="inlineStr">
        <is>
          <t xml:space="preserve">2026-04-17</t>
        </is>
      </c>
      <c r="E99" s="0" t="inlineStr">
        <is>
          <t xml:space="preserve">Army</t>
        </is>
      </c>
      <c r="F99" s="0" t="inlineStr">
        <is>
          <t xml:space="preserve">ship_repair_maintenance</t>
        </is>
      </c>
      <c r="G99" s="0" t="inlineStr">
        <is>
          <t xml:space="preserve">336611</t>
        </is>
      </c>
      <c r="H99" s="0" t="inlineStr">
        <is>
          <t xml:space="preserve">J019</t>
        </is>
      </c>
      <c r="I99" s="0" t="inlineStr">
        <is>
          <t xml:space="preserve">DRYDOCKING AND REPAIR OF SURVEY VESSEL DAMRELL</t>
        </is>
      </c>
      <c r="J99" s="0" t="inlineStr">
        <is>
          <t xml:space="preserve">W9127826QA006</t>
        </is>
      </c>
    </row>
    <row r="100">
      <c r="B100" s="0" t="inlineStr">
        <is>
          <t xml:space="preserve">9dc3c95222fc454e92923279f4a7cf1c</t>
        </is>
      </c>
      <c r="C100" s="0" t="inlineStr">
        <is>
          <t xml:space="preserve">Combined Synopsis/Solicitation</t>
        </is>
      </c>
      <c r="D100" s="0" t="inlineStr">
        <is>
          <t xml:space="preserve">2026-04-07</t>
        </is>
      </c>
      <c r="E100" s="0" t="inlineStr">
        <is>
          <t xml:space="preserve">Navy/USMC</t>
        </is>
      </c>
      <c r="F100" s="0" t="inlineStr">
        <is>
          <t xml:space="preserve">marine_components_parts</t>
        </is>
      </c>
      <c r="G100" s="0" t="inlineStr">
        <is>
          <t xml:space="preserve">336611</t>
        </is>
      </c>
      <c r="H100" s="0" t="inlineStr">
        <is>
          <t xml:space="preserve">2090</t>
        </is>
      </c>
      <c r="I100" s="0" t="inlineStr">
        <is>
          <t xml:space="preserve">Spindel Cartridge USNS ARTIC (T-AOE 8)</t>
        </is>
      </c>
      <c r="J100" s="0" t="inlineStr">
        <is>
          <t xml:space="preserve">N3220526Q7107</t>
        </is>
      </c>
    </row>
    <row r="101">
      <c r="B101" s="0" t="inlineStr">
        <is>
          <t xml:space="preserve">6dff6e4a52564f1599a3d9d2b2dec73e</t>
        </is>
      </c>
      <c r="C101" s="0" t="inlineStr">
        <is>
          <t xml:space="preserve">Solicitation</t>
        </is>
      </c>
      <c r="D101" s="0" t="inlineStr">
        <is>
          <t xml:space="preserve">2026-04-21</t>
        </is>
      </c>
      <c r="E101" s="0" t="inlineStr">
        <is>
          <t xml:space="preserve">Navy/USMC</t>
        </is>
      </c>
      <c r="F101" s="0" t="inlineStr">
        <is>
          <t xml:space="preserve">ship_repair_maintenance</t>
        </is>
      </c>
      <c r="G101" s="0" t="inlineStr">
        <is>
          <t xml:space="preserve">336611</t>
        </is>
      </c>
      <c r="H101" s="0" t="inlineStr">
        <is>
          <t xml:space="preserve">J998</t>
        </is>
      </c>
      <c r="I101" s="0" t="inlineStr">
        <is>
          <t xml:space="preserve">USNS ROBERT F KENNEDY MTA FY27</t>
        </is>
      </c>
      <c r="J101" s="0" t="inlineStr">
        <is>
          <t xml:space="preserve">N3220526R6051</t>
        </is>
      </c>
    </row>
    <row r="102">
      <c r="B102" s="0" t="inlineStr">
        <is>
          <t xml:space="preserve">4405cd01899f44b0a0fb1e33d116c2a7</t>
        </is>
      </c>
      <c r="C102" s="0" t="inlineStr">
        <is>
          <t xml:space="preserve">Solicitation</t>
        </is>
      </c>
      <c r="D102" s="0" t="inlineStr">
        <is>
          <t xml:space="preserve">2026-04-28</t>
        </is>
      </c>
      <c r="E102" s="0" t="inlineStr">
        <is>
          <t xml:space="preserve">Navy/USMC</t>
        </is>
      </c>
      <c r="F102" s="0" t="inlineStr">
        <is>
          <t xml:space="preserve">services_rdte</t>
        </is>
      </c>
      <c r="G102" s="0" t="inlineStr">
        <is>
          <t xml:space="preserve">336611</t>
        </is>
      </c>
      <c r="H102" s="0" t="inlineStr">
        <is>
          <t xml:space="preserve">R425</t>
        </is>
      </c>
      <c r="I102" s="0" t="inlineStr">
        <is>
          <t xml:space="preserve">Big Blue 3 MAC (N6449821D0013 - N6449821D0023) Requirement installing Mixed-Oxidant Electrolytic Disinfectant Generator (MEDG)</t>
        </is>
      </c>
      <c r="J102" s="0" t="inlineStr">
        <is>
          <t xml:space="preserve">N6449826Q5088</t>
        </is>
      </c>
    </row>
    <row r="103">
      <c r="B103" s="0" t="inlineStr">
        <is>
          <t xml:space="preserve">ae37fea4364c4db6890d9246f88b4c94</t>
        </is>
      </c>
      <c r="C103" s="0" t="inlineStr">
        <is>
          <t xml:space="preserve">Combined Synopsis/Solicitation</t>
        </is>
      </c>
      <c r="D103" s="0" t="inlineStr">
        <is>
          <t xml:space="preserve">2026-04-17</t>
        </is>
      </c>
      <c r="E103" s="0" t="inlineStr">
        <is>
          <t xml:space="preserve">Navy/USMC</t>
        </is>
      </c>
      <c r="F103" s="0" t="inlineStr">
        <is>
          <t xml:space="preserve">vessel_procurement</t>
        </is>
      </c>
      <c r="G103" s="0" t="inlineStr">
        <is>
          <t xml:space="preserve">336611</t>
        </is>
      </c>
      <c r="H103" s="0" t="inlineStr">
        <is>
          <t xml:space="preserve">1905</t>
        </is>
      </c>
      <c r="I103" s="0" t="inlineStr">
        <is>
          <t xml:space="preserve">Medium Landing Ship (LSM) Vessel Construction Manager (VCM) Solicitation # N00024-26-R-2421</t>
        </is>
      </c>
      <c r="J103" s="0" t="inlineStr">
        <is>
          <t xml:space="preserve">N0002426R2421</t>
        </is>
      </c>
    </row>
    <row r="104">
      <c r="B104" s="0" t="inlineStr">
        <is>
          <t xml:space="preserve">069ca20043184358915b9e7c0b943c28</t>
        </is>
      </c>
      <c r="C104" s="0" t="inlineStr">
        <is>
          <t xml:space="preserve">Solicitation</t>
        </is>
      </c>
      <c r="D104" s="0" t="inlineStr">
        <is>
          <t xml:space="preserve">2026-04-30</t>
        </is>
      </c>
      <c r="E104" s="0" t="inlineStr">
        <is>
          <t xml:space="preserve">Navy/USMC</t>
        </is>
      </c>
      <c r="F104" s="0" t="inlineStr">
        <is>
          <t xml:space="preserve">services_rdte</t>
        </is>
      </c>
      <c r="G104" s="0" t="inlineStr">
        <is>
          <t xml:space="preserve">336611</t>
        </is>
      </c>
      <c r="H104" s="0" t="inlineStr">
        <is>
          <t xml:space="preserve">R425</t>
        </is>
      </c>
      <c r="I104" s="0" t="inlineStr">
        <is>
          <t xml:space="preserve">LHD Midlife Ship Alt 95213K (SCD 25213)- Big Blue 3 Small Business MAC Holders</t>
        </is>
      </c>
      <c r="J104" s="0" t="inlineStr">
        <is>
          <t xml:space="preserve">N6449826Q5083</t>
        </is>
      </c>
    </row>
    <row r="105">
      <c r="B105" s="0" t="inlineStr">
        <is>
          <t xml:space="preserve">00d143b09ea141488557a494a0f96694</t>
        </is>
      </c>
      <c r="C105" s="0" t="inlineStr">
        <is>
          <t xml:space="preserve">Presolicitation</t>
        </is>
      </c>
      <c r="D105" s="0" t="inlineStr">
        <is>
          <t xml:space="preserve">2026-06-11</t>
        </is>
      </c>
      <c r="E105" s="0" t="inlineStr">
        <is>
          <t xml:space="preserve">Navy/USMC</t>
        </is>
      </c>
      <c r="F105" s="0" t="inlineStr">
        <is>
          <t xml:space="preserve">ship_repair_maintenance</t>
        </is>
      </c>
      <c r="G105" s="0" t="inlineStr">
        <is>
          <t xml:space="preserve">336611</t>
        </is>
      </c>
      <c r="H105" s="0" t="inlineStr">
        <is>
          <t xml:space="preserve">J998</t>
        </is>
      </c>
      <c r="I105" s="0" t="inlineStr">
        <is>
          <t xml:space="preserve">USS SHIP FY27 MID-TERM AVAILABILITY</t>
        </is>
      </c>
      <c r="J105" s="0" t="inlineStr">
        <is>
          <t xml:space="preserve">N6817126RN006</t>
        </is>
      </c>
    </row>
    <row r="106">
      <c r="B106" s="0" t="inlineStr">
        <is>
          <t xml:space="preserve">53364ea01bd34e19a641a8d033de46f3</t>
        </is>
      </c>
      <c r="C106" s="0" t="inlineStr">
        <is>
          <t xml:space="preserve">Combined Synopsis/Solicitation</t>
        </is>
      </c>
      <c r="D106" s="0" t="inlineStr">
        <is>
          <t xml:space="preserve">2026-04-29</t>
        </is>
      </c>
      <c r="E106" s="0" t="inlineStr">
        <is>
          <t xml:space="preserve">Other DoD</t>
        </is>
      </c>
      <c r="F106" s="0" t="inlineStr">
        <is>
          <t xml:space="preserve">marine_components_parts</t>
        </is>
      </c>
      <c r="G106" s="0" t="inlineStr">
        <is>
          <t xml:space="preserve">336612</t>
        </is>
      </c>
      <c r="H106" s="0" t="inlineStr">
        <is>
          <t xml:space="preserve">20</t>
        </is>
      </c>
      <c r="I106" s="0" t="inlineStr">
        <is>
          <t xml:space="preserve">20--BEARING,STERN TUBE</t>
        </is>
      </c>
      <c r="J106" s="0" t="inlineStr">
        <is>
          <t xml:space="preserve">SPE7L126Q1016</t>
        </is>
      </c>
    </row>
    <row r="107">
      <c r="B107" s="0" t="inlineStr">
        <is>
          <t xml:space="preserve">30f8c054fc0d4932b9f7afc10415a78e</t>
        </is>
      </c>
      <c r="C107" s="0" t="inlineStr">
        <is>
          <t xml:space="preserve">Combined Synopsis/Solicitation</t>
        </is>
      </c>
      <c r="D107" s="0" t="inlineStr">
        <is>
          <t xml:space="preserve">2026-05-03</t>
        </is>
      </c>
      <c r="E107" s="0" t="inlineStr">
        <is>
          <t xml:space="preserve">Other DoD</t>
        </is>
      </c>
      <c r="F107" s="0" t="inlineStr">
        <is>
          <t xml:space="preserve">other</t>
        </is>
      </c>
      <c r="G107" s="0" t="inlineStr">
        <is>
          <t xml:space="preserve">336611</t>
        </is>
      </c>
      <c r="H107" s="0" t="inlineStr">
        <is>
          <t xml:space="preserve">30</t>
        </is>
      </c>
      <c r="I107" s="0" t="inlineStr">
        <is>
          <t xml:space="preserve">30--BELT,FLAT</t>
        </is>
      </c>
      <c r="J107" s="0" t="inlineStr">
        <is>
          <t xml:space="preserve">SPE7M426T052Z</t>
        </is>
      </c>
    </row>
    <row r="108">
      <c r="B108" s="0" t="inlineStr">
        <is>
          <t xml:space="preserve">90168e31c6104c46b9a2dba21c8be181</t>
        </is>
      </c>
      <c r="C108" s="0" t="inlineStr">
        <is>
          <t xml:space="preserve">Combined Synopsis/Solicitation</t>
        </is>
      </c>
      <c r="D108" s="0" t="inlineStr">
        <is>
          <t xml:space="preserve">2026-05-04</t>
        </is>
      </c>
      <c r="E108" s="0" t="inlineStr">
        <is>
          <t xml:space="preserve">Other DoD</t>
        </is>
      </c>
      <c r="F108" s="0" t="inlineStr">
        <is>
          <t xml:space="preserve">marine_components_parts</t>
        </is>
      </c>
      <c r="G108" s="0" t="inlineStr">
        <is>
          <t xml:space="preserve">336612</t>
        </is>
      </c>
      <c r="H108" s="0" t="inlineStr">
        <is>
          <t xml:space="preserve">20</t>
        </is>
      </c>
      <c r="I108" s="0" t="inlineStr">
        <is>
          <t xml:space="preserve">20--DISC</t>
        </is>
      </c>
      <c r="J108" s="0" t="inlineStr">
        <is>
          <t xml:space="preserve">SPE7M426T055E</t>
        </is>
      </c>
    </row>
    <row r="109">
      <c r="B109" s="0" t="inlineStr">
        <is>
          <t xml:space="preserve">55bdcdb3962c4e529a753453d562d862</t>
        </is>
      </c>
      <c r="C109" s="0" t="inlineStr">
        <is>
          <t xml:space="preserve">Combined Synopsis/Solicitation</t>
        </is>
      </c>
      <c r="D109" s="0" t="inlineStr">
        <is>
          <t xml:space="preserve">2026-05-04</t>
        </is>
      </c>
      <c r="E109" s="0" t="inlineStr">
        <is>
          <t xml:space="preserve">Other DoD</t>
        </is>
      </c>
      <c r="F109" s="0" t="inlineStr">
        <is>
          <t xml:space="preserve">marine_components_parts</t>
        </is>
      </c>
      <c r="G109" s="0" t="inlineStr">
        <is>
          <t xml:space="preserve">336612</t>
        </is>
      </c>
      <c r="H109" s="0" t="inlineStr">
        <is>
          <t xml:space="preserve">20</t>
        </is>
      </c>
      <c r="I109" s="0" t="inlineStr">
        <is>
          <t xml:space="preserve">20--COVER,LIGHT,MARINE</t>
        </is>
      </c>
      <c r="J109" s="0" t="inlineStr">
        <is>
          <t xml:space="preserve">SPE7L126T478H</t>
        </is>
      </c>
    </row>
    <row r="110">
      <c r="B110" s="0" t="inlineStr">
        <is>
          <t xml:space="preserve">45077e7031364a4f9cc45a9c51a89c78</t>
        </is>
      </c>
      <c r="C110" s="0" t="inlineStr">
        <is>
          <t xml:space="preserve">Combined Synopsis/Solicitation</t>
        </is>
      </c>
      <c r="D110" s="0" t="inlineStr">
        <is>
          <t xml:space="preserve">2026-05-04</t>
        </is>
      </c>
      <c r="E110" s="0" t="inlineStr">
        <is>
          <t xml:space="preserve">Other DoD</t>
        </is>
      </c>
      <c r="F110" s="0" t="inlineStr">
        <is>
          <t xml:space="preserve">marine_components_parts</t>
        </is>
      </c>
      <c r="G110" s="0" t="inlineStr">
        <is>
          <t xml:space="preserve">336612</t>
        </is>
      </c>
      <c r="H110" s="0" t="inlineStr">
        <is>
          <t xml:space="preserve">20</t>
        </is>
      </c>
      <c r="I110" s="0" t="inlineStr">
        <is>
          <t xml:space="preserve">20--DOOR,METAL,MARINE S</t>
        </is>
      </c>
      <c r="J110" s="0" t="inlineStr">
        <is>
          <t xml:space="preserve">SPE7M026T7738</t>
        </is>
      </c>
    </row>
    <row r="111">
      <c r="B111" s="0" t="inlineStr">
        <is>
          <t xml:space="preserve">80a3ec2384344597914f2891714261a8</t>
        </is>
      </c>
      <c r="C111" s="0" t="inlineStr">
        <is>
          <t xml:space="preserve">Combined Synopsis/Solicitation</t>
        </is>
      </c>
      <c r="D111" s="0" t="inlineStr">
        <is>
          <t xml:space="preserve">2026-05-07</t>
        </is>
      </c>
      <c r="E111" s="0" t="inlineStr">
        <is>
          <t xml:space="preserve">Other DoD</t>
        </is>
      </c>
      <c r="F111" s="0" t="inlineStr">
        <is>
          <t xml:space="preserve">marine_components_parts</t>
        </is>
      </c>
      <c r="G111" s="0" t="inlineStr">
        <is>
          <t xml:space="preserve">336611</t>
        </is>
      </c>
      <c r="H111" s="0" t="inlineStr">
        <is>
          <t xml:space="preserve">63</t>
        </is>
      </c>
      <c r="I111" s="0" t="inlineStr">
        <is>
          <t xml:space="preserve">63--TRANSMITTER,ENGINE</t>
        </is>
      </c>
      <c r="J111" s="0" t="inlineStr">
        <is>
          <t xml:space="preserve">SPE4A626T47Z0</t>
        </is>
      </c>
    </row>
    <row r="112">
      <c r="B112" s="0" t="inlineStr">
        <is>
          <t xml:space="preserve">626d52e72ab4409bb8b30fc640b2df39</t>
        </is>
      </c>
      <c r="C112" s="0" t="inlineStr">
        <is>
          <t xml:space="preserve">Sources Sought</t>
        </is>
      </c>
      <c r="D112" s="0" t="inlineStr">
        <is>
          <t xml:space="preserve">2026-05-04</t>
        </is>
      </c>
      <c r="E112" s="0" t="inlineStr">
        <is>
          <t xml:space="preserve">Navy/USMC</t>
        </is>
      </c>
      <c r="F112" s="0" t="inlineStr">
        <is>
          <t xml:space="preserve">ship_repair_maintenance</t>
        </is>
      </c>
      <c r="G112" s="0" t="inlineStr">
        <is>
          <t xml:space="preserve">336611</t>
        </is>
      </c>
      <c r="H112" s="0" t="inlineStr">
        <is>
          <t xml:space="preserve">J999</t>
        </is>
      </c>
      <c r="I112" s="0" t="inlineStr">
        <is>
          <t xml:space="preserve">USS MAKIN ISLAND (LHD 8) FY28 DSRA Sources Sought</t>
        </is>
      </c>
      <c r="J112" s="0" t="inlineStr">
        <is>
          <t xml:space="preserve">N00024-26-R-4421</t>
        </is>
      </c>
    </row>
    <row r="113">
      <c r="B113" s="0" t="inlineStr">
        <is>
          <t xml:space="preserve">0c26ff0542d14a5a9bb5e88bb744645a</t>
        </is>
      </c>
      <c r="C113" s="0" t="inlineStr">
        <is>
          <t xml:space="preserve">Combined Synopsis/Solicitation</t>
        </is>
      </c>
      <c r="D113" s="0" t="inlineStr">
        <is>
          <t xml:space="preserve">2026-05-05</t>
        </is>
      </c>
      <c r="E113" s="0" t="inlineStr">
        <is>
          <t xml:space="preserve">Other DoD</t>
        </is>
      </c>
      <c r="F113" s="0" t="inlineStr">
        <is>
          <t xml:space="preserve">marine_components_parts</t>
        </is>
      </c>
      <c r="G113" s="0" t="inlineStr">
        <is>
          <t xml:space="preserve">336611</t>
        </is>
      </c>
      <c r="H113" s="0" t="inlineStr">
        <is>
          <t xml:space="preserve">59</t>
        </is>
      </c>
      <c r="I113" s="0" t="inlineStr">
        <is>
          <t xml:space="preserve">59--PLUG ASSEMBLY</t>
        </is>
      </c>
      <c r="J113" s="0" t="inlineStr">
        <is>
          <t xml:space="preserve">SPE7M526T117E</t>
        </is>
      </c>
    </row>
    <row r="114">
      <c r="B114" s="0" t="inlineStr">
        <is>
          <t xml:space="preserve">5d3ea178bf8c496e8ebe8bcb2bcb47c2</t>
        </is>
      </c>
      <c r="C114" s="0" t="inlineStr">
        <is>
          <t xml:space="preserve">Combined Synopsis/Solicitation</t>
        </is>
      </c>
      <c r="D114" s="0" t="inlineStr">
        <is>
          <t xml:space="preserve">2026-05-07</t>
        </is>
      </c>
      <c r="E114" s="0" t="inlineStr">
        <is>
          <t xml:space="preserve">Other DoD</t>
        </is>
      </c>
      <c r="F114" s="0" t="inlineStr">
        <is>
          <t xml:space="preserve">marine_components_parts</t>
        </is>
      </c>
      <c r="G114" s="0" t="inlineStr">
        <is>
          <t xml:space="preserve">336611</t>
        </is>
      </c>
      <c r="H114" s="0" t="inlineStr">
        <is>
          <t xml:space="preserve">48</t>
        </is>
      </c>
      <c r="I114" s="0" t="inlineStr">
        <is>
          <t xml:space="preserve">48--DISK,VALVE</t>
        </is>
      </c>
      <c r="J114" s="0" t="inlineStr">
        <is>
          <t xml:space="preserve">SPE7MC26T9775</t>
        </is>
      </c>
    </row>
    <row r="115">
      <c r="B115" s="0" t="inlineStr">
        <is>
          <t xml:space="preserve">0e85a8432ce24376bbb3193d0f3af04d</t>
        </is>
      </c>
      <c r="C115" s="0" t="inlineStr">
        <is>
          <t xml:space="preserve">Combined Synopsis/Solicitation</t>
        </is>
      </c>
      <c r="D115" s="0" t="inlineStr">
        <is>
          <t xml:space="preserve">2026-05-12</t>
        </is>
      </c>
      <c r="E115" s="0" t="inlineStr">
        <is>
          <t xml:space="preserve">Army</t>
        </is>
      </c>
      <c r="F115" s="0" t="inlineStr">
        <is>
          <t xml:space="preserve">other</t>
        </is>
      </c>
      <c r="G115" s="0" t="inlineStr">
        <is>
          <t xml:space="preserve">336611</t>
        </is>
      </c>
      <c r="H115" s="0" t="inlineStr">
        <is>
          <t xml:space="preserve">N020</t>
        </is>
      </c>
      <c r="I115" s="0" t="inlineStr">
        <is>
          <t xml:space="preserve">Marine Vessel Electronics Upgrade - Blue Force Tracking System</t>
        </is>
      </c>
      <c r="J115" s="0" t="inlineStr">
        <is>
          <t xml:space="preserve">W911S226U3216</t>
        </is>
      </c>
    </row>
    <row r="116">
      <c r="B116" s="0" t="inlineStr">
        <is>
          <t xml:space="preserve">e036b17827c64769ba0e9e87fe34c27f</t>
        </is>
      </c>
      <c r="C116" s="0" t="inlineStr">
        <is>
          <t xml:space="preserve">Solicitation</t>
        </is>
      </c>
      <c r="D116" s="0" t="inlineStr">
        <is>
          <t xml:space="preserve">2026-05-15</t>
        </is>
      </c>
      <c r="E116" s="0" t="inlineStr">
        <is>
          <t xml:space="preserve">Navy/USMC</t>
        </is>
      </c>
      <c r="F116" s="0" t="inlineStr">
        <is>
          <t xml:space="preserve">ship_repair_maintenance</t>
        </is>
      </c>
      <c r="G116" s="0" t="inlineStr">
        <is>
          <t xml:space="preserve">336611</t>
        </is>
      </c>
      <c r="H116" s="0" t="inlineStr">
        <is>
          <t xml:space="preserve">J999</t>
        </is>
      </c>
      <c r="I116" s="0" t="inlineStr">
        <is>
          <t xml:space="preserve">USS BOXER (LHD 4) FY27 Selected Restricted Availability (SRA) Request for Proposal (RFP)</t>
        </is>
      </c>
      <c r="J116" s="0" t="inlineStr">
        <is>
          <t xml:space="preserve">N0002426R4428</t>
        </is>
      </c>
    </row>
    <row r="117">
      <c r="B117" s="0" t="inlineStr">
        <is>
          <t xml:space="preserve">b5433e39284a4036abafaf6c411e2e79</t>
        </is>
      </c>
      <c r="C117" s="0" t="inlineStr">
        <is>
          <t xml:space="preserve">Solicitation</t>
        </is>
      </c>
      <c r="D117" s="0" t="inlineStr">
        <is>
          <t xml:space="preserve">2026-05-08</t>
        </is>
      </c>
      <c r="E117" s="0" t="inlineStr">
        <is>
          <t xml:space="preserve">Navy/USMC</t>
        </is>
      </c>
      <c r="F117" s="0" t="inlineStr">
        <is>
          <t xml:space="preserve">ship_repair_maintenance</t>
        </is>
      </c>
      <c r="G117" s="0" t="inlineStr">
        <is>
          <t xml:space="preserve">336611</t>
        </is>
      </c>
      <c r="H117" s="0" t="inlineStr">
        <is>
          <t xml:space="preserve">J999</t>
        </is>
      </c>
      <c r="I117" s="0" t="inlineStr">
        <is>
          <t xml:space="preserve">USNS MERCY (T-AH 19) FY27 Mid-Term Availability</t>
        </is>
      </c>
      <c r="J117" s="0" t="inlineStr">
        <is>
          <t xml:space="preserve">N3220526R6004</t>
        </is>
      </c>
    </row>
    <row r="118">
      <c r="B118" s="0" t="inlineStr">
        <is>
          <t xml:space="preserve">0bf9996224764313af2acb3cfc3c2a7c</t>
        </is>
      </c>
      <c r="C118" s="0" t="inlineStr">
        <is>
          <t xml:space="preserve">Solicitation</t>
        </is>
      </c>
      <c r="D118" s="0" t="inlineStr">
        <is>
          <t xml:space="preserve">2026-05-13</t>
        </is>
      </c>
      <c r="E118" s="0" t="inlineStr">
        <is>
          <t xml:space="preserve">Navy/USMC</t>
        </is>
      </c>
      <c r="F118" s="0" t="inlineStr">
        <is>
          <t xml:space="preserve">ship_repair_maintenance</t>
        </is>
      </c>
      <c r="G118" s="0" t="inlineStr">
        <is>
          <t xml:space="preserve">336611</t>
        </is>
      </c>
      <c r="H118" s="0" t="inlineStr">
        <is>
          <t xml:space="preserve">1905</t>
        </is>
      </c>
      <c r="I118" s="0" t="inlineStr">
        <is>
          <t xml:space="preserve">LHA 8 Fitting Out Availability (FOA) / Post Shakedown Availability (PSA)</t>
        </is>
      </c>
      <c r="J118" s="0" t="inlineStr">
        <is>
          <t xml:space="preserve">N0002426R2419</t>
        </is>
      </c>
    </row>
    <row r="119">
      <c r="B119" s="0" t="inlineStr">
        <is>
          <t xml:space="preserve">ad6e183f54984e60a517de4716b64688</t>
        </is>
      </c>
      <c r="C119" s="0" t="inlineStr">
        <is>
          <t xml:space="preserve">Combined Synopsis/Solicitation</t>
        </is>
      </c>
      <c r="D119" s="0" t="inlineStr">
        <is>
          <t xml:space="preserve">2026-05-14</t>
        </is>
      </c>
      <c r="E119" s="0" t="inlineStr">
        <is>
          <t xml:space="preserve">Navy/USMC</t>
        </is>
      </c>
      <c r="F119" s="0" t="inlineStr">
        <is>
          <t xml:space="preserve">marine_components_parts</t>
        </is>
      </c>
      <c r="G119" s="0" t="inlineStr">
        <is>
          <t xml:space="preserve">336611</t>
        </is>
      </c>
      <c r="H119" s="0" t="inlineStr">
        <is>
          <t xml:space="preserve">2010</t>
        </is>
      </c>
      <c r="I119" s="0" t="inlineStr">
        <is>
          <t xml:space="preserve">Main Condenser and Air Injector Parts</t>
        </is>
      </c>
      <c r="J119" s="0" t="inlineStr">
        <is>
          <t xml:space="preserve">N5005426Q0130</t>
        </is>
      </c>
    </row>
    <row r="120">
      <c r="B120" s="0" t="inlineStr">
        <is>
          <t xml:space="preserve">9fbae8477e854979848470544503edb7</t>
        </is>
      </c>
      <c r="C120" s="0" t="inlineStr">
        <is>
          <t xml:space="preserve">Combined Synopsis/Solicitation</t>
        </is>
      </c>
      <c r="D120" s="0" t="inlineStr">
        <is>
          <t xml:space="preserve">2026-05-11</t>
        </is>
      </c>
      <c r="E120" s="0" t="inlineStr">
        <is>
          <t xml:space="preserve">Other DoD</t>
        </is>
      </c>
      <c r="F120" s="0" t="inlineStr">
        <is>
          <t xml:space="preserve">other</t>
        </is>
      </c>
      <c r="G120" s="0" t="inlineStr">
        <is>
          <t xml:space="preserve">336611</t>
        </is>
      </c>
      <c r="H120" s="0" t="inlineStr">
        <is>
          <t xml:space="preserve">69</t>
        </is>
      </c>
      <c r="I120" s="0" t="inlineStr">
        <is>
          <t xml:space="preserve">69--MODIFICATION KIT,TR</t>
        </is>
      </c>
      <c r="J120" s="0" t="inlineStr">
        <is>
          <t xml:space="preserve">SPE8E926T2498</t>
        </is>
      </c>
    </row>
    <row r="121">
      <c r="B121" s="0" t="inlineStr">
        <is>
          <t xml:space="preserve">4d078649d312408496d625add3b485d0</t>
        </is>
      </c>
      <c r="C121" s="0" t="inlineStr">
        <is>
          <t xml:space="preserve">Combined Synopsis/Solicitation</t>
        </is>
      </c>
      <c r="D121" s="0" t="inlineStr">
        <is>
          <t xml:space="preserve">2026-05-11</t>
        </is>
      </c>
      <c r="E121" s="0" t="inlineStr">
        <is>
          <t xml:space="preserve">Other DoD</t>
        </is>
      </c>
      <c r="F121" s="0" t="inlineStr">
        <is>
          <t xml:space="preserve">marine_components_parts</t>
        </is>
      </c>
      <c r="G121" s="0" t="inlineStr">
        <is>
          <t xml:space="preserve">336611</t>
        </is>
      </c>
      <c r="H121" s="0" t="inlineStr">
        <is>
          <t xml:space="preserve">20</t>
        </is>
      </c>
      <c r="I121" s="0" t="inlineStr">
        <is>
          <t xml:space="preserve">20--ACCUMULATOR,PNEUMAT</t>
        </is>
      </c>
      <c r="J121" s="0" t="inlineStr">
        <is>
          <t xml:space="preserve">SPE7M526T162L</t>
        </is>
      </c>
    </row>
    <row r="122">
      <c r="B122" s="0" t="inlineStr">
        <is>
          <t xml:space="preserve">0a3880ef75cd472e9dad78dfbd0f5ebf</t>
        </is>
      </c>
      <c r="C122" s="0" t="inlineStr">
        <is>
          <t xml:space="preserve">Combined Synopsis/Solicitation</t>
        </is>
      </c>
      <c r="D122" s="0" t="inlineStr">
        <is>
          <t xml:space="preserve">2026-05-11</t>
        </is>
      </c>
      <c r="E122" s="0" t="inlineStr">
        <is>
          <t xml:space="preserve">Other DoD</t>
        </is>
      </c>
      <c r="F122" s="0" t="inlineStr">
        <is>
          <t xml:space="preserve">marine_components_parts</t>
        </is>
      </c>
      <c r="G122" s="0" t="inlineStr">
        <is>
          <t xml:space="preserve">336611</t>
        </is>
      </c>
      <c r="H122" s="0" t="inlineStr">
        <is>
          <t xml:space="preserve">48</t>
        </is>
      </c>
      <c r="I122" s="0" t="inlineStr">
        <is>
          <t xml:space="preserve">48--VALVE,BUTTERFLY</t>
        </is>
      </c>
      <c r="J122" s="0" t="inlineStr">
        <is>
          <t xml:space="preserve">SPE7MC26T001Z</t>
        </is>
      </c>
    </row>
    <row r="123">
      <c r="B123" s="0" t="inlineStr">
        <is>
          <t xml:space="preserve">39745d74f93341bda1fd882de38a60c1</t>
        </is>
      </c>
      <c r="C123" s="0" t="inlineStr">
        <is>
          <t xml:space="preserve">Combined Synopsis/Solicitation</t>
        </is>
      </c>
      <c r="D123" s="0" t="inlineStr">
        <is>
          <t xml:space="preserve">2026-05-11</t>
        </is>
      </c>
      <c r="E123" s="0" t="inlineStr">
        <is>
          <t xml:space="preserve">Other DoD</t>
        </is>
      </c>
      <c r="F123" s="0" t="inlineStr">
        <is>
          <t xml:space="preserve">marine_components_parts</t>
        </is>
      </c>
      <c r="G123" s="0" t="inlineStr">
        <is>
          <t xml:space="preserve">336612</t>
        </is>
      </c>
      <c r="H123" s="0" t="inlineStr">
        <is>
          <t xml:space="preserve">20</t>
        </is>
      </c>
      <c r="I123" s="0" t="inlineStr">
        <is>
          <t xml:space="preserve">20--SEAL ASSEMBLY,SHAFT</t>
        </is>
      </c>
      <c r="J123" s="0" t="inlineStr">
        <is>
          <t xml:space="preserve">SPE7M426T099P</t>
        </is>
      </c>
    </row>
    <row r="124">
      <c r="B124" s="0" t="inlineStr">
        <is>
          <t xml:space="preserve">5962381af08b4eceb8c32cd1c1c22c9b</t>
        </is>
      </c>
      <c r="C124" s="0" t="inlineStr">
        <is>
          <t xml:space="preserve">Combined Synopsis/Solicitation</t>
        </is>
      </c>
      <c r="D124" s="0" t="inlineStr">
        <is>
          <t xml:space="preserve">2026-05-14</t>
        </is>
      </c>
      <c r="E124" s="0" t="inlineStr">
        <is>
          <t xml:space="preserve">Other DoD</t>
        </is>
      </c>
      <c r="F124" s="0" t="inlineStr">
        <is>
          <t xml:space="preserve">marine_components_parts</t>
        </is>
      </c>
      <c r="G124" s="0" t="inlineStr">
        <is>
          <t xml:space="preserve">336611</t>
        </is>
      </c>
      <c r="H124" s="0" t="inlineStr">
        <is>
          <t xml:space="preserve">63</t>
        </is>
      </c>
      <c r="I124" s="0" t="inlineStr">
        <is>
          <t xml:space="preserve">63--INDICATOR,ENGINE OR</t>
        </is>
      </c>
      <c r="J124" s="0" t="inlineStr">
        <is>
          <t xml:space="preserve">SPE4A626T57A5</t>
        </is>
      </c>
    </row>
    <row r="125">
      <c r="B125" s="0" t="inlineStr">
        <is>
          <t xml:space="preserve">922b63f180194ce097b1bcf6af586f63</t>
        </is>
      </c>
      <c r="C125" s="0" t="inlineStr">
        <is>
          <t xml:space="preserve">Combined Synopsis/Solicitation</t>
        </is>
      </c>
      <c r="D125" s="0" t="inlineStr">
        <is>
          <t xml:space="preserve">2026-04-29</t>
        </is>
      </c>
      <c r="E125" s="0" t="inlineStr">
        <is>
          <t xml:space="preserve">Army</t>
        </is>
      </c>
      <c r="F125" s="0" t="inlineStr">
        <is>
          <t xml:space="preserve">other</t>
        </is>
      </c>
      <c r="G125" s="0" t="inlineStr">
        <is>
          <t xml:space="preserve">336611</t>
        </is>
      </c>
      <c r="H125" s="0" t="inlineStr">
        <is>
          <t xml:space="preserve">1935</t>
        </is>
      </c>
      <c r="I125" s="0" t="inlineStr">
        <is>
          <t xml:space="preserve">3066 NAO Derrickboat Elizabeth Replacement</t>
        </is>
      </c>
      <c r="J125" s="0" t="inlineStr">
        <is>
          <t xml:space="preserve">W912BU26BA015</t>
        </is>
      </c>
    </row>
    <row r="126">
      <c r="B126" s="0" t="inlineStr">
        <is>
          <t xml:space="preserve">b3eac1ec6ff84172936be6a1472640bc</t>
        </is>
      </c>
      <c r="C126" s="0" t="inlineStr">
        <is>
          <t xml:space="preserve">Combined Synopsis/Solicitation</t>
        </is>
      </c>
      <c r="D126" s="0" t="inlineStr">
        <is>
          <t xml:space="preserve">2026-05-13</t>
        </is>
      </c>
      <c r="E126" s="0" t="inlineStr">
        <is>
          <t xml:space="preserve">Other DoD</t>
        </is>
      </c>
      <c r="F126" s="0" t="inlineStr">
        <is>
          <t xml:space="preserve">other</t>
        </is>
      </c>
      <c r="G126" s="0" t="inlineStr">
        <is>
          <t xml:space="preserve">336611</t>
        </is>
      </c>
      <c r="H126" s="0" t="inlineStr">
        <is>
          <t xml:space="preserve">69</t>
        </is>
      </c>
      <c r="I126" s="0" t="inlineStr">
        <is>
          <t xml:space="preserve">69--MODIFICATION KIT,TR</t>
        </is>
      </c>
      <c r="J126" s="0" t="inlineStr">
        <is>
          <t xml:space="preserve">SPE8E926T2559</t>
        </is>
      </c>
    </row>
    <row r="127">
      <c r="B127" s="0" t="inlineStr">
        <is>
          <t xml:space="preserve">2daa02dc57d64e9b8a74856b67aaddec</t>
        </is>
      </c>
      <c r="C127" s="0" t="inlineStr">
        <is>
          <t xml:space="preserve">Solicitation</t>
        </is>
      </c>
      <c r="D127" s="0" t="inlineStr">
        <is>
          <t xml:space="preserve">2026-05-19</t>
        </is>
      </c>
      <c r="E127" s="0" t="inlineStr">
        <is>
          <t xml:space="preserve">Navy/USMC</t>
        </is>
      </c>
      <c r="F127" s="0" t="inlineStr">
        <is>
          <t xml:space="preserve">services_rdte</t>
        </is>
      </c>
      <c r="G127" s="0" t="inlineStr">
        <is>
          <t xml:space="preserve">336611</t>
        </is>
      </c>
      <c r="H127" s="0" t="inlineStr">
        <is>
          <t xml:space="preserve">R425</t>
        </is>
      </c>
      <c r="I127" s="0" t="inlineStr">
        <is>
          <t xml:space="preserve">Cyber MAC</t>
        </is>
      </c>
      <c r="J127" s="0" t="inlineStr">
        <is>
          <t xml:space="preserve">N6449826Q5129</t>
        </is>
      </c>
    </row>
    <row r="128">
      <c r="B128" s="0" t="inlineStr">
        <is>
          <t xml:space="preserve">36b976460c3f408a97f12b8ecd7fcece</t>
        </is>
      </c>
      <c r="C128" s="0" t="inlineStr">
        <is>
          <t xml:space="preserve">Solicitation</t>
        </is>
      </c>
      <c r="D128" s="0" t="inlineStr">
        <is>
          <t xml:space="preserve">2026-04-28</t>
        </is>
      </c>
      <c r="E128" s="0" t="inlineStr">
        <is>
          <t xml:space="preserve">Navy/USMC</t>
        </is>
      </c>
      <c r="F128" s="0" t="inlineStr">
        <is>
          <t xml:space="preserve">ship_repair_maintenance</t>
        </is>
      </c>
      <c r="G128" s="0" t="inlineStr">
        <is>
          <t xml:space="preserve">336611</t>
        </is>
      </c>
      <c r="H128" s="0" t="inlineStr">
        <is>
          <t xml:space="preserve">J999</t>
        </is>
      </c>
      <c r="I128" s="0" t="inlineStr">
        <is>
          <t xml:space="preserve">USNS GRASP FY27 Regular Overhaul and Drydocking</t>
        </is>
      </c>
      <c r="J128" s="0" t="inlineStr">
        <is>
          <t xml:space="preserve">N3220526R6039</t>
        </is>
      </c>
    </row>
    <row r="129">
      <c r="B129" s="0" t="inlineStr">
        <is>
          <t xml:space="preserve">92a64ba2261344d2babe6852c56f01af</t>
        </is>
      </c>
      <c r="C129" s="0" t="inlineStr">
        <is>
          <t xml:space="preserve">Sources Sought</t>
        </is>
      </c>
      <c r="D129" s="0" t="inlineStr">
        <is>
          <t xml:space="preserve">2026-05-20</t>
        </is>
      </c>
      <c r="E129" s="0" t="inlineStr">
        <is>
          <t xml:space="preserve">Navy/USMC</t>
        </is>
      </c>
      <c r="F129" s="0" t="inlineStr">
        <is>
          <t xml:space="preserve">other</t>
        </is>
      </c>
      <c r="G129" s="0" t="inlineStr">
        <is>
          <t xml:space="preserve">336611</t>
        </is>
      </c>
      <c r="H129" s="0" t="inlineStr">
        <is>
          <t xml:space="preserve">2825</t>
        </is>
      </c>
      <c r="I129" s="0" t="inlineStr">
        <is>
          <t xml:space="preserve">Main Feed Pump Parts</t>
        </is>
      </c>
      <c r="J129" s="0" t="inlineStr">
        <is>
          <t xml:space="preserve">N5005426Q0133</t>
        </is>
      </c>
    </row>
    <row r="130">
      <c r="B130" s="0" t="inlineStr">
        <is>
          <t xml:space="preserve">31e1a264c0ca4ba884aa22b7f6639a1b</t>
        </is>
      </c>
      <c r="C130" s="0" t="inlineStr">
        <is>
          <t xml:space="preserve">Special Notice</t>
        </is>
      </c>
      <c r="D130" s="0" t="inlineStr">
        <is>
          <t xml:space="preserve">2026-05-13</t>
        </is>
      </c>
      <c r="E130" s="0" t="inlineStr">
        <is>
          <t xml:space="preserve">Army</t>
        </is>
      </c>
      <c r="F130" s="0" t="inlineStr">
        <is>
          <t xml:space="preserve">ship_repair_maintenance</t>
        </is>
      </c>
      <c r="G130" s="0" t="inlineStr">
        <is>
          <t xml:space="preserve">336611</t>
        </is>
      </c>
      <c r="H130" s="0" t="inlineStr">
        <is>
          <t xml:space="preserve">J999</t>
        </is>
      </c>
      <c r="I130" s="0" t="inlineStr">
        <is>
          <t xml:space="preserve">Essayons CPP Hub Blind Bolt Modification</t>
        </is>
      </c>
      <c r="J130" s="0" t="inlineStr">
        <is>
          <t xml:space="preserve">W9127N26Q1BQO</t>
        </is>
      </c>
    </row>
    <row r="131">
      <c r="B131" s="0" t="inlineStr">
        <is>
          <t xml:space="preserve">f63cc43c662b4eb6ae8656b9d39aff2d</t>
        </is>
      </c>
      <c r="C131" s="0" t="inlineStr">
        <is>
          <t xml:space="preserve">Combined Synopsis/Solicitation</t>
        </is>
      </c>
      <c r="D131" s="0" t="inlineStr">
        <is>
          <t xml:space="preserve">2026-05-17</t>
        </is>
      </c>
      <c r="E131" s="0" t="inlineStr">
        <is>
          <t xml:space="preserve">Other DoD</t>
        </is>
      </c>
      <c r="F131" s="0" t="inlineStr">
        <is>
          <t xml:space="preserve">marine_components_parts</t>
        </is>
      </c>
      <c r="G131" s="0" t="inlineStr">
        <is>
          <t xml:space="preserve">336612</t>
        </is>
      </c>
      <c r="H131" s="0" t="inlineStr">
        <is>
          <t xml:space="preserve">20</t>
        </is>
      </c>
      <c r="I131" s="0" t="inlineStr">
        <is>
          <t xml:space="preserve">20--COVER,LIGHT,MARINE</t>
        </is>
      </c>
      <c r="J131" s="0" t="inlineStr">
        <is>
          <t xml:space="preserve">SPE7L126T567E</t>
        </is>
      </c>
    </row>
    <row r="132">
      <c r="B132" s="0" t="inlineStr">
        <is>
          <t xml:space="preserve">2de64bb95db742e2ae845ca7509ef0fe</t>
        </is>
      </c>
      <c r="C132" s="0" t="inlineStr">
        <is>
          <t xml:space="preserve">Combined Synopsis/Solicitation</t>
        </is>
      </c>
      <c r="D132" s="0" t="inlineStr">
        <is>
          <t xml:space="preserve">2026-05-17</t>
        </is>
      </c>
      <c r="E132" s="0" t="inlineStr">
        <is>
          <t xml:space="preserve">Other DoD</t>
        </is>
      </c>
      <c r="F132" s="0" t="inlineStr">
        <is>
          <t xml:space="preserve">marine_components_parts</t>
        </is>
      </c>
      <c r="G132" s="0" t="inlineStr">
        <is>
          <t xml:space="preserve">336612</t>
        </is>
      </c>
      <c r="H132" s="0" t="inlineStr">
        <is>
          <t xml:space="preserve">20</t>
        </is>
      </c>
      <c r="I132" s="0" t="inlineStr">
        <is>
          <t xml:space="preserve">20--HINGE ASSEMBLY,MARI</t>
        </is>
      </c>
      <c r="J132" s="0" t="inlineStr">
        <is>
          <t xml:space="preserve">SPE7M426T116F</t>
        </is>
      </c>
    </row>
    <row r="133">
      <c r="B133" s="0" t="inlineStr">
        <is>
          <t xml:space="preserve">edfbf00b2ac24ee88ebbc9456ed5b6ff</t>
        </is>
      </c>
      <c r="C133" s="0" t="inlineStr">
        <is>
          <t xml:space="preserve">Solicitation</t>
        </is>
      </c>
      <c r="D133" s="0" t="inlineStr">
        <is>
          <t xml:space="preserve">2026-05-18</t>
        </is>
      </c>
      <c r="E133" s="0" t="inlineStr">
        <is>
          <t xml:space="preserve">Navy/USMC</t>
        </is>
      </c>
      <c r="F133" s="0" t="inlineStr">
        <is>
          <t xml:space="preserve">other</t>
        </is>
      </c>
      <c r="G133" s="0" t="inlineStr">
        <is>
          <t xml:space="preserve">336611</t>
        </is>
      </c>
      <c r="H133" s="0" t="inlineStr">
        <is>
          <t xml:space="preserve">N066</t>
        </is>
      </c>
      <c r="I133" s="0" t="inlineStr">
        <is>
          <t xml:space="preserve">Alteration and Installation Support Services for SE and ALRE at Shipboard and Shore Site Locations</t>
        </is>
      </c>
      <c r="J133" s="0" t="inlineStr">
        <is>
          <t xml:space="preserve">N6833526R1010</t>
        </is>
      </c>
    </row>
    <row r="134">
      <c r="B134" s="0" t="inlineStr">
        <is>
          <t xml:space="preserve">b86d1a6ec361446a88c1c05be5d48ea0</t>
        </is>
      </c>
      <c r="C134" s="0" t="inlineStr">
        <is>
          <t xml:space="preserve">Combined Synopsis/Solicitation</t>
        </is>
      </c>
      <c r="D134" s="0" t="inlineStr">
        <is>
          <t xml:space="preserve">2026-05-22</t>
        </is>
      </c>
      <c r="E134" s="0" t="inlineStr">
        <is>
          <t xml:space="preserve">Navy/USMC</t>
        </is>
      </c>
      <c r="F134" s="0" t="inlineStr">
        <is>
          <t xml:space="preserve">ship_repair_maintenance</t>
        </is>
      </c>
      <c r="G134" s="0" t="inlineStr">
        <is>
          <t xml:space="preserve">336611</t>
        </is>
      </c>
      <c r="H134" s="0" t="inlineStr">
        <is>
          <t xml:space="preserve">J030</t>
        </is>
      </c>
      <c r="I134" s="0" t="inlineStr">
        <is>
          <t xml:space="preserve">Propeller Cap Services</t>
        </is>
      </c>
      <c r="J134" s="0" t="inlineStr">
        <is>
          <t xml:space="preserve">N6449826Q5157</t>
        </is>
      </c>
    </row>
    <row r="135">
      <c r="B135" s="0" t="inlineStr">
        <is>
          <t xml:space="preserve">d20ebc5e518244fd98da95104138ebcc</t>
        </is>
      </c>
      <c r="C135" s="0" t="inlineStr">
        <is>
          <t xml:space="preserve">Special Notice</t>
        </is>
      </c>
      <c r="D135" s="0" t="inlineStr">
        <is>
          <t xml:space="preserve">2026-05-28</t>
        </is>
      </c>
      <c r="E135" s="0" t="inlineStr">
        <is>
          <t xml:space="preserve">Navy/USMC</t>
        </is>
      </c>
      <c r="F135" s="0" t="inlineStr">
        <is>
          <t xml:space="preserve">other</t>
        </is>
      </c>
      <c r="G135" s="0" t="inlineStr">
        <is>
          <t xml:space="preserve">336611</t>
        </is>
      </c>
      <c r="I135" s="0" t="inlineStr">
        <is>
          <t xml:space="preserve">USS SAVANNAH FY26 DSRA RCC 4N</t>
        </is>
      </c>
    </row>
    <row r="136">
      <c r="B136" s="0" t="inlineStr">
        <is>
          <t xml:space="preserve">28e94582b02642db8a51b66597c05e4b</t>
        </is>
      </c>
      <c r="C136" s="0" t="inlineStr">
        <is>
          <t xml:space="preserve">Combined Synopsis/Solicitation</t>
        </is>
      </c>
      <c r="D136" s="0" t="inlineStr">
        <is>
          <t xml:space="preserve">2026-04-20</t>
        </is>
      </c>
      <c r="E136" s="0" t="inlineStr">
        <is>
          <t xml:space="preserve">Navy/USMC</t>
        </is>
      </c>
      <c r="F136" s="0" t="inlineStr">
        <is>
          <t xml:space="preserve">ship_repair_maintenance</t>
        </is>
      </c>
      <c r="G136" s="0" t="inlineStr">
        <is>
          <t xml:space="preserve">336611</t>
        </is>
      </c>
      <c r="H136" s="0" t="inlineStr">
        <is>
          <t xml:space="preserve">J020</t>
        </is>
      </c>
      <c r="I136" s="0" t="inlineStr">
        <is>
          <t xml:space="preserve">Restore and upgrade the Secondary Propulsion Unit Rotary Deployment Mechanism (RDM)</t>
        </is>
      </c>
      <c r="J136" s="0" t="inlineStr">
        <is>
          <t xml:space="preserve">N3904026Q0003</t>
        </is>
      </c>
    </row>
    <row r="137">
      <c r="B137" s="0" t="inlineStr">
        <is>
          <t xml:space="preserve">e6c2fa3b6a3b46588a0b5fd962cdbfea</t>
        </is>
      </c>
      <c r="C137" s="0" t="inlineStr">
        <is>
          <t xml:space="preserve">Presolicitation</t>
        </is>
      </c>
      <c r="D137" s="0" t="inlineStr">
        <is>
          <t xml:space="preserve">2026-05-07</t>
        </is>
      </c>
      <c r="E137" s="0" t="inlineStr">
        <is>
          <t xml:space="preserve">Coast Guard</t>
        </is>
      </c>
      <c r="F137" s="0" t="inlineStr">
        <is>
          <t xml:space="preserve">vessel_procurement</t>
        </is>
      </c>
      <c r="G137" s="0" t="inlineStr">
        <is>
          <t xml:space="preserve">336611</t>
        </is>
      </c>
      <c r="H137" s="0" t="inlineStr">
        <is>
          <t xml:space="preserve">1925</t>
        </is>
      </c>
      <c r="I137" s="0" t="inlineStr">
        <is>
          <t xml:space="preserve">Pre-Solicitation Notice - Homeland Security Cutter - Light (HSC-L)</t>
        </is>
      </c>
      <c r="J137" s="0" t="inlineStr">
        <is>
          <t xml:space="preserve">70Z02326R93280004</t>
        </is>
      </c>
    </row>
    <row r="138">
      <c r="B138" s="0" t="inlineStr">
        <is>
          <t xml:space="preserve">2d0814ee7bed4947a8d6992030a979e2</t>
        </is>
      </c>
      <c r="C138" s="0" t="inlineStr">
        <is>
          <t xml:space="preserve">Sources Sought</t>
        </is>
      </c>
      <c r="D138" s="0" t="inlineStr">
        <is>
          <t xml:space="preserve">2026-05-14</t>
        </is>
      </c>
      <c r="E138" s="0" t="inlineStr">
        <is>
          <t xml:space="preserve">Navy/USMC</t>
        </is>
      </c>
      <c r="F138" s="0" t="inlineStr">
        <is>
          <t xml:space="preserve">ship_repair_maintenance</t>
        </is>
      </c>
      <c r="G138" s="0" t="inlineStr">
        <is>
          <t xml:space="preserve">336611</t>
        </is>
      </c>
      <c r="H138" s="0" t="inlineStr">
        <is>
          <t xml:space="preserve">J998</t>
        </is>
      </c>
      <c r="I138" s="0" t="inlineStr">
        <is>
          <t xml:space="preserve">USS WICHITA (LCS 13) FY27 DSRA</t>
        </is>
      </c>
      <c r="J138" s="0" t="inlineStr">
        <is>
          <t xml:space="preserve">N0002426R4415</t>
        </is>
      </c>
    </row>
    <row r="139">
      <c r="B139" s="0" t="inlineStr">
        <is>
          <t xml:space="preserve">0c236904d47346b7be617406fecf8907</t>
        </is>
      </c>
      <c r="C139" s="0" t="inlineStr">
        <is>
          <t xml:space="preserve">Sources Sought</t>
        </is>
      </c>
      <c r="D139" s="0" t="inlineStr">
        <is>
          <t xml:space="preserve">2026-05-14</t>
        </is>
      </c>
      <c r="E139" s="0" t="inlineStr">
        <is>
          <t xml:space="preserve">Coast Guard</t>
        </is>
      </c>
      <c r="F139" s="0" t="inlineStr">
        <is>
          <t xml:space="preserve">ship_repair_maintenance</t>
        </is>
      </c>
      <c r="G139" s="0" t="inlineStr">
        <is>
          <t xml:space="preserve">336611</t>
        </is>
      </c>
      <c r="H139" s="0" t="inlineStr">
        <is>
          <t xml:space="preserve">J998</t>
        </is>
      </c>
      <c r="I139" s="0" t="inlineStr">
        <is>
          <t xml:space="preserve">DOCK-SIDE (DS): CGC BEAR AA FY27</t>
        </is>
      </c>
      <c r="J139" s="0" t="inlineStr">
        <is>
          <t xml:space="preserve">70Z08026SCGCBEARAA</t>
        </is>
      </c>
    </row>
    <row r="140">
      <c r="B140" s="0" t="inlineStr">
        <is>
          <t xml:space="preserve">54a6e04790564ee0864b3b7c9ba8e68e</t>
        </is>
      </c>
      <c r="C140" s="0" t="inlineStr">
        <is>
          <t xml:space="preserve">Combined Synopsis/Solicitation</t>
        </is>
      </c>
      <c r="D140" s="0" t="inlineStr">
        <is>
          <t xml:space="preserve">2026-05-19</t>
        </is>
      </c>
      <c r="E140" s="0" t="inlineStr">
        <is>
          <t xml:space="preserve">Coast Guard</t>
        </is>
      </c>
      <c r="F140" s="0" t="inlineStr">
        <is>
          <t xml:space="preserve">ship_repair_maintenance</t>
        </is>
      </c>
      <c r="G140" s="0" t="inlineStr">
        <is>
          <t xml:space="preserve">336611</t>
        </is>
      </c>
      <c r="H140" s="0" t="inlineStr">
        <is>
          <t xml:space="preserve">J020</t>
        </is>
      </c>
      <c r="I140" s="0" t="inlineStr">
        <is>
          <t xml:space="preserve">52000QR260024183- CGC Escanaba 28VDC Rectifier</t>
        </is>
      </c>
      <c r="J140" s="0" t="inlineStr">
        <is>
          <t xml:space="preserve">52000QR260024183</t>
        </is>
      </c>
    </row>
    <row r="141">
      <c r="B141" s="0" t="inlineStr">
        <is>
          <t xml:space="preserve">ebed95f09a254d72963bd0e462cf134f</t>
        </is>
      </c>
      <c r="C141" s="0" t="inlineStr">
        <is>
          <t xml:space="preserve">Special Notice</t>
        </is>
      </c>
      <c r="D141" s="0" t="inlineStr">
        <is>
          <t xml:space="preserve">2026-05-22</t>
        </is>
      </c>
      <c r="E141" s="0" t="inlineStr">
        <is>
          <t xml:space="preserve">Civil/Other</t>
        </is>
      </c>
      <c r="F141" s="0" t="inlineStr">
        <is>
          <t xml:space="preserve">ship_repair_maintenance</t>
        </is>
      </c>
      <c r="G141" s="0" t="inlineStr">
        <is>
          <t xml:space="preserve">336611</t>
        </is>
      </c>
      <c r="H141" s="0" t="inlineStr">
        <is>
          <t xml:space="preserve">J020</t>
        </is>
      </c>
      <c r="I141" s="0" t="inlineStr">
        <is>
          <t xml:space="preserve">NOTICE OF INTENT TO SOLE SOURCE</t>
        </is>
      </c>
      <c r="J141" s="0" t="inlineStr">
        <is>
          <t xml:space="preserve">1333MK26Q0070</t>
        </is>
      </c>
    </row>
    <row r="142">
      <c r="B142" s="0" t="inlineStr">
        <is>
          <t xml:space="preserve">f46e9b6aeb1e41f790c687ea7c3f5f38</t>
        </is>
      </c>
      <c r="C142" s="0" t="inlineStr">
        <is>
          <t xml:space="preserve">Sources Sought</t>
        </is>
      </c>
      <c r="D142" s="0" t="inlineStr">
        <is>
          <t xml:space="preserve">2026-05-26</t>
        </is>
      </c>
      <c r="E142" s="0" t="inlineStr">
        <is>
          <t xml:space="preserve">Coast Guard</t>
        </is>
      </c>
      <c r="F142" s="0" t="inlineStr">
        <is>
          <t xml:space="preserve">ship_repair_maintenance</t>
        </is>
      </c>
      <c r="G142" s="0" t="inlineStr">
        <is>
          <t xml:space="preserve">336611</t>
        </is>
      </c>
      <c r="H142" s="0" t="inlineStr">
        <is>
          <t xml:space="preserve">J998</t>
        </is>
      </c>
      <c r="I142" s="0" t="inlineStr">
        <is>
          <t xml:space="preserve">USCG STA MARATHON (45616) FY26 DRYDOCK REPAIRS</t>
        </is>
      </c>
      <c r="J142" s="0" t="inlineStr">
        <is>
          <t xml:space="preserve">70Z04026SSBPL5265</t>
        </is>
      </c>
    </row>
    <row r="143">
      <c r="B143" s="0" t="inlineStr">
        <is>
          <t xml:space="preserve">1d75edee87ec4853b3ecf37354cf23ca</t>
        </is>
      </c>
      <c r="C143" s="0" t="inlineStr">
        <is>
          <t xml:space="preserve">Solicitation</t>
        </is>
      </c>
      <c r="D143" s="0" t="inlineStr">
        <is>
          <t xml:space="preserve">2026-05-28</t>
        </is>
      </c>
      <c r="E143" s="0" t="inlineStr">
        <is>
          <t xml:space="preserve">Navy/USMC</t>
        </is>
      </c>
      <c r="F143" s="0" t="inlineStr">
        <is>
          <t xml:space="preserve">ship_repair_maintenance</t>
        </is>
      </c>
      <c r="G143" s="0" t="inlineStr">
        <is>
          <t xml:space="preserve">336611</t>
        </is>
      </c>
      <c r="H143" s="0" t="inlineStr">
        <is>
          <t xml:space="preserve">J998</t>
        </is>
      </c>
      <c r="I143" s="0" t="inlineStr">
        <is>
          <t xml:space="preserve">TANK LEVEL INDICATOR ATTENDANCE</t>
        </is>
      </c>
      <c r="J143" s="0" t="inlineStr">
        <is>
          <t xml:space="preserve">N0040626Q0188</t>
        </is>
      </c>
    </row>
    <row r="144">
      <c r="B144" s="0" t="inlineStr">
        <is>
          <t xml:space="preserve">db0cecbefaf74cb4872dd1534b8e6fa9</t>
        </is>
      </c>
      <c r="C144" s="0" t="inlineStr">
        <is>
          <t xml:space="preserve">Solicitation</t>
        </is>
      </c>
      <c r="D144" s="0" t="inlineStr">
        <is>
          <t xml:space="preserve">2026-05-15</t>
        </is>
      </c>
      <c r="E144" s="0" t="inlineStr">
        <is>
          <t xml:space="preserve">Navy/USMC</t>
        </is>
      </c>
      <c r="F144" s="0" t="inlineStr">
        <is>
          <t xml:space="preserve">ship_repair_maintenance</t>
        </is>
      </c>
      <c r="G144" s="0" t="inlineStr">
        <is>
          <t xml:space="preserve">336611</t>
        </is>
      </c>
      <c r="H144" s="0" t="inlineStr">
        <is>
          <t xml:space="preserve">J999</t>
        </is>
      </c>
      <c r="I144" s="0" t="inlineStr">
        <is>
          <t xml:space="preserve">USS AMERICA (LHA 6) FY26 DSRA A00018 Redacted J&amp;A_RCC 116N</t>
        </is>
      </c>
      <c r="J144" s="0" t="inlineStr">
        <is>
          <t xml:space="preserve">N0002425C4404</t>
        </is>
      </c>
    </row>
    <row r="145">
      <c r="B145" s="0" t="inlineStr">
        <is>
          <t xml:space="preserve">9eaf8e12396b451fb42cf176960cabe7</t>
        </is>
      </c>
      <c r="C145" s="0" t="inlineStr">
        <is>
          <t xml:space="preserve">Solicitation</t>
        </is>
      </c>
      <c r="D145" s="0" t="inlineStr">
        <is>
          <t xml:space="preserve">2026-05-15</t>
        </is>
      </c>
      <c r="E145" s="0" t="inlineStr">
        <is>
          <t xml:space="preserve">Navy/USMC</t>
        </is>
      </c>
      <c r="F145" s="0" t="inlineStr">
        <is>
          <t xml:space="preserve">ship_repair_maintenance</t>
        </is>
      </c>
      <c r="G145" s="0" t="inlineStr">
        <is>
          <t xml:space="preserve">336611</t>
        </is>
      </c>
      <c r="H145" s="0" t="inlineStr">
        <is>
          <t xml:space="preserve">J999</t>
        </is>
      </c>
      <c r="I145" s="0" t="inlineStr">
        <is>
          <t xml:space="preserve">USS AMERICA (LHA 6) FY26 DSRA A00021 Redacted J&amp;A</t>
        </is>
      </c>
      <c r="J145" s="0" t="inlineStr">
        <is>
          <t xml:space="preserve">N0002425C4404_N55235260001</t>
        </is>
      </c>
    </row>
    <row r="146">
      <c r="B146" s="0" t="inlineStr">
        <is>
          <t xml:space="preserve">887323da44474b6983f77b11280e9969</t>
        </is>
      </c>
      <c r="C146" s="0" t="inlineStr">
        <is>
          <t xml:space="preserve">Solicitation</t>
        </is>
      </c>
      <c r="D146" s="0" t="inlineStr">
        <is>
          <t xml:space="preserve">2026-05-15</t>
        </is>
      </c>
      <c r="E146" s="0" t="inlineStr">
        <is>
          <t xml:space="preserve">Navy/USMC</t>
        </is>
      </c>
      <c r="F146" s="0" t="inlineStr">
        <is>
          <t xml:space="preserve">ship_repair_maintenance</t>
        </is>
      </c>
      <c r="G146" s="0" t="inlineStr">
        <is>
          <t xml:space="preserve">336611</t>
        </is>
      </c>
      <c r="H146" s="0" t="inlineStr">
        <is>
          <t xml:space="preserve">J999</t>
        </is>
      </c>
      <c r="I146" s="0" t="inlineStr">
        <is>
          <t xml:space="preserve">USS AMERICA (LHA 6) FY26 DSRA A00020 Redacted J&amp;A_RCC 259</t>
        </is>
      </c>
      <c r="J146" s="0" t="inlineStr">
        <is>
          <t xml:space="preserve">N0002425C4404_A00020</t>
        </is>
      </c>
    </row>
    <row r="147">
      <c r="B147" s="0" t="inlineStr">
        <is>
          <t xml:space="preserve">c5648b4cfb054d65a9fdd694c5291390</t>
        </is>
      </c>
      <c r="C147" s="0" t="inlineStr">
        <is>
          <t xml:space="preserve">Solicitation</t>
        </is>
      </c>
      <c r="D147" s="0" t="inlineStr">
        <is>
          <t xml:space="preserve">2026-05-18</t>
        </is>
      </c>
      <c r="E147" s="0" t="inlineStr">
        <is>
          <t xml:space="preserve">Navy/USMC</t>
        </is>
      </c>
      <c r="F147" s="0" t="inlineStr">
        <is>
          <t xml:space="preserve">ship_repair_maintenance</t>
        </is>
      </c>
      <c r="G147" s="0" t="inlineStr">
        <is>
          <t xml:space="preserve">336611</t>
        </is>
      </c>
      <c r="H147" s="0" t="inlineStr">
        <is>
          <t xml:space="preserve">J999</t>
        </is>
      </c>
      <c r="I147" s="0" t="inlineStr">
        <is>
          <t xml:space="preserve">USS AMERICA (LHA 6) FY26 DSRA A00018 Redacted J&amp;A_RCC 177N</t>
        </is>
      </c>
      <c r="J147" s="0" t="inlineStr">
        <is>
          <t xml:space="preserve">N0002425C4404_A00018</t>
        </is>
      </c>
    </row>
    <row r="148">
      <c r="B148" s="0" t="inlineStr">
        <is>
          <t xml:space="preserve">cab9739a58304d1487472ae3f35dc938</t>
        </is>
      </c>
      <c r="C148" s="0" t="inlineStr">
        <is>
          <t xml:space="preserve">Combined Synopsis/Solicitation</t>
        </is>
      </c>
      <c r="D148" s="0" t="inlineStr">
        <is>
          <t xml:space="preserve">2026-05-28</t>
        </is>
      </c>
      <c r="E148" s="0" t="inlineStr">
        <is>
          <t xml:space="preserve">Other DoD</t>
        </is>
      </c>
      <c r="F148" s="0" t="inlineStr">
        <is>
          <t xml:space="preserve">marine_components_parts</t>
        </is>
      </c>
      <c r="G148" s="0" t="inlineStr">
        <is>
          <t xml:space="preserve">336612</t>
        </is>
      </c>
      <c r="H148" s="0" t="inlineStr">
        <is>
          <t xml:space="preserve">20</t>
        </is>
      </c>
      <c r="I148" s="0" t="inlineStr">
        <is>
          <t xml:space="preserve">20--SEAL ASSEMBLY,SHAFT</t>
        </is>
      </c>
      <c r="J148" s="0" t="inlineStr">
        <is>
          <t xml:space="preserve">SPE7M426Q0684</t>
        </is>
      </c>
    </row>
    <row r="149">
      <c r="B149" s="0" t="inlineStr">
        <is>
          <t xml:space="preserve">2e6a65d2eaa5421cab4067c98f5a2674</t>
        </is>
      </c>
      <c r="C149" s="0" t="inlineStr">
        <is>
          <t xml:space="preserve">Solicitation</t>
        </is>
      </c>
      <c r="D149" s="0" t="inlineStr">
        <is>
          <t xml:space="preserve">2026-04-30</t>
        </is>
      </c>
      <c r="E149" s="0" t="inlineStr">
        <is>
          <t xml:space="preserve">Navy/USMC</t>
        </is>
      </c>
      <c r="F149" s="0" t="inlineStr">
        <is>
          <t xml:space="preserve">ship_repair_maintenance</t>
        </is>
      </c>
      <c r="G149" s="0" t="inlineStr">
        <is>
          <t xml:space="preserve">336611</t>
        </is>
      </c>
      <c r="H149" s="0" t="inlineStr">
        <is>
          <t xml:space="preserve">4310</t>
        </is>
      </c>
      <c r="I149" s="0" t="inlineStr">
        <is>
          <t xml:space="preserve">43--COMPRESSOR UNIT, IN REPAIR/MODIFICATION OF</t>
        </is>
      </c>
      <c r="J149" s="0" t="inlineStr">
        <is>
          <t xml:space="preserve">N0010426QZB29</t>
        </is>
      </c>
    </row>
    <row r="150">
      <c r="B150" s="0" t="inlineStr">
        <is>
          <t xml:space="preserve">fea31bc2e41c4d35a8b0713fe87860da</t>
        </is>
      </c>
      <c r="C150" s="0" t="inlineStr">
        <is>
          <t xml:space="preserve">Special Notice</t>
        </is>
      </c>
      <c r="D150" s="0" t="inlineStr">
        <is>
          <t xml:space="preserve">2026-05-15</t>
        </is>
      </c>
      <c r="E150" s="0" t="inlineStr">
        <is>
          <t xml:space="preserve">Army</t>
        </is>
      </c>
      <c r="F150" s="0" t="inlineStr">
        <is>
          <t xml:space="preserve">ship_repair_maintenance</t>
        </is>
      </c>
      <c r="G150" s="0" t="inlineStr">
        <is>
          <t xml:space="preserve">336611</t>
        </is>
      </c>
      <c r="H150" s="0" t="inlineStr">
        <is>
          <t xml:space="preserve">J020</t>
        </is>
      </c>
      <c r="I150" s="0" t="inlineStr">
        <is>
          <t xml:space="preserve">John A.B. Dillard engine Overhaul</t>
        </is>
      </c>
      <c r="J150" s="0" t="inlineStr">
        <is>
          <t xml:space="preserve">W912P726QJN04</t>
        </is>
      </c>
    </row>
    <row r="151">
      <c r="B151" s="0" t="inlineStr">
        <is>
          <t xml:space="preserve">f560333c65f645faa985a7331929aad3</t>
        </is>
      </c>
      <c r="C151" s="0" t="inlineStr">
        <is>
          <t xml:space="preserve">Solicitation</t>
        </is>
      </c>
      <c r="D151" s="0" t="inlineStr">
        <is>
          <t xml:space="preserve">2026-05-19</t>
        </is>
      </c>
      <c r="E151" s="0" t="inlineStr">
        <is>
          <t xml:space="preserve">Navy/USMC</t>
        </is>
      </c>
      <c r="F151" s="0" t="inlineStr">
        <is>
          <t xml:space="preserve">ship_repair_maintenance</t>
        </is>
      </c>
      <c r="G151" s="0" t="inlineStr">
        <is>
          <t xml:space="preserve">336611</t>
        </is>
      </c>
      <c r="H151" s="0" t="inlineStr">
        <is>
          <t xml:space="preserve">J999</t>
        </is>
      </c>
      <c r="I151" s="0" t="inlineStr">
        <is>
          <t xml:space="preserve">YON 305 Cargo Fuel Tank Cleaning</t>
        </is>
      </c>
      <c r="J151" s="0" t="inlineStr">
        <is>
          <t xml:space="preserve">N6264926Q0303</t>
        </is>
      </c>
    </row>
    <row r="152">
      <c r="B152" s="0" t="inlineStr">
        <is>
          <t xml:space="preserve">b93d3dd7bd624e238113911a00b2e215</t>
        </is>
      </c>
      <c r="C152" s="0" t="inlineStr">
        <is>
          <t xml:space="preserve">Combined Synopsis/Solicitation</t>
        </is>
      </c>
      <c r="D152" s="0" t="inlineStr">
        <is>
          <t xml:space="preserve">2026-05-21</t>
        </is>
      </c>
      <c r="E152" s="0" t="inlineStr">
        <is>
          <t xml:space="preserve">Other DoD</t>
        </is>
      </c>
      <c r="F152" s="0" t="inlineStr">
        <is>
          <t xml:space="preserve">marine_components_parts</t>
        </is>
      </c>
      <c r="G152" s="0" t="inlineStr">
        <is>
          <t xml:space="preserve">336611</t>
        </is>
      </c>
      <c r="H152" s="0" t="inlineStr">
        <is>
          <t xml:space="preserve">20</t>
        </is>
      </c>
      <c r="I152" s="0" t="inlineStr">
        <is>
          <t xml:space="preserve">20--GENERATING,CELL</t>
        </is>
      </c>
      <c r="J152" s="0" t="inlineStr">
        <is>
          <t xml:space="preserve">SPE7M426T130T</t>
        </is>
      </c>
    </row>
    <row r="153">
      <c r="B153" s="0" t="inlineStr">
        <is>
          <t xml:space="preserve">4edd9694c12f4c3c87de74415a8a9b61</t>
        </is>
      </c>
      <c r="C153" s="0" t="inlineStr">
        <is>
          <t xml:space="preserve">Combined Synopsis/Solicitation</t>
        </is>
      </c>
      <c r="D153" s="0" t="inlineStr">
        <is>
          <t xml:space="preserve">2026-05-22</t>
        </is>
      </c>
      <c r="E153" s="0" t="inlineStr">
        <is>
          <t xml:space="preserve">Civil/Other</t>
        </is>
      </c>
      <c r="F153" s="0" t="inlineStr">
        <is>
          <t xml:space="preserve">vessel_procurement</t>
        </is>
      </c>
      <c r="G153" s="0" t="inlineStr">
        <is>
          <t xml:space="preserve">336612</t>
        </is>
      </c>
      <c r="H153" s="0" t="inlineStr">
        <is>
          <t xml:space="preserve">1940</t>
        </is>
      </c>
      <c r="I153" s="0" t="inlineStr">
        <is>
          <t xml:space="preserve">Inflatable Work Boat for NOAA Sette</t>
        </is>
      </c>
      <c r="J153" s="0" t="inlineStr">
        <is>
          <t xml:space="preserve">1333MK26Q0069</t>
        </is>
      </c>
    </row>
    <row r="154">
      <c r="B154" s="0" t="inlineStr">
        <is>
          <t xml:space="preserve">b7f66fc146f1413c886f6642ccd800d1</t>
        </is>
      </c>
      <c r="C154" s="0" t="inlineStr">
        <is>
          <t xml:space="preserve">Combined Synopsis/Solicitation</t>
        </is>
      </c>
      <c r="D154" s="0" t="inlineStr">
        <is>
          <t xml:space="preserve">2026-05-26</t>
        </is>
      </c>
      <c r="E154" s="0" t="inlineStr">
        <is>
          <t xml:space="preserve">Civil/Other</t>
        </is>
      </c>
      <c r="F154" s="0" t="inlineStr">
        <is>
          <t xml:space="preserve">other</t>
        </is>
      </c>
      <c r="G154" s="0" t="inlineStr">
        <is>
          <t xml:space="preserve">483114</t>
        </is>
      </c>
      <c r="H154" s="0" t="inlineStr">
        <is>
          <t xml:space="preserve">1910</t>
        </is>
      </c>
      <c r="I154" s="0" t="inlineStr">
        <is>
          <t xml:space="preserve">19--NEFCS Acoustic Recorder Vessel Charter</t>
        </is>
      </c>
      <c r="J154" s="0" t="inlineStr">
        <is>
          <t xml:space="preserve">1305M326Q0156</t>
        </is>
      </c>
    </row>
    <row r="155">
      <c r="B155" s="0" t="inlineStr">
        <is>
          <t xml:space="preserve">fe2e9fbcb58e4f21bd24d72d80046577</t>
        </is>
      </c>
      <c r="C155" s="0" t="inlineStr">
        <is>
          <t xml:space="preserve">Solicitation</t>
        </is>
      </c>
      <c r="D155" s="0" t="inlineStr">
        <is>
          <t xml:space="preserve">2026-05-06</t>
        </is>
      </c>
      <c r="E155" s="0" t="inlineStr">
        <is>
          <t xml:space="preserve">Navy/USMC</t>
        </is>
      </c>
      <c r="F155" s="0" t="inlineStr">
        <is>
          <t xml:space="preserve">marine_components_parts</t>
        </is>
      </c>
      <c r="G155" s="0" t="inlineStr">
        <is>
          <t xml:space="preserve">336611</t>
        </is>
      </c>
      <c r="H155" s="0" t="inlineStr">
        <is>
          <t xml:space="preserve">2090</t>
        </is>
      </c>
      <c r="I155" s="0" t="inlineStr">
        <is>
          <t xml:space="preserve">20--SMALL AFT TILE</t>
        </is>
      </c>
      <c r="J155" s="0" t="inlineStr">
        <is>
          <t xml:space="preserve">N0010425QYC85</t>
        </is>
      </c>
    </row>
    <row r="156">
      <c r="B156" s="0" t="inlineStr">
        <is>
          <t xml:space="preserve">f2cf39b6ad7a46539947fe605942050c</t>
        </is>
      </c>
      <c r="C156" s="0" t="inlineStr">
        <is>
          <t xml:space="preserve">Solicitation</t>
        </is>
      </c>
      <c r="D156" s="0" t="inlineStr">
        <is>
          <t xml:space="preserve">2026-05-06</t>
        </is>
      </c>
      <c r="E156" s="0" t="inlineStr">
        <is>
          <t xml:space="preserve">Navy/USMC</t>
        </is>
      </c>
      <c r="F156" s="0" t="inlineStr">
        <is>
          <t xml:space="preserve">marine_components_parts</t>
        </is>
      </c>
      <c r="G156" s="0" t="inlineStr">
        <is>
          <t xml:space="preserve">336611</t>
        </is>
      </c>
      <c r="H156" s="0" t="inlineStr">
        <is>
          <t xml:space="preserve">2090</t>
        </is>
      </c>
      <c r="I156" s="0" t="inlineStr">
        <is>
          <t xml:space="preserve">20--SMALL FWD TILE</t>
        </is>
      </c>
      <c r="J156" s="0" t="inlineStr">
        <is>
          <t xml:space="preserve">N0010425QYC53</t>
        </is>
      </c>
    </row>
    <row r="157">
      <c r="B157" s="0" t="inlineStr">
        <is>
          <t xml:space="preserve">6420bc3d730243238eceb8519ed895f6</t>
        </is>
      </c>
      <c r="C157" s="0" t="inlineStr">
        <is>
          <t xml:space="preserve">Solicitation</t>
        </is>
      </c>
      <c r="D157" s="0" t="inlineStr">
        <is>
          <t xml:space="preserve">2026-05-06</t>
        </is>
      </c>
      <c r="E157" s="0" t="inlineStr">
        <is>
          <t xml:space="preserve">Navy/USMC</t>
        </is>
      </c>
      <c r="F157" s="0" t="inlineStr">
        <is>
          <t xml:space="preserve">marine_components_parts</t>
        </is>
      </c>
      <c r="G157" s="0" t="inlineStr">
        <is>
          <t xml:space="preserve">336611</t>
        </is>
      </c>
      <c r="H157" s="0" t="inlineStr">
        <is>
          <t xml:space="preserve">2090</t>
        </is>
      </c>
      <c r="I157" s="0" t="inlineStr">
        <is>
          <t xml:space="preserve">20--SMALL MIDDLE TILE</t>
        </is>
      </c>
      <c r="J157" s="0" t="inlineStr">
        <is>
          <t xml:space="preserve">N0010425QYC84</t>
        </is>
      </c>
    </row>
    <row r="158">
      <c r="B158" s="0" t="inlineStr">
        <is>
          <t xml:space="preserve">41273786dabd4f5ab459d33c022a9231</t>
        </is>
      </c>
      <c r="C158" s="0" t="inlineStr">
        <is>
          <t xml:space="preserve">Sources Sought</t>
        </is>
      </c>
      <c r="D158" s="0" t="inlineStr">
        <is>
          <t xml:space="preserve">2026-05-13</t>
        </is>
      </c>
      <c r="E158" s="0" t="inlineStr">
        <is>
          <t xml:space="preserve">Coast Guard</t>
        </is>
      </c>
      <c r="F158" s="0" t="inlineStr">
        <is>
          <t xml:space="preserve">ship_repair_maintenance</t>
        </is>
      </c>
      <c r="G158" s="0" t="inlineStr">
        <is>
          <t xml:space="preserve">336611</t>
        </is>
      </c>
      <c r="H158" s="0" t="inlineStr">
        <is>
          <t xml:space="preserve">J999</t>
        </is>
      </c>
      <c r="I158" s="0" t="inlineStr">
        <is>
          <t xml:space="preserve">DRYDOCK: USCGC NARWHAL DD FY2027</t>
        </is>
      </c>
      <c r="J158" s="0" t="inlineStr">
        <is>
          <t xml:space="preserve">70Z08026PBPLNARWHAL</t>
        </is>
      </c>
    </row>
    <row r="159">
      <c r="B159" s="0" t="inlineStr">
        <is>
          <t xml:space="preserve">fb0b79ac58df4deaa0679f01d76fb5f8</t>
        </is>
      </c>
      <c r="C159" s="0" t="inlineStr">
        <is>
          <t xml:space="preserve">Presolicitation</t>
        </is>
      </c>
      <c r="D159" s="0" t="inlineStr">
        <is>
          <t xml:space="preserve">2026-05-14</t>
        </is>
      </c>
      <c r="E159" s="0" t="inlineStr">
        <is>
          <t xml:space="preserve">Navy/USMC</t>
        </is>
      </c>
      <c r="F159" s="0" t="inlineStr">
        <is>
          <t xml:space="preserve">marine_components_parts</t>
        </is>
      </c>
      <c r="G159" s="0" t="inlineStr">
        <is>
          <t xml:space="preserve">336611</t>
        </is>
      </c>
      <c r="H159" s="0" t="inlineStr">
        <is>
          <t xml:space="preserve">2010</t>
        </is>
      </c>
      <c r="I159" s="0" t="inlineStr">
        <is>
          <t xml:space="preserve">Columbia Class Tailcone Follow-on</t>
        </is>
      </c>
      <c r="J159" s="0" t="inlineStr">
        <is>
          <t xml:space="preserve">N0016726R1005</t>
        </is>
      </c>
    </row>
    <row r="160">
      <c r="B160" s="0" t="inlineStr">
        <is>
          <t xml:space="preserve">369d3ff04b6541c98645bdf518d49813</t>
        </is>
      </c>
      <c r="C160" s="0" t="inlineStr">
        <is>
          <t xml:space="preserve">Presolicitation</t>
        </is>
      </c>
      <c r="D160" s="0" t="inlineStr">
        <is>
          <t xml:space="preserve">2026-05-19</t>
        </is>
      </c>
      <c r="E160" s="0" t="inlineStr">
        <is>
          <t xml:space="preserve">Navy/USMC</t>
        </is>
      </c>
      <c r="F160" s="0" t="inlineStr">
        <is>
          <t xml:space="preserve">ship_repair_maintenance</t>
        </is>
      </c>
      <c r="G160" s="0" t="inlineStr">
        <is>
          <t xml:space="preserve">336611</t>
        </is>
      </c>
      <c r="H160" s="0" t="inlineStr">
        <is>
          <t xml:space="preserve">J999</t>
        </is>
      </c>
      <c r="I160" s="0" t="inlineStr">
        <is>
          <t xml:space="preserve">6A1 Preventive Maintenance for Puget Sound Naval Shipyard (PSNS)Barge YR-85 and YR-95</t>
        </is>
      </c>
      <c r="J160" s="0" t="inlineStr">
        <is>
          <t xml:space="preserve">N6264926RA054PS</t>
        </is>
      </c>
    </row>
    <row r="161">
      <c r="B161" s="0" t="inlineStr">
        <is>
          <t xml:space="preserve">edc177c514484c8dbb90f5c832094f31</t>
        </is>
      </c>
      <c r="C161" s="0" t="inlineStr">
        <is>
          <t xml:space="preserve">Sources Sought</t>
        </is>
      </c>
      <c r="D161" s="0" t="inlineStr">
        <is>
          <t xml:space="preserve">2026-05-20</t>
        </is>
      </c>
      <c r="E161" s="0" t="inlineStr">
        <is>
          <t xml:space="preserve">Coast Guard</t>
        </is>
      </c>
      <c r="F161" s="0" t="inlineStr">
        <is>
          <t xml:space="preserve">ship_repair_maintenance</t>
        </is>
      </c>
      <c r="G161" s="0" t="inlineStr">
        <is>
          <t xml:space="preserve">336611</t>
        </is>
      </c>
      <c r="H161" s="0" t="inlineStr">
        <is>
          <t xml:space="preserve">J020</t>
        </is>
      </c>
      <c r="I161" s="0" t="inlineStr">
        <is>
          <t xml:space="preserve">Welin Lambie Dual Point Davit Overhaul Renewal Sources  Sought Notice</t>
        </is>
      </c>
      <c r="J161" s="0" t="inlineStr">
        <is>
          <t xml:space="preserve">70Z08026SSWelinLambie</t>
        </is>
      </c>
    </row>
    <row r="162">
      <c r="B162" s="0" t="inlineStr">
        <is>
          <t xml:space="preserve">74a0dd7764254db98fd921405f282b31</t>
        </is>
      </c>
      <c r="C162" s="0" t="inlineStr">
        <is>
          <t xml:space="preserve">Solicitation</t>
        </is>
      </c>
      <c r="D162" s="0" t="inlineStr">
        <is>
          <t xml:space="preserve">2026-05-04</t>
        </is>
      </c>
      <c r="E162" s="0" t="inlineStr">
        <is>
          <t xml:space="preserve">Army</t>
        </is>
      </c>
      <c r="F162" s="0" t="inlineStr">
        <is>
          <t xml:space="preserve">ship_repair_maintenance</t>
        </is>
      </c>
      <c r="G162" s="0" t="inlineStr">
        <is>
          <t xml:space="preserve">336611</t>
        </is>
      </c>
      <c r="H162" s="0" t="inlineStr">
        <is>
          <t xml:space="preserve">J019</t>
        </is>
      </c>
      <c r="I162" s="0" t="inlineStr">
        <is>
          <t xml:space="preserve">Shipyard Overhaul of the S/V DAUNTLESS</t>
        </is>
      </c>
      <c r="J162" s="0" t="inlineStr">
        <is>
          <t xml:space="preserve">W912BU26QA028</t>
        </is>
      </c>
    </row>
    <row r="163">
      <c r="B163" s="0" t="inlineStr">
        <is>
          <t xml:space="preserve">68bbfed5bfea4735af65fc9920627576</t>
        </is>
      </c>
      <c r="C163" s="0" t="inlineStr">
        <is>
          <t xml:space="preserve">Sources Sought</t>
        </is>
      </c>
      <c r="D163" s="0" t="inlineStr">
        <is>
          <t xml:space="preserve">2026-05-05</t>
        </is>
      </c>
      <c r="E163" s="0" t="inlineStr">
        <is>
          <t xml:space="preserve">Navy/USMC</t>
        </is>
      </c>
      <c r="F163" s="0" t="inlineStr">
        <is>
          <t xml:space="preserve">ship_repair_maintenance</t>
        </is>
      </c>
      <c r="G163" s="0" t="inlineStr">
        <is>
          <t xml:space="preserve">336611</t>
        </is>
      </c>
      <c r="H163" s="0" t="inlineStr">
        <is>
          <t xml:space="preserve">J999</t>
        </is>
      </c>
      <c r="I163" s="0" t="inlineStr">
        <is>
          <t xml:space="preserve">Guam Ship Repair MAC IDIQ</t>
        </is>
      </c>
      <c r="J163" s="0" t="inlineStr">
        <is>
          <t xml:space="preserve">N4044626R4001</t>
        </is>
      </c>
    </row>
    <row r="164">
      <c r="B164" s="0" t="inlineStr">
        <is>
          <t xml:space="preserve">98f67547fa104790b9f27f3a01d6d857</t>
        </is>
      </c>
      <c r="C164" s="0" t="inlineStr">
        <is>
          <t xml:space="preserve">Solicitation</t>
        </is>
      </c>
      <c r="D164" s="0" t="inlineStr">
        <is>
          <t xml:space="preserve">2026-05-06</t>
        </is>
      </c>
      <c r="E164" s="0" t="inlineStr">
        <is>
          <t xml:space="preserve">Navy/USMC</t>
        </is>
      </c>
      <c r="F164" s="0" t="inlineStr">
        <is>
          <t xml:space="preserve">marine_components_parts</t>
        </is>
      </c>
      <c r="G164" s="0" t="inlineStr">
        <is>
          <t xml:space="preserve">336611</t>
        </is>
      </c>
      <c r="H164" s="0" t="inlineStr">
        <is>
          <t xml:space="preserve">2090</t>
        </is>
      </c>
      <c r="I164" s="0" t="inlineStr">
        <is>
          <t xml:space="preserve">20--LARGE AFT TILE</t>
        </is>
      </c>
      <c r="J164" s="0" t="inlineStr">
        <is>
          <t xml:space="preserve">N0010425QYJ04</t>
        </is>
      </c>
    </row>
    <row r="165">
      <c r="B165" s="0" t="inlineStr">
        <is>
          <t xml:space="preserve">64ad08db09114d47b20ebcf958ff8912</t>
        </is>
      </c>
      <c r="C165" s="0" t="inlineStr">
        <is>
          <t xml:space="preserve">Solicitation</t>
        </is>
      </c>
      <c r="D165" s="0" t="inlineStr">
        <is>
          <t xml:space="preserve">2026-05-06</t>
        </is>
      </c>
      <c r="E165" s="0" t="inlineStr">
        <is>
          <t xml:space="preserve">Navy/USMC</t>
        </is>
      </c>
      <c r="F165" s="0" t="inlineStr">
        <is>
          <t xml:space="preserve">marine_components_parts</t>
        </is>
      </c>
      <c r="G165" s="0" t="inlineStr">
        <is>
          <t xml:space="preserve">336611</t>
        </is>
      </c>
      <c r="H165" s="0" t="inlineStr">
        <is>
          <t xml:space="preserve">2090</t>
        </is>
      </c>
      <c r="I165" s="0" t="inlineStr">
        <is>
          <t xml:space="preserve">20--LARGE FWD TILE</t>
        </is>
      </c>
      <c r="J165" s="0" t="inlineStr">
        <is>
          <t xml:space="preserve">N0010425QYC86</t>
        </is>
      </c>
    </row>
    <row r="166">
      <c r="B166" s="0" t="inlineStr">
        <is>
          <t xml:space="preserve">5866f6ba905947499e6b4d64854995bb</t>
        </is>
      </c>
      <c r="C166" s="0" t="inlineStr">
        <is>
          <t xml:space="preserve">Solicitation</t>
        </is>
      </c>
      <c r="D166" s="0" t="inlineStr">
        <is>
          <t xml:space="preserve">2026-05-06</t>
        </is>
      </c>
      <c r="E166" s="0" t="inlineStr">
        <is>
          <t xml:space="preserve">Navy/USMC</t>
        </is>
      </c>
      <c r="F166" s="0" t="inlineStr">
        <is>
          <t xml:space="preserve">marine_components_parts</t>
        </is>
      </c>
      <c r="G166" s="0" t="inlineStr">
        <is>
          <t xml:space="preserve">336611</t>
        </is>
      </c>
      <c r="H166" s="0" t="inlineStr">
        <is>
          <t xml:space="preserve">2090</t>
        </is>
      </c>
      <c r="I166" s="0" t="inlineStr">
        <is>
          <t xml:space="preserve">20--LARGE MIDDLE TILE</t>
        </is>
      </c>
      <c r="J166" s="0" t="inlineStr">
        <is>
          <t xml:space="preserve">N0010425QYC87</t>
        </is>
      </c>
    </row>
    <row r="167">
      <c r="B167" s="0" t="inlineStr">
        <is>
          <t xml:space="preserve">24a1f2561117403ebe43203760c918ff</t>
        </is>
      </c>
      <c r="C167" s="0" t="inlineStr">
        <is>
          <t xml:space="preserve">Solicitation</t>
        </is>
      </c>
      <c r="D167" s="0" t="inlineStr">
        <is>
          <t xml:space="preserve">2026-05-06</t>
        </is>
      </c>
      <c r="E167" s="0" t="inlineStr">
        <is>
          <t xml:space="preserve">Navy/USMC</t>
        </is>
      </c>
      <c r="F167" s="0" t="inlineStr">
        <is>
          <t xml:space="preserve">marine_components_parts</t>
        </is>
      </c>
      <c r="G167" s="0" t="inlineStr">
        <is>
          <t xml:space="preserve">336611</t>
        </is>
      </c>
      <c r="H167" s="0" t="inlineStr">
        <is>
          <t xml:space="preserve">2090</t>
        </is>
      </c>
      <c r="I167" s="0" t="inlineStr">
        <is>
          <t xml:space="preserve">20--BLK3 TOWED ARR GROO</t>
        </is>
      </c>
      <c r="J167" s="0" t="inlineStr">
        <is>
          <t xml:space="preserve">N0010425QYH65</t>
        </is>
      </c>
    </row>
    <row r="168">
      <c r="B168" s="0" t="inlineStr">
        <is>
          <t xml:space="preserve">45eb9374ee2b43c1a4c564cff7bdf128</t>
        </is>
      </c>
      <c r="C168" s="0" t="inlineStr">
        <is>
          <t xml:space="preserve">Combined Synopsis/Solicitation</t>
        </is>
      </c>
      <c r="D168" s="0" t="inlineStr">
        <is>
          <t xml:space="preserve">2026-05-19</t>
        </is>
      </c>
      <c r="E168" s="0" t="inlineStr">
        <is>
          <t xml:space="preserve">Other DoD</t>
        </is>
      </c>
      <c r="F168" s="0" t="inlineStr">
        <is>
          <t xml:space="preserve">other</t>
        </is>
      </c>
      <c r="G168" s="0" t="inlineStr">
        <is>
          <t xml:space="preserve">336611</t>
        </is>
      </c>
      <c r="H168" s="0" t="inlineStr">
        <is>
          <t xml:space="preserve">28</t>
        </is>
      </c>
      <c r="I168" s="0" t="inlineStr">
        <is>
          <t xml:space="preserve">28--DEFLECTOR,DIRT AND</t>
        </is>
      </c>
      <c r="J168" s="0" t="inlineStr">
        <is>
          <t xml:space="preserve">SPE7LX26U7709</t>
        </is>
      </c>
    </row>
    <row r="169">
      <c r="B169" s="0" t="inlineStr">
        <is>
          <t xml:space="preserve">a58b62f0ec4e446f97f23d368bdd89a0</t>
        </is>
      </c>
      <c r="C169" s="0" t="inlineStr">
        <is>
          <t xml:space="preserve">Sources Sought</t>
        </is>
      </c>
      <c r="D169" s="0" t="inlineStr">
        <is>
          <t xml:space="preserve">2026-05-20</t>
        </is>
      </c>
      <c r="E169" s="0" t="inlineStr">
        <is>
          <t xml:space="preserve">Coast Guard</t>
        </is>
      </c>
      <c r="F169" s="0" t="inlineStr">
        <is>
          <t xml:space="preserve">ship_repair_maintenance</t>
        </is>
      </c>
      <c r="G169" s="0" t="inlineStr">
        <is>
          <t xml:space="preserve">336611</t>
        </is>
      </c>
      <c r="H169" s="0" t="inlineStr">
        <is>
          <t xml:space="preserve">J998</t>
        </is>
      </c>
      <c r="I169" s="0" t="inlineStr">
        <is>
          <t xml:space="preserve">USCGC WILLIAM SPARLING DRYDOCK FY27</t>
        </is>
      </c>
      <c r="J169" s="0" t="inlineStr">
        <is>
          <t xml:space="preserve">70Z08027PBPLWSPARLING</t>
        </is>
      </c>
    </row>
    <row r="170">
      <c r="B170" s="0" t="inlineStr">
        <is>
          <t xml:space="preserve">1a3907ab45294d18b4a0343fd2fe99dd</t>
        </is>
      </c>
      <c r="C170" s="0" t="inlineStr">
        <is>
          <t xml:space="preserve">Sources Sought</t>
        </is>
      </c>
      <c r="D170" s="0" t="inlineStr">
        <is>
          <t xml:space="preserve">2026-05-20</t>
        </is>
      </c>
      <c r="E170" s="0" t="inlineStr">
        <is>
          <t xml:space="preserve">Coast Guard</t>
        </is>
      </c>
      <c r="F170" s="0" t="inlineStr">
        <is>
          <t xml:space="preserve">ship_repair_maintenance</t>
        </is>
      </c>
      <c r="G170" s="0" t="inlineStr">
        <is>
          <t xml:space="preserve">336611</t>
        </is>
      </c>
      <c r="H170" s="0" t="inlineStr">
        <is>
          <t xml:space="preserve">J998</t>
        </is>
      </c>
      <c r="I170" s="0" t="inlineStr">
        <is>
          <t xml:space="preserve">CGC WILLIAM SPARLING DD REPAIRS FY27</t>
        </is>
      </c>
      <c r="J170" s="0" t="inlineStr">
        <is>
          <t xml:space="preserve">70Z08027QWSPARLING</t>
        </is>
      </c>
    </row>
    <row r="171">
      <c r="B171" s="0" t="inlineStr">
        <is>
          <t xml:space="preserve">cd976832ab714a01b49986f814dda341</t>
        </is>
      </c>
      <c r="C171" s="0" t="inlineStr">
        <is>
          <t xml:space="preserve">Solicitation</t>
        </is>
      </c>
      <c r="D171" s="0" t="inlineStr">
        <is>
          <t xml:space="preserve">2026-05-21</t>
        </is>
      </c>
      <c r="E171" s="0" t="inlineStr">
        <is>
          <t xml:space="preserve">Navy/USMC</t>
        </is>
      </c>
      <c r="F171" s="0" t="inlineStr">
        <is>
          <t xml:space="preserve">ship_repair_maintenance</t>
        </is>
      </c>
      <c r="G171" s="0" t="inlineStr">
        <is>
          <t xml:space="preserve">336611</t>
        </is>
      </c>
      <c r="H171" s="0" t="inlineStr">
        <is>
          <t xml:space="preserve">J998</t>
        </is>
      </c>
      <c r="I171" s="0" t="inlineStr">
        <is>
          <t xml:space="preserve">USS ST LOUIS (LCS 19) | USS DONALD COOK (DDG 75) FY27 Docking Selected Restricted Availabilities (DSRA) Request for Proposals</t>
        </is>
      </c>
      <c r="J171" s="0" t="inlineStr">
        <is>
          <t xml:space="preserve">N0002426R4405</t>
        </is>
      </c>
    </row>
    <row r="172">
      <c r="B172" s="0" t="inlineStr">
        <is>
          <t xml:space="preserve">992654614f3b4ef9a8ac0cd22db39e15</t>
        </is>
      </c>
      <c r="C172" s="0" t="inlineStr">
        <is>
          <t xml:space="preserve">Solicitation</t>
        </is>
      </c>
      <c r="D172" s="0" t="inlineStr">
        <is>
          <t xml:space="preserve">2026-05-27</t>
        </is>
      </c>
      <c r="E172" s="0" t="inlineStr">
        <is>
          <t xml:space="preserve">Navy/USMC</t>
        </is>
      </c>
      <c r="F172" s="0" t="inlineStr">
        <is>
          <t xml:space="preserve">ship_repair_maintenance</t>
        </is>
      </c>
      <c r="G172" s="0" t="inlineStr">
        <is>
          <t xml:space="preserve">336611</t>
        </is>
      </c>
      <c r="H172" s="0" t="inlineStr">
        <is>
          <t xml:space="preserve">J999</t>
        </is>
      </c>
      <c r="I172" s="0" t="inlineStr">
        <is>
          <t xml:space="preserve">YON 290 Cargo Fuel Tank Cleaning</t>
        </is>
      </c>
      <c r="J172" s="0" t="inlineStr">
        <is>
          <t xml:space="preserve">N6264926Q0304</t>
        </is>
      </c>
    </row>
    <row r="173">
      <c r="B173" s="0" t="inlineStr">
        <is>
          <t xml:space="preserve">6c1759895d1f4ef9a9091e1578cd2825</t>
        </is>
      </c>
      <c r="C173" s="0" t="inlineStr">
        <is>
          <t xml:space="preserve">Combined Synopsis/Solicitation</t>
        </is>
      </c>
      <c r="D173" s="0" t="inlineStr">
        <is>
          <t xml:space="preserve">2026-05-27</t>
        </is>
      </c>
      <c r="E173" s="0" t="inlineStr">
        <is>
          <t xml:space="preserve">Navy/USMC</t>
        </is>
      </c>
      <c r="F173" s="0" t="inlineStr">
        <is>
          <t xml:space="preserve">ship_repair_maintenance</t>
        </is>
      </c>
      <c r="G173" s="0" t="inlineStr">
        <is>
          <t xml:space="preserve">336611</t>
        </is>
      </c>
      <c r="H173" s="0" t="inlineStr">
        <is>
          <t xml:space="preserve">J019</t>
        </is>
      </c>
      <c r="I173" s="0" t="inlineStr">
        <is>
          <t xml:space="preserve">Maintenance and Repair of SWFPAC 33HS-64PB-78PB</t>
        </is>
      </c>
      <c r="J173" s="0" t="inlineStr">
        <is>
          <t xml:space="preserve">N4523A26Q1007</t>
        </is>
      </c>
    </row>
    <row r="174">
      <c r="B174" s="0" t="inlineStr">
        <is>
          <t xml:space="preserve">d098731c8513497ea4b7e10dd6aa7084</t>
        </is>
      </c>
      <c r="C174" s="0" t="inlineStr">
        <is>
          <t xml:space="preserve">Combined Synopsis/Solicitation</t>
        </is>
      </c>
      <c r="D174" s="0" t="inlineStr">
        <is>
          <t xml:space="preserve">2026-05-27</t>
        </is>
      </c>
      <c r="E174" s="0" t="inlineStr">
        <is>
          <t xml:space="preserve">Army</t>
        </is>
      </c>
      <c r="F174" s="0" t="inlineStr">
        <is>
          <t xml:space="preserve">other</t>
        </is>
      </c>
      <c r="G174" s="0" t="inlineStr">
        <is>
          <t xml:space="preserve">336612</t>
        </is>
      </c>
      <c r="H174" s="0" t="inlineStr">
        <is>
          <t xml:space="preserve">4240</t>
        </is>
      </c>
      <c r="I174" s="0" t="inlineStr">
        <is>
          <t xml:space="preserve">Rescue boat and trailer</t>
        </is>
      </c>
      <c r="J174" s="0" t="inlineStr">
        <is>
          <t xml:space="preserve">W911S226U3171</t>
        </is>
      </c>
    </row>
    <row r="175">
      <c r="B175" s="0" t="inlineStr">
        <is>
          <t xml:space="preserve">f59c857279c04cbbbc05264ed8be033a</t>
        </is>
      </c>
      <c r="C175" s="0" t="inlineStr">
        <is>
          <t xml:space="preserve">Combined Synopsis/Solicitation</t>
        </is>
      </c>
      <c r="D175" s="0" t="inlineStr">
        <is>
          <t xml:space="preserve">2026-05-28</t>
        </is>
      </c>
      <c r="E175" s="0" t="inlineStr">
        <is>
          <t xml:space="preserve">Civil/Other</t>
        </is>
      </c>
      <c r="F175" s="0" t="inlineStr">
        <is>
          <t xml:space="preserve">ship_repair_maintenance</t>
        </is>
      </c>
      <c r="G175" s="0" t="inlineStr">
        <is>
          <t xml:space="preserve">336611</t>
        </is>
      </c>
      <c r="H175" s="0" t="inlineStr">
        <is>
          <t xml:space="preserve">J019</t>
        </is>
      </c>
      <c r="I175" s="0" t="inlineStr">
        <is>
          <t xml:space="preserve">ONMS OCNMS R/V Storm Petrel Annual haulout, heavy</t>
        </is>
      </c>
      <c r="J175" s="0" t="inlineStr">
        <is>
          <t xml:space="preserve">1305M226Q0126</t>
        </is>
      </c>
    </row>
    <row r="176">
      <c r="B176" s="0" t="inlineStr">
        <is>
          <t xml:space="preserve">9ff30ca15ff64967a06b1af301d2b89a</t>
        </is>
      </c>
      <c r="C176" s="0" t="inlineStr">
        <is>
          <t xml:space="preserve">Combined Synopsis/Solicitation</t>
        </is>
      </c>
      <c r="D176" s="0" t="inlineStr">
        <is>
          <t xml:space="preserve">2026-05-28</t>
        </is>
      </c>
      <c r="E176" s="0" t="inlineStr">
        <is>
          <t xml:space="preserve">Coast Guard</t>
        </is>
      </c>
      <c r="F176" s="0" t="inlineStr">
        <is>
          <t xml:space="preserve">ship_repair_maintenance</t>
        </is>
      </c>
      <c r="G176" s="0" t="inlineStr">
        <is>
          <t xml:space="preserve">336611</t>
        </is>
      </c>
      <c r="H176" s="0" t="inlineStr">
        <is>
          <t xml:space="preserve">J020</t>
        </is>
      </c>
      <c r="I176" s="0" t="inlineStr">
        <is>
          <t xml:space="preserve">Dual Point Davit Repairs</t>
        </is>
      </c>
      <c r="J176" s="0" t="inlineStr">
        <is>
          <t xml:space="preserve">52000QR260025301</t>
        </is>
      </c>
    </row>
    <row r="177">
      <c r="B177" s="0" t="inlineStr">
        <is>
          <t xml:space="preserve">a1780e4eda5c4caea9404e2fcfdce1f8</t>
        </is>
      </c>
      <c r="C177" s="0" t="inlineStr">
        <is>
          <t xml:space="preserve">Combined Synopsis/Solicitation</t>
        </is>
      </c>
      <c r="D177" s="0" t="inlineStr">
        <is>
          <t xml:space="preserve">2026-05-29</t>
        </is>
      </c>
      <c r="E177" s="0" t="inlineStr">
        <is>
          <t xml:space="preserve">Coast Guard</t>
        </is>
      </c>
      <c r="F177" s="0" t="inlineStr">
        <is>
          <t xml:space="preserve">other</t>
        </is>
      </c>
      <c r="G177" s="0" t="inlineStr">
        <is>
          <t xml:space="preserve">336611</t>
        </is>
      </c>
      <c r="H177" s="0" t="inlineStr">
        <is>
          <t xml:space="preserve">2940</t>
        </is>
      </c>
      <c r="I177" s="0" t="inlineStr">
        <is>
          <t xml:space="preserve">WALKER ENGINEERING PARTS - FILTER ELEMENT</t>
        </is>
      </c>
      <c r="J177" s="0" t="inlineStr">
        <is>
          <t xml:space="preserve">2126406B27DSCA051</t>
        </is>
      </c>
    </row>
    <row r="178">
      <c r="B178" s="0" t="inlineStr">
        <is>
          <t xml:space="preserve">98f82a9c08ab4adaab3763422f60fb86</t>
        </is>
      </c>
      <c r="C178" s="0" t="inlineStr">
        <is>
          <t xml:space="preserve">Solicitation</t>
        </is>
      </c>
      <c r="D178" s="0" t="inlineStr">
        <is>
          <t xml:space="preserve">2026-05-29</t>
        </is>
      </c>
      <c r="E178" s="0" t="inlineStr">
        <is>
          <t xml:space="preserve">Navy/USMC</t>
        </is>
      </c>
      <c r="F178" s="0" t="inlineStr">
        <is>
          <t xml:space="preserve">ship_repair_maintenance</t>
        </is>
      </c>
      <c r="G178" s="0" t="inlineStr">
        <is>
          <t xml:space="preserve">336611</t>
        </is>
      </c>
      <c r="H178" s="0" t="inlineStr">
        <is>
          <t xml:space="preserve">J998</t>
        </is>
      </c>
      <c r="I178" s="0" t="inlineStr">
        <is>
          <t xml:space="preserve">VOYAGE REPAIR (VR)</t>
        </is>
      </c>
      <c r="J178" s="0" t="inlineStr">
        <is>
          <t xml:space="preserve">N6817126QN045</t>
        </is>
      </c>
    </row>
    <row r="179">
      <c r="B179" s="0" t="inlineStr">
        <is>
          <t xml:space="preserve">0ced800f83bd4080b2489a3474f4d8c7</t>
        </is>
      </c>
      <c r="C179" s="0" t="inlineStr">
        <is>
          <t xml:space="preserve">Combined Synopsis/Solicitation</t>
        </is>
      </c>
      <c r="D179" s="0" t="inlineStr">
        <is>
          <t xml:space="preserve">2026-05-29</t>
        </is>
      </c>
      <c r="E179" s="0" t="inlineStr">
        <is>
          <t xml:space="preserve">Coast Guard</t>
        </is>
      </c>
      <c r="F179" s="0" t="inlineStr">
        <is>
          <t xml:space="preserve">marine_components_parts</t>
        </is>
      </c>
      <c r="G179" s="0" t="inlineStr">
        <is>
          <t xml:space="preserve">336611</t>
        </is>
      </c>
      <c r="H179" s="0" t="inlineStr">
        <is>
          <t xml:space="preserve">2040</t>
        </is>
      </c>
      <c r="I179" s="0" t="inlineStr">
        <is>
          <t xml:space="preserve">LARGE DECK PANEL</t>
        </is>
      </c>
      <c r="J179" s="0" t="inlineStr">
        <is>
          <t xml:space="preserve">2126406B27DSCA050</t>
        </is>
      </c>
    </row>
    <row r="180">
      <c r="B180" s="0" t="inlineStr">
        <is>
          <t xml:space="preserve">2cb207701e0d4cbf9fa7be59fe4f0199</t>
        </is>
      </c>
      <c r="C180" s="0" t="inlineStr">
        <is>
          <t xml:space="preserve">Solicitation</t>
        </is>
      </c>
      <c r="D180" s="0" t="inlineStr">
        <is>
          <t xml:space="preserve">2026-06-01</t>
        </is>
      </c>
      <c r="E180" s="0" t="inlineStr">
        <is>
          <t xml:space="preserve">Other DoD</t>
        </is>
      </c>
      <c r="F180" s="0" t="inlineStr">
        <is>
          <t xml:space="preserve">other</t>
        </is>
      </c>
      <c r="G180" s="0" t="inlineStr">
        <is>
          <t xml:space="preserve">336611</t>
        </is>
      </c>
      <c r="H180" s="0" t="inlineStr">
        <is>
          <t xml:space="preserve">5440</t>
        </is>
      </c>
      <c r="I180" s="0" t="inlineStr">
        <is>
          <t xml:space="preserve">LAYHER SCAFFOLD TOWERS</t>
        </is>
      </c>
      <c r="J180" s="0" t="inlineStr">
        <is>
          <t xml:space="preserve">SPMYM226Q7432</t>
        </is>
      </c>
    </row>
    <row r="181">
      <c r="B181" s="0" t="inlineStr">
        <is>
          <t xml:space="preserve">4007e02fa75f485a8a621c594f47b907</t>
        </is>
      </c>
      <c r="C181" s="0" t="inlineStr">
        <is>
          <t xml:space="preserve">Combined Synopsis/Solicitation</t>
        </is>
      </c>
      <c r="D181" s="0" t="inlineStr">
        <is>
          <t xml:space="preserve">2026-06-01</t>
        </is>
      </c>
      <c r="E181" s="0" t="inlineStr">
        <is>
          <t xml:space="preserve">Other DoD</t>
        </is>
      </c>
      <c r="F181" s="0" t="inlineStr">
        <is>
          <t xml:space="preserve">marine_components_parts</t>
        </is>
      </c>
      <c r="G181" s="0" t="inlineStr">
        <is>
          <t xml:space="preserve">336612</t>
        </is>
      </c>
      <c r="H181" s="0" t="inlineStr">
        <is>
          <t xml:space="preserve">20</t>
        </is>
      </c>
      <c r="I181" s="0" t="inlineStr">
        <is>
          <t xml:space="preserve">20--SEAL ASSEMBLY,SHAFT</t>
        </is>
      </c>
      <c r="J181" s="0" t="inlineStr">
        <is>
          <t xml:space="preserve">SPE7M426Q0703</t>
        </is>
      </c>
    </row>
    <row r="182">
      <c r="B182" s="0" t="inlineStr">
        <is>
          <t xml:space="preserve">edd135d7f1ef441c82aaf9a1e867a2ee</t>
        </is>
      </c>
      <c r="C182" s="0" t="inlineStr">
        <is>
          <t xml:space="preserve">Solicitation</t>
        </is>
      </c>
      <c r="D182" s="0" t="inlineStr">
        <is>
          <t xml:space="preserve">2026-05-07</t>
        </is>
      </c>
      <c r="E182" s="0" t="inlineStr">
        <is>
          <t xml:space="preserve">Navy/USMC</t>
        </is>
      </c>
      <c r="F182" s="0" t="inlineStr">
        <is>
          <t xml:space="preserve">marine_components_parts</t>
        </is>
      </c>
      <c r="G182" s="0" t="inlineStr">
        <is>
          <t xml:space="preserve">336612</t>
        </is>
      </c>
      <c r="H182" s="0" t="inlineStr">
        <is>
          <t xml:space="preserve">2040</t>
        </is>
      </c>
      <c r="I182" s="0" t="inlineStr">
        <is>
          <t xml:space="preserve">20--SEAL ASSEMBLY</t>
        </is>
      </c>
      <c r="J182" s="0" t="inlineStr">
        <is>
          <t xml:space="preserve">N0010426QYA4T</t>
        </is>
      </c>
    </row>
    <row r="183">
      <c r="B183" s="0" t="inlineStr">
        <is>
          <t xml:space="preserve">eac686d3f4ab4fae90065947ccff3885</t>
        </is>
      </c>
      <c r="C183" s="0" t="inlineStr">
        <is>
          <t xml:space="preserve">Sources Sought</t>
        </is>
      </c>
      <c r="D183" s="0" t="inlineStr">
        <is>
          <t xml:space="preserve">2026-05-28</t>
        </is>
      </c>
      <c r="E183" s="0" t="inlineStr">
        <is>
          <t xml:space="preserve">Army</t>
        </is>
      </c>
      <c r="F183" s="0" t="inlineStr">
        <is>
          <t xml:space="preserve">ship_repair_maintenance</t>
        </is>
      </c>
      <c r="G183" s="0" t="inlineStr">
        <is>
          <t xml:space="preserve">336611</t>
        </is>
      </c>
      <c r="H183" s="0" t="inlineStr">
        <is>
          <t xml:space="preserve">J020</t>
        </is>
      </c>
      <c r="I183" s="0" t="inlineStr">
        <is>
          <t xml:space="preserve">SURVEY VESSEL (S/V) SWART HULL COATING</t>
        </is>
      </c>
      <c r="J183" s="0" t="inlineStr">
        <is>
          <t xml:space="preserve">W912PM26QA035</t>
        </is>
      </c>
    </row>
    <row r="184">
      <c r="B184" s="0" t="inlineStr">
        <is>
          <t xml:space="preserve">a6fec50c79124cb0b44b3bf913efb249</t>
        </is>
      </c>
      <c r="C184" s="0" t="inlineStr">
        <is>
          <t xml:space="preserve">Combined Synopsis/Solicitation</t>
        </is>
      </c>
      <c r="D184" s="0" t="inlineStr">
        <is>
          <t xml:space="preserve">2026-05-28</t>
        </is>
      </c>
      <c r="E184" s="0" t="inlineStr">
        <is>
          <t xml:space="preserve">Navy/USMC</t>
        </is>
      </c>
      <c r="F184" s="0" t="inlineStr">
        <is>
          <t xml:space="preserve">ship_repair_maintenance</t>
        </is>
      </c>
      <c r="G184" s="0" t="inlineStr">
        <is>
          <t xml:space="preserve">336611</t>
        </is>
      </c>
      <c r="H184" s="0" t="inlineStr">
        <is>
          <t xml:space="preserve">J020</t>
        </is>
      </c>
      <c r="I184" s="0" t="inlineStr">
        <is>
          <t xml:space="preserve">Hydraulic Oil Offload (4500G of 2190-S &amp; 500G of 2075 TH) &amp; Onload</t>
        </is>
      </c>
      <c r="J184" s="0" t="inlineStr">
        <is>
          <t xml:space="preserve">N3904026Q3064</t>
        </is>
      </c>
    </row>
    <row r="185">
      <c r="B185" s="0" t="inlineStr">
        <is>
          <t xml:space="preserve">c5a276cdcef544328a98111331b8259f</t>
        </is>
      </c>
      <c r="C185" s="0" t="inlineStr">
        <is>
          <t xml:space="preserve">Special Notice</t>
        </is>
      </c>
      <c r="D185" s="0" t="inlineStr">
        <is>
          <t xml:space="preserve">2026-05-28</t>
        </is>
      </c>
      <c r="E185" s="0" t="inlineStr">
        <is>
          <t xml:space="preserve">Civil/Other</t>
        </is>
      </c>
      <c r="F185" s="0" t="inlineStr">
        <is>
          <t xml:space="preserve">marine_components_parts</t>
        </is>
      </c>
      <c r="G185" s="0" t="inlineStr">
        <is>
          <t xml:space="preserve">336612</t>
        </is>
      </c>
      <c r="H185" s="0" t="inlineStr">
        <is>
          <t xml:space="preserve">2040</t>
        </is>
      </c>
      <c r="I185" s="0" t="inlineStr">
        <is>
          <t xml:space="preserve">20--Special Notice of Intent to Sole Source Award</t>
        </is>
      </c>
      <c r="J185" s="0" t="inlineStr">
        <is>
          <t xml:space="preserve">DOIFFBO260091</t>
        </is>
      </c>
    </row>
    <row r="186">
      <c r="B186" s="0" t="inlineStr">
        <is>
          <t xml:space="preserve">725932b985664283b063eb2ec3447fc5</t>
        </is>
      </c>
      <c r="C186" s="0" t="inlineStr">
        <is>
          <t xml:space="preserve">Combined Synopsis/Solicitation</t>
        </is>
      </c>
      <c r="D186" s="0" t="inlineStr">
        <is>
          <t xml:space="preserve">2026-06-01</t>
        </is>
      </c>
      <c r="E186" s="0" t="inlineStr">
        <is>
          <t xml:space="preserve">Army</t>
        </is>
      </c>
      <c r="F186" s="0" t="inlineStr">
        <is>
          <t xml:space="preserve">other</t>
        </is>
      </c>
      <c r="G186" s="0" t="inlineStr">
        <is>
          <t xml:space="preserve">336611</t>
        </is>
      </c>
      <c r="H186" s="0" t="inlineStr">
        <is>
          <t xml:space="preserve">N020</t>
        </is>
      </c>
      <c r="I186" s="0" t="inlineStr">
        <is>
          <t xml:space="preserve">D.L. Billmaier Tow Winch Installation</t>
        </is>
      </c>
      <c r="J186" s="0" t="inlineStr">
        <is>
          <t xml:space="preserve">W911XK26QA010</t>
        </is>
      </c>
    </row>
    <row r="187">
      <c r="B187" s="0" t="inlineStr">
        <is>
          <t xml:space="preserve">c65d94e7331b4108a31db0a3cbe84004</t>
        </is>
      </c>
      <c r="C187" s="0" t="inlineStr">
        <is>
          <t xml:space="preserve">Sources Sought</t>
        </is>
      </c>
      <c r="D187" s="0" t="inlineStr">
        <is>
          <t xml:space="preserve">2026-05-05</t>
        </is>
      </c>
      <c r="E187" s="0" t="inlineStr">
        <is>
          <t xml:space="preserve">Navy/USMC</t>
        </is>
      </c>
      <c r="F187" s="0" t="inlineStr">
        <is>
          <t xml:space="preserve">ship_repair_maintenance</t>
        </is>
      </c>
      <c r="G187" s="0" t="inlineStr">
        <is>
          <t xml:space="preserve">336611</t>
        </is>
      </c>
      <c r="H187" s="0" t="inlineStr">
        <is>
          <t xml:space="preserve">1905</t>
        </is>
      </c>
      <c r="I187" s="0" t="inlineStr">
        <is>
          <t xml:space="preserve">Nuclear-Powered Emergent Submarine Repair Basic Ordering Agreement (BOA)</t>
        </is>
      </c>
      <c r="J187" s="0" t="inlineStr">
        <is>
          <t xml:space="preserve">N00024-26-R-4309</t>
        </is>
      </c>
    </row>
    <row r="188">
      <c r="B188" s="0" t="inlineStr">
        <is>
          <t xml:space="preserve">a8735794433e467896cd1a2c380b8ca6</t>
        </is>
      </c>
      <c r="C188" s="0" t="inlineStr">
        <is>
          <t xml:space="preserve">Presolicitation</t>
        </is>
      </c>
      <c r="D188" s="0" t="inlineStr">
        <is>
          <t xml:space="preserve">2026-05-05</t>
        </is>
      </c>
      <c r="E188" s="0" t="inlineStr">
        <is>
          <t xml:space="preserve">Navy/USMC</t>
        </is>
      </c>
      <c r="F188" s="0" t="inlineStr">
        <is>
          <t xml:space="preserve">ship_repair_maintenance</t>
        </is>
      </c>
      <c r="G188" s="0" t="inlineStr">
        <is>
          <t xml:space="preserve">336611</t>
        </is>
      </c>
      <c r="H188" s="0" t="inlineStr">
        <is>
          <t xml:space="preserve">J999</t>
        </is>
      </c>
      <c r="I188" s="0" t="inlineStr">
        <is>
          <t xml:space="preserve">6A1 Corrective Maintenance for Puget Sound Naval Shipyard (PSNS) Barge YR-85 and YR-95</t>
        </is>
      </c>
      <c r="J188" s="0" t="inlineStr">
        <is>
          <t xml:space="preserve">N6264926RA041PS</t>
        </is>
      </c>
    </row>
    <row r="189">
      <c r="B189" s="0" t="inlineStr">
        <is>
          <t xml:space="preserve">ed70c2f7f32a4fdaa9c04ce2e157505b</t>
        </is>
      </c>
      <c r="C189" s="0" t="inlineStr">
        <is>
          <t xml:space="preserve">Combined Synopsis/Solicitation</t>
        </is>
      </c>
      <c r="D189" s="0" t="inlineStr">
        <is>
          <t xml:space="preserve">2026-05-21</t>
        </is>
      </c>
      <c r="E189" s="0" t="inlineStr">
        <is>
          <t xml:space="preserve">Coast Guard</t>
        </is>
      </c>
      <c r="F189" s="0" t="inlineStr">
        <is>
          <t xml:space="preserve">marine_components_parts</t>
        </is>
      </c>
      <c r="G189" s="0" t="inlineStr">
        <is>
          <t xml:space="preserve">336611</t>
        </is>
      </c>
      <c r="H189" s="0" t="inlineStr">
        <is>
          <t xml:space="preserve">2090</t>
        </is>
      </c>
      <c r="I189" s="0" t="inlineStr">
        <is>
          <t xml:space="preserve">JUNCTION BOX, WIRING HARNESS</t>
        </is>
      </c>
      <c r="J189" s="0" t="inlineStr">
        <is>
          <t xml:space="preserve">70Z04026Q50239B00</t>
        </is>
      </c>
    </row>
    <row r="190">
      <c r="B190" s="0" t="inlineStr">
        <is>
          <t xml:space="preserve">a18c1d88b88a4947a6e621a467a15013</t>
        </is>
      </c>
      <c r="C190" s="0" t="inlineStr">
        <is>
          <t xml:space="preserve">Combined Synopsis/Solicitation</t>
        </is>
      </c>
      <c r="D190" s="0" t="inlineStr">
        <is>
          <t xml:space="preserve">2026-05-21</t>
        </is>
      </c>
      <c r="E190" s="0" t="inlineStr">
        <is>
          <t xml:space="preserve">Coast Guard</t>
        </is>
      </c>
      <c r="F190" s="0" t="inlineStr">
        <is>
          <t xml:space="preserve">marine_components_parts</t>
        </is>
      </c>
      <c r="G190" s="0" t="inlineStr">
        <is>
          <t xml:space="preserve">336611</t>
        </is>
      </c>
      <c r="H190" s="0" t="inlineStr">
        <is>
          <t xml:space="preserve">2090</t>
        </is>
      </c>
      <c r="I190" s="0" t="inlineStr">
        <is>
          <t xml:space="preserve">CIRCULATING FANS</t>
        </is>
      </c>
      <c r="J190" s="0" t="inlineStr">
        <is>
          <t xml:space="preserve">70Z04026Q50240B00</t>
        </is>
      </c>
    </row>
    <row r="191">
      <c r="B191" s="0" t="inlineStr">
        <is>
          <t xml:space="preserve">83305dfc2d4d48499eca3cf6318a0d7f</t>
        </is>
      </c>
      <c r="C191" s="0" t="inlineStr">
        <is>
          <t xml:space="preserve">Combined Synopsis/Solicitation</t>
        </is>
      </c>
      <c r="D191" s="0" t="inlineStr">
        <is>
          <t xml:space="preserve">2026-05-21</t>
        </is>
      </c>
      <c r="E191" s="0" t="inlineStr">
        <is>
          <t xml:space="preserve">Coast Guard</t>
        </is>
      </c>
      <c r="F191" s="0" t="inlineStr">
        <is>
          <t xml:space="preserve">marine_components_parts</t>
        </is>
      </c>
      <c r="G191" s="0" t="inlineStr">
        <is>
          <t xml:space="preserve">336611</t>
        </is>
      </c>
      <c r="H191" s="0" t="inlineStr">
        <is>
          <t xml:space="preserve">2090</t>
        </is>
      </c>
      <c r="I191" s="0" t="inlineStr">
        <is>
          <t xml:space="preserve">FLEXIBLE COUPLING / DRIVE SHAFT KIT</t>
        </is>
      </c>
      <c r="J191" s="0" t="inlineStr">
        <is>
          <t xml:space="preserve">70Z04026Q50241B00</t>
        </is>
      </c>
    </row>
    <row r="192">
      <c r="B192" s="0" t="inlineStr">
        <is>
          <t xml:space="preserve">49ec053bd7414ec596380e5826828f9f</t>
        </is>
      </c>
      <c r="C192" s="0" t="inlineStr">
        <is>
          <t xml:space="preserve">Combined Synopsis/Solicitation</t>
        </is>
      </c>
      <c r="D192" s="0" t="inlineStr">
        <is>
          <t xml:space="preserve">2026-05-23</t>
        </is>
      </c>
      <c r="E192" s="0" t="inlineStr">
        <is>
          <t xml:space="preserve">Other DoD</t>
        </is>
      </c>
      <c r="F192" s="0" t="inlineStr">
        <is>
          <t xml:space="preserve">marine_components_parts</t>
        </is>
      </c>
      <c r="G192" s="0" t="inlineStr">
        <is>
          <t xml:space="preserve">336612</t>
        </is>
      </c>
      <c r="H192" s="0" t="inlineStr">
        <is>
          <t xml:space="preserve">2010</t>
        </is>
      </c>
      <c r="I192" s="0" t="inlineStr">
        <is>
          <t xml:space="preserve">CASTING, SLEEVE</t>
        </is>
      </c>
      <c r="J192" s="0" t="inlineStr">
        <is>
          <t xml:space="preserve">SPMYM4-26-Q-3424</t>
        </is>
      </c>
    </row>
    <row r="193">
      <c r="B193" s="0" t="inlineStr">
        <is>
          <t xml:space="preserve">e1376ef2ca944b3db54b9ab1ad6f44a8</t>
        </is>
      </c>
      <c r="C193" s="0" t="inlineStr">
        <is>
          <t xml:space="preserve">Solicitation</t>
        </is>
      </c>
      <c r="D193" s="0" t="inlineStr">
        <is>
          <t xml:space="preserve">2026-05-25</t>
        </is>
      </c>
      <c r="E193" s="0" t="inlineStr">
        <is>
          <t xml:space="preserve">Navy/USMC</t>
        </is>
      </c>
      <c r="F193" s="0" t="inlineStr">
        <is>
          <t xml:space="preserve">ship_repair_maintenance</t>
        </is>
      </c>
      <c r="G193" s="0" t="inlineStr">
        <is>
          <t xml:space="preserve">336611</t>
        </is>
      </c>
      <c r="H193" s="0" t="inlineStr">
        <is>
          <t xml:space="preserve">J999</t>
        </is>
      </c>
      <c r="I193" s="0" t="inlineStr">
        <is>
          <t xml:space="preserve">USNS CHARLES DREW (T-AKE 10) VRA KR</t>
        </is>
      </c>
      <c r="J193" s="0" t="inlineStr">
        <is>
          <t xml:space="preserve">N6264926RK010</t>
        </is>
      </c>
    </row>
    <row r="194">
      <c r="B194" s="0" t="inlineStr">
        <is>
          <t xml:space="preserve">f52dd0e9ae944241a5702af1e32ef2ed</t>
        </is>
      </c>
      <c r="C194" s="0" t="inlineStr">
        <is>
          <t xml:space="preserve">Solicitation</t>
        </is>
      </c>
      <c r="D194" s="0" t="inlineStr">
        <is>
          <t xml:space="preserve">2026-05-26</t>
        </is>
      </c>
      <c r="E194" s="0" t="inlineStr">
        <is>
          <t xml:space="preserve">Navy/USMC</t>
        </is>
      </c>
      <c r="F194" s="0" t="inlineStr">
        <is>
          <t xml:space="preserve">marine_components_parts</t>
        </is>
      </c>
      <c r="G194" s="0" t="inlineStr">
        <is>
          <t xml:space="preserve">336611</t>
        </is>
      </c>
      <c r="H194" s="0" t="inlineStr">
        <is>
          <t xml:space="preserve">2090</t>
        </is>
      </c>
      <c r="I194" s="0" t="inlineStr">
        <is>
          <t xml:space="preserve">WATER TIGHT HATCH</t>
        </is>
      </c>
      <c r="J194" s="0" t="inlineStr">
        <is>
          <t xml:space="preserve">N0040626Q0234</t>
        </is>
      </c>
    </row>
    <row r="195">
      <c r="B195" s="0" t="inlineStr">
        <is>
          <t xml:space="preserve">d06bd11677c14f1fa0e205cde266b266</t>
        </is>
      </c>
      <c r="C195" s="0" t="inlineStr">
        <is>
          <t xml:space="preserve">Solicitation</t>
        </is>
      </c>
      <c r="D195" s="0" t="inlineStr">
        <is>
          <t xml:space="preserve">2026-05-26</t>
        </is>
      </c>
      <c r="E195" s="0" t="inlineStr">
        <is>
          <t xml:space="preserve">Army</t>
        </is>
      </c>
      <c r="F195" s="0" t="inlineStr">
        <is>
          <t xml:space="preserve">ship_repair_maintenance</t>
        </is>
      </c>
      <c r="G195" s="0" t="inlineStr">
        <is>
          <t xml:space="preserve">336611</t>
        </is>
      </c>
      <c r="H195" s="0" t="inlineStr">
        <is>
          <t xml:space="preserve">2815</t>
        </is>
      </c>
      <c r="I195" s="0" t="inlineStr">
        <is>
          <t xml:space="preserve">M/V William James Main Caterpillar Engines Overhaul</t>
        </is>
      </c>
      <c r="J195" s="0" t="inlineStr">
        <is>
          <t xml:space="preserve">W912EE26QA021</t>
        </is>
      </c>
    </row>
    <row r="196">
      <c r="B196" s="0" t="inlineStr">
        <is>
          <t xml:space="preserve">74042c4d0bd941b68ccd2582aea4dd26</t>
        </is>
      </c>
      <c r="C196" s="0" t="inlineStr">
        <is>
          <t xml:space="preserve">Combined Synopsis/Solicitation</t>
        </is>
      </c>
      <c r="D196" s="0" t="inlineStr">
        <is>
          <t xml:space="preserve">2026-05-28</t>
        </is>
      </c>
      <c r="E196" s="0" t="inlineStr">
        <is>
          <t xml:space="preserve">Army</t>
        </is>
      </c>
      <c r="F196" s="0" t="inlineStr">
        <is>
          <t xml:space="preserve">ship_repair_maintenance</t>
        </is>
      </c>
      <c r="G196" s="0" t="inlineStr">
        <is>
          <t xml:space="preserve">336611</t>
        </is>
      </c>
      <c r="H196" s="0" t="inlineStr">
        <is>
          <t xml:space="preserve">J019</t>
        </is>
      </c>
      <c r="I196" s="0" t="inlineStr">
        <is>
          <t xml:space="preserve">DCV Gelberman shipyard repairs</t>
        </is>
      </c>
      <c r="J196" s="0" t="inlineStr">
        <is>
          <t xml:space="preserve">W912DS26RA020</t>
        </is>
      </c>
    </row>
    <row r="197">
      <c r="B197" s="0" t="inlineStr">
        <is>
          <t xml:space="preserve">f506af7892de45ba94c179de2b07df41</t>
        </is>
      </c>
      <c r="C197" s="0" t="inlineStr">
        <is>
          <t xml:space="preserve">Special Notice</t>
        </is>
      </c>
      <c r="D197" s="0" t="inlineStr">
        <is>
          <t xml:space="preserve">2026-05-28</t>
        </is>
      </c>
      <c r="E197" s="0" t="inlineStr">
        <is>
          <t xml:space="preserve">Navy/USMC</t>
        </is>
      </c>
      <c r="F197" s="0" t="inlineStr">
        <is>
          <t xml:space="preserve">other</t>
        </is>
      </c>
      <c r="G197" s="0" t="inlineStr">
        <is>
          <t xml:space="preserve">336612</t>
        </is>
      </c>
      <c r="H197" s="0" t="inlineStr">
        <is>
          <t xml:space="preserve">5340</t>
        </is>
      </c>
      <c r="I197" s="0" t="inlineStr">
        <is>
          <t xml:space="preserve">Notice of Intent To Sole Source Award to SeaSatellites, Inc.</t>
        </is>
      </c>
      <c r="J197" s="0" t="inlineStr">
        <is>
          <t xml:space="preserve">N6600126Q6169</t>
        </is>
      </c>
    </row>
    <row r="198">
      <c r="B198" s="0" t="inlineStr">
        <is>
          <t xml:space="preserve">02ab6c04e406437b9fa065582a0d980d</t>
        </is>
      </c>
      <c r="C198" s="0" t="inlineStr">
        <is>
          <t xml:space="preserve">Solicitation</t>
        </is>
      </c>
      <c r="D198" s="0" t="inlineStr">
        <is>
          <t xml:space="preserve">2026-05-29</t>
        </is>
      </c>
      <c r="E198" s="0" t="inlineStr">
        <is>
          <t xml:space="preserve">Navy/USMC</t>
        </is>
      </c>
      <c r="F198" s="0" t="inlineStr">
        <is>
          <t xml:space="preserve">ship_repair_maintenance</t>
        </is>
      </c>
      <c r="G198" s="0" t="inlineStr">
        <is>
          <t xml:space="preserve">336611</t>
        </is>
      </c>
      <c r="H198" s="0" t="inlineStr">
        <is>
          <t xml:space="preserve">J998</t>
        </is>
      </c>
      <c r="I198" s="0" t="inlineStr">
        <is>
          <t xml:space="preserve">USNS LARAMIE (T-AO 203) MTA</t>
        </is>
      </c>
      <c r="J198" s="0" t="inlineStr">
        <is>
          <t xml:space="preserve">N3220526R6058</t>
        </is>
      </c>
    </row>
    <row r="199">
      <c r="B199" s="0" t="inlineStr">
        <is>
          <t xml:space="preserve">14e28be08f154268b6d27ebff3e09770</t>
        </is>
      </c>
      <c r="C199" s="0" t="inlineStr">
        <is>
          <t xml:space="preserve">Presolicitation</t>
        </is>
      </c>
      <c r="D199" s="0" t="inlineStr">
        <is>
          <t xml:space="preserve">2026-06-01</t>
        </is>
      </c>
      <c r="E199" s="0" t="inlineStr">
        <is>
          <t xml:space="preserve">Navy/USMC</t>
        </is>
      </c>
      <c r="F199" s="0" t="inlineStr">
        <is>
          <t xml:space="preserve">other</t>
        </is>
      </c>
      <c r="G199" s="0" t="inlineStr">
        <is>
          <t xml:space="preserve">336611</t>
        </is>
      </c>
      <c r="H199" s="0" t="inlineStr">
        <is>
          <t xml:space="preserve">5220</t>
        </is>
      </c>
      <c r="I199" s="0" t="inlineStr">
        <is>
          <t xml:space="preserve">Propeller Blade Gage Set</t>
        </is>
      </c>
      <c r="J199" s="0" t="inlineStr">
        <is>
          <t xml:space="preserve">N6449826Q5183</t>
        </is>
      </c>
    </row>
    <row r="200">
      <c r="B200" s="0" t="inlineStr">
        <is>
          <t xml:space="preserve">5e824a2ff82047868294e97b187d0f72</t>
        </is>
      </c>
      <c r="C200" s="0" t="inlineStr">
        <is>
          <t xml:space="preserve">Combined Synopsis/Solicitation</t>
        </is>
      </c>
      <c r="D200" s="0" t="inlineStr">
        <is>
          <t xml:space="preserve">2026-06-02</t>
        </is>
      </c>
      <c r="E200" s="0" t="inlineStr">
        <is>
          <t xml:space="preserve">Coast Guard</t>
        </is>
      </c>
      <c r="F200" s="0" t="inlineStr">
        <is>
          <t xml:space="preserve">marine_components_parts</t>
        </is>
      </c>
      <c r="G200" s="0" t="inlineStr">
        <is>
          <t xml:space="preserve">336611</t>
        </is>
      </c>
      <c r="H200" s="0" t="inlineStr">
        <is>
          <t xml:space="preserve">2090</t>
        </is>
      </c>
      <c r="I200" s="0" t="inlineStr">
        <is>
          <t xml:space="preserve">USCGC Hamilton Replacement UPS</t>
        </is>
      </c>
      <c r="J200" s="0" t="inlineStr">
        <is>
          <t xml:space="preserve">70z08526Q0025519</t>
        </is>
      </c>
    </row>
    <row r="201">
      <c r="B201" s="0" t="inlineStr">
        <is>
          <t xml:space="preserve">6cbf988691044d9d8bc26145d65c3603</t>
        </is>
      </c>
      <c r="C201" s="0" t="inlineStr">
        <is>
          <t xml:space="preserve">Special Notice</t>
        </is>
      </c>
      <c r="D201" s="0" t="inlineStr">
        <is>
          <t xml:space="preserve">2026-03-06</t>
        </is>
      </c>
      <c r="E201" s="0" t="inlineStr">
        <is>
          <t xml:space="preserve">Navy/USMC</t>
        </is>
      </c>
      <c r="F201" s="0" t="inlineStr">
        <is>
          <t xml:space="preserve">ship_repair_maintenance</t>
        </is>
      </c>
      <c r="G201" s="0" t="inlineStr">
        <is>
          <t xml:space="preserve">336611</t>
        </is>
      </c>
      <c r="H201" s="0" t="inlineStr">
        <is>
          <t xml:space="preserve">J020</t>
        </is>
      </c>
      <c r="I201" s="0" t="inlineStr">
        <is>
          <t xml:space="preserve">Domestic Private Sector CMAV Workload Estimate</t>
        </is>
      </c>
      <c r="J201" s="0" t="inlineStr">
        <is>
          <t xml:space="preserve">CNRMC-CMAV-Projections</t>
        </is>
      </c>
    </row>
    <row r="202">
      <c r="B202" s="0" t="inlineStr">
        <is>
          <t xml:space="preserve">1a8aa5b1884348718fc5640af98338d8</t>
        </is>
      </c>
      <c r="C202" s="0" t="inlineStr">
        <is>
          <t xml:space="preserve">Solicitation</t>
        </is>
      </c>
      <c r="D202" s="0" t="inlineStr">
        <is>
          <t xml:space="preserve">2026-05-11</t>
        </is>
      </c>
      <c r="E202" s="0" t="inlineStr">
        <is>
          <t xml:space="preserve">Navy/USMC</t>
        </is>
      </c>
      <c r="F202" s="0" t="inlineStr">
        <is>
          <t xml:space="preserve">ship_repair_maintenance</t>
        </is>
      </c>
      <c r="G202" s="0" t="inlineStr">
        <is>
          <t xml:space="preserve">336611</t>
        </is>
      </c>
      <c r="H202" s="0" t="inlineStr">
        <is>
          <t xml:space="preserve">2090</t>
        </is>
      </c>
      <c r="I202" s="0" t="inlineStr">
        <is>
          <t xml:space="preserve">20--ACCUMULATOR,HYDRAUL, IN REPAIR/MODIFICATION OF</t>
        </is>
      </c>
      <c r="J202" s="0" t="inlineStr">
        <is>
          <t xml:space="preserve">N0010426QYA84</t>
        </is>
      </c>
    </row>
    <row r="203">
      <c r="B203" s="0" t="inlineStr">
        <is>
          <t xml:space="preserve">a695034e76944761955cc359b7064efc</t>
        </is>
      </c>
      <c r="C203" s="0" t="inlineStr">
        <is>
          <t xml:space="preserve">Solicitation</t>
        </is>
      </c>
      <c r="D203" s="0" t="inlineStr">
        <is>
          <t xml:space="preserve">2026-05-14</t>
        </is>
      </c>
      <c r="E203" s="0" t="inlineStr">
        <is>
          <t xml:space="preserve">Navy/USMC</t>
        </is>
      </c>
      <c r="F203" s="0" t="inlineStr">
        <is>
          <t xml:space="preserve">ship_repair_maintenance</t>
        </is>
      </c>
      <c r="G203" s="0" t="inlineStr">
        <is>
          <t xml:space="preserve">336611</t>
        </is>
      </c>
      <c r="H203" s="0" t="inlineStr">
        <is>
          <t xml:space="preserve">J999</t>
        </is>
      </c>
      <c r="I203" s="0" t="inlineStr">
        <is>
          <t xml:space="preserve">USS BLUE RIDGE (LCC-19) TGI 3819P24302-A01, Yokosuka Japan</t>
        </is>
      </c>
      <c r="J203" s="0" t="inlineStr">
        <is>
          <t xml:space="preserve">N6264926RA037</t>
        </is>
      </c>
    </row>
    <row r="204">
      <c r="B204" s="0" t="inlineStr">
        <is>
          <t xml:space="preserve">147518421be04fadab0b3a7b64a5315b</t>
        </is>
      </c>
      <c r="C204" s="0" t="inlineStr">
        <is>
          <t xml:space="preserve">Sources Sought</t>
        </is>
      </c>
      <c r="D204" s="0" t="inlineStr">
        <is>
          <t xml:space="preserve">2026-05-18</t>
        </is>
      </c>
      <c r="E204" s="0" t="inlineStr">
        <is>
          <t xml:space="preserve">Coast Guard</t>
        </is>
      </c>
      <c r="F204" s="0" t="inlineStr">
        <is>
          <t xml:space="preserve">ship_repair_maintenance</t>
        </is>
      </c>
      <c r="G204" s="0" t="inlineStr">
        <is>
          <t xml:space="preserve">336611</t>
        </is>
      </c>
      <c r="H204" s="0" t="inlineStr">
        <is>
          <t xml:space="preserve">J999</t>
        </is>
      </c>
      <c r="I204" s="0" t="inlineStr">
        <is>
          <t xml:space="preserve">DRYDOCK: USCGC ROBERT WARD FY27</t>
        </is>
      </c>
      <c r="J204" s="0" t="inlineStr">
        <is>
          <t xml:space="preserve">70Z08027PBPLRWARD</t>
        </is>
      </c>
    </row>
    <row r="205">
      <c r="B205" s="0" t="inlineStr">
        <is>
          <t xml:space="preserve">5da8ec8832a04645b9626f76915d3a3c</t>
        </is>
      </c>
      <c r="C205" s="0" t="inlineStr">
        <is>
          <t xml:space="preserve">Combined Synopsis/Solicitation</t>
        </is>
      </c>
      <c r="D205" s="0" t="inlineStr">
        <is>
          <t xml:space="preserve">2026-05-26</t>
        </is>
      </c>
      <c r="E205" s="0" t="inlineStr">
        <is>
          <t xml:space="preserve">Navy/USMC</t>
        </is>
      </c>
      <c r="F205" s="0" t="inlineStr">
        <is>
          <t xml:space="preserve">marine_components_parts</t>
        </is>
      </c>
      <c r="G205" s="0" t="inlineStr">
        <is>
          <t xml:space="preserve">336611</t>
        </is>
      </c>
      <c r="H205" s="0" t="inlineStr">
        <is>
          <t xml:space="preserve">2010</t>
        </is>
      </c>
      <c r="I205" s="0" t="inlineStr">
        <is>
          <t xml:space="preserve">FABRICATION OF ONE STERN TUBE SHAFT ASSEMBLY</t>
        </is>
      </c>
      <c r="J205" s="0" t="inlineStr">
        <is>
          <t xml:space="preserve">N0040626Q0177</t>
        </is>
      </c>
    </row>
    <row r="206">
      <c r="B206" s="0" t="inlineStr">
        <is>
          <t xml:space="preserve">05d1f5990e28480dbd2aa65aa60f0681</t>
        </is>
      </c>
      <c r="C206" s="0" t="inlineStr">
        <is>
          <t xml:space="preserve">Combined Synopsis/Solicitation</t>
        </is>
      </c>
      <c r="D206" s="0" t="inlineStr">
        <is>
          <t xml:space="preserve">2026-05-26</t>
        </is>
      </c>
      <c r="E206" s="0" t="inlineStr">
        <is>
          <t xml:space="preserve">Other DoD</t>
        </is>
      </c>
      <c r="F206" s="0" t="inlineStr">
        <is>
          <t xml:space="preserve">marine_components_parts</t>
        </is>
      </c>
      <c r="G206" s="0" t="inlineStr">
        <is>
          <t xml:space="preserve">336611</t>
        </is>
      </c>
      <c r="H206" s="0" t="inlineStr">
        <is>
          <t xml:space="preserve">59</t>
        </is>
      </c>
      <c r="I206" s="0" t="inlineStr">
        <is>
          <t xml:space="preserve">59--PLUG ASSEMBLY,OUTBO</t>
        </is>
      </c>
      <c r="J206" s="0" t="inlineStr">
        <is>
          <t xml:space="preserve">SPE7M526T204S</t>
        </is>
      </c>
    </row>
    <row r="207">
      <c r="B207" s="0" t="inlineStr">
        <is>
          <t xml:space="preserve">9e10183dca2f4dc88be4e7a26424462b</t>
        </is>
      </c>
      <c r="C207" s="0" t="inlineStr">
        <is>
          <t xml:space="preserve">Combined Synopsis/Solicitation</t>
        </is>
      </c>
      <c r="D207" s="0" t="inlineStr">
        <is>
          <t xml:space="preserve">2026-05-27</t>
        </is>
      </c>
      <c r="E207" s="0" t="inlineStr">
        <is>
          <t xml:space="preserve">Civil/Other</t>
        </is>
      </c>
      <c r="F207" s="0" t="inlineStr">
        <is>
          <t xml:space="preserve">ship_repair_maintenance</t>
        </is>
      </c>
      <c r="G207" s="0" t="inlineStr">
        <is>
          <t xml:space="preserve">336611</t>
        </is>
      </c>
      <c r="H207" s="0" t="inlineStr">
        <is>
          <t xml:space="preserve">J019</t>
        </is>
      </c>
      <c r="I207" s="0" t="inlineStr">
        <is>
          <t xml:space="preserve">JRRF Drydocking and Repair of the PF205 Patrol Boat</t>
        </is>
      </c>
      <c r="J207" s="0" t="inlineStr">
        <is>
          <t xml:space="preserve">6933A226Q000011</t>
        </is>
      </c>
    </row>
    <row r="208">
      <c r="B208" s="0" t="inlineStr">
        <is>
          <t xml:space="preserve">01c090fb2a8943de931b461421385663</t>
        </is>
      </c>
      <c r="C208" s="0" t="inlineStr">
        <is>
          <t xml:space="preserve">Combined Synopsis/Solicitation</t>
        </is>
      </c>
      <c r="D208" s="0" t="inlineStr">
        <is>
          <t xml:space="preserve">2026-05-28</t>
        </is>
      </c>
      <c r="E208" s="0" t="inlineStr">
        <is>
          <t xml:space="preserve">Other DoD</t>
        </is>
      </c>
      <c r="F208" s="0" t="inlineStr">
        <is>
          <t xml:space="preserve">marine_components_parts</t>
        </is>
      </c>
      <c r="G208" s="0" t="inlineStr">
        <is>
          <t xml:space="preserve">336611</t>
        </is>
      </c>
      <c r="H208" s="0" t="inlineStr">
        <is>
          <t xml:space="preserve">47</t>
        </is>
      </c>
      <c r="I208" s="0" t="inlineStr">
        <is>
          <t xml:space="preserve">47--EXPANSION JOINT,PIP</t>
        </is>
      </c>
      <c r="J208" s="0" t="inlineStr">
        <is>
          <t xml:space="preserve">SPE7M326T6282</t>
        </is>
      </c>
    </row>
    <row r="209">
      <c r="B209" s="0" t="inlineStr">
        <is>
          <t xml:space="preserve">03765d4ed09842f2a5510221acaa32ff</t>
        </is>
      </c>
      <c r="C209" s="0" t="inlineStr">
        <is>
          <t xml:space="preserve">Combined Synopsis/Solicitation</t>
        </is>
      </c>
      <c r="D209" s="0" t="inlineStr">
        <is>
          <t xml:space="preserve">2026-06-01</t>
        </is>
      </c>
      <c r="E209" s="0" t="inlineStr">
        <is>
          <t xml:space="preserve">Coast Guard</t>
        </is>
      </c>
      <c r="F209" s="0" t="inlineStr">
        <is>
          <t xml:space="preserve">ship_repair_maintenance</t>
        </is>
      </c>
      <c r="G209" s="0" t="inlineStr">
        <is>
          <t xml:space="preserve">336611</t>
        </is>
      </c>
      <c r="H209" s="0" t="inlineStr">
        <is>
          <t xml:space="preserve">J020</t>
        </is>
      </c>
      <c r="I209" s="0" t="inlineStr">
        <is>
          <t xml:space="preserve">USCGC Stratton Hydraulic Cylinder Overhaul</t>
        </is>
      </c>
      <c r="J209" s="0" t="inlineStr">
        <is>
          <t xml:space="preserve">70Z08526Q0025518</t>
        </is>
      </c>
    </row>
    <row r="210">
      <c r="B210" s="0" t="inlineStr">
        <is>
          <t xml:space="preserve">9e1573680e7d4cd1a5cd5db2b8705351</t>
        </is>
      </c>
      <c r="C210" s="0" t="inlineStr">
        <is>
          <t xml:space="preserve">Combined Synopsis/Solicitation</t>
        </is>
      </c>
      <c r="D210" s="0" t="inlineStr">
        <is>
          <t xml:space="preserve">2026-06-02</t>
        </is>
      </c>
      <c r="E210" s="0" t="inlineStr">
        <is>
          <t xml:space="preserve">Coast Guard</t>
        </is>
      </c>
      <c r="F210" s="0" t="inlineStr">
        <is>
          <t xml:space="preserve">ship_repair_maintenance</t>
        </is>
      </c>
      <c r="G210" s="0" t="inlineStr">
        <is>
          <t xml:space="preserve">336611</t>
        </is>
      </c>
      <c r="H210" s="0" t="inlineStr">
        <is>
          <t xml:space="preserve">J998</t>
        </is>
      </c>
      <c r="I210" s="0" t="inlineStr">
        <is>
          <t xml:space="preserve">USCGC NORTHLAND DS1 FY26</t>
        </is>
      </c>
      <c r="J210" s="0" t="inlineStr">
        <is>
          <t xml:space="preserve">70Z08026QMECP0013</t>
        </is>
      </c>
    </row>
    <row r="211">
      <c r="B211" s="0" t="inlineStr">
        <is>
          <t xml:space="preserve">092f190f383f469eb2b88691fe2f9f79</t>
        </is>
      </c>
      <c r="C211" s="0" t="inlineStr">
        <is>
          <t xml:space="preserve">Solicitation</t>
        </is>
      </c>
      <c r="D211" s="0" t="inlineStr">
        <is>
          <t xml:space="preserve">2026-06-02</t>
        </is>
      </c>
      <c r="E211" s="0" t="inlineStr">
        <is>
          <t xml:space="preserve">Navy/USMC</t>
        </is>
      </c>
      <c r="F211" s="0" t="inlineStr">
        <is>
          <t xml:space="preserve">marine_components_parts</t>
        </is>
      </c>
      <c r="G211" s="0" t="inlineStr">
        <is>
          <t xml:space="preserve">336611</t>
        </is>
      </c>
      <c r="H211" s="0" t="inlineStr">
        <is>
          <t xml:space="preserve">2090</t>
        </is>
      </c>
      <c r="I211" s="0" t="inlineStr">
        <is>
          <t xml:space="preserve">2090 WINDOW MARINE</t>
        </is>
      </c>
      <c r="J211" s="0" t="inlineStr">
        <is>
          <t xml:space="preserve">N0040626Q0258</t>
        </is>
      </c>
    </row>
    <row r="212">
      <c r="B212" s="0" t="inlineStr">
        <is>
          <t xml:space="preserve">36a4a122d072458692e31bec77a04407</t>
        </is>
      </c>
      <c r="C212" s="0" t="inlineStr">
        <is>
          <t xml:space="preserve">Special Notice</t>
        </is>
      </c>
      <c r="D212" s="0" t="inlineStr">
        <is>
          <t xml:space="preserve">2026-06-03</t>
        </is>
      </c>
      <c r="E212" s="0" t="inlineStr">
        <is>
          <t xml:space="preserve">Coast Guard</t>
        </is>
      </c>
      <c r="F212" s="0" t="inlineStr">
        <is>
          <t xml:space="preserve">marine_components_parts</t>
        </is>
      </c>
      <c r="G212" s="0" t="inlineStr">
        <is>
          <t xml:space="preserve">336611</t>
        </is>
      </c>
      <c r="H212" s="0" t="inlineStr">
        <is>
          <t xml:space="preserve">2090</t>
        </is>
      </c>
      <c r="I212" s="0" t="inlineStr">
        <is>
          <t xml:space="preserve">USCGC WALNUT AIR COMPRESSOR</t>
        </is>
      </c>
      <c r="J212" s="0" t="inlineStr">
        <is>
          <t xml:space="preserve">70Z08526Q025240</t>
        </is>
      </c>
    </row>
    <row r="213">
      <c r="B213" s="0" t="inlineStr">
        <is>
          <t xml:space="preserve">522e30862bf148eda0864aa3e72a30bd</t>
        </is>
      </c>
      <c r="C213" s="0" t="inlineStr">
        <is>
          <t xml:space="preserve">Special Notice</t>
        </is>
      </c>
      <c r="D213" s="0" t="inlineStr">
        <is>
          <t xml:space="preserve">2026-06-04</t>
        </is>
      </c>
      <c r="E213" s="0" t="inlineStr">
        <is>
          <t xml:space="preserve">Coast Guard</t>
        </is>
      </c>
      <c r="F213" s="0" t="inlineStr">
        <is>
          <t xml:space="preserve">ship_repair_maintenance</t>
        </is>
      </c>
      <c r="G213" s="0" t="inlineStr">
        <is>
          <t xml:space="preserve">336611</t>
        </is>
      </c>
      <c r="H213" s="0" t="inlineStr">
        <is>
          <t xml:space="preserve">J020</t>
        </is>
      </c>
      <c r="I213" s="0" t="inlineStr">
        <is>
          <t xml:space="preserve">Notice of Intent</t>
        </is>
      </c>
      <c r="J213" s="0" t="inlineStr">
        <is>
          <t xml:space="preserve">52000PR260025578</t>
        </is>
      </c>
    </row>
    <row r="214">
      <c r="B214" s="0" t="inlineStr">
        <is>
          <t xml:space="preserve">000294af600f47a8bcf14ba211fed5b2</t>
        </is>
      </c>
      <c r="C214" s="0" t="inlineStr">
        <is>
          <t xml:space="preserve">Solicitation</t>
        </is>
      </c>
      <c r="D214" s="0" t="inlineStr">
        <is>
          <t xml:space="preserve">2026-06-08</t>
        </is>
      </c>
      <c r="E214" s="0" t="inlineStr">
        <is>
          <t xml:space="preserve">Navy/USMC</t>
        </is>
      </c>
      <c r="F214" s="0" t="inlineStr">
        <is>
          <t xml:space="preserve">ship_repair_maintenance</t>
        </is>
      </c>
      <c r="G214" s="0" t="inlineStr">
        <is>
          <t xml:space="preserve">336611</t>
        </is>
      </c>
      <c r="H214" s="0" t="inlineStr">
        <is>
          <t xml:space="preserve">J020</t>
        </is>
      </c>
      <c r="I214" s="0" t="inlineStr">
        <is>
          <t xml:space="preserve">LA Class Submarine Tank Pumping</t>
        </is>
      </c>
      <c r="J214" s="0" t="inlineStr">
        <is>
          <t xml:space="preserve">N32253-26-Q-0053</t>
        </is>
      </c>
    </row>
    <row r="215">
      <c r="B215" s="0" t="inlineStr">
        <is>
          <t xml:space="preserve">02d0825cee8246c9aeb59f2e3a54b71f</t>
        </is>
      </c>
      <c r="C215" s="0" t="inlineStr">
        <is>
          <t xml:space="preserve">Solicitation</t>
        </is>
      </c>
      <c r="D215" s="0" t="inlineStr">
        <is>
          <t xml:space="preserve">2026-05-29</t>
        </is>
      </c>
      <c r="E215" s="0" t="inlineStr">
        <is>
          <t xml:space="preserve">Navy/USMC</t>
        </is>
      </c>
      <c r="F215" s="0" t="inlineStr">
        <is>
          <t xml:space="preserve">ship_repair_maintenance</t>
        </is>
      </c>
      <c r="G215" s="0" t="inlineStr">
        <is>
          <t xml:space="preserve">336611</t>
        </is>
      </c>
      <c r="H215" s="0" t="inlineStr">
        <is>
          <t xml:space="preserve">J998</t>
        </is>
      </c>
      <c r="I215" s="0" t="inlineStr">
        <is>
          <t xml:space="preserve">USNS LEROY GRUMMAN (T-AO 195) FY27 ROH/DD</t>
        </is>
      </c>
      <c r="J215" s="0" t="inlineStr">
        <is>
          <t xml:space="preserve">N3220526R0027</t>
        </is>
      </c>
    </row>
    <row r="216">
      <c r="B216" s="0" t="inlineStr">
        <is>
          <t xml:space="preserve">51313dbb5fae4216bb1f00330fd06152</t>
        </is>
      </c>
      <c r="C216" s="0" t="inlineStr">
        <is>
          <t xml:space="preserve">Combined Synopsis/Solicitation</t>
        </is>
      </c>
      <c r="D216" s="0" t="inlineStr">
        <is>
          <t xml:space="preserve">2026-06-01</t>
        </is>
      </c>
      <c r="E216" s="0" t="inlineStr">
        <is>
          <t xml:space="preserve">Army</t>
        </is>
      </c>
      <c r="F216" s="0" t="inlineStr">
        <is>
          <t xml:space="preserve">ship_repair_maintenance</t>
        </is>
      </c>
      <c r="G216" s="0" t="inlineStr">
        <is>
          <t xml:space="preserve">336611</t>
        </is>
      </c>
      <c r="H216" s="0" t="inlineStr">
        <is>
          <t xml:space="preserve">J019</t>
        </is>
      </c>
      <c r="I216" s="0" t="inlineStr">
        <is>
          <t xml:space="preserve">USACE Survey Vessel RANDY S. CUMMINGS Dry Dock Services</t>
        </is>
      </c>
      <c r="J216" s="0" t="inlineStr">
        <is>
          <t xml:space="preserve">W912P726QA008</t>
        </is>
      </c>
    </row>
    <row r="217">
      <c r="B217" s="0" t="inlineStr">
        <is>
          <t xml:space="preserve">865b6bfc50e9493fa7ea5c7964735e1d</t>
        </is>
      </c>
      <c r="C217" s="0" t="inlineStr">
        <is>
          <t xml:space="preserve">Solicitation</t>
        </is>
      </c>
      <c r="D217" s="0" t="inlineStr">
        <is>
          <t xml:space="preserve">2026-06-02</t>
        </is>
      </c>
      <c r="E217" s="0" t="inlineStr">
        <is>
          <t xml:space="preserve">Navy/USMC</t>
        </is>
      </c>
      <c r="F217" s="0" t="inlineStr">
        <is>
          <t xml:space="preserve">ship_repair_maintenance</t>
        </is>
      </c>
      <c r="G217" s="0" t="inlineStr">
        <is>
          <t xml:space="preserve">336611</t>
        </is>
      </c>
      <c r="H217" s="0" t="inlineStr">
        <is>
          <t xml:space="preserve">J999</t>
        </is>
      </c>
      <c r="I217" s="0" t="inlineStr">
        <is>
          <t xml:space="preserve">USS RAFAEL PERALTA (DDG-115) 6JI SIA FARM OUT BUNDLE 2</t>
        </is>
      </c>
      <c r="J217" s="0" t="inlineStr">
        <is>
          <t xml:space="preserve">N6264926RA049</t>
        </is>
      </c>
    </row>
    <row r="218">
      <c r="B218" s="0" t="inlineStr">
        <is>
          <t xml:space="preserve">1915495bec8845b19ba2d13beebcedfe</t>
        </is>
      </c>
      <c r="C218" s="0" t="inlineStr">
        <is>
          <t xml:space="preserve">Sources Sought</t>
        </is>
      </c>
      <c r="D218" s="0" t="inlineStr">
        <is>
          <t xml:space="preserve">2026-06-02</t>
        </is>
      </c>
      <c r="E218" s="0" t="inlineStr">
        <is>
          <t xml:space="preserve">Other DoD</t>
        </is>
      </c>
      <c r="F218" s="0" t="inlineStr">
        <is>
          <t xml:space="preserve">vessel_procurement</t>
        </is>
      </c>
      <c r="G218" s="0" t="inlineStr">
        <is>
          <t xml:space="preserve">336612</t>
        </is>
      </c>
      <c r="H218" s="0" t="inlineStr">
        <is>
          <t xml:space="preserve">1990</t>
        </is>
      </c>
      <c r="I218" s="0" t="inlineStr">
        <is>
          <t xml:space="preserve">SOURCES SOUGHT 18FT PONTOON BOAT</t>
        </is>
      </c>
      <c r="J218" s="0" t="inlineStr">
        <is>
          <t xml:space="preserve">SOURCESSOUGHT18FTPONTOONBOAT</t>
        </is>
      </c>
    </row>
    <row r="219">
      <c r="B219" s="0" t="inlineStr">
        <is>
          <t xml:space="preserve">9cc22ae70ff049d7a4c89ca2fd68109e</t>
        </is>
      </c>
      <c r="C219" s="0" t="inlineStr">
        <is>
          <t xml:space="preserve">Combined Synopsis/Solicitation</t>
        </is>
      </c>
      <c r="D219" s="0" t="inlineStr">
        <is>
          <t xml:space="preserve">2026-06-04</t>
        </is>
      </c>
      <c r="E219" s="0" t="inlineStr">
        <is>
          <t xml:space="preserve">Coast Guard</t>
        </is>
      </c>
      <c r="F219" s="0" t="inlineStr">
        <is>
          <t xml:space="preserve">marine_components_parts</t>
        </is>
      </c>
      <c r="G219" s="0" t="inlineStr">
        <is>
          <t xml:space="preserve">336611</t>
        </is>
      </c>
      <c r="H219" s="0" t="inlineStr">
        <is>
          <t xml:space="preserve">2090</t>
        </is>
      </c>
      <c r="I219" s="0" t="inlineStr">
        <is>
          <t xml:space="preserve">USCGC Waesche UPS</t>
        </is>
      </c>
      <c r="J219" s="0" t="inlineStr">
        <is>
          <t xml:space="preserve">70Z08526Q0025214</t>
        </is>
      </c>
    </row>
    <row r="220">
      <c r="B220" s="0" t="inlineStr">
        <is>
          <t xml:space="preserve">147f44b5cca24de99d0c906b21bcbe37</t>
        </is>
      </c>
      <c r="C220" s="0" t="inlineStr">
        <is>
          <t xml:space="preserve">Solicitation</t>
        </is>
      </c>
      <c r="D220" s="0" t="inlineStr">
        <is>
          <t xml:space="preserve">2026-05-11</t>
        </is>
      </c>
      <c r="E220" s="0" t="inlineStr">
        <is>
          <t xml:space="preserve">Navy/USMC</t>
        </is>
      </c>
      <c r="F220" s="0" t="inlineStr">
        <is>
          <t xml:space="preserve">ship_repair_maintenance</t>
        </is>
      </c>
      <c r="G220" s="0" t="inlineStr">
        <is>
          <t xml:space="preserve">336612</t>
        </is>
      </c>
      <c r="H220" s="0" t="inlineStr">
        <is>
          <t xml:space="preserve">2010</t>
        </is>
      </c>
      <c r="I220" s="0" t="inlineStr">
        <is>
          <t xml:space="preserve">2010- Repair of Virginia Class Propulsor Rotor Assembly</t>
        </is>
      </c>
      <c r="J220" s="0" t="inlineStr">
        <is>
          <t xml:space="preserve">N0010426QZ058</t>
        </is>
      </c>
    </row>
    <row r="221">
      <c r="B221" s="0" t="inlineStr">
        <is>
          <t xml:space="preserve">2424c99e88ae43a896e5d5c439a30af9</t>
        </is>
      </c>
      <c r="C221" s="0" t="inlineStr">
        <is>
          <t xml:space="preserve">Solicitation</t>
        </is>
      </c>
      <c r="D221" s="0" t="inlineStr">
        <is>
          <t xml:space="preserve">2026-05-21</t>
        </is>
      </c>
      <c r="E221" s="0" t="inlineStr">
        <is>
          <t xml:space="preserve">Navy/USMC</t>
        </is>
      </c>
      <c r="F221" s="0" t="inlineStr">
        <is>
          <t xml:space="preserve">marine_components_parts</t>
        </is>
      </c>
      <c r="G221" s="0" t="inlineStr">
        <is>
          <t xml:space="preserve">336611</t>
        </is>
      </c>
      <c r="H221" s="0" t="inlineStr">
        <is>
          <t xml:space="preserve">2090</t>
        </is>
      </c>
      <c r="I221" s="0" t="inlineStr">
        <is>
          <t xml:space="preserve">CHAIR,PDSTL WTHSTNR</t>
        </is>
      </c>
      <c r="J221" s="0" t="inlineStr">
        <is>
          <t xml:space="preserve">N0010425QBC47</t>
        </is>
      </c>
    </row>
    <row r="222">
      <c r="B222" s="0" t="inlineStr">
        <is>
          <t xml:space="preserve">2afa5c77d20f4b6687c5902f55273700</t>
        </is>
      </c>
      <c r="C222" s="0" t="inlineStr">
        <is>
          <t xml:space="preserve">Sources Sought</t>
        </is>
      </c>
      <c r="D222" s="0" t="inlineStr">
        <is>
          <t xml:space="preserve">2026-05-26</t>
        </is>
      </c>
      <c r="E222" s="0" t="inlineStr">
        <is>
          <t xml:space="preserve">Navy/USMC</t>
        </is>
      </c>
      <c r="F222" s="0" t="inlineStr">
        <is>
          <t xml:space="preserve">marine_components_parts</t>
        </is>
      </c>
      <c r="G222" s="0" t="inlineStr">
        <is>
          <t xml:space="preserve">336611</t>
        </is>
      </c>
      <c r="H222" s="0" t="inlineStr">
        <is>
          <t xml:space="preserve">2010</t>
        </is>
      </c>
      <c r="I222" s="0" t="inlineStr">
        <is>
          <t xml:space="preserve">PD-42-0283; CVN-78 Propulsion Shaft Procurement</t>
        </is>
      </c>
      <c r="J222" s="0" t="inlineStr">
        <is>
          <t xml:space="preserve">N64498-25-RFPREQ-PD-42-0283</t>
        </is>
      </c>
    </row>
    <row r="223">
      <c r="B223" s="0" t="inlineStr">
        <is>
          <t xml:space="preserve">6b4dd2c5b86d4b11ad7edec3800f453e</t>
        </is>
      </c>
      <c r="C223" s="0" t="inlineStr">
        <is>
          <t xml:space="preserve">Combined Synopsis/Solicitation</t>
        </is>
      </c>
      <c r="D223" s="0" t="inlineStr">
        <is>
          <t xml:space="preserve">2026-06-03</t>
        </is>
      </c>
      <c r="E223" s="0" t="inlineStr">
        <is>
          <t xml:space="preserve">Other DoD</t>
        </is>
      </c>
      <c r="F223" s="0" t="inlineStr">
        <is>
          <t xml:space="preserve">other</t>
        </is>
      </c>
      <c r="G223" s="0" t="inlineStr">
        <is>
          <t xml:space="preserve">336611</t>
        </is>
      </c>
      <c r="H223" s="0" t="inlineStr">
        <is>
          <t xml:space="preserve">69</t>
        </is>
      </c>
      <c r="I223" s="0" t="inlineStr">
        <is>
          <t xml:space="preserve">69--TRAINING SET,FIRE F</t>
        </is>
      </c>
      <c r="J223" s="0" t="inlineStr">
        <is>
          <t xml:space="preserve">SPE8E626Q0468</t>
        </is>
      </c>
    </row>
    <row r="224">
      <c r="B224" s="0" t="inlineStr">
        <is>
          <t xml:space="preserve">4d83aa8c9d944303b71391540794c8cd</t>
        </is>
      </c>
      <c r="C224" s="0" t="inlineStr">
        <is>
          <t xml:space="preserve">Combined Synopsis/Solicitation</t>
        </is>
      </c>
      <c r="D224" s="0" t="inlineStr">
        <is>
          <t xml:space="preserve">2026-06-04</t>
        </is>
      </c>
      <c r="E224" s="0" t="inlineStr">
        <is>
          <t xml:space="preserve">Coast Guard</t>
        </is>
      </c>
      <c r="F224" s="0" t="inlineStr">
        <is>
          <t xml:space="preserve">marine_components_parts</t>
        </is>
      </c>
      <c r="G224" s="0" t="inlineStr">
        <is>
          <t xml:space="preserve">336611</t>
        </is>
      </c>
      <c r="H224" s="0" t="inlineStr">
        <is>
          <t xml:space="preserve">2010</t>
        </is>
      </c>
      <c r="I224" s="0" t="inlineStr">
        <is>
          <t xml:space="preserve">MERCURY MARINE PARTS</t>
        </is>
      </c>
      <c r="J224" s="0" t="inlineStr">
        <is>
          <t xml:space="preserve">2126406B3000AC002</t>
        </is>
      </c>
    </row>
    <row r="225">
      <c r="B225" s="0" t="inlineStr">
        <is>
          <t xml:space="preserve">f335ccfe04f446ed87488d47bf8307a5</t>
        </is>
      </c>
      <c r="C225" s="0" t="inlineStr">
        <is>
          <t xml:space="preserve">Combined Synopsis/Solicitation</t>
        </is>
      </c>
      <c r="D225" s="0" t="inlineStr">
        <is>
          <t xml:space="preserve">2026-06-05</t>
        </is>
      </c>
      <c r="E225" s="0" t="inlineStr">
        <is>
          <t xml:space="preserve">Coast Guard</t>
        </is>
      </c>
      <c r="F225" s="0" t="inlineStr">
        <is>
          <t xml:space="preserve">other</t>
        </is>
      </c>
      <c r="G225" s="0" t="inlineStr">
        <is>
          <t xml:space="preserve">336611</t>
        </is>
      </c>
      <c r="H225" s="0" t="inlineStr">
        <is>
          <t xml:space="preserve">2815</t>
        </is>
      </c>
      <c r="I225" s="0" t="inlineStr">
        <is>
          <t xml:space="preserve">VOLVO PENTA OF THE AMERICAS PARTS ONLY</t>
        </is>
      </c>
      <c r="J225" s="0" t="inlineStr">
        <is>
          <t xml:space="preserve">2126406B4500ZH019</t>
        </is>
      </c>
    </row>
    <row r="226">
      <c r="B226" s="0" t="inlineStr">
        <is>
          <t xml:space="preserve">9cfc86f8ad8944998330531577f2d1f7</t>
        </is>
      </c>
      <c r="C226" s="0" t="inlineStr">
        <is>
          <t xml:space="preserve">Special Notice</t>
        </is>
      </c>
      <c r="D226" s="0" t="inlineStr">
        <is>
          <t xml:space="preserve">2026-06-08</t>
        </is>
      </c>
      <c r="E226" s="0" t="inlineStr">
        <is>
          <t xml:space="preserve">Other DoD</t>
        </is>
      </c>
      <c r="F226" s="0" t="inlineStr">
        <is>
          <t xml:space="preserve">other</t>
        </is>
      </c>
      <c r="G226" s="0" t="inlineStr">
        <is>
          <t xml:space="preserve">336611</t>
        </is>
      </c>
      <c r="H226" s="0" t="inlineStr">
        <is>
          <t xml:space="preserve">6150</t>
        </is>
      </c>
      <c r="I226" s="0" t="inlineStr">
        <is>
          <t xml:space="preserve">INNER ASSEMBLY</t>
        </is>
      </c>
      <c r="J226" s="0" t="inlineStr">
        <is>
          <t xml:space="preserve">N4523A60977033</t>
        </is>
      </c>
    </row>
    <row r="227">
      <c r="B227" s="0" t="inlineStr">
        <is>
          <t xml:space="preserve">8ba918c36b644226b76fa6e84450f918</t>
        </is>
      </c>
      <c r="C227" s="0" t="inlineStr">
        <is>
          <t xml:space="preserve">Solicitation</t>
        </is>
      </c>
      <c r="D227" s="0" t="inlineStr">
        <is>
          <t xml:space="preserve">2026-06-08</t>
        </is>
      </c>
      <c r="E227" s="0" t="inlineStr">
        <is>
          <t xml:space="preserve">Navy/USMC</t>
        </is>
      </c>
      <c r="F227" s="0" t="inlineStr">
        <is>
          <t xml:space="preserve">ship_repair_maintenance</t>
        </is>
      </c>
      <c r="G227" s="0" t="inlineStr">
        <is>
          <t xml:space="preserve">336611</t>
        </is>
      </c>
      <c r="H227" s="0" t="inlineStr">
        <is>
          <t xml:space="preserve">J999</t>
        </is>
      </c>
      <c r="I227" s="0" t="inlineStr">
        <is>
          <t xml:space="preserve">6A1 Corrective Maintenance for Puget Sound Naval Shipyard (PSNS) Barge YR-85 and YR-95</t>
        </is>
      </c>
      <c r="J227" s="0" t="inlineStr">
        <is>
          <t xml:space="preserve">N6264926RA041</t>
        </is>
      </c>
    </row>
    <row r="228">
      <c r="B228" s="0" t="inlineStr">
        <is>
          <t xml:space="preserve">0e720f4698374d6b81ce75eb19fcc3f8</t>
        </is>
      </c>
      <c r="C228" s="0" t="inlineStr">
        <is>
          <t xml:space="preserve">Combined Synopsis/Solicitation</t>
        </is>
      </c>
      <c r="D228" s="0" t="inlineStr">
        <is>
          <t xml:space="preserve">2026-06-08</t>
        </is>
      </c>
      <c r="E228" s="0" t="inlineStr">
        <is>
          <t xml:space="preserve">Coast Guard</t>
        </is>
      </c>
      <c r="F228" s="0" t="inlineStr">
        <is>
          <t xml:space="preserve">ship_repair_maintenance</t>
        </is>
      </c>
      <c r="G228" s="0" t="inlineStr">
        <is>
          <t xml:space="preserve">336611</t>
        </is>
      </c>
      <c r="H228" s="0" t="inlineStr">
        <is>
          <t xml:space="preserve">J020</t>
        </is>
      </c>
      <c r="I228" s="0" t="inlineStr">
        <is>
          <t xml:space="preserve">52000RFQ260025681-CGC Reliance Sewage System Repairs</t>
        </is>
      </c>
      <c r="J228" s="0" t="inlineStr">
        <is>
          <t xml:space="preserve">52000RFQ260025681</t>
        </is>
      </c>
    </row>
    <row r="229">
      <c r="B229" s="0" t="inlineStr">
        <is>
          <t xml:space="preserve">cc0715a0b7b149fda37b9d76364478ef</t>
        </is>
      </c>
      <c r="C229" s="0" t="inlineStr">
        <is>
          <t xml:space="preserve">Presolicitation</t>
        </is>
      </c>
      <c r="D229" s="0" t="inlineStr">
        <is>
          <t xml:space="preserve">2026-05-26</t>
        </is>
      </c>
      <c r="E229" s="0" t="inlineStr">
        <is>
          <t xml:space="preserve">Navy/USMC</t>
        </is>
      </c>
      <c r="F229" s="0" t="inlineStr">
        <is>
          <t xml:space="preserve">ship_repair_maintenance</t>
        </is>
      </c>
      <c r="G229" s="0" t="inlineStr">
        <is>
          <t xml:space="preserve">336611</t>
        </is>
      </c>
      <c r="H229" s="0" t="inlineStr">
        <is>
          <t xml:space="preserve">J999</t>
        </is>
      </c>
      <c r="I229" s="0" t="inlineStr">
        <is>
          <t xml:space="preserve">USS NEW ORLEANS (LPD-18) OVERHEAD PLATE IN 02-80-1-A; REPAIR</t>
        </is>
      </c>
      <c r="J229" s="0" t="inlineStr">
        <is>
          <t xml:space="preserve">N6275826PRNE526</t>
        </is>
      </c>
    </row>
    <row r="230">
      <c r="B230" s="0" t="inlineStr">
        <is>
          <t xml:space="preserve">127c1389824940f590f28db489da3da1</t>
        </is>
      </c>
      <c r="C230" s="0" t="inlineStr">
        <is>
          <t xml:space="preserve">Presolicitation</t>
        </is>
      </c>
      <c r="D230" s="0" t="inlineStr">
        <is>
          <t xml:space="preserve">2026-05-26</t>
        </is>
      </c>
      <c r="E230" s="0" t="inlineStr">
        <is>
          <t xml:space="preserve">Navy/USMC</t>
        </is>
      </c>
      <c r="F230" s="0" t="inlineStr">
        <is>
          <t xml:space="preserve">ship_repair_maintenance</t>
        </is>
      </c>
      <c r="G230" s="0" t="inlineStr">
        <is>
          <t xml:space="preserve">336611</t>
        </is>
      </c>
      <c r="H230" s="0" t="inlineStr">
        <is>
          <t xml:space="preserve">J999</t>
        </is>
      </c>
      <c r="I230" s="0" t="inlineStr">
        <is>
          <t xml:space="preserve">USS RUSHMORE (LSD-47) JETTISON LOCKER AND RELEASE GEAR; REFURBISH AND REPAIR</t>
        </is>
      </c>
      <c r="J230" s="0" t="inlineStr">
        <is>
          <t xml:space="preserve">N6275826PRRU083</t>
        </is>
      </c>
    </row>
    <row r="231">
      <c r="B231" s="0" t="inlineStr">
        <is>
          <t xml:space="preserve">033c66f088e8400f91506eaff850afd2</t>
        </is>
      </c>
      <c r="C231" s="0" t="inlineStr">
        <is>
          <t xml:space="preserve">Special Notice</t>
        </is>
      </c>
      <c r="D231" s="0" t="inlineStr">
        <is>
          <t xml:space="preserve">2026-05-27</t>
        </is>
      </c>
      <c r="E231" s="0" t="inlineStr">
        <is>
          <t xml:space="preserve">Navy/USMC</t>
        </is>
      </c>
      <c r="F231" s="0" t="inlineStr">
        <is>
          <t xml:space="preserve">other</t>
        </is>
      </c>
      <c r="G231" s="0" t="inlineStr">
        <is>
          <t xml:space="preserve">336611</t>
        </is>
      </c>
      <c r="H231" s="0" t="inlineStr">
        <is>
          <t xml:space="preserve">K020</t>
        </is>
      </c>
      <c r="I231" s="0" t="inlineStr">
        <is>
          <t xml:space="preserve">Non-recurring Engineering Services</t>
        </is>
      </c>
      <c r="J231" s="0" t="inlineStr">
        <is>
          <t xml:space="preserve">26-SIMACQ-PD-42-0238</t>
        </is>
      </c>
    </row>
    <row r="232">
      <c r="B232" s="0" t="inlineStr">
        <is>
          <t xml:space="preserve">f70b7947c49245d3a66a1f41559effd7</t>
        </is>
      </c>
      <c r="C232" s="0" t="inlineStr">
        <is>
          <t xml:space="preserve">Combined Synopsis/Solicitation</t>
        </is>
      </c>
      <c r="D232" s="0" t="inlineStr">
        <is>
          <t xml:space="preserve">2026-05-31</t>
        </is>
      </c>
      <c r="E232" s="0" t="inlineStr">
        <is>
          <t xml:space="preserve">Other DoD</t>
        </is>
      </c>
      <c r="F232" s="0" t="inlineStr">
        <is>
          <t xml:space="preserve">marine_components_parts</t>
        </is>
      </c>
      <c r="G232" s="0" t="inlineStr">
        <is>
          <t xml:space="preserve">336612</t>
        </is>
      </c>
      <c r="H232" s="0" t="inlineStr">
        <is>
          <t xml:space="preserve">20</t>
        </is>
      </c>
      <c r="I232" s="0" t="inlineStr">
        <is>
          <t xml:space="preserve">20--LASHING GEAR,DECK</t>
        </is>
      </c>
      <c r="J232" s="0" t="inlineStr">
        <is>
          <t xml:space="preserve">SPE7M126T110E</t>
        </is>
      </c>
    </row>
    <row r="233">
      <c r="B233" s="0" t="inlineStr">
        <is>
          <t xml:space="preserve">07a53c9191e44bb98d55bae1bef177ea</t>
        </is>
      </c>
      <c r="C233" s="0" t="inlineStr">
        <is>
          <t xml:space="preserve">Sources Sought</t>
        </is>
      </c>
      <c r="D233" s="0" t="inlineStr">
        <is>
          <t xml:space="preserve">2026-06-10</t>
        </is>
      </c>
      <c r="E233" s="0" t="inlineStr">
        <is>
          <t xml:space="preserve">Navy/USMC</t>
        </is>
      </c>
      <c r="F233" s="0" t="inlineStr">
        <is>
          <t xml:space="preserve">ship_repair_maintenance</t>
        </is>
      </c>
      <c r="G233" s="0" t="inlineStr">
        <is>
          <t xml:space="preserve">336611</t>
        </is>
      </c>
      <c r="H233" s="0" t="inlineStr">
        <is>
          <t xml:space="preserve">J020</t>
        </is>
      </c>
      <c r="I233" s="0" t="inlineStr">
        <is>
          <t xml:space="preserve">Open/Inspect and Possible Repair of R-114 Air Conditioning Plant Compressor/Motor</t>
        </is>
      </c>
      <c r="J233" s="0" t="inlineStr">
        <is>
          <t xml:space="preserve">N32253-26-1210-0102</t>
        </is>
      </c>
    </row>
    <row r="234">
      <c r="B234" s="0" t="inlineStr">
        <is>
          <t xml:space="preserve">77dde2520d9543549e961ba477bf0327</t>
        </is>
      </c>
      <c r="C234" s="0" t="inlineStr">
        <is>
          <t xml:space="preserve">Sources Sought</t>
        </is>
      </c>
      <c r="D234" s="0" t="inlineStr">
        <is>
          <t xml:space="preserve">2026-05-15</t>
        </is>
      </c>
      <c r="E234" s="0" t="inlineStr">
        <is>
          <t xml:space="preserve">Coast Guard</t>
        </is>
      </c>
      <c r="F234" s="0" t="inlineStr">
        <is>
          <t xml:space="preserve">ship_repair_maintenance</t>
        </is>
      </c>
      <c r="G234" s="0" t="inlineStr">
        <is>
          <t xml:space="preserve">336611</t>
        </is>
      </c>
      <c r="H234" s="0" t="inlineStr">
        <is>
          <t xml:space="preserve">J999</t>
        </is>
      </c>
      <c r="I234" s="0" t="inlineStr">
        <is>
          <t xml:space="preserve">USCGC ALDER WLB 216</t>
        </is>
      </c>
      <c r="J234" s="0" t="inlineStr">
        <is>
          <t xml:space="preserve">USCGC-ALDER-DRYDOCK-REPAIRS</t>
        </is>
      </c>
    </row>
    <row r="235">
      <c r="B235" s="0" t="inlineStr">
        <is>
          <t xml:space="preserve">e1d5fcb45c144995a62db4ec47e7baba</t>
        </is>
      </c>
      <c r="C235" s="0" t="inlineStr">
        <is>
          <t xml:space="preserve">Solicitation</t>
        </is>
      </c>
      <c r="D235" s="0" t="inlineStr">
        <is>
          <t xml:space="preserve">2026-05-26</t>
        </is>
      </c>
      <c r="E235" s="0" t="inlineStr">
        <is>
          <t xml:space="preserve">Navy/USMC</t>
        </is>
      </c>
      <c r="F235" s="0" t="inlineStr">
        <is>
          <t xml:space="preserve">ship_repair_maintenance</t>
        </is>
      </c>
      <c r="G235" s="0" t="inlineStr">
        <is>
          <t xml:space="preserve">336611</t>
        </is>
      </c>
      <c r="H235" s="0" t="inlineStr">
        <is>
          <t xml:space="preserve">J999</t>
        </is>
      </c>
      <c r="I235" s="0" t="inlineStr">
        <is>
          <t xml:space="preserve">USS MCCAMPBELL (DDG-85) EMERGENT MAINTENANCE (6EM), YOKOSUKA, Japan</t>
        </is>
      </c>
      <c r="J235" s="0" t="inlineStr">
        <is>
          <t xml:space="preserve">N6264926RA055</t>
        </is>
      </c>
    </row>
    <row r="236">
      <c r="B236" s="0" t="inlineStr">
        <is>
          <t xml:space="preserve">c4bfb33f5f814d5bb3ce8961a4f288cc</t>
        </is>
      </c>
      <c r="C236" s="0" t="inlineStr">
        <is>
          <t xml:space="preserve">Sources Sought</t>
        </is>
      </c>
      <c r="D236" s="0" t="inlineStr">
        <is>
          <t xml:space="preserve">2026-05-28</t>
        </is>
      </c>
      <c r="E236" s="0" t="inlineStr">
        <is>
          <t xml:space="preserve">Coast Guard</t>
        </is>
      </c>
      <c r="F236" s="0" t="inlineStr">
        <is>
          <t xml:space="preserve">ship_repair_maintenance</t>
        </is>
      </c>
      <c r="G236" s="0" t="inlineStr">
        <is>
          <t xml:space="preserve">336611</t>
        </is>
      </c>
      <c r="H236" s="0" t="inlineStr">
        <is>
          <t xml:space="preserve">J998</t>
        </is>
      </c>
      <c r="I236" s="0" t="inlineStr">
        <is>
          <t xml:space="preserve">OVERHAUL OF CATERPILLAR MARINE DIESEL ENGINE ONBOARD USCG CUTTERS</t>
        </is>
      </c>
      <c r="J236" s="0" t="inlineStr">
        <is>
          <t xml:space="preserve">70Z08526CATIDIQ</t>
        </is>
      </c>
    </row>
    <row r="237">
      <c r="B237" s="0" t="inlineStr">
        <is>
          <t xml:space="preserve">5bf935fbdb1d4ce9aa22895ee8f79c11</t>
        </is>
      </c>
      <c r="C237" s="0" t="inlineStr">
        <is>
          <t xml:space="preserve">Sources Sought</t>
        </is>
      </c>
      <c r="D237" s="0" t="inlineStr">
        <is>
          <t xml:space="preserve">2026-05-28</t>
        </is>
      </c>
      <c r="E237" s="0" t="inlineStr">
        <is>
          <t xml:space="preserve">Coast Guard</t>
        </is>
      </c>
      <c r="F237" s="0" t="inlineStr">
        <is>
          <t xml:space="preserve">ship_repair_maintenance</t>
        </is>
      </c>
      <c r="G237" s="0" t="inlineStr">
        <is>
          <t xml:space="preserve">336611</t>
        </is>
      </c>
      <c r="H237" s="0" t="inlineStr">
        <is>
          <t xml:space="preserve">J999</t>
        </is>
      </c>
      <c r="I237" s="0" t="inlineStr">
        <is>
          <t xml:space="preserve">Dock-Side (DS): CGC ACTIVE AA FY27</t>
        </is>
      </c>
      <c r="J237" s="0" t="inlineStr">
        <is>
          <t xml:space="preserve">70Z08026SMECCGCACTIVEAA</t>
        </is>
      </c>
    </row>
    <row r="238">
      <c r="B238" s="0" t="inlineStr">
        <is>
          <t xml:space="preserve">639eeb17cbad4fc6ae64c19e6711c7b6</t>
        </is>
      </c>
      <c r="C238" s="0" t="inlineStr">
        <is>
          <t xml:space="preserve">Presolicitation</t>
        </is>
      </c>
      <c r="D238" s="0" t="inlineStr">
        <is>
          <t xml:space="preserve">2026-05-28</t>
        </is>
      </c>
      <c r="E238" s="0" t="inlineStr">
        <is>
          <t xml:space="preserve">Navy/USMC</t>
        </is>
      </c>
      <c r="F238" s="0" t="inlineStr">
        <is>
          <t xml:space="preserve">ship_repair_maintenance</t>
        </is>
      </c>
      <c r="G238" s="0" t="inlineStr">
        <is>
          <t xml:space="preserve">336612</t>
        </is>
      </c>
      <c r="H238" s="0" t="inlineStr">
        <is>
          <t xml:space="preserve">2010</t>
        </is>
      </c>
      <c r="I238" s="0" t="inlineStr">
        <is>
          <t xml:space="preserve">2010 Repair of QTY 1 EA, SSBN 726 Class Propeller</t>
        </is>
      </c>
      <c r="J238" s="0" t="inlineStr">
        <is>
          <t xml:space="preserve">N0010426RZ058</t>
        </is>
      </c>
    </row>
    <row r="239">
      <c r="B239" s="0" t="inlineStr">
        <is>
          <t xml:space="preserve">ff88285d2e3c4ef682c2889b0721cc58</t>
        </is>
      </c>
      <c r="C239" s="0" t="inlineStr">
        <is>
          <t xml:space="preserve">Combined Synopsis/Solicitation</t>
        </is>
      </c>
      <c r="D239" s="0" t="inlineStr">
        <is>
          <t xml:space="preserve">2026-05-29</t>
        </is>
      </c>
      <c r="E239" s="0" t="inlineStr">
        <is>
          <t xml:space="preserve">Coast Guard</t>
        </is>
      </c>
      <c r="F239" s="0" t="inlineStr">
        <is>
          <t xml:space="preserve">marine_components_parts</t>
        </is>
      </c>
      <c r="G239" s="0" t="inlineStr">
        <is>
          <t xml:space="preserve">336611</t>
        </is>
      </c>
      <c r="H239" s="0" t="inlineStr">
        <is>
          <t xml:space="preserve">4820</t>
        </is>
      </c>
      <c r="I239" s="0" t="inlineStr">
        <is>
          <t xml:space="preserve">BALL, VALVE , PORTED</t>
        </is>
      </c>
      <c r="J239" s="0" t="inlineStr">
        <is>
          <t xml:space="preserve">70Z04026Q50490B00</t>
        </is>
      </c>
    </row>
    <row r="240">
      <c r="B240" s="0" t="inlineStr">
        <is>
          <t xml:space="preserve">b9a9e53e69c9428a869d288ff55e6499</t>
        </is>
      </c>
      <c r="C240" s="0" t="inlineStr">
        <is>
          <t xml:space="preserve">Combined Synopsis/Solicitation</t>
        </is>
      </c>
      <c r="D240" s="0" t="inlineStr">
        <is>
          <t xml:space="preserve">2026-05-29</t>
        </is>
      </c>
      <c r="E240" s="0" t="inlineStr">
        <is>
          <t xml:space="preserve">Coast Guard</t>
        </is>
      </c>
      <c r="F240" s="0" t="inlineStr">
        <is>
          <t xml:space="preserve">other</t>
        </is>
      </c>
      <c r="G240" s="0" t="inlineStr">
        <is>
          <t xml:space="preserve">336611</t>
        </is>
      </c>
      <c r="H240" s="0" t="inlineStr">
        <is>
          <t xml:space="preserve">5895</t>
        </is>
      </c>
      <c r="I240" s="0" t="inlineStr">
        <is>
          <t xml:space="preserve">CONTROL DISTRIBUTION</t>
        </is>
      </c>
      <c r="J240" s="0" t="inlineStr">
        <is>
          <t xml:space="preserve">70Z04026Q50488B00</t>
        </is>
      </c>
    </row>
    <row r="241">
      <c r="B241" s="0" t="inlineStr">
        <is>
          <t xml:space="preserve">f11a98a09dc8463db7763d0a6a130e5a</t>
        </is>
      </c>
      <c r="C241" s="0" t="inlineStr">
        <is>
          <t xml:space="preserve">Solicitation</t>
        </is>
      </c>
      <c r="D241" s="0" t="inlineStr">
        <is>
          <t xml:space="preserve">2026-06-03</t>
        </is>
      </c>
      <c r="E241" s="0" t="inlineStr">
        <is>
          <t xml:space="preserve">Navy/USMC</t>
        </is>
      </c>
      <c r="F241" s="0" t="inlineStr">
        <is>
          <t xml:space="preserve">ship_repair_maintenance</t>
        </is>
      </c>
      <c r="G241" s="0" t="inlineStr">
        <is>
          <t xml:space="preserve">336611</t>
        </is>
      </c>
      <c r="H241" s="0" t="inlineStr">
        <is>
          <t xml:space="preserve">J999</t>
        </is>
      </c>
      <c r="I241" s="0" t="inlineStr">
        <is>
          <t xml:space="preserve">USS PIONEER (MCM-9) TLI TRANSMITTER AND RECEIVER FOR MRG SUMP TANK; REPLACE</t>
        </is>
      </c>
      <c r="J241" s="0" t="inlineStr">
        <is>
          <t xml:space="preserve">N6264926Q0355</t>
        </is>
      </c>
    </row>
    <row r="242">
      <c r="B242" s="0" t="inlineStr">
        <is>
          <t xml:space="preserve">92e73757fa614d9f8b5cfe5f721843bd</t>
        </is>
      </c>
      <c r="C242" s="0" t="inlineStr">
        <is>
          <t xml:space="preserve">Sources Sought</t>
        </is>
      </c>
      <c r="D242" s="0" t="inlineStr">
        <is>
          <t xml:space="preserve">2026-06-04</t>
        </is>
      </c>
      <c r="E242" s="0" t="inlineStr">
        <is>
          <t xml:space="preserve">Navy/USMC</t>
        </is>
      </c>
      <c r="F242" s="0" t="inlineStr">
        <is>
          <t xml:space="preserve">ship_repair_maintenance</t>
        </is>
      </c>
      <c r="G242" s="0" t="inlineStr">
        <is>
          <t xml:space="preserve">336611</t>
        </is>
      </c>
      <c r="H242" s="0" t="inlineStr">
        <is>
          <t xml:space="preserve">J998</t>
        </is>
      </c>
      <c r="I242" s="0" t="inlineStr">
        <is>
          <t xml:space="preserve">USS HERSHEL "WOODY" WILLIAMS (T-ESB 4) FY27 MTA</t>
        </is>
      </c>
      <c r="J242" s="0" t="inlineStr">
        <is>
          <t xml:space="preserve">N3220526R6099</t>
        </is>
      </c>
    </row>
    <row r="243">
      <c r="B243" s="0" t="inlineStr">
        <is>
          <t xml:space="preserve">eb504efcee1e4747ae8332c359ffa568</t>
        </is>
      </c>
      <c r="C243" s="0" t="inlineStr">
        <is>
          <t xml:space="preserve">Sources Sought</t>
        </is>
      </c>
      <c r="D243" s="0" t="inlineStr">
        <is>
          <t xml:space="preserve">2026-06-05</t>
        </is>
      </c>
      <c r="E243" s="0" t="inlineStr">
        <is>
          <t xml:space="preserve">Navy/USMC</t>
        </is>
      </c>
      <c r="F243" s="0" t="inlineStr">
        <is>
          <t xml:space="preserve">marine_components_parts</t>
        </is>
      </c>
      <c r="G243" s="0" t="inlineStr">
        <is>
          <t xml:space="preserve">336611</t>
        </is>
      </c>
      <c r="H243" s="0" t="inlineStr">
        <is>
          <t xml:space="preserve">2040</t>
        </is>
      </c>
      <c r="I243" s="0" t="inlineStr">
        <is>
          <t xml:space="preserve">Hanger Elevator Parts</t>
        </is>
      </c>
      <c r="J243" s="0" t="inlineStr">
        <is>
          <t xml:space="preserve">N5005426Q0141</t>
        </is>
      </c>
    </row>
    <row r="244">
      <c r="B244" s="0" t="inlineStr">
        <is>
          <t xml:space="preserve">d8b734acd0834aa39d9e891568cffca7</t>
        </is>
      </c>
      <c r="C244" s="0" t="inlineStr">
        <is>
          <t xml:space="preserve">Combined Synopsis/Solicitation</t>
        </is>
      </c>
      <c r="D244" s="0" t="inlineStr">
        <is>
          <t xml:space="preserve">2026-06-08</t>
        </is>
      </c>
      <c r="E244" s="0" t="inlineStr">
        <is>
          <t xml:space="preserve">Coast Guard</t>
        </is>
      </c>
      <c r="F244" s="0" t="inlineStr">
        <is>
          <t xml:space="preserve">ship_repair_maintenance</t>
        </is>
      </c>
      <c r="G244" s="0" t="inlineStr">
        <is>
          <t xml:space="preserve">336611</t>
        </is>
      </c>
      <c r="H244" s="0" t="inlineStr">
        <is>
          <t xml:space="preserve">4420</t>
        </is>
      </c>
      <c r="I244" s="0" t="inlineStr">
        <is>
          <t xml:space="preserve">REPAIR - ROLLS-ROYCE COOLER, FLUID UNDUSTRIAL</t>
        </is>
      </c>
      <c r="J244" s="0" t="inlineStr">
        <is>
          <t xml:space="preserve">2126406B27DSDZ003</t>
        </is>
      </c>
    </row>
    <row r="245">
      <c r="B245" s="0" t="inlineStr">
        <is>
          <t xml:space="preserve">7304b1db86214e4588daf51a028eb73a</t>
        </is>
      </c>
      <c r="C245" s="0" t="inlineStr">
        <is>
          <t xml:space="preserve">Solicitation</t>
        </is>
      </c>
      <c r="D245" s="0" t="inlineStr">
        <is>
          <t xml:space="preserve">2026-06-08</t>
        </is>
      </c>
      <c r="E245" s="0" t="inlineStr">
        <is>
          <t xml:space="preserve">Army</t>
        </is>
      </c>
      <c r="F245" s="0" t="inlineStr">
        <is>
          <t xml:space="preserve">ship_repair_maintenance</t>
        </is>
      </c>
      <c r="G245" s="0" t="inlineStr">
        <is>
          <t xml:space="preserve">336611</t>
        </is>
      </c>
      <c r="H245" s="0" t="inlineStr">
        <is>
          <t xml:space="preserve">J020</t>
        </is>
      </c>
      <c r="I245" s="0" t="inlineStr">
        <is>
          <t xml:space="preserve">Small Marine Craft Maintenance and Repair</t>
        </is>
      </c>
      <c r="J245" s="0" t="inlineStr">
        <is>
          <t xml:space="preserve">W912EP26QA010</t>
        </is>
      </c>
    </row>
    <row r="246">
      <c r="B246" s="0" t="inlineStr">
        <is>
          <t xml:space="preserve">81be9df8452d4541ba56643760a68c23</t>
        </is>
      </c>
      <c r="C246" s="0" t="inlineStr">
        <is>
          <t xml:space="preserve">Solicitation</t>
        </is>
      </c>
      <c r="D246" s="0" t="inlineStr">
        <is>
          <t xml:space="preserve">2026-06-11</t>
        </is>
      </c>
      <c r="E246" s="0" t="inlineStr">
        <is>
          <t xml:space="preserve">Navy/USMC</t>
        </is>
      </c>
      <c r="F246" s="0" t="inlineStr">
        <is>
          <t xml:space="preserve">marine_components_parts</t>
        </is>
      </c>
      <c r="G246" s="0" t="inlineStr">
        <is>
          <t xml:space="preserve">336612</t>
        </is>
      </c>
      <c r="H246" s="0" t="inlineStr">
        <is>
          <t xml:space="preserve">2010</t>
        </is>
      </c>
      <c r="I246" s="0" t="inlineStr">
        <is>
          <t xml:space="preserve">20--STAVE SET,BEARING</t>
        </is>
      </c>
      <c r="J246" s="0" t="inlineStr">
        <is>
          <t xml:space="preserve">N0010425QYC45</t>
        </is>
      </c>
    </row>
    <row r="247">
      <c r="B247" s="0" t="inlineStr">
        <is>
          <t xml:space="preserve">62e4cf5a11494a7fab972ed114d44c58</t>
        </is>
      </c>
      <c r="C247" s="0" t="inlineStr">
        <is>
          <t xml:space="preserve">Combined Synopsis/Solicitation</t>
        </is>
      </c>
      <c r="D247" s="0" t="inlineStr">
        <is>
          <t xml:space="preserve">2026-06-12</t>
        </is>
      </c>
      <c r="E247" s="0" t="inlineStr">
        <is>
          <t xml:space="preserve">Other DoD</t>
        </is>
      </c>
      <c r="F247" s="0" t="inlineStr">
        <is>
          <t xml:space="preserve">marine_components_parts</t>
        </is>
      </c>
      <c r="G247" s="0" t="inlineStr">
        <is>
          <t xml:space="preserve">336611</t>
        </is>
      </c>
      <c r="H247" s="0" t="inlineStr">
        <is>
          <t xml:space="preserve">48</t>
        </is>
      </c>
      <c r="I247" s="0" t="inlineStr">
        <is>
          <t xml:space="preserve">48--VALVE,BUTTERFLY</t>
        </is>
      </c>
      <c r="J247" s="0" t="inlineStr">
        <is>
          <t xml:space="preserve">SPE7MC26Q0361</t>
        </is>
      </c>
    </row>
    <row r="248">
      <c r="B248" s="0" t="inlineStr">
        <is>
          <t xml:space="preserve">e82c5a5d66394745bf349a4b4c8355d7</t>
        </is>
      </c>
      <c r="C248" s="0" t="inlineStr">
        <is>
          <t xml:space="preserve">Sources Sought</t>
        </is>
      </c>
      <c r="D248" s="0" t="inlineStr">
        <is>
          <t xml:space="preserve">2026-06-09</t>
        </is>
      </c>
      <c r="E248" s="0" t="inlineStr">
        <is>
          <t xml:space="preserve">Other DoD</t>
        </is>
      </c>
      <c r="F248" s="0" t="inlineStr">
        <is>
          <t xml:space="preserve">marine_components_parts</t>
        </is>
      </c>
      <c r="G248" s="0" t="inlineStr">
        <is>
          <t xml:space="preserve">336611</t>
        </is>
      </c>
      <c r="H248" s="0" t="inlineStr">
        <is>
          <t xml:space="preserve">6685</t>
        </is>
      </c>
      <c r="I248" s="0" t="inlineStr">
        <is>
          <t xml:space="preserve">NSN: 6685014434200, TRANSMITTER,TEMPERA, WSDC: 12F KC-46A TANKER</t>
        </is>
      </c>
      <c r="J248" s="0" t="inlineStr">
        <is>
          <t xml:space="preserve">SPE4A526R0244</t>
        </is>
      </c>
    </row>
    <row r="249">
      <c r="B249" s="0" t="inlineStr">
        <is>
          <t xml:space="preserve">00559d1bfacd4149bc3ad05357d5e51a</t>
        </is>
      </c>
      <c r="C249" s="0" t="inlineStr">
        <is>
          <t xml:space="preserve">Presolicitation</t>
        </is>
      </c>
      <c r="D249" s="0" t="inlineStr">
        <is>
          <t xml:space="preserve">2026-06-03</t>
        </is>
      </c>
      <c r="E249" s="0" t="inlineStr">
        <is>
          <t xml:space="preserve">Navy/USMC</t>
        </is>
      </c>
      <c r="F249" s="0" t="inlineStr">
        <is>
          <t xml:space="preserve">ship_repair_maintenance</t>
        </is>
      </c>
      <c r="G249" s="0" t="inlineStr">
        <is>
          <t xml:space="preserve">336611</t>
        </is>
      </c>
      <c r="H249" s="0" t="inlineStr">
        <is>
          <t xml:space="preserve">J999</t>
        </is>
      </c>
      <c r="I249" s="0" t="inlineStr">
        <is>
          <t xml:space="preserve">MCM-9 BONDING STRAP FOR AN/ASC-69 (V) ANTENNA PEDESTAL; REPLACE</t>
        </is>
      </c>
      <c r="J249" s="0" t="inlineStr">
        <is>
          <t xml:space="preserve">N6264926Q1107</t>
        </is>
      </c>
    </row>
    <row r="250">
      <c r="B250" s="0" t="inlineStr">
        <is>
          <t xml:space="preserve">053cdaba93b7454d899a980e71b549ea</t>
        </is>
      </c>
      <c r="C250" s="0" t="inlineStr">
        <is>
          <t xml:space="preserve">Solicitation</t>
        </is>
      </c>
      <c r="D250" s="0" t="inlineStr">
        <is>
          <t xml:space="preserve">2026-05-08</t>
        </is>
      </c>
      <c r="E250" s="0" t="inlineStr">
        <is>
          <t xml:space="preserve">Other DoD</t>
        </is>
      </c>
      <c r="F250" s="0" t="inlineStr">
        <is>
          <t xml:space="preserve">marine_components_parts</t>
        </is>
      </c>
      <c r="G250" s="0" t="inlineStr">
        <is>
          <t xml:space="preserve">336611</t>
        </is>
      </c>
      <c r="H250" s="0" t="inlineStr">
        <is>
          <t xml:space="preserve">2090</t>
        </is>
      </c>
      <c r="I250" s="0" t="inlineStr">
        <is>
          <t xml:space="preserve">ASSY; FIN DRIVE AFT</t>
        </is>
      </c>
      <c r="J250" s="0" t="inlineStr">
        <is>
          <t xml:space="preserve">SPRMM126QGC70</t>
        </is>
      </c>
    </row>
    <row r="251">
      <c r="B251" s="0" t="inlineStr">
        <is>
          <t xml:space="preserve">7a09d14e81a740038e331c74c765336c</t>
        </is>
      </c>
      <c r="C251" s="0" t="inlineStr">
        <is>
          <t xml:space="preserve">Solicitation</t>
        </is>
      </c>
      <c r="D251" s="0" t="inlineStr">
        <is>
          <t xml:space="preserve">2026-05-15</t>
        </is>
      </c>
      <c r="E251" s="0" t="inlineStr">
        <is>
          <t xml:space="preserve">Navy/USMC</t>
        </is>
      </c>
      <c r="F251" s="0" t="inlineStr">
        <is>
          <t xml:space="preserve">ship_repair_maintenance</t>
        </is>
      </c>
      <c r="G251" s="0" t="inlineStr">
        <is>
          <t xml:space="preserve">336611</t>
        </is>
      </c>
      <c r="H251" s="0" t="inlineStr">
        <is>
          <t xml:space="preserve">J999</t>
        </is>
      </c>
      <c r="I251" s="0" t="inlineStr">
        <is>
          <t xml:space="preserve">LARC-936, 6R1 26-CMAV 13PKG</t>
        </is>
      </c>
      <c r="J251" s="0" t="inlineStr">
        <is>
          <t xml:space="preserve">20260004125</t>
        </is>
      </c>
    </row>
    <row r="252">
      <c r="B252" s="0" t="inlineStr">
        <is>
          <t xml:space="preserve">ec1a8202305b42fb96ad5dc3cedf3758</t>
        </is>
      </c>
      <c r="C252" s="0" t="inlineStr">
        <is>
          <t xml:space="preserve">Solicitation</t>
        </is>
      </c>
      <c r="D252" s="0" t="inlineStr">
        <is>
          <t xml:space="preserve">2026-05-26</t>
        </is>
      </c>
      <c r="E252" s="0" t="inlineStr">
        <is>
          <t xml:space="preserve">Navy/USMC</t>
        </is>
      </c>
      <c r="F252" s="0" t="inlineStr">
        <is>
          <t xml:space="preserve">marine_components_parts</t>
        </is>
      </c>
      <c r="G252" s="0" t="inlineStr">
        <is>
          <t xml:space="preserve">336611</t>
        </is>
      </c>
      <c r="H252" s="0" t="inlineStr">
        <is>
          <t xml:space="preserve">2090</t>
        </is>
      </c>
      <c r="I252" s="0" t="inlineStr">
        <is>
          <t xml:space="preserve">20--TILE</t>
        </is>
      </c>
      <c r="J252" s="0" t="inlineStr">
        <is>
          <t xml:space="preserve">N0010426RYA8E</t>
        </is>
      </c>
    </row>
    <row r="253">
      <c r="B253" s="0" t="inlineStr">
        <is>
          <t xml:space="preserve">4321fd9b59f14582b8a214734bcb32c8</t>
        </is>
      </c>
      <c r="C253" s="0" t="inlineStr">
        <is>
          <t xml:space="preserve">Combined Synopsis/Solicitation</t>
        </is>
      </c>
      <c r="D253" s="0" t="inlineStr">
        <is>
          <t xml:space="preserve">2026-05-26</t>
        </is>
      </c>
      <c r="E253" s="0" t="inlineStr">
        <is>
          <t xml:space="preserve">Coast Guard</t>
        </is>
      </c>
      <c r="F253" s="0" t="inlineStr">
        <is>
          <t xml:space="preserve">ship_repair_maintenance</t>
        </is>
      </c>
      <c r="G253" s="0" t="inlineStr">
        <is>
          <t xml:space="preserve">336611</t>
        </is>
      </c>
      <c r="H253" s="0" t="inlineStr">
        <is>
          <t xml:space="preserve">J998</t>
        </is>
      </c>
      <c r="I253" s="0" t="inlineStr">
        <is>
          <t xml:space="preserve">USCG ANT DETROIT (49424) FY26 INDUSTRIAL REPAIR</t>
        </is>
      </c>
      <c r="J253" s="0" t="inlineStr">
        <is>
          <t xml:space="preserve">70Z04026QSBPL0010</t>
        </is>
      </c>
    </row>
    <row r="254">
      <c r="B254" s="0" t="inlineStr">
        <is>
          <t xml:space="preserve">195790ede35140d092cf664a33919796</t>
        </is>
      </c>
      <c r="C254" s="0" t="inlineStr">
        <is>
          <t xml:space="preserve">Combined Synopsis/Solicitation</t>
        </is>
      </c>
      <c r="D254" s="0" t="inlineStr">
        <is>
          <t xml:space="preserve">2026-05-26</t>
        </is>
      </c>
      <c r="E254" s="0" t="inlineStr">
        <is>
          <t xml:space="preserve">Coast Guard</t>
        </is>
      </c>
      <c r="F254" s="0" t="inlineStr">
        <is>
          <t xml:space="preserve">ship_repair_maintenance</t>
        </is>
      </c>
      <c r="G254" s="0" t="inlineStr">
        <is>
          <t xml:space="preserve">336611</t>
        </is>
      </c>
      <c r="H254" s="0" t="inlineStr">
        <is>
          <t xml:space="preserve">J998</t>
        </is>
      </c>
      <c r="I254" s="0" t="inlineStr">
        <is>
          <t xml:space="preserve">USCG ANT DETROIT (49424) FY26 U/W BODY REPAIR</t>
        </is>
      </c>
      <c r="J254" s="0" t="inlineStr">
        <is>
          <t xml:space="preserve">70Z04026QSBPL001000001</t>
        </is>
      </c>
    </row>
    <row r="255">
      <c r="B255" s="0" t="inlineStr">
        <is>
          <t xml:space="preserve">11250174b2f54f2d8bdcc2bc30e023ee</t>
        </is>
      </c>
      <c r="C255" s="0" t="inlineStr">
        <is>
          <t xml:space="preserve">Presolicitation</t>
        </is>
      </c>
      <c r="D255" s="0" t="inlineStr">
        <is>
          <t xml:space="preserve">2026-05-28</t>
        </is>
      </c>
      <c r="E255" s="0" t="inlineStr">
        <is>
          <t xml:space="preserve">Navy/USMC</t>
        </is>
      </c>
      <c r="F255" s="0" t="inlineStr">
        <is>
          <t xml:space="preserve">ship_repair_maintenance</t>
        </is>
      </c>
      <c r="G255" s="0" t="inlineStr">
        <is>
          <t xml:space="preserve">336611</t>
        </is>
      </c>
      <c r="H255" s="0" t="inlineStr">
        <is>
          <t xml:space="preserve">J999</t>
        </is>
      </c>
      <c r="I255" s="0" t="inlineStr">
        <is>
          <t xml:space="preserve">LPD-18 NO.ONE FIRE PUMP MOTOR; REPLACE and NO.ONE FIRE PUMP SEA SUCTION VALVE (FM 1-V-001); REPLACE</t>
        </is>
      </c>
      <c r="J255" s="0" t="inlineStr">
        <is>
          <t xml:space="preserve">N6264926QNEWOFIREPUMP</t>
        </is>
      </c>
    </row>
    <row r="256">
      <c r="B256" s="0" t="inlineStr">
        <is>
          <t xml:space="preserve">e5288983bcc54b238a42328f78eb1e4b</t>
        </is>
      </c>
      <c r="C256" s="0" t="inlineStr">
        <is>
          <t xml:space="preserve">Solicitation</t>
        </is>
      </c>
      <c r="D256" s="0" t="inlineStr">
        <is>
          <t xml:space="preserve">2026-05-28</t>
        </is>
      </c>
      <c r="E256" s="0" t="inlineStr">
        <is>
          <t xml:space="preserve">Civil/Other</t>
        </is>
      </c>
      <c r="F256" s="0" t="inlineStr">
        <is>
          <t xml:space="preserve">vessel_procurement</t>
        </is>
      </c>
      <c r="G256" s="0" t="inlineStr">
        <is>
          <t xml:space="preserve">336612</t>
        </is>
      </c>
      <c r="H256" s="0" t="inlineStr">
        <is>
          <t xml:space="preserve">1940</t>
        </is>
      </c>
      <c r="I256" s="0" t="inlineStr">
        <is>
          <t xml:space="preserve">21-foot boat with outboard engine and trailer</t>
        </is>
      </c>
      <c r="J256" s="0" t="inlineStr">
        <is>
          <t xml:space="preserve">140FS326Q0070</t>
        </is>
      </c>
    </row>
    <row r="257">
      <c r="B257" s="0" t="inlineStr">
        <is>
          <t xml:space="preserve">566bc6fbd2a349178fb1c404bed26c48</t>
        </is>
      </c>
      <c r="C257" s="0" t="inlineStr">
        <is>
          <t xml:space="preserve">Presolicitation</t>
        </is>
      </c>
      <c r="D257" s="0" t="inlineStr">
        <is>
          <t xml:space="preserve">2026-05-29</t>
        </is>
      </c>
      <c r="E257" s="0" t="inlineStr">
        <is>
          <t xml:space="preserve">Navy/USMC</t>
        </is>
      </c>
      <c r="F257" s="0" t="inlineStr">
        <is>
          <t xml:space="preserve">ship_repair_maintenance</t>
        </is>
      </c>
      <c r="G257" s="0" t="inlineStr">
        <is>
          <t xml:space="preserve">336611</t>
        </is>
      </c>
      <c r="H257" s="0" t="inlineStr">
        <is>
          <t xml:space="preserve">J999</t>
        </is>
      </c>
      <c r="I257" s="0" t="inlineStr">
        <is>
          <t xml:space="preserve">USS MUSTIN (DDG-89) FY26 6J1 SIA</t>
        </is>
      </c>
      <c r="J257" s="0" t="inlineStr">
        <is>
          <t xml:space="preserve">N6264926RA056</t>
        </is>
      </c>
    </row>
    <row r="258">
      <c r="B258" s="0" t="inlineStr">
        <is>
          <t xml:space="preserve">f1d846aa43a34aa49c7a38a08b182968</t>
        </is>
      </c>
      <c r="C258" s="0" t="inlineStr">
        <is>
          <t xml:space="preserve">Presolicitation</t>
        </is>
      </c>
      <c r="D258" s="0" t="inlineStr">
        <is>
          <t xml:space="preserve">2026-05-31</t>
        </is>
      </c>
      <c r="E258" s="0" t="inlineStr">
        <is>
          <t xml:space="preserve">Navy/USMC</t>
        </is>
      </c>
      <c r="F258" s="0" t="inlineStr">
        <is>
          <t xml:space="preserve">ship_repair_maintenance</t>
        </is>
      </c>
      <c r="G258" s="0" t="inlineStr">
        <is>
          <t xml:space="preserve">336611</t>
        </is>
      </c>
      <c r="H258" s="0" t="inlineStr">
        <is>
          <t xml:space="preserve">J999</t>
        </is>
      </c>
      <c r="I258" s="0" t="inlineStr">
        <is>
          <t xml:space="preserve">USS RUDHMORE (LSD-47) PORT ACCOMMODATION LADDER WINCH AND COMPONENT; REMOVE</t>
        </is>
      </c>
      <c r="J258" s="0" t="inlineStr">
        <is>
          <t xml:space="preserve">N6275826PRRU086</t>
        </is>
      </c>
    </row>
    <row r="259">
      <c r="B259" s="0" t="inlineStr">
        <is>
          <t xml:space="preserve">73f4db3ee5714d3090389de08d157172</t>
        </is>
      </c>
      <c r="C259" s="0" t="inlineStr">
        <is>
          <t xml:space="preserve">Presolicitation</t>
        </is>
      </c>
      <c r="D259" s="0" t="inlineStr">
        <is>
          <t xml:space="preserve">2026-06-01</t>
        </is>
      </c>
      <c r="E259" s="0" t="inlineStr">
        <is>
          <t xml:space="preserve">Navy/USMC</t>
        </is>
      </c>
      <c r="F259" s="0" t="inlineStr">
        <is>
          <t xml:space="preserve">ship_repair_maintenance</t>
        </is>
      </c>
      <c r="G259" s="0" t="inlineStr">
        <is>
          <t xml:space="preserve">336611</t>
        </is>
      </c>
      <c r="H259" s="0" t="inlineStr">
        <is>
          <t xml:space="preserve">J999</t>
        </is>
      </c>
      <c r="I259" s="0" t="inlineStr">
        <is>
          <t xml:space="preserve">USS NEW ORLEANS (LPD-18) EYE WASH ALARM SYSTEM; REPAIR</t>
        </is>
      </c>
      <c r="J259" s="0" t="inlineStr">
        <is>
          <t xml:space="preserve">N6275826PRNW533</t>
        </is>
      </c>
    </row>
    <row r="260">
      <c r="B260" s="0" t="inlineStr">
        <is>
          <t xml:space="preserve">72bb5e141b7c4c81a9c0495ce6a24c1d</t>
        </is>
      </c>
      <c r="C260" s="0" t="inlineStr">
        <is>
          <t xml:space="preserve">Presolicitation</t>
        </is>
      </c>
      <c r="D260" s="0" t="inlineStr">
        <is>
          <t xml:space="preserve">2026-06-01</t>
        </is>
      </c>
      <c r="E260" s="0" t="inlineStr">
        <is>
          <t xml:space="preserve">Navy/USMC</t>
        </is>
      </c>
      <c r="F260" s="0" t="inlineStr">
        <is>
          <t xml:space="preserve">ship_repair_maintenance</t>
        </is>
      </c>
      <c r="G260" s="0" t="inlineStr">
        <is>
          <t xml:space="preserve">336611</t>
        </is>
      </c>
      <c r="H260" s="0" t="inlineStr">
        <is>
          <t xml:space="preserve">J999</t>
        </is>
      </c>
      <c r="I260" s="0" t="inlineStr">
        <is>
          <t xml:space="preserve">USS NEW ORLEANS (LPD-18) DECK INSIDE COAMING FOR LPAC NO.ONE; PRESERVE</t>
        </is>
      </c>
      <c r="J260" s="0" t="inlineStr">
        <is>
          <t xml:space="preserve">N6275826PRNE502</t>
        </is>
      </c>
    </row>
    <row r="261">
      <c r="B261" s="0" t="inlineStr">
        <is>
          <t xml:space="preserve">50f43ef61efe4c809c61862397b59a07</t>
        </is>
      </c>
      <c r="C261" s="0" t="inlineStr">
        <is>
          <t xml:space="preserve">Combined Synopsis/Solicitation</t>
        </is>
      </c>
      <c r="D261" s="0" t="inlineStr">
        <is>
          <t xml:space="preserve">2026-06-01</t>
        </is>
      </c>
      <c r="E261" s="0" t="inlineStr">
        <is>
          <t xml:space="preserve">Civil/Other</t>
        </is>
      </c>
      <c r="F261" s="0" t="inlineStr">
        <is>
          <t xml:space="preserve">marine_components_parts</t>
        </is>
      </c>
      <c r="G261" s="0" t="inlineStr">
        <is>
          <t xml:space="preserve">336611</t>
        </is>
      </c>
      <c r="H261" s="0" t="inlineStr">
        <is>
          <t xml:space="preserve">2090</t>
        </is>
      </c>
      <c r="I261" s="0" t="inlineStr">
        <is>
          <t xml:space="preserve">Dehumidification machine system (Ship/Marine)</t>
        </is>
      </c>
      <c r="J261" s="0" t="inlineStr">
        <is>
          <t xml:space="preserve">6933A226Q000012</t>
        </is>
      </c>
    </row>
    <row r="262">
      <c r="B262" s="0" t="inlineStr">
        <is>
          <t xml:space="preserve">fdf954cd891e41f29a85ce4610eb632f</t>
        </is>
      </c>
      <c r="C262" s="0" t="inlineStr">
        <is>
          <t xml:space="preserve">Combined Synopsis/Solicitation</t>
        </is>
      </c>
      <c r="D262" s="0" t="inlineStr">
        <is>
          <t xml:space="preserve">2026-06-02</t>
        </is>
      </c>
      <c r="E262" s="0" t="inlineStr">
        <is>
          <t xml:space="preserve">Other DoD</t>
        </is>
      </c>
      <c r="F262" s="0" t="inlineStr">
        <is>
          <t xml:space="preserve">marine_components_parts</t>
        </is>
      </c>
      <c r="G262" s="0" t="inlineStr">
        <is>
          <t xml:space="preserve">336611</t>
        </is>
      </c>
      <c r="H262" s="0" t="inlineStr">
        <is>
          <t xml:space="preserve">20</t>
        </is>
      </c>
      <c r="I262" s="0" t="inlineStr">
        <is>
          <t xml:space="preserve">20--CYLINDER,HYDRAULIC</t>
        </is>
      </c>
      <c r="J262" s="0" t="inlineStr">
        <is>
          <t xml:space="preserve">SPE7M426T152C</t>
        </is>
      </c>
    </row>
    <row r="263">
      <c r="B263" s="0" t="inlineStr">
        <is>
          <t xml:space="preserve">c2a5299699724f49ad386274ae46e713</t>
        </is>
      </c>
      <c r="C263" s="0" t="inlineStr">
        <is>
          <t xml:space="preserve">Combined Synopsis/Solicitation</t>
        </is>
      </c>
      <c r="D263" s="0" t="inlineStr">
        <is>
          <t xml:space="preserve">2026-06-02</t>
        </is>
      </c>
      <c r="E263" s="0" t="inlineStr">
        <is>
          <t xml:space="preserve">Other DoD</t>
        </is>
      </c>
      <c r="F263" s="0" t="inlineStr">
        <is>
          <t xml:space="preserve">other</t>
        </is>
      </c>
      <c r="G263" s="0" t="inlineStr">
        <is>
          <t xml:space="preserve">336611</t>
        </is>
      </c>
      <c r="H263" s="0" t="inlineStr">
        <is>
          <t xml:space="preserve">56</t>
        </is>
      </c>
      <c r="I263" s="0" t="inlineStr">
        <is>
          <t xml:space="preserve">56--LUMBER,NON-WOOD,TIM</t>
        </is>
      </c>
      <c r="J263" s="0" t="inlineStr">
        <is>
          <t xml:space="preserve">SPE8E526T3114</t>
        </is>
      </c>
    </row>
    <row r="264">
      <c r="B264" s="0" t="inlineStr">
        <is>
          <t xml:space="preserve">c1a772476ac344ca940a3bd8e4f52ee6</t>
        </is>
      </c>
      <c r="C264" s="0" t="inlineStr">
        <is>
          <t xml:space="preserve">Solicitation</t>
        </is>
      </c>
      <c r="D264" s="0" t="inlineStr">
        <is>
          <t xml:space="preserve">2026-06-03</t>
        </is>
      </c>
      <c r="E264" s="0" t="inlineStr">
        <is>
          <t xml:space="preserve">Navy/USMC</t>
        </is>
      </c>
      <c r="F264" s="0" t="inlineStr">
        <is>
          <t xml:space="preserve">ship_repair_maintenance</t>
        </is>
      </c>
      <c r="G264" s="0" t="inlineStr">
        <is>
          <t xml:space="preserve">336611</t>
        </is>
      </c>
      <c r="H264" s="0" t="inlineStr">
        <is>
          <t xml:space="preserve">J999</t>
        </is>
      </c>
      <c r="I264" s="0" t="inlineStr">
        <is>
          <t xml:space="preserve">MCM-9 : INSULATION AND LAGGING ON VARIOUS SPACES; REPLACE</t>
        </is>
      </c>
      <c r="J264" s="0" t="inlineStr">
        <is>
          <t xml:space="preserve">N6264926Q0348</t>
        </is>
      </c>
    </row>
    <row r="265">
      <c r="B265" s="0" t="inlineStr">
        <is>
          <t xml:space="preserve">bf09b0659a5242a7b5e44559d475f58b</t>
        </is>
      </c>
      <c r="C265" s="0" t="inlineStr">
        <is>
          <t xml:space="preserve">Solicitation</t>
        </is>
      </c>
      <c r="D265" s="0" t="inlineStr">
        <is>
          <t xml:space="preserve">2026-06-03</t>
        </is>
      </c>
      <c r="E265" s="0" t="inlineStr">
        <is>
          <t xml:space="preserve">Navy/USMC</t>
        </is>
      </c>
      <c r="F265" s="0" t="inlineStr">
        <is>
          <t xml:space="preserve">ship_repair_maintenance</t>
        </is>
      </c>
      <c r="G265" s="0" t="inlineStr">
        <is>
          <t xml:space="preserve">336611</t>
        </is>
      </c>
      <c r="H265" s="0" t="inlineStr">
        <is>
          <t xml:space="preserve">J999</t>
        </is>
      </c>
      <c r="I265" s="0" t="inlineStr">
        <is>
          <t xml:space="preserve">MCM-9 NO.1B SSDG EXCITER STATOR AND ROTOR; CLEAN AND REPAIR 1B SSDG RESILIENT MOUNT; REPLACE</t>
        </is>
      </c>
      <c r="J265" s="0" t="inlineStr">
        <is>
          <t xml:space="preserve">N6264926Q0351</t>
        </is>
      </c>
    </row>
    <row r="266">
      <c r="B266" s="0" t="inlineStr">
        <is>
          <t xml:space="preserve">a009a81d29dc47ecb2e088442b5a1453</t>
        </is>
      </c>
      <c r="C266" s="0" t="inlineStr">
        <is>
          <t xml:space="preserve">Combined Synopsis/Solicitation</t>
        </is>
      </c>
      <c r="D266" s="0" t="inlineStr">
        <is>
          <t xml:space="preserve">2026-06-03</t>
        </is>
      </c>
      <c r="E266" s="0" t="inlineStr">
        <is>
          <t xml:space="preserve">Navy/USMC</t>
        </is>
      </c>
      <c r="F266" s="0" t="inlineStr">
        <is>
          <t xml:space="preserve">ship_repair_maintenance</t>
        </is>
      </c>
      <c r="G266" s="0" t="inlineStr">
        <is>
          <t xml:space="preserve">336611</t>
        </is>
      </c>
      <c r="H266" s="0" t="inlineStr">
        <is>
          <t xml:space="preserve">J999</t>
        </is>
      </c>
      <c r="I266" s="0" t="inlineStr">
        <is>
          <t xml:space="preserve">USS PIONEER (MCM-9) STANDBY EMERGENCY DIESEL GENERATOR (SEDG) SERVICE; PROVIDE</t>
        </is>
      </c>
      <c r="J266" s="0" t="inlineStr">
        <is>
          <t xml:space="preserve">N664926Q0347</t>
        </is>
      </c>
    </row>
    <row r="267">
      <c r="B267" s="0" t="inlineStr">
        <is>
          <t xml:space="preserve">25809ce4ce6e4b35946d7b04c8800c9f</t>
        </is>
      </c>
      <c r="C267" s="0" t="inlineStr">
        <is>
          <t xml:space="preserve">Combined Synopsis/Solicitation</t>
        </is>
      </c>
      <c r="D267" s="0" t="inlineStr">
        <is>
          <t xml:space="preserve">2026-06-03</t>
        </is>
      </c>
      <c r="E267" s="0" t="inlineStr">
        <is>
          <t xml:space="preserve">Navy/USMC</t>
        </is>
      </c>
      <c r="F267" s="0" t="inlineStr">
        <is>
          <t xml:space="preserve">ship_repair_maintenance</t>
        </is>
      </c>
      <c r="G267" s="0" t="inlineStr">
        <is>
          <t xml:space="preserve">336611</t>
        </is>
      </c>
      <c r="H267" s="0" t="inlineStr">
        <is>
          <t xml:space="preserve">J999</t>
        </is>
      </c>
      <c r="I267" s="0" t="inlineStr">
        <is>
          <t xml:space="preserve">USS NEW ORLEANS(LPD-18)  MCP FOR BALLAST TANK (6-193-2-W); REPAIR</t>
        </is>
      </c>
      <c r="J267" s="0" t="inlineStr">
        <is>
          <t xml:space="preserve">N6264926Q0354</t>
        </is>
      </c>
    </row>
    <row r="268">
      <c r="B268" s="0" t="inlineStr">
        <is>
          <t xml:space="preserve">00af2959d9b74fdab759726e4d083426</t>
        </is>
      </c>
      <c r="C268" s="0" t="inlineStr">
        <is>
          <t xml:space="preserve">Combined Synopsis/Solicitation</t>
        </is>
      </c>
      <c r="D268" s="0" t="inlineStr">
        <is>
          <t xml:space="preserve">2026-06-04</t>
        </is>
      </c>
      <c r="E268" s="0" t="inlineStr">
        <is>
          <t xml:space="preserve">Other DoD</t>
        </is>
      </c>
      <c r="F268" s="0" t="inlineStr">
        <is>
          <t xml:space="preserve">marine_components_parts</t>
        </is>
      </c>
      <c r="G268" s="0" t="inlineStr">
        <is>
          <t xml:space="preserve">336611</t>
        </is>
      </c>
      <c r="H268" s="0" t="inlineStr">
        <is>
          <t xml:space="preserve">20</t>
        </is>
      </c>
      <c r="I268" s="0" t="inlineStr">
        <is>
          <t xml:space="preserve">20--AIR CONTROL PANEL</t>
        </is>
      </c>
      <c r="J268" s="0" t="inlineStr">
        <is>
          <t xml:space="preserve">SPE7M426T161Q</t>
        </is>
      </c>
    </row>
    <row r="269">
      <c r="B269" s="0" t="inlineStr">
        <is>
          <t xml:space="preserve">ffda255f968a49828eb0b935d6b89a56</t>
        </is>
      </c>
      <c r="C269" s="0" t="inlineStr">
        <is>
          <t xml:space="preserve">Combined Synopsis/Solicitation</t>
        </is>
      </c>
      <c r="D269" s="0" t="inlineStr">
        <is>
          <t xml:space="preserve">2026-06-05</t>
        </is>
      </c>
      <c r="E269" s="0" t="inlineStr">
        <is>
          <t xml:space="preserve">Coast Guard</t>
        </is>
      </c>
      <c r="F269" s="0" t="inlineStr">
        <is>
          <t xml:space="preserve">ship_repair_maintenance</t>
        </is>
      </c>
      <c r="G269" s="0" t="inlineStr">
        <is>
          <t xml:space="preserve">336611</t>
        </is>
      </c>
      <c r="H269" s="0" t="inlineStr">
        <is>
          <t xml:space="preserve">2815</t>
        </is>
      </c>
      <c r="I269" s="0" t="inlineStr">
        <is>
          <t xml:space="preserve">REPAIR ROLLS-ROYCE PARTS</t>
        </is>
      </c>
      <c r="J269" s="0" t="inlineStr">
        <is>
          <t xml:space="preserve">2126406B27DSCA042</t>
        </is>
      </c>
    </row>
    <row r="270">
      <c r="B270" s="0" t="inlineStr">
        <is>
          <t xml:space="preserve">d02e829c64924b69aab89b70348e6f7e</t>
        </is>
      </c>
      <c r="C270" s="0" t="inlineStr">
        <is>
          <t xml:space="preserve">Combined Synopsis/Solicitation</t>
        </is>
      </c>
      <c r="D270" s="0" t="inlineStr">
        <is>
          <t xml:space="preserve">2026-06-08</t>
        </is>
      </c>
      <c r="E270" s="0" t="inlineStr">
        <is>
          <t xml:space="preserve">Coast Guard</t>
        </is>
      </c>
      <c r="F270" s="0" t="inlineStr">
        <is>
          <t xml:space="preserve">ship_repair_maintenance</t>
        </is>
      </c>
      <c r="G270" s="0" t="inlineStr">
        <is>
          <t xml:space="preserve">336611</t>
        </is>
      </c>
      <c r="H270" s="0" t="inlineStr">
        <is>
          <t xml:space="preserve">J020</t>
        </is>
      </c>
      <c r="I270" s="0" t="inlineStr">
        <is>
          <t xml:space="preserve">52000RFQ260025632-CGC Bear Water Deionization System Renewal</t>
        </is>
      </c>
      <c r="J270" s="0" t="inlineStr">
        <is>
          <t xml:space="preserve">52000RFQ260025632</t>
        </is>
      </c>
    </row>
    <row r="271">
      <c r="B271" s="0" t="inlineStr">
        <is>
          <t xml:space="preserve">5c8a8e666d374289bede108667e3774c</t>
        </is>
      </c>
      <c r="C271" s="0" t="inlineStr">
        <is>
          <t xml:space="preserve">Solicitation</t>
        </is>
      </c>
      <c r="D271" s="0" t="inlineStr">
        <is>
          <t xml:space="preserve">2026-06-08</t>
        </is>
      </c>
      <c r="E271" s="0" t="inlineStr">
        <is>
          <t xml:space="preserve">Army</t>
        </is>
      </c>
      <c r="F271" s="0" t="inlineStr">
        <is>
          <t xml:space="preserve">ship_repair_maintenance</t>
        </is>
      </c>
      <c r="G271" s="0" t="inlineStr">
        <is>
          <t xml:space="preserve">336611</t>
        </is>
      </c>
      <c r="H271" s="0" t="inlineStr">
        <is>
          <t xml:space="preserve">J998</t>
        </is>
      </c>
      <c r="I271" s="0" t="inlineStr">
        <is>
          <t xml:space="preserve">3577 NASA Pegasus Drydock</t>
        </is>
      </c>
      <c r="J271" s="0" t="inlineStr">
        <is>
          <t xml:space="preserve">W912BU26BA016</t>
        </is>
      </c>
    </row>
    <row r="272">
      <c r="B272" s="0" t="inlineStr">
        <is>
          <t xml:space="preserve">49f7b2d01dfa4c0f9396060228c59262</t>
        </is>
      </c>
      <c r="C272" s="0" t="inlineStr">
        <is>
          <t xml:space="preserve">Combined Synopsis/Solicitation</t>
        </is>
      </c>
      <c r="D272" s="0" t="inlineStr">
        <is>
          <t xml:space="preserve">2026-06-08</t>
        </is>
      </c>
      <c r="E272" s="0" t="inlineStr">
        <is>
          <t xml:space="preserve">Coast Guard</t>
        </is>
      </c>
      <c r="F272" s="0" t="inlineStr">
        <is>
          <t xml:space="preserve">marine_components_parts</t>
        </is>
      </c>
      <c r="G272" s="0" t="inlineStr">
        <is>
          <t xml:space="preserve">336611</t>
        </is>
      </c>
      <c r="H272" s="0" t="inlineStr">
        <is>
          <t xml:space="preserve">2090</t>
        </is>
      </c>
      <c r="I272" s="0" t="inlineStr">
        <is>
          <t xml:space="preserve">OEM Reverse Osmosis Unit</t>
        </is>
      </c>
      <c r="J272" s="0" t="inlineStr">
        <is>
          <t xml:space="preserve">52000QR260025470</t>
        </is>
      </c>
    </row>
    <row r="273">
      <c r="B273" s="0" t="inlineStr">
        <is>
          <t xml:space="preserve">312c2bac1bed4899ad642bec6abc2062</t>
        </is>
      </c>
      <c r="C273" s="0" t="inlineStr">
        <is>
          <t xml:space="preserve">Solicitation</t>
        </is>
      </c>
      <c r="D273" s="0" t="inlineStr">
        <is>
          <t xml:space="preserve">2026-06-08</t>
        </is>
      </c>
      <c r="E273" s="0" t="inlineStr">
        <is>
          <t xml:space="preserve">Civil/Other</t>
        </is>
      </c>
      <c r="F273" s="0" t="inlineStr">
        <is>
          <t xml:space="preserve">marine_components_parts</t>
        </is>
      </c>
      <c r="G273" s="0" t="inlineStr">
        <is>
          <t xml:space="preserve">336612</t>
        </is>
      </c>
      <c r="H273" s="0" t="inlineStr">
        <is>
          <t xml:space="preserve">2040</t>
        </is>
      </c>
      <c r="I273" s="0" t="inlineStr">
        <is>
          <t xml:space="preserve">FWS SE LOUISIANA REFUGES - TWIN VEE BOAT REQUIREME</t>
        </is>
      </c>
      <c r="J273" s="0" t="inlineStr">
        <is>
          <t xml:space="preserve">140F1S26Q0055</t>
        </is>
      </c>
    </row>
    <row r="274">
      <c r="B274" s="0" t="inlineStr">
        <is>
          <t xml:space="preserve">bb8455154143467dba2aeac7572e41a7</t>
        </is>
      </c>
      <c r="C274" s="0" t="inlineStr">
        <is>
          <t xml:space="preserve">Combined Synopsis/Solicitation</t>
        </is>
      </c>
      <c r="D274" s="0" t="inlineStr">
        <is>
          <t xml:space="preserve">2026-06-09</t>
        </is>
      </c>
      <c r="E274" s="0" t="inlineStr">
        <is>
          <t xml:space="preserve">Other DoD</t>
        </is>
      </c>
      <c r="F274" s="0" t="inlineStr">
        <is>
          <t xml:space="preserve">other</t>
        </is>
      </c>
      <c r="G274" s="0" t="inlineStr">
        <is>
          <t xml:space="preserve">336611</t>
        </is>
      </c>
      <c r="H274" s="0" t="inlineStr">
        <is>
          <t xml:space="preserve">58</t>
        </is>
      </c>
      <c r="I274" s="0" t="inlineStr">
        <is>
          <t xml:space="preserve">58--HYDROPHONE,SONAR</t>
        </is>
      </c>
      <c r="J274" s="0" t="inlineStr">
        <is>
          <t xml:space="preserve">SPE4A726Q0657</t>
        </is>
      </c>
    </row>
    <row r="275">
      <c r="B275" s="0" t="inlineStr">
        <is>
          <t xml:space="preserve">91265def36bd42e7a8771e2c28d471a0</t>
        </is>
      </c>
      <c r="C275" s="0" t="inlineStr">
        <is>
          <t xml:space="preserve">Combined Synopsis/Solicitation</t>
        </is>
      </c>
      <c r="D275" s="0" t="inlineStr">
        <is>
          <t xml:space="preserve">2026-06-10</t>
        </is>
      </c>
      <c r="E275" s="0" t="inlineStr">
        <is>
          <t xml:space="preserve">Coast Guard</t>
        </is>
      </c>
      <c r="F275" s="0" t="inlineStr">
        <is>
          <t xml:space="preserve">ship_repair_maintenance</t>
        </is>
      </c>
      <c r="G275" s="0" t="inlineStr">
        <is>
          <t xml:space="preserve">336611</t>
        </is>
      </c>
      <c r="H275" s="0" t="inlineStr">
        <is>
          <t xml:space="preserve">J020</t>
        </is>
      </c>
      <c r="I275" s="0" t="inlineStr">
        <is>
          <t xml:space="preserve">FM200 AND GALLEY HOOD INSPECTION</t>
        </is>
      </c>
      <c r="J275" s="0" t="inlineStr">
        <is>
          <t xml:space="preserve">52000QR260024660</t>
        </is>
      </c>
    </row>
    <row r="276">
      <c r="B276" s="0" t="inlineStr">
        <is>
          <t xml:space="preserve">64a48f537c0d4cccbba994cae866b75e</t>
        </is>
      </c>
      <c r="C276" s="0" t="inlineStr">
        <is>
          <t xml:space="preserve">Combined Synopsis/Solicitation</t>
        </is>
      </c>
      <c r="D276" s="0" t="inlineStr">
        <is>
          <t xml:space="preserve">2026-06-11</t>
        </is>
      </c>
      <c r="E276" s="0" t="inlineStr">
        <is>
          <t xml:space="preserve">Other DoD</t>
        </is>
      </c>
      <c r="F276" s="0" t="inlineStr">
        <is>
          <t xml:space="preserve">marine_components_parts</t>
        </is>
      </c>
      <c r="G276" s="0" t="inlineStr">
        <is>
          <t xml:space="preserve">336612</t>
        </is>
      </c>
      <c r="H276" s="0" t="inlineStr">
        <is>
          <t xml:space="preserve">2090</t>
        </is>
      </c>
      <c r="I276" s="0" t="inlineStr">
        <is>
          <t xml:space="preserve">NAF Pontoon Boats, Engines, and Trailers</t>
        </is>
      </c>
      <c r="J276" s="0" t="inlineStr">
        <is>
          <t xml:space="preserve">FA441726Q0119</t>
        </is>
      </c>
    </row>
    <row r="277">
      <c r="B277" s="0" t="inlineStr">
        <is>
          <t xml:space="preserve">364bba0fec7f4aedb5c8c91788d3004c</t>
        </is>
      </c>
      <c r="C277" s="0" t="inlineStr">
        <is>
          <t xml:space="preserve">Solicitation</t>
        </is>
      </c>
      <c r="D277" s="0" t="inlineStr">
        <is>
          <t xml:space="preserve">2026-05-25</t>
        </is>
      </c>
      <c r="E277" s="0" t="inlineStr">
        <is>
          <t xml:space="preserve">Navy/USMC</t>
        </is>
      </c>
      <c r="F277" s="0" t="inlineStr">
        <is>
          <t xml:space="preserve">ship_repair_maintenance</t>
        </is>
      </c>
      <c r="G277" s="0" t="inlineStr">
        <is>
          <t xml:space="preserve">336611</t>
        </is>
      </c>
      <c r="H277" s="0" t="inlineStr">
        <is>
          <t xml:space="preserve">J999</t>
        </is>
      </c>
      <c r="I277" s="0" t="inlineStr">
        <is>
          <t xml:space="preserve">USS RAFAEL PERALTA (DDG-115) FY26 SIA BUNDLE#3</t>
        </is>
      </c>
      <c r="J277" s="0" t="inlineStr">
        <is>
          <t xml:space="preserve">N6264926RA052</t>
        </is>
      </c>
    </row>
    <row r="278">
      <c r="B278" s="0" t="inlineStr">
        <is>
          <t xml:space="preserve">85a62e9a3f4f4f54b0ade7aa855fcc89</t>
        </is>
      </c>
      <c r="C278" s="0" t="inlineStr">
        <is>
          <t xml:space="preserve">Sources Sought</t>
        </is>
      </c>
      <c r="D278" s="0" t="inlineStr">
        <is>
          <t xml:space="preserve">2026-05-26</t>
        </is>
      </c>
      <c r="E278" s="0" t="inlineStr">
        <is>
          <t xml:space="preserve">Navy/USMC</t>
        </is>
      </c>
      <c r="F278" s="0" t="inlineStr">
        <is>
          <t xml:space="preserve">other</t>
        </is>
      </c>
      <c r="G278" s="0" t="inlineStr">
        <is>
          <t xml:space="preserve">336611</t>
        </is>
      </c>
      <c r="H278" s="0" t="inlineStr">
        <is>
          <t xml:space="preserve">1915</t>
        </is>
      </c>
      <c r="I278" s="0" t="inlineStr">
        <is>
          <t xml:space="preserve">Request for Information: Medium-Range Bulk Fuel Tanker Vessels</t>
        </is>
      </c>
      <c r="J278" s="0" t="inlineStr">
        <is>
          <t xml:space="preserve">N00024-26-R-4160</t>
        </is>
      </c>
    </row>
    <row r="279">
      <c r="B279" s="0" t="inlineStr">
        <is>
          <t xml:space="preserve">1a690b991de84d2e8f21f0e733d7c0a1</t>
        </is>
      </c>
      <c r="C279" s="0" t="inlineStr">
        <is>
          <t xml:space="preserve">Sources Sought</t>
        </is>
      </c>
      <c r="D279" s="0" t="inlineStr">
        <is>
          <t xml:space="preserve">2026-05-26</t>
        </is>
      </c>
      <c r="E279" s="0" t="inlineStr">
        <is>
          <t xml:space="preserve">Navy/USMC</t>
        </is>
      </c>
      <c r="F279" s="0" t="inlineStr">
        <is>
          <t xml:space="preserve">ship_repair_maintenance</t>
        </is>
      </c>
      <c r="G279" s="0" t="inlineStr">
        <is>
          <t xml:space="preserve">336612</t>
        </is>
      </c>
      <c r="H279" s="0" t="inlineStr">
        <is>
          <t xml:space="preserve">J019</t>
        </is>
      </c>
      <c r="I279" s="0" t="inlineStr">
        <is>
          <t xml:space="preserve">WATERCRAFT INDUSTRIAL SUPPORT (WIS) DETACHMENT NORFOLK (DN) SOURCES SOUGHT</t>
        </is>
      </c>
      <c r="J279" s="0" t="inlineStr">
        <is>
          <t xml:space="preserve">N0016726Q0001_WATERCRAFT_INDUSTRIAL_SUPPORT_DETACHMENT_NORFOLK</t>
        </is>
      </c>
    </row>
    <row r="280">
      <c r="B280" s="0" t="inlineStr">
        <is>
          <t xml:space="preserve">1b33102cb26542be8586c1a49532ff61</t>
        </is>
      </c>
      <c r="C280" s="0" t="inlineStr">
        <is>
          <t xml:space="preserve">Solicitation</t>
        </is>
      </c>
      <c r="D280" s="0" t="inlineStr">
        <is>
          <t xml:space="preserve">2026-05-28</t>
        </is>
      </c>
      <c r="E280" s="0" t="inlineStr">
        <is>
          <t xml:space="preserve">Navy/USMC</t>
        </is>
      </c>
      <c r="F280" s="0" t="inlineStr">
        <is>
          <t xml:space="preserve">ship_repair_maintenance</t>
        </is>
      </c>
      <c r="G280" s="0" t="inlineStr">
        <is>
          <t xml:space="preserve">336611</t>
        </is>
      </c>
      <c r="H280" s="0" t="inlineStr">
        <is>
          <t xml:space="preserve">J999</t>
        </is>
      </c>
      <c r="I280" s="0" t="inlineStr">
        <is>
          <t xml:space="preserve">USS NEW ORLEANS (LPD-18) FIRE SEAL AND LOWER SEAL OF HHD BOTTOM PANEL; REPLACE</t>
        </is>
      </c>
      <c r="J280" s="0" t="inlineStr">
        <is>
          <t xml:space="preserve">N6264926Q0332</t>
        </is>
      </c>
    </row>
    <row r="281">
      <c r="B281" s="0" t="inlineStr">
        <is>
          <t xml:space="preserve">584b7b73f1c3461a9ad35d5c700776bc</t>
        </is>
      </c>
      <c r="C281" s="0" t="inlineStr">
        <is>
          <t xml:space="preserve">Solicitation</t>
        </is>
      </c>
      <c r="D281" s="0" t="inlineStr">
        <is>
          <t xml:space="preserve">2026-06-01</t>
        </is>
      </c>
      <c r="E281" s="0" t="inlineStr">
        <is>
          <t xml:space="preserve">Navy/USMC</t>
        </is>
      </c>
      <c r="F281" s="0" t="inlineStr">
        <is>
          <t xml:space="preserve">ship_repair_maintenance</t>
        </is>
      </c>
      <c r="G281" s="0" t="inlineStr">
        <is>
          <t xml:space="preserve">336611</t>
        </is>
      </c>
      <c r="H281" s="0" t="inlineStr">
        <is>
          <t xml:space="preserve">J999</t>
        </is>
      </c>
      <c r="I281" s="0" t="inlineStr">
        <is>
          <t xml:space="preserve">USS NEW ORLEANS(LPD-18) FUEL FILL PIPING FOR 6-93-2-F REPLACE</t>
        </is>
      </c>
      <c r="J281" s="0" t="inlineStr">
        <is>
          <t xml:space="preserve">N6275826PRNE204</t>
        </is>
      </c>
    </row>
    <row r="282">
      <c r="B282" s="0" t="inlineStr">
        <is>
          <t xml:space="preserve">fcf7d2841fe74e47922ed133fb3e513d</t>
        </is>
      </c>
      <c r="C282" s="0" t="inlineStr">
        <is>
          <t xml:space="preserve">Combined Synopsis/Solicitation</t>
        </is>
      </c>
      <c r="D282" s="0" t="inlineStr">
        <is>
          <t xml:space="preserve">2026-06-03</t>
        </is>
      </c>
      <c r="E282" s="0" t="inlineStr">
        <is>
          <t xml:space="preserve">Coast Guard</t>
        </is>
      </c>
      <c r="F282" s="0" t="inlineStr">
        <is>
          <t xml:space="preserve">marine_components_parts</t>
        </is>
      </c>
      <c r="G282" s="0" t="inlineStr">
        <is>
          <t xml:space="preserve">336611</t>
        </is>
      </c>
      <c r="H282" s="0" t="inlineStr">
        <is>
          <t xml:space="preserve">2090</t>
        </is>
      </c>
      <c r="I282" s="0" t="inlineStr">
        <is>
          <t xml:space="preserve">USCGC WAESCHE COOLING COIL AIR DUCT</t>
        </is>
      </c>
      <c r="J282" s="0" t="inlineStr">
        <is>
          <t xml:space="preserve">70Z08526Q025268</t>
        </is>
      </c>
    </row>
    <row r="283">
      <c r="B283" s="0" t="inlineStr">
        <is>
          <t xml:space="preserve">d7d7792211e343ffafed4092da125a1f</t>
        </is>
      </c>
      <c r="C283" s="0" t="inlineStr">
        <is>
          <t xml:space="preserve">Combined Synopsis/Solicitation</t>
        </is>
      </c>
      <c r="D283" s="0" t="inlineStr">
        <is>
          <t xml:space="preserve">2026-06-03</t>
        </is>
      </c>
      <c r="E283" s="0" t="inlineStr">
        <is>
          <t xml:space="preserve">Navy/USMC</t>
        </is>
      </c>
      <c r="F283" s="0" t="inlineStr">
        <is>
          <t xml:space="preserve">ship_repair_maintenance</t>
        </is>
      </c>
      <c r="G283" s="0" t="inlineStr">
        <is>
          <t xml:space="preserve">336611</t>
        </is>
      </c>
      <c r="H283" s="0" t="inlineStr">
        <is>
          <t xml:space="preserve">J999</t>
        </is>
      </c>
      <c r="I283" s="0" t="inlineStr">
        <is>
          <t xml:space="preserve">USS PIONEER(MCM-9) LOAD TEST SUPPORT FOR NO. 1A, 1B AND NO. 2 SSDG; PROVIDE</t>
        </is>
      </c>
      <c r="J283" s="0" t="inlineStr">
        <is>
          <t xml:space="preserve">N6264926Q0349</t>
        </is>
      </c>
    </row>
    <row r="284">
      <c r="B284" s="0" t="inlineStr">
        <is>
          <t xml:space="preserve">c678db1219034e97993802dd18549987</t>
        </is>
      </c>
      <c r="C284" s="0" t="inlineStr">
        <is>
          <t xml:space="preserve">Combined Synopsis/Solicitation</t>
        </is>
      </c>
      <c r="D284" s="0" t="inlineStr">
        <is>
          <t xml:space="preserve">2026-06-03</t>
        </is>
      </c>
      <c r="E284" s="0" t="inlineStr">
        <is>
          <t xml:space="preserve">Navy/USMC</t>
        </is>
      </c>
      <c r="F284" s="0" t="inlineStr">
        <is>
          <t xml:space="preserve">ship_repair_maintenance</t>
        </is>
      </c>
      <c r="G284" s="0" t="inlineStr">
        <is>
          <t xml:space="preserve">336611</t>
        </is>
      </c>
      <c r="H284" s="0" t="inlineStr">
        <is>
          <t xml:space="preserve">J999</t>
        </is>
      </c>
      <c r="I284" s="0" t="inlineStr">
        <is>
          <t xml:space="preserve">MCM-9 ANCHOR; REPLACE</t>
        </is>
      </c>
      <c r="J284" s="0" t="inlineStr">
        <is>
          <t xml:space="preserve">N6264926Q0356</t>
        </is>
      </c>
    </row>
    <row r="285">
      <c r="B285" s="0" t="inlineStr">
        <is>
          <t xml:space="preserve">750a904592264f65aa74e0c968abc33a</t>
        </is>
      </c>
      <c r="C285" s="0" t="inlineStr">
        <is>
          <t xml:space="preserve">Combined Synopsis/Solicitation</t>
        </is>
      </c>
      <c r="D285" s="0" t="inlineStr">
        <is>
          <t xml:space="preserve">2026-06-03</t>
        </is>
      </c>
      <c r="E285" s="0" t="inlineStr">
        <is>
          <t xml:space="preserve">Navy/USMC</t>
        </is>
      </c>
      <c r="F285" s="0" t="inlineStr">
        <is>
          <t xml:space="preserve">ship_repair_maintenance</t>
        </is>
      </c>
      <c r="G285" s="0" t="inlineStr">
        <is>
          <t xml:space="preserve">336611</t>
        </is>
      </c>
      <c r="H285" s="0" t="inlineStr">
        <is>
          <t xml:space="preserve">J999</t>
        </is>
      </c>
      <c r="I285" s="0" t="inlineStr">
        <is>
          <t xml:space="preserve">USS PIONEER (MCM-9) C1-STERN CRANE LEVELING PAD; REPLACE C2-LEAK IN 2-107-0-E; REPAIR</t>
        </is>
      </c>
      <c r="J285" s="0" t="inlineStr">
        <is>
          <t xml:space="preserve">N6264926Q0352</t>
        </is>
      </c>
    </row>
    <row r="286">
      <c r="B286" s="0" t="inlineStr">
        <is>
          <t xml:space="preserve">00021ff1167b46eca8420ab7858114b8</t>
        </is>
      </c>
      <c r="C286" s="0" t="inlineStr">
        <is>
          <t xml:space="preserve">Combined Synopsis/Solicitation</t>
        </is>
      </c>
      <c r="D286" s="0" t="inlineStr">
        <is>
          <t xml:space="preserve">2026-06-04</t>
        </is>
      </c>
      <c r="E286" s="0" t="inlineStr">
        <is>
          <t xml:space="preserve">Navy/USMC</t>
        </is>
      </c>
      <c r="F286" s="0" t="inlineStr">
        <is>
          <t xml:space="preserve">ship_repair_maintenance</t>
        </is>
      </c>
      <c r="G286" s="0" t="inlineStr">
        <is>
          <t xml:space="preserve">336611</t>
        </is>
      </c>
      <c r="H286" s="0" t="inlineStr">
        <is>
          <t xml:space="preserve">J999</t>
        </is>
      </c>
      <c r="I286" s="0" t="inlineStr">
        <is>
          <t xml:space="preserve">MCM-9, FIREMAIN CORD FM-OR-1-72-4 REPAIR, FIREMAIN PIPING FOR FIRE PLUG 01-45-2 REPLACE, MHS RELIEF VALVE AND UNION FITTING REPLACE</t>
        </is>
      </c>
      <c r="J286" s="0" t="inlineStr">
        <is>
          <t xml:space="preserve">N6264926Q0357</t>
        </is>
      </c>
    </row>
    <row r="287">
      <c r="B287" s="0" t="inlineStr">
        <is>
          <t xml:space="preserve">3521f5941552466eaf7339b5f9c64b74</t>
        </is>
      </c>
      <c r="C287" s="0" t="inlineStr">
        <is>
          <t xml:space="preserve">Combined Synopsis/Solicitation</t>
        </is>
      </c>
      <c r="D287" s="0" t="inlineStr">
        <is>
          <t xml:space="preserve">2026-06-09</t>
        </is>
      </c>
      <c r="E287" s="0" t="inlineStr">
        <is>
          <t xml:space="preserve">Navy/USMC</t>
        </is>
      </c>
      <c r="F287" s="0" t="inlineStr">
        <is>
          <t xml:space="preserve">ship_repair_maintenance</t>
        </is>
      </c>
      <c r="G287" s="0" t="inlineStr">
        <is>
          <t xml:space="preserve">336611</t>
        </is>
      </c>
      <c r="H287" s="0" t="inlineStr">
        <is>
          <t xml:space="preserve">J999</t>
        </is>
      </c>
      <c r="I287" s="0" t="inlineStr">
        <is>
          <t xml:space="preserve">Clean and Inspect, CHT System</t>
        </is>
      </c>
      <c r="J287" s="0" t="inlineStr">
        <is>
          <t xml:space="preserve">N6264926Q0359</t>
        </is>
      </c>
    </row>
    <row r="288">
      <c r="B288" s="0" t="inlineStr">
        <is>
          <t xml:space="preserve">d48b9b0c96a845a982bb16890cf20fd2</t>
        </is>
      </c>
      <c r="C288" s="0" t="inlineStr">
        <is>
          <t xml:space="preserve">Combined Synopsis/Solicitation</t>
        </is>
      </c>
      <c r="D288" s="0" t="inlineStr">
        <is>
          <t xml:space="preserve">2026-06-10</t>
        </is>
      </c>
      <c r="E288" s="0" t="inlineStr">
        <is>
          <t xml:space="preserve">Other DoD</t>
        </is>
      </c>
      <c r="F288" s="0" t="inlineStr">
        <is>
          <t xml:space="preserve">marine_components_parts</t>
        </is>
      </c>
      <c r="G288" s="0" t="inlineStr">
        <is>
          <t xml:space="preserve">336611</t>
        </is>
      </c>
      <c r="H288" s="0" t="inlineStr">
        <is>
          <t xml:space="preserve">20</t>
        </is>
      </c>
      <c r="I288" s="0" t="inlineStr">
        <is>
          <t xml:space="preserve">20--ACCUMULATOR,PNEUMAT</t>
        </is>
      </c>
      <c r="J288" s="0" t="inlineStr">
        <is>
          <t xml:space="preserve">SPE7M426Q0715</t>
        </is>
      </c>
    </row>
    <row r="289">
      <c r="B289" s="0" t="inlineStr">
        <is>
          <t xml:space="preserve">276735115397459eb3732f2a67e372c6</t>
        </is>
      </c>
      <c r="C289" s="0" t="inlineStr">
        <is>
          <t xml:space="preserve">Special Notice</t>
        </is>
      </c>
      <c r="D289" s="0" t="inlineStr">
        <is>
          <t xml:space="preserve">2026-06-11</t>
        </is>
      </c>
      <c r="E289" s="0" t="inlineStr">
        <is>
          <t xml:space="preserve">Coast Guard</t>
        </is>
      </c>
      <c r="F289" s="0" t="inlineStr">
        <is>
          <t xml:space="preserve">marine_components_parts</t>
        </is>
      </c>
      <c r="G289" s="0" t="inlineStr">
        <is>
          <t xml:space="preserve">336611</t>
        </is>
      </c>
      <c r="H289" s="0" t="inlineStr">
        <is>
          <t xml:space="preserve">2090</t>
        </is>
      </c>
      <c r="I289" s="0" t="inlineStr">
        <is>
          <t xml:space="preserve">USCG WAESCHE SEWAGE PUMP UNIT</t>
        </is>
      </c>
      <c r="J289" s="0" t="inlineStr">
        <is>
          <t xml:space="preserve">70Z08526Q025358</t>
        </is>
      </c>
    </row>
    <row r="290">
      <c r="B290" s="0" t="inlineStr">
        <is>
          <t xml:space="preserve">94508ef958e6467ca413d9c9c20e0aeb</t>
        </is>
      </c>
      <c r="C290" s="0" t="inlineStr">
        <is>
          <t xml:space="preserve">Solicitation</t>
        </is>
      </c>
      <c r="D290" s="0" t="inlineStr">
        <is>
          <t xml:space="preserve">2026-05-27</t>
        </is>
      </c>
      <c r="E290" s="0" t="inlineStr">
        <is>
          <t xml:space="preserve">Navy/USMC</t>
        </is>
      </c>
      <c r="F290" s="0" t="inlineStr">
        <is>
          <t xml:space="preserve">other</t>
        </is>
      </c>
      <c r="G290" s="0" t="inlineStr">
        <is>
          <t xml:space="preserve">336612</t>
        </is>
      </c>
      <c r="H290" s="0" t="inlineStr">
        <is>
          <t xml:space="preserve">3655</t>
        </is>
      </c>
      <c r="I290" s="0" t="inlineStr">
        <is>
          <t xml:space="preserve">Treadwell CAGE 81412 BOA Renewal</t>
        </is>
      </c>
      <c r="J290" s="0" t="inlineStr">
        <is>
          <t xml:space="preserve">N0010426RY050</t>
        </is>
      </c>
    </row>
    <row r="291">
      <c r="B291" s="0" t="inlineStr">
        <is>
          <t xml:space="preserve">e82cfc0ef2e8474389da15848e33a70a</t>
        </is>
      </c>
      <c r="C291" s="0" t="inlineStr">
        <is>
          <t xml:space="preserve">Presolicitation</t>
        </is>
      </c>
      <c r="D291" s="0" t="inlineStr">
        <is>
          <t xml:space="preserve">2026-06-01</t>
        </is>
      </c>
      <c r="E291" s="0" t="inlineStr">
        <is>
          <t xml:space="preserve">Navy/USMC</t>
        </is>
      </c>
      <c r="F291" s="0" t="inlineStr">
        <is>
          <t xml:space="preserve">ship_repair_maintenance</t>
        </is>
      </c>
      <c r="G291" s="0" t="inlineStr">
        <is>
          <t xml:space="preserve">336611</t>
        </is>
      </c>
      <c r="H291" s="0" t="inlineStr">
        <is>
          <t xml:space="preserve">J999</t>
        </is>
      </c>
      <c r="I291" s="0" t="inlineStr">
        <is>
          <t xml:space="preserve">LPD-18 JOINER BULKHEAD AND DOOR ON 1ST PLATFORM OF 6-24-0-L; REPLACE</t>
        </is>
      </c>
      <c r="J291" s="0" t="inlineStr">
        <is>
          <t xml:space="preserve">N6264926Q0341</t>
        </is>
      </c>
    </row>
    <row r="292">
      <c r="B292" s="0" t="inlineStr">
        <is>
          <t xml:space="preserve">e36ec8e528ff44e9aa99a94d1fdcf8bb</t>
        </is>
      </c>
      <c r="C292" s="0" t="inlineStr">
        <is>
          <t xml:space="preserve">Presolicitation</t>
        </is>
      </c>
      <c r="D292" s="0" t="inlineStr">
        <is>
          <t xml:space="preserve">2026-06-01</t>
        </is>
      </c>
      <c r="E292" s="0" t="inlineStr">
        <is>
          <t xml:space="preserve">Navy/USMC</t>
        </is>
      </c>
      <c r="F292" s="0" t="inlineStr">
        <is>
          <t xml:space="preserve">ship_repair_maintenance</t>
        </is>
      </c>
      <c r="G292" s="0" t="inlineStr">
        <is>
          <t xml:space="preserve">336611</t>
        </is>
      </c>
      <c r="H292" s="0" t="inlineStr">
        <is>
          <t xml:space="preserve">J999</t>
        </is>
      </c>
      <c r="I292" s="0" t="inlineStr">
        <is>
          <t xml:space="preserve">LSD-47 FENDER STOWAGE AND STANCHION ASSEMBLY; REPLACE</t>
        </is>
      </c>
      <c r="J292" s="0" t="inlineStr">
        <is>
          <t xml:space="preserve">N6264926Q0340</t>
        </is>
      </c>
    </row>
    <row r="293">
      <c r="B293" s="0" t="inlineStr">
        <is>
          <t xml:space="preserve">d1643834330242ddbc8dde555ea2823f</t>
        </is>
      </c>
      <c r="C293" s="0" t="inlineStr">
        <is>
          <t xml:space="preserve">Presolicitation</t>
        </is>
      </c>
      <c r="D293" s="0" t="inlineStr">
        <is>
          <t xml:space="preserve">2026-06-01</t>
        </is>
      </c>
      <c r="E293" s="0" t="inlineStr">
        <is>
          <t xml:space="preserve">Navy/USMC</t>
        </is>
      </c>
      <c r="F293" s="0" t="inlineStr">
        <is>
          <t xml:space="preserve">ship_repair_maintenance</t>
        </is>
      </c>
      <c r="G293" s="0" t="inlineStr">
        <is>
          <t xml:space="preserve">336611</t>
        </is>
      </c>
      <c r="H293" s="0" t="inlineStr">
        <is>
          <t xml:space="preserve">J999</t>
        </is>
      </c>
      <c r="I293" s="0" t="inlineStr">
        <is>
          <t xml:space="preserve">LPD-18 PLUMBING WASTE DRAIN PIPING IN 7-25-01-E; REPLACE</t>
        </is>
      </c>
      <c r="J293" s="0" t="inlineStr">
        <is>
          <t xml:space="preserve">N6264926Q0345</t>
        </is>
      </c>
    </row>
    <row r="294">
      <c r="B294" s="0" t="inlineStr">
        <is>
          <t xml:space="preserve">c88176897084413d8d57fc8c80555262</t>
        </is>
      </c>
      <c r="C294" s="0" t="inlineStr">
        <is>
          <t xml:space="preserve">Presolicitation</t>
        </is>
      </c>
      <c r="D294" s="0" t="inlineStr">
        <is>
          <t xml:space="preserve">2026-06-01</t>
        </is>
      </c>
      <c r="E294" s="0" t="inlineStr">
        <is>
          <t xml:space="preserve">Navy/USMC</t>
        </is>
      </c>
      <c r="F294" s="0" t="inlineStr">
        <is>
          <t xml:space="preserve">ship_repair_maintenance</t>
        </is>
      </c>
      <c r="G294" s="0" t="inlineStr">
        <is>
          <t xml:space="preserve">336611</t>
        </is>
      </c>
      <c r="H294" s="0" t="inlineStr">
        <is>
          <t xml:space="preserve">J999</t>
        </is>
      </c>
      <c r="I294" s="0" t="inlineStr">
        <is>
          <t xml:space="preserve">LPD-18 LAN NIPR DROP BOX CABLE FOR CANES; INSPECT AND REPLACE</t>
        </is>
      </c>
      <c r="J294" s="0" t="inlineStr">
        <is>
          <t xml:space="preserve">N6264926Q0342</t>
        </is>
      </c>
    </row>
    <row r="295">
      <c r="B295" s="0" t="inlineStr">
        <is>
          <t xml:space="preserve">979adaa5fee84a9bb593794c4e413325</t>
        </is>
      </c>
      <c r="C295" s="0" t="inlineStr">
        <is>
          <t xml:space="preserve">Presolicitation</t>
        </is>
      </c>
      <c r="D295" s="0" t="inlineStr">
        <is>
          <t xml:space="preserve">2026-06-01</t>
        </is>
      </c>
      <c r="E295" s="0" t="inlineStr">
        <is>
          <t xml:space="preserve">Navy/USMC</t>
        </is>
      </c>
      <c r="F295" s="0" t="inlineStr">
        <is>
          <t xml:space="preserve">ship_repair_maintenance</t>
        </is>
      </c>
      <c r="G295" s="0" t="inlineStr">
        <is>
          <t xml:space="preserve">336611</t>
        </is>
      </c>
      <c r="H295" s="0" t="inlineStr">
        <is>
          <t xml:space="preserve">J999</t>
        </is>
      </c>
      <c r="I295" s="0" t="inlineStr">
        <is>
          <t xml:space="preserve">LPD-18 FLOW CONTROL VALVE BRACKET AND LATCH CABLE ASSEMBLY OF STBD SIDEPORT SHELL DOOR; ALIGN AND INSTALL</t>
        </is>
      </c>
      <c r="J295" s="0" t="inlineStr">
        <is>
          <t xml:space="preserve">N6264926Q0344</t>
        </is>
      </c>
    </row>
    <row r="296">
      <c r="B296" s="0" t="inlineStr">
        <is>
          <t xml:space="preserve">3566aab19b134b21b922b3cd3e46be12</t>
        </is>
      </c>
      <c r="C296" s="0" t="inlineStr">
        <is>
          <t xml:space="preserve">Presolicitation</t>
        </is>
      </c>
      <c r="D296" s="0" t="inlineStr">
        <is>
          <t xml:space="preserve">2026-06-01</t>
        </is>
      </c>
      <c r="E296" s="0" t="inlineStr">
        <is>
          <t xml:space="preserve">Navy/USMC</t>
        </is>
      </c>
      <c r="F296" s="0" t="inlineStr">
        <is>
          <t xml:space="preserve">ship_repair_maintenance</t>
        </is>
      </c>
      <c r="G296" s="0" t="inlineStr">
        <is>
          <t xml:space="preserve">336611</t>
        </is>
      </c>
      <c r="H296" s="0" t="inlineStr">
        <is>
          <t xml:space="preserve">J999</t>
        </is>
      </c>
      <c r="I296" s="0" t="inlineStr">
        <is>
          <t xml:space="preserve">LPD-18 FIRE DAMAGE VALVE IN SD STR RM (5-18-2-A AND 6-18-2-K); INSPECT, REPAIR AND REPLACE</t>
        </is>
      </c>
      <c r="J296" s="0" t="inlineStr">
        <is>
          <t xml:space="preserve">N6264926Q0343</t>
        </is>
      </c>
    </row>
    <row r="297">
      <c r="B297" s="0" t="inlineStr">
        <is>
          <t xml:space="preserve">4e803092218b4dbb800f6ae589af5e59</t>
        </is>
      </c>
      <c r="C297" s="0" t="inlineStr">
        <is>
          <t xml:space="preserve">Solicitation</t>
        </is>
      </c>
      <c r="D297" s="0" t="inlineStr">
        <is>
          <t xml:space="preserve">2026-06-02</t>
        </is>
      </c>
      <c r="E297" s="0" t="inlineStr">
        <is>
          <t xml:space="preserve">Navy/USMC</t>
        </is>
      </c>
      <c r="F297" s="0" t="inlineStr">
        <is>
          <t xml:space="preserve">services_rdte</t>
        </is>
      </c>
      <c r="G297" s="0" t="inlineStr">
        <is>
          <t xml:space="preserve">336611</t>
        </is>
      </c>
      <c r="H297" s="0" t="inlineStr">
        <is>
          <t xml:space="preserve">R425</t>
        </is>
      </c>
      <c r="I297" s="0" t="inlineStr">
        <is>
          <t xml:space="preserve">N6449826Q5156 BIG BLUE ONLY</t>
        </is>
      </c>
      <c r="J297" s="0" t="inlineStr">
        <is>
          <t xml:space="preserve">N6449826Q5156</t>
        </is>
      </c>
    </row>
    <row r="298">
      <c r="B298" s="0" t="inlineStr">
        <is>
          <t xml:space="preserve">30a90b5952b24af88544856adfdf14df</t>
        </is>
      </c>
      <c r="C298" s="0" t="inlineStr">
        <is>
          <t xml:space="preserve">Sources Sought</t>
        </is>
      </c>
      <c r="D298" s="0" t="inlineStr">
        <is>
          <t xml:space="preserve">2026-06-02</t>
        </is>
      </c>
      <c r="E298" s="0" t="inlineStr">
        <is>
          <t xml:space="preserve">Coast Guard</t>
        </is>
      </c>
      <c r="F298" s="0" t="inlineStr">
        <is>
          <t xml:space="preserve">ship_repair_maintenance</t>
        </is>
      </c>
      <c r="G298" s="0" t="inlineStr">
        <is>
          <t xml:space="preserve">336611</t>
        </is>
      </c>
      <c r="H298" s="0" t="inlineStr">
        <is>
          <t xml:space="preserve">J998</t>
        </is>
      </c>
      <c r="I298" s="0" t="inlineStr">
        <is>
          <t xml:space="preserve">Dock-Side (DS): CGC RESOLUTE DS FY27</t>
        </is>
      </c>
      <c r="J298" s="0" t="inlineStr">
        <is>
          <t xml:space="preserve">70Z08026SCGCRESOLUTEDS</t>
        </is>
      </c>
    </row>
    <row r="299">
      <c r="B299" s="0" t="inlineStr">
        <is>
          <t xml:space="preserve">fa3192a3d247416fae6718b7d71313b8</t>
        </is>
      </c>
      <c r="C299" s="0" t="inlineStr">
        <is>
          <t xml:space="preserve">Solicitation</t>
        </is>
      </c>
      <c r="D299" s="0" t="inlineStr">
        <is>
          <t xml:space="preserve">2026-06-03</t>
        </is>
      </c>
      <c r="E299" s="0" t="inlineStr">
        <is>
          <t xml:space="preserve">Navy/USMC</t>
        </is>
      </c>
      <c r="F299" s="0" t="inlineStr">
        <is>
          <t xml:space="preserve">ship_repair_maintenance</t>
        </is>
      </c>
      <c r="G299" s="0" t="inlineStr">
        <is>
          <t xml:space="preserve">336611</t>
        </is>
      </c>
      <c r="H299" s="0" t="inlineStr">
        <is>
          <t xml:space="preserve">J999</t>
        </is>
      </c>
      <c r="I299" s="0" t="inlineStr">
        <is>
          <t xml:space="preserve">VOID (6-56-3-V); REPAIR / BALLAST TANK 6-56-1-W; REPAIR AND PRESERVE</t>
        </is>
      </c>
      <c r="J299" s="0" t="inlineStr">
        <is>
          <t xml:space="preserve">N6275826PRRU317</t>
        </is>
      </c>
    </row>
    <row r="300">
      <c r="B300" s="0" t="inlineStr">
        <is>
          <t xml:space="preserve">eda8f40647574f7ca8088a2a192ba095</t>
        </is>
      </c>
      <c r="C300" s="0" t="inlineStr">
        <is>
          <t xml:space="preserve">Solicitation</t>
        </is>
      </c>
      <c r="D300" s="0" t="inlineStr">
        <is>
          <t xml:space="preserve">2026-06-03</t>
        </is>
      </c>
      <c r="E300" s="0" t="inlineStr">
        <is>
          <t xml:space="preserve">Navy/USMC</t>
        </is>
      </c>
      <c r="F300" s="0" t="inlineStr">
        <is>
          <t xml:space="preserve">ship_repair_maintenance</t>
        </is>
      </c>
      <c r="G300" s="0" t="inlineStr">
        <is>
          <t xml:space="preserve">336611</t>
        </is>
      </c>
      <c r="H300" s="0" t="inlineStr">
        <is>
          <t xml:space="preserve">J999</t>
        </is>
      </c>
      <c r="I300" s="0" t="inlineStr">
        <is>
          <t xml:space="preserve">USS PIONEER (MCM-9) TEMPORARY CHILL WATER UNIT; PROVIDE</t>
        </is>
      </c>
      <c r="J300" s="0" t="inlineStr">
        <is>
          <t xml:space="preserve">N6264926Q0346</t>
        </is>
      </c>
    </row>
    <row r="301">
      <c r="B301" s="0" t="inlineStr">
        <is>
          <t xml:space="preserve">bb70c1dc67394d04a4e4844d4de669a1</t>
        </is>
      </c>
      <c r="C301" s="0" t="inlineStr">
        <is>
          <t xml:space="preserve">Solicitation</t>
        </is>
      </c>
      <c r="D301" s="0" t="inlineStr">
        <is>
          <t xml:space="preserve">2026-06-03</t>
        </is>
      </c>
      <c r="E301" s="0" t="inlineStr">
        <is>
          <t xml:space="preserve">Navy/USMC</t>
        </is>
      </c>
      <c r="F301" s="0" t="inlineStr">
        <is>
          <t xml:space="preserve">ship_repair_maintenance</t>
        </is>
      </c>
      <c r="G301" s="0" t="inlineStr">
        <is>
          <t xml:space="preserve">336611</t>
        </is>
      </c>
      <c r="H301" s="0" t="inlineStr">
        <is>
          <t xml:space="preserve">J999</t>
        </is>
      </c>
      <c r="I301" s="0" t="inlineStr">
        <is>
          <t xml:space="preserve">MCM-9, GATX EVAPORATOR TANK IN 2-23-0-Q; REPAIR AND PRESERVE COLLECTING HOLDING AND TRANSFER PIPING; CHEMICALLY CLEAN</t>
        </is>
      </c>
      <c r="J301" s="0" t="inlineStr">
        <is>
          <t xml:space="preserve">N6264926Q0350</t>
        </is>
      </c>
    </row>
    <row r="302">
      <c r="B302" s="0" t="inlineStr">
        <is>
          <t xml:space="preserve">7271825a54a64f88a2be6c14628bf4be</t>
        </is>
      </c>
      <c r="C302" s="0" t="inlineStr">
        <is>
          <t xml:space="preserve">Combined Synopsis/Solicitation</t>
        </is>
      </c>
      <c r="D302" s="0" t="inlineStr">
        <is>
          <t xml:space="preserve">2026-06-03</t>
        </is>
      </c>
      <c r="E302" s="0" t="inlineStr">
        <is>
          <t xml:space="preserve">Other DoD</t>
        </is>
      </c>
      <c r="F302" s="0" t="inlineStr">
        <is>
          <t xml:space="preserve">other</t>
        </is>
      </c>
      <c r="G302" s="0" t="inlineStr">
        <is>
          <t xml:space="preserve">336611</t>
        </is>
      </c>
      <c r="H302" s="0" t="inlineStr">
        <is>
          <t xml:space="preserve">84</t>
        </is>
      </c>
      <c r="I302" s="0" t="inlineStr">
        <is>
          <t xml:space="preserve">84--LAPEL BUTTON,AWARD</t>
        </is>
      </c>
      <c r="J302" s="0" t="inlineStr">
        <is>
          <t xml:space="preserve">SPE1C126Q0302</t>
        </is>
      </c>
    </row>
    <row r="303">
      <c r="B303" s="0" t="inlineStr">
        <is>
          <t xml:space="preserve">25c7f275f2d647f48db5cf6974844e17</t>
        </is>
      </c>
      <c r="C303" s="0" t="inlineStr">
        <is>
          <t xml:space="preserve">Solicitation</t>
        </is>
      </c>
      <c r="D303" s="0" t="inlineStr">
        <is>
          <t xml:space="preserve">2026-06-07</t>
        </is>
      </c>
      <c r="E303" s="0" t="inlineStr">
        <is>
          <t xml:space="preserve">Navy/USMC</t>
        </is>
      </c>
      <c r="F303" s="0" t="inlineStr">
        <is>
          <t xml:space="preserve">ship_repair_maintenance</t>
        </is>
      </c>
      <c r="G303" s="0" t="inlineStr">
        <is>
          <t xml:space="preserve">336611</t>
        </is>
      </c>
      <c r="H303" s="0" t="inlineStr">
        <is>
          <t xml:space="preserve">J999</t>
        </is>
      </c>
      <c r="I303" s="0" t="inlineStr">
        <is>
          <t xml:space="preserve">USNS JOHN LEWIS (T-AO 205) MID-TERM AVAILABILITY (MTA)</t>
        </is>
      </c>
      <c r="J303" s="0" t="inlineStr">
        <is>
          <t xml:space="preserve">N6264926RL006</t>
        </is>
      </c>
    </row>
    <row r="304">
      <c r="B304" s="0" t="inlineStr">
        <is>
          <t xml:space="preserve">371bace7316448be8488118416195795</t>
        </is>
      </c>
      <c r="C304" s="0" t="inlineStr">
        <is>
          <t xml:space="preserve">Combined Synopsis/Solicitation</t>
        </is>
      </c>
      <c r="D304" s="0" t="inlineStr">
        <is>
          <t xml:space="preserve">2026-06-12</t>
        </is>
      </c>
      <c r="E304" s="0" t="inlineStr">
        <is>
          <t xml:space="preserve">Navy/USMC</t>
        </is>
      </c>
      <c r="F304" s="0" t="inlineStr">
        <is>
          <t xml:space="preserve">marine_components_parts</t>
        </is>
      </c>
      <c r="G304" s="0" t="inlineStr">
        <is>
          <t xml:space="preserve">336612</t>
        </is>
      </c>
      <c r="H304" s="0" t="inlineStr">
        <is>
          <t xml:space="preserve">2040</t>
        </is>
      </c>
      <c r="I304" s="0" t="inlineStr">
        <is>
          <t xml:space="preserve">Procure Submarine Hydro-Pneumatic Fenders</t>
        </is>
      </c>
      <c r="J304" s="0" t="inlineStr">
        <is>
          <t xml:space="preserve">N6264926QK002</t>
        </is>
      </c>
    </row>
    <row r="305">
      <c r="B305" s="0" t="inlineStr">
        <is>
          <t xml:space="preserve">5b7c11aea18f4914ac2853e908d7ed81</t>
        </is>
      </c>
      <c r="C305" s="0" t="inlineStr">
        <is>
          <t xml:space="preserve">Combined Synopsis/Solicitation</t>
        </is>
      </c>
      <c r="D305" s="0" t="inlineStr">
        <is>
          <t xml:space="preserve">2026-06-03</t>
        </is>
      </c>
      <c r="E305" s="0" t="inlineStr">
        <is>
          <t xml:space="preserve">Other DoD</t>
        </is>
      </c>
      <c r="F305" s="0" t="inlineStr">
        <is>
          <t xml:space="preserve">other</t>
        </is>
      </c>
      <c r="G305" s="0" t="inlineStr">
        <is>
          <t xml:space="preserve">336611</t>
        </is>
      </c>
      <c r="H305" s="0" t="inlineStr">
        <is>
          <t xml:space="preserve">28</t>
        </is>
      </c>
      <c r="I305" s="0" t="inlineStr">
        <is>
          <t xml:space="preserve">28--DEFLECTOR,DIRT AND</t>
        </is>
      </c>
      <c r="J305" s="0" t="inlineStr">
        <is>
          <t xml:space="preserve">SPE7LX26U8222</t>
        </is>
      </c>
    </row>
    <row r="306">
      <c r="B306" s="0" t="inlineStr">
        <is>
          <t xml:space="preserve">e5a460a204ae43c6b47b034d4cebe6d6</t>
        </is>
      </c>
      <c r="C306" s="0" t="inlineStr">
        <is>
          <t xml:space="preserve">Combined Synopsis/Solicitation</t>
        </is>
      </c>
      <c r="D306" s="0" t="inlineStr">
        <is>
          <t xml:space="preserve">2026-06-05</t>
        </is>
      </c>
      <c r="E306" s="0" t="inlineStr">
        <is>
          <t xml:space="preserve">Navy/USMC</t>
        </is>
      </c>
      <c r="F306" s="0" t="inlineStr">
        <is>
          <t xml:space="preserve">ship_repair_maintenance</t>
        </is>
      </c>
      <c r="G306" s="0" t="inlineStr">
        <is>
          <t xml:space="preserve">336611</t>
        </is>
      </c>
      <c r="H306" s="0" t="inlineStr">
        <is>
          <t xml:space="preserve">J999</t>
        </is>
      </c>
      <c r="I306" s="0" t="inlineStr">
        <is>
          <t xml:space="preserve">USS PIONEER(MCM-9) ASW and MSW piping in MMR; hydrobalst</t>
        </is>
      </c>
      <c r="J306" s="0" t="inlineStr">
        <is>
          <t xml:space="preserve">N6264926Q0358</t>
        </is>
      </c>
    </row>
    <row r="307">
      <c r="B307" s="0" t="inlineStr">
        <is>
          <t xml:space="preserve">0811d0eb7cbb404db721f11cf4b2a654</t>
        </is>
      </c>
      <c r="C307" s="0" t="inlineStr">
        <is>
          <t xml:space="preserve">Combined Synopsis/Solicitation</t>
        </is>
      </c>
      <c r="D307" s="0" t="inlineStr">
        <is>
          <t xml:space="preserve">2026-06-07</t>
        </is>
      </c>
      <c r="E307" s="0" t="inlineStr">
        <is>
          <t xml:space="preserve">Other DoD</t>
        </is>
      </c>
      <c r="F307" s="0" t="inlineStr">
        <is>
          <t xml:space="preserve">marine_components_parts</t>
        </is>
      </c>
      <c r="G307" s="0" t="inlineStr">
        <is>
          <t xml:space="preserve">336611</t>
        </is>
      </c>
      <c r="H307" s="0" t="inlineStr">
        <is>
          <t xml:space="preserve">48</t>
        </is>
      </c>
      <c r="I307" s="0" t="inlineStr">
        <is>
          <t xml:space="preserve">48--DISK,VALVE</t>
        </is>
      </c>
      <c r="J307" s="0" t="inlineStr">
        <is>
          <t xml:space="preserve">SPE7MC26T066H</t>
        </is>
      </c>
    </row>
    <row r="308">
      <c r="B308" s="0" t="inlineStr">
        <is>
          <t xml:space="preserve">d8fc2b7127ac4caa87ce27392bc5ba94</t>
        </is>
      </c>
      <c r="C308" s="0" t="inlineStr">
        <is>
          <t xml:space="preserve">Combined Synopsis/Solicitation</t>
        </is>
      </c>
      <c r="D308" s="0" t="inlineStr">
        <is>
          <t xml:space="preserve">2026-06-10</t>
        </is>
      </c>
      <c r="E308" s="0" t="inlineStr">
        <is>
          <t xml:space="preserve">Coast Guard</t>
        </is>
      </c>
      <c r="F308" s="0" t="inlineStr">
        <is>
          <t xml:space="preserve">marine_components_parts</t>
        </is>
      </c>
      <c r="G308" s="0" t="inlineStr">
        <is>
          <t xml:space="preserve">336611</t>
        </is>
      </c>
      <c r="H308" s="0" t="inlineStr">
        <is>
          <t xml:space="preserve">5998</t>
        </is>
      </c>
      <c r="I308" s="0" t="inlineStr">
        <is>
          <t xml:space="preserve">FEEDBACK UNIT</t>
        </is>
      </c>
      <c r="J308" s="0" t="inlineStr">
        <is>
          <t xml:space="preserve">70Z04026Q50495B00</t>
        </is>
      </c>
    </row>
    <row r="309">
      <c r="B309" s="0" t="inlineStr">
        <is>
          <t xml:space="preserve">448731e7d63848daa672a3db2295b5b4</t>
        </is>
      </c>
      <c r="C309" s="0" t="inlineStr">
        <is>
          <t xml:space="preserve">Combined Synopsis/Solicitation</t>
        </is>
      </c>
      <c r="D309" s="0" t="inlineStr">
        <is>
          <t xml:space="preserve">2026-06-10</t>
        </is>
      </c>
      <c r="E309" s="0" t="inlineStr">
        <is>
          <t xml:space="preserve">Coast Guard</t>
        </is>
      </c>
      <c r="F309" s="0" t="inlineStr">
        <is>
          <t xml:space="preserve">marine_components_parts</t>
        </is>
      </c>
      <c r="G309" s="0" t="inlineStr">
        <is>
          <t xml:space="preserve">336611</t>
        </is>
      </c>
      <c r="H309" s="0" t="inlineStr">
        <is>
          <t xml:space="preserve">4810</t>
        </is>
      </c>
      <c r="I309" s="0" t="inlineStr">
        <is>
          <t xml:space="preserve">VALVE ASSEMBLY</t>
        </is>
      </c>
      <c r="J309" s="0" t="inlineStr">
        <is>
          <t xml:space="preserve">70Z04026Q50492B00</t>
        </is>
      </c>
    </row>
    <row r="310">
      <c r="B310" s="0" t="inlineStr">
        <is>
          <t xml:space="preserve">bedc481b533344aeb20b98cbe22cf9a4</t>
        </is>
      </c>
      <c r="C310" s="0" t="inlineStr">
        <is>
          <t xml:space="preserve">Solicitation</t>
        </is>
      </c>
      <c r="D310" s="0" t="inlineStr">
        <is>
          <t xml:space="preserve">2026-06-12</t>
        </is>
      </c>
      <c r="E310" s="0" t="inlineStr">
        <is>
          <t xml:space="preserve">Navy/USMC</t>
        </is>
      </c>
      <c r="F310" s="0" t="inlineStr">
        <is>
          <t xml:space="preserve">ship_repair_maintenance</t>
        </is>
      </c>
      <c r="G310" s="0" t="inlineStr">
        <is>
          <t xml:space="preserve">336611</t>
        </is>
      </c>
      <c r="H310" s="0" t="inlineStr">
        <is>
          <t xml:space="preserve">J019</t>
        </is>
      </c>
      <c r="I310" s="0" t="inlineStr">
        <is>
          <t xml:space="preserve">Berthing and Messing Program Services</t>
        </is>
      </c>
      <c r="J310" s="0" t="inlineStr">
        <is>
          <t xml:space="preserve">N0018926RL013</t>
        </is>
      </c>
    </row>
    <row r="311">
      <c r="B311" s="0" t="inlineStr">
        <is>
          <t xml:space="preserve">5becc61d4ca840af89af0f96d9b968ac</t>
        </is>
      </c>
      <c r="C311" s="0" t="inlineStr">
        <is>
          <t xml:space="preserve">Combined Synopsis/Solicitation</t>
        </is>
      </c>
      <c r="D311" s="0" t="inlineStr">
        <is>
          <t xml:space="preserve">2026-06-03</t>
        </is>
      </c>
      <c r="E311" s="0" t="inlineStr">
        <is>
          <t xml:space="preserve">Coast Guard</t>
        </is>
      </c>
      <c r="F311" s="0" t="inlineStr">
        <is>
          <t xml:space="preserve">other</t>
        </is>
      </c>
      <c r="G311" s="0" t="inlineStr">
        <is>
          <t xml:space="preserve">336611</t>
        </is>
      </c>
      <c r="H311" s="0" t="inlineStr">
        <is>
          <t xml:space="preserve">3040</t>
        </is>
      </c>
      <c r="I311" s="0" t="inlineStr">
        <is>
          <t xml:space="preserve">HYDRAULIC PUMP / CYLINDER ASSEMBLY</t>
        </is>
      </c>
      <c r="J311" s="0" t="inlineStr">
        <is>
          <t xml:space="preserve">70Z04026Q50245B00</t>
        </is>
      </c>
    </row>
    <row r="312">
      <c r="B312" s="0" t="inlineStr">
        <is>
          <t xml:space="preserve">6d3a246fd2194b1ea9113c2c7cac1610</t>
        </is>
      </c>
      <c r="C312" s="0" t="inlineStr">
        <is>
          <t xml:space="preserve">Combined Synopsis/Solicitation</t>
        </is>
      </c>
      <c r="D312" s="0" t="inlineStr">
        <is>
          <t xml:space="preserve">2026-06-04</t>
        </is>
      </c>
      <c r="E312" s="0" t="inlineStr">
        <is>
          <t xml:space="preserve">Civil/Other</t>
        </is>
      </c>
      <c r="F312" s="0" t="inlineStr">
        <is>
          <t xml:space="preserve">ship_repair_maintenance</t>
        </is>
      </c>
      <c r="G312" s="0" t="inlineStr">
        <is>
          <t xml:space="preserve">336611</t>
        </is>
      </c>
      <c r="H312" s="0" t="inlineStr">
        <is>
          <t xml:space="preserve">J020</t>
        </is>
      </c>
      <c r="I312" s="0" t="inlineStr">
        <is>
          <t xml:space="preserve">J--GOGA - NHL BALCLUTHA HAUL OUT</t>
        </is>
      </c>
      <c r="J312" s="0" t="inlineStr">
        <is>
          <t xml:space="preserve">140P8526Q0019</t>
        </is>
      </c>
    </row>
    <row r="313">
      <c r="B313" s="0" t="inlineStr">
        <is>
          <t xml:space="preserve">f10a6543b46743c5b5ae556cab129124</t>
        </is>
      </c>
      <c r="C313" s="0" t="inlineStr">
        <is>
          <t xml:space="preserve">Sources Sought</t>
        </is>
      </c>
      <c r="D313" s="0" t="inlineStr">
        <is>
          <t xml:space="preserve">2026-06-08</t>
        </is>
      </c>
      <c r="E313" s="0" t="inlineStr">
        <is>
          <t xml:space="preserve">Coast Guard</t>
        </is>
      </c>
      <c r="F313" s="0" t="inlineStr">
        <is>
          <t xml:space="preserve">ship_repair_maintenance</t>
        </is>
      </c>
      <c r="G313" s="0" t="inlineStr">
        <is>
          <t xml:space="preserve">336611</t>
        </is>
      </c>
      <c r="H313" s="0" t="inlineStr">
        <is>
          <t xml:space="preserve">J999</t>
        </is>
      </c>
      <c r="I313" s="0" t="inlineStr">
        <is>
          <t xml:space="preserve">Dock-side (DS): USCGC WAESCHE FY27 Repair</t>
        </is>
      </c>
      <c r="J313" s="0" t="inlineStr">
        <is>
          <t xml:space="preserve">DOCKSIDE-REPAIRS-CGC-WAESCHE</t>
        </is>
      </c>
    </row>
    <row r="314">
      <c r="B314" s="0" t="inlineStr">
        <is>
          <t xml:space="preserve">8cc27966e79543499cfbf36ca2c5b3de</t>
        </is>
      </c>
      <c r="C314" s="0" t="inlineStr">
        <is>
          <t xml:space="preserve">Solicitation</t>
        </is>
      </c>
      <c r="D314" s="0" t="inlineStr">
        <is>
          <t xml:space="preserve">2026-06-09</t>
        </is>
      </c>
      <c r="E314" s="0" t="inlineStr">
        <is>
          <t xml:space="preserve">Army</t>
        </is>
      </c>
      <c r="F314" s="0" t="inlineStr">
        <is>
          <t xml:space="preserve">ship_repair_maintenance</t>
        </is>
      </c>
      <c r="G314" s="0" t="inlineStr">
        <is>
          <t xml:space="preserve">336611</t>
        </is>
      </c>
      <c r="H314" s="0" t="inlineStr">
        <is>
          <t xml:space="preserve">J019</t>
        </is>
      </c>
      <c r="I314" s="0" t="inlineStr">
        <is>
          <t xml:space="preserve">Dredge Goetz PLC update for Rajant System</t>
        </is>
      </c>
      <c r="J314" s="0" t="inlineStr">
        <is>
          <t xml:space="preserve">W912ES26QA066</t>
        </is>
      </c>
    </row>
    <row r="315">
      <c r="B315" s="0" t="inlineStr">
        <is>
          <t xml:space="preserve">abc560e8075240ecb570c0b02777cf21</t>
        </is>
      </c>
      <c r="C315" s="0" t="inlineStr">
        <is>
          <t xml:space="preserve">Sources Sought</t>
        </is>
      </c>
      <c r="D315" s="0" t="inlineStr">
        <is>
          <t xml:space="preserve">2026-06-09</t>
        </is>
      </c>
      <c r="E315" s="0" t="inlineStr">
        <is>
          <t xml:space="preserve">Civil/Other</t>
        </is>
      </c>
      <c r="F315" s="0" t="inlineStr">
        <is>
          <t xml:space="preserve">other</t>
        </is>
      </c>
      <c r="G315" s="0" t="inlineStr">
        <is>
          <t xml:space="preserve">336612</t>
        </is>
      </c>
      <c r="H315" s="0" t="inlineStr">
        <is>
          <t xml:space="preserve">1920</t>
        </is>
      </c>
      <c r="I315" s="0" t="inlineStr">
        <is>
          <t xml:space="preserve">19--YELL FISH FISHING VESSEL</t>
        </is>
      </c>
      <c r="J315" s="0" t="inlineStr">
        <is>
          <t xml:space="preserve">140PS126Q0016</t>
        </is>
      </c>
    </row>
    <row r="316">
      <c r="B316" s="0" t="inlineStr">
        <is>
          <t xml:space="preserve">efddf63fb1c047c8a67d2c1b7f2dfb6b</t>
        </is>
      </c>
      <c r="C316" s="0" t="inlineStr">
        <is>
          <t xml:space="preserve">Combined Synopsis/Solicitation</t>
        </is>
      </c>
      <c r="D316" s="0" t="inlineStr">
        <is>
          <t xml:space="preserve">2026-06-11</t>
        </is>
      </c>
      <c r="E316" s="0" t="inlineStr">
        <is>
          <t xml:space="preserve">Coast Guard</t>
        </is>
      </c>
      <c r="F316" s="0" t="inlineStr">
        <is>
          <t xml:space="preserve">marine_components_parts</t>
        </is>
      </c>
      <c r="G316" s="0" t="inlineStr">
        <is>
          <t xml:space="preserve">336611</t>
        </is>
      </c>
      <c r="H316" s="0" t="inlineStr">
        <is>
          <t xml:space="preserve">2090</t>
        </is>
      </c>
      <c r="I316" s="0" t="inlineStr">
        <is>
          <t xml:space="preserve">USCGC WAESCHE PROXIMITY SWITCH</t>
        </is>
      </c>
      <c r="J316" s="0" t="inlineStr">
        <is>
          <t xml:space="preserve">70Z08526Q024916</t>
        </is>
      </c>
    </row>
    <row r="317">
      <c r="B317" s="0" t="inlineStr">
        <is>
          <t xml:space="preserve">624e6a5b641943389bd1c15767ac4be9</t>
        </is>
      </c>
      <c r="C317" s="0" t="inlineStr">
        <is>
          <t xml:space="preserve">Presolicitation</t>
        </is>
      </c>
      <c r="D317" s="0" t="inlineStr">
        <is>
          <t xml:space="preserve">2026-06-05</t>
        </is>
      </c>
      <c r="E317" s="0" t="inlineStr">
        <is>
          <t xml:space="preserve">Navy/USMC</t>
        </is>
      </c>
      <c r="F317" s="0" t="inlineStr">
        <is>
          <t xml:space="preserve">ship_repair_maintenance</t>
        </is>
      </c>
      <c r="G317" s="0" t="inlineStr">
        <is>
          <t xml:space="preserve">336611</t>
        </is>
      </c>
      <c r="H317" s="0" t="inlineStr">
        <is>
          <t xml:space="preserve">J999</t>
        </is>
      </c>
      <c r="I317" s="0" t="inlineStr">
        <is>
          <t xml:space="preserve">USS JOHN P MURTHA (LPD 26) FY27 Docking Selected Restricted Availability (DSRA) Pre-Solicitation Synopsis Update</t>
        </is>
      </c>
      <c r="J317" s="0" t="inlineStr">
        <is>
          <t xml:space="preserve">N00024-26-R-4412v2</t>
        </is>
      </c>
    </row>
    <row r="318">
      <c r="B318" s="0" t="inlineStr">
        <is>
          <t xml:space="preserve">f1b7bae56e92485fb0a8f97726c7a6e5</t>
        </is>
      </c>
      <c r="C318" s="0" t="inlineStr">
        <is>
          <t xml:space="preserve">Presolicitation</t>
        </is>
      </c>
      <c r="D318" s="0" t="inlineStr">
        <is>
          <t xml:space="preserve">2026-06-11</t>
        </is>
      </c>
      <c r="E318" s="0" t="inlineStr">
        <is>
          <t xml:space="preserve">Navy/USMC</t>
        </is>
      </c>
      <c r="F318" s="0" t="inlineStr">
        <is>
          <t xml:space="preserve">ship_repair_maintenance</t>
        </is>
      </c>
      <c r="G318" s="0" t="inlineStr">
        <is>
          <t xml:space="preserve">336611</t>
        </is>
      </c>
      <c r="H318" s="0" t="inlineStr">
        <is>
          <t xml:space="preserve">J999</t>
        </is>
      </c>
      <c r="I318" s="0" t="inlineStr">
        <is>
          <t xml:space="preserve">USS CHIEF (MCM-14) ENGINE CONNECTION BOX AND WIRE HARNESS FOR NO.1A, 1B AND 2SSDG; REPAIR</t>
        </is>
      </c>
      <c r="J318" s="0" t="inlineStr">
        <is>
          <t xml:space="preserve">N6264926Q0369</t>
        </is>
      </c>
    </row>
    <row r="319">
      <c r="B319" s="0" t="inlineStr">
        <is>
          <t xml:space="preserve">94135bf46f4d4aaea44919754c110b62</t>
        </is>
      </c>
      <c r="C319" s="0" t="inlineStr">
        <is>
          <t xml:space="preserve">Presolicitation</t>
        </is>
      </c>
      <c r="D319" s="0" t="inlineStr">
        <is>
          <t xml:space="preserve">2026-04-13</t>
        </is>
      </c>
      <c r="E319" s="0" t="inlineStr">
        <is>
          <t xml:space="preserve">Navy/USMC</t>
        </is>
      </c>
      <c r="F319" s="0" t="inlineStr">
        <is>
          <t xml:space="preserve">ship_repair_maintenance</t>
        </is>
      </c>
      <c r="G319" s="0" t="inlineStr">
        <is>
          <t xml:space="preserve">336611</t>
        </is>
      </c>
      <c r="H319" s="0" t="inlineStr">
        <is>
          <t xml:space="preserve">J999</t>
        </is>
      </c>
      <c r="I319" s="0" t="inlineStr">
        <is>
          <t xml:space="preserve">Commercial Industrial Services (CIS) Preservation (Interior and Exterior Surfaces) Services Follow-on MAC-IDIQ</t>
        </is>
      </c>
      <c r="J319" s="0" t="inlineStr">
        <is>
          <t xml:space="preserve">N5523626R0008</t>
        </is>
      </c>
    </row>
    <row r="320">
      <c r="B320" s="0" t="inlineStr">
        <is>
          <t xml:space="preserve">9c7e20ab08934d238d00834c598636e7</t>
        </is>
      </c>
      <c r="C320" s="0" t="inlineStr">
        <is>
          <t xml:space="preserve">Solicitation</t>
        </is>
      </c>
      <c r="D320" s="0" t="inlineStr">
        <is>
          <t xml:space="preserve">2026-05-28</t>
        </is>
      </c>
      <c r="E320" s="0" t="inlineStr">
        <is>
          <t xml:space="preserve">Coast Guard</t>
        </is>
      </c>
      <c r="F320" s="0" t="inlineStr">
        <is>
          <t xml:space="preserve">ship_repair_maintenance</t>
        </is>
      </c>
      <c r="G320" s="0" t="inlineStr">
        <is>
          <t xml:space="preserve">336611</t>
        </is>
      </c>
      <c r="H320" s="0" t="inlineStr">
        <is>
          <t xml:space="preserve">J998</t>
        </is>
      </c>
      <c r="I320" s="0" t="inlineStr">
        <is>
          <t xml:space="preserve">DOCKSIDE USCGC ESCANABA FY27 AA</t>
        </is>
      </c>
      <c r="J320" s="0" t="inlineStr">
        <is>
          <t xml:space="preserve">70Z08026QMECP0022</t>
        </is>
      </c>
    </row>
    <row r="321">
      <c r="B321" s="0" t="inlineStr">
        <is>
          <t xml:space="preserve">7369e752628f49a9ab6399242907d01e</t>
        </is>
      </c>
      <c r="C321" s="0" t="inlineStr">
        <is>
          <t xml:space="preserve">Combined Synopsis/Solicitation</t>
        </is>
      </c>
      <c r="D321" s="0" t="inlineStr">
        <is>
          <t xml:space="preserve">2026-05-29</t>
        </is>
      </c>
      <c r="E321" s="0" t="inlineStr">
        <is>
          <t xml:space="preserve">Coast Guard</t>
        </is>
      </c>
      <c r="F321" s="0" t="inlineStr">
        <is>
          <t xml:space="preserve">ship_repair_maintenance</t>
        </is>
      </c>
      <c r="G321" s="0" t="inlineStr">
        <is>
          <t xml:space="preserve">336611</t>
        </is>
      </c>
      <c r="H321" s="0" t="inlineStr">
        <is>
          <t xml:space="preserve">J999</t>
        </is>
      </c>
      <c r="I321" s="0" t="inlineStr">
        <is>
          <t xml:space="preserve">USCGC MAPLE DOCKSIDE</t>
        </is>
      </c>
      <c r="J321" s="0" t="inlineStr">
        <is>
          <t xml:space="preserve">70Z08526QIBCT0053</t>
        </is>
      </c>
    </row>
    <row r="322">
      <c r="B322" s="0" t="inlineStr">
        <is>
          <t xml:space="preserve">aa48f50e8602402f9a21b6e59548acaa</t>
        </is>
      </c>
      <c r="C322" s="0" t="inlineStr">
        <is>
          <t xml:space="preserve">Solicitation</t>
        </is>
      </c>
      <c r="D322" s="0" t="inlineStr">
        <is>
          <t xml:space="preserve">2026-06-01</t>
        </is>
      </c>
      <c r="E322" s="0" t="inlineStr">
        <is>
          <t xml:space="preserve">Navy/USMC</t>
        </is>
      </c>
      <c r="F322" s="0" t="inlineStr">
        <is>
          <t xml:space="preserve">ship_repair_maintenance</t>
        </is>
      </c>
      <c r="G322" s="0" t="inlineStr">
        <is>
          <t xml:space="preserve">336611</t>
        </is>
      </c>
      <c r="H322" s="0" t="inlineStr">
        <is>
          <t xml:space="preserve">J998</t>
        </is>
      </c>
      <c r="I322" s="0" t="inlineStr">
        <is>
          <t xml:space="preserve">USNS COMFORT ROH/DD</t>
        </is>
      </c>
      <c r="J322" s="0" t="inlineStr">
        <is>
          <t xml:space="preserve">N3220526R6074</t>
        </is>
      </c>
    </row>
    <row r="323">
      <c r="B323" s="0" t="inlineStr">
        <is>
          <t xml:space="preserve">439a83259a1e480783cb9845691b093b</t>
        </is>
      </c>
      <c r="C323" s="0" t="inlineStr">
        <is>
          <t xml:space="preserve">Solicitation</t>
        </is>
      </c>
      <c r="D323" s="0" t="inlineStr">
        <is>
          <t xml:space="preserve">2026-06-02</t>
        </is>
      </c>
      <c r="E323" s="0" t="inlineStr">
        <is>
          <t xml:space="preserve">Navy/USMC</t>
        </is>
      </c>
      <c r="F323" s="0" t="inlineStr">
        <is>
          <t xml:space="preserve">ship_repair_maintenance</t>
        </is>
      </c>
      <c r="G323" s="0" t="inlineStr">
        <is>
          <t xml:space="preserve">336611</t>
        </is>
      </c>
      <c r="H323" s="0" t="inlineStr">
        <is>
          <t xml:space="preserve">J999</t>
        </is>
      </c>
      <c r="I323" s="0" t="inlineStr">
        <is>
          <t xml:space="preserve">YON-285 Outfit</t>
        </is>
      </c>
      <c r="J323" s="0" t="inlineStr">
        <is>
          <t xml:space="preserve">N6264926R0013</t>
        </is>
      </c>
    </row>
    <row r="324">
      <c r="B324" s="0" t="inlineStr">
        <is>
          <t xml:space="preserve">9cbc9acaaa254c8bb4db30bbbb2f4da9</t>
        </is>
      </c>
      <c r="C324" s="0" t="inlineStr">
        <is>
          <t xml:space="preserve">Solicitation</t>
        </is>
      </c>
      <c r="D324" s="0" t="inlineStr">
        <is>
          <t xml:space="preserve">2026-06-07</t>
        </is>
      </c>
      <c r="E324" s="0" t="inlineStr">
        <is>
          <t xml:space="preserve">Navy/USMC</t>
        </is>
      </c>
      <c r="F324" s="0" t="inlineStr">
        <is>
          <t xml:space="preserve">ship_repair_maintenance</t>
        </is>
      </c>
      <c r="G324" s="0" t="inlineStr">
        <is>
          <t xml:space="preserve">336611</t>
        </is>
      </c>
      <c r="H324" s="0" t="inlineStr">
        <is>
          <t xml:space="preserve">J999</t>
        </is>
      </c>
      <c r="I324" s="0" t="inlineStr">
        <is>
          <t xml:space="preserve">USS HIGGINS (DDG-76) 6C1 FARM OUT BUNDLE 5</t>
        </is>
      </c>
      <c r="J324" s="0" t="inlineStr">
        <is>
          <t xml:space="preserve">N6264926RA053</t>
        </is>
      </c>
    </row>
    <row r="325">
      <c r="B325" s="0" t="inlineStr">
        <is>
          <t xml:space="preserve">5adad19ba9274e79be0ee16213d65f63</t>
        </is>
      </c>
      <c r="C325" s="0" t="inlineStr">
        <is>
          <t xml:space="preserve">Combined Synopsis/Solicitation</t>
        </is>
      </c>
      <c r="D325" s="0" t="inlineStr">
        <is>
          <t xml:space="preserve">2026-06-08</t>
        </is>
      </c>
      <c r="E325" s="0" t="inlineStr">
        <is>
          <t xml:space="preserve">Other DoD</t>
        </is>
      </c>
      <c r="F325" s="0" t="inlineStr">
        <is>
          <t xml:space="preserve">marine_components_parts</t>
        </is>
      </c>
      <c r="G325" s="0" t="inlineStr">
        <is>
          <t xml:space="preserve">336611</t>
        </is>
      </c>
      <c r="H325" s="0" t="inlineStr">
        <is>
          <t xml:space="preserve">47</t>
        </is>
      </c>
      <c r="I325" s="0" t="inlineStr">
        <is>
          <t xml:space="preserve">47--EXPANSION JOINT,PIP</t>
        </is>
      </c>
      <c r="J325" s="0" t="inlineStr">
        <is>
          <t xml:space="preserve">SPE7M326T6665</t>
        </is>
      </c>
    </row>
    <row r="326">
      <c r="B326" s="0" t="inlineStr">
        <is>
          <t xml:space="preserve">08e104c4f9e34f94bd4c719441c1d348</t>
        </is>
      </c>
      <c r="C326" s="0" t="inlineStr">
        <is>
          <t xml:space="preserve">Sources Sought</t>
        </is>
      </c>
      <c r="D326" s="0" t="inlineStr">
        <is>
          <t xml:space="preserve">2026-06-08</t>
        </is>
      </c>
      <c r="E326" s="0" t="inlineStr">
        <is>
          <t xml:space="preserve">Coast Guard</t>
        </is>
      </c>
      <c r="F326" s="0" t="inlineStr">
        <is>
          <t xml:space="preserve">ship_repair_maintenance</t>
        </is>
      </c>
      <c r="G326" s="0" t="inlineStr">
        <is>
          <t xml:space="preserve">336611</t>
        </is>
      </c>
      <c r="H326" s="0" t="inlineStr">
        <is>
          <t xml:space="preserve">J998</t>
        </is>
      </c>
      <c r="I326" s="0" t="inlineStr">
        <is>
          <t xml:space="preserve">Dock-Side (DS): CGC RELIANCE DS</t>
        </is>
      </c>
      <c r="J326" s="0" t="inlineStr">
        <is>
          <t xml:space="preserve">70Z08026SCGCRELIANCEAA</t>
        </is>
      </c>
    </row>
    <row r="327">
      <c r="B327" s="0" t="inlineStr">
        <is>
          <t xml:space="preserve">771dc37394984af29a48f18c76c58c1c</t>
        </is>
      </c>
      <c r="C327" s="0" t="inlineStr">
        <is>
          <t xml:space="preserve">Combined Synopsis/Solicitation</t>
        </is>
      </c>
      <c r="D327" s="0" t="inlineStr">
        <is>
          <t xml:space="preserve">2026-06-09</t>
        </is>
      </c>
      <c r="E327" s="0" t="inlineStr">
        <is>
          <t xml:space="preserve">Navy/USMC</t>
        </is>
      </c>
      <c r="F327" s="0" t="inlineStr">
        <is>
          <t xml:space="preserve">ship_repair_maintenance</t>
        </is>
      </c>
      <c r="G327" s="0" t="inlineStr">
        <is>
          <t xml:space="preserve">336611</t>
        </is>
      </c>
      <c r="H327" s="0" t="inlineStr">
        <is>
          <t xml:space="preserve">J019</t>
        </is>
      </c>
      <c r="I327" s="0" t="inlineStr">
        <is>
          <t xml:space="preserve">Barge Overhaul Services - Portsmouth Naval Shipyard</t>
        </is>
      </c>
      <c r="J327" s="0" t="inlineStr">
        <is>
          <t xml:space="preserve">N3904026Q4819</t>
        </is>
      </c>
    </row>
    <row r="328">
      <c r="B328" s="0" t="inlineStr">
        <is>
          <t xml:space="preserve">a346bbc0c58243489736b44a2de48bce</t>
        </is>
      </c>
      <c r="C328" s="0" t="inlineStr">
        <is>
          <t xml:space="preserve">Combined Synopsis/Solicitation</t>
        </is>
      </c>
      <c r="D328" s="0" t="inlineStr">
        <is>
          <t xml:space="preserve">2026-06-09</t>
        </is>
      </c>
      <c r="E328" s="0" t="inlineStr">
        <is>
          <t xml:space="preserve">Other DoD</t>
        </is>
      </c>
      <c r="F328" s="0" t="inlineStr">
        <is>
          <t xml:space="preserve">marine_components_parts</t>
        </is>
      </c>
      <c r="G328" s="0" t="inlineStr">
        <is>
          <t xml:space="preserve">336612</t>
        </is>
      </c>
      <c r="H328" s="0" t="inlineStr">
        <is>
          <t xml:space="preserve">20</t>
        </is>
      </c>
      <c r="I328" s="0" t="inlineStr">
        <is>
          <t xml:space="preserve">20--FACE</t>
        </is>
      </c>
      <c r="J328" s="0" t="inlineStr">
        <is>
          <t xml:space="preserve">SPE7M426T174X</t>
        </is>
      </c>
    </row>
    <row r="329">
      <c r="B329" s="0" t="inlineStr">
        <is>
          <t xml:space="preserve">f06b0a6554d140d58d9740e6fa0865a7</t>
        </is>
      </c>
      <c r="C329" s="0" t="inlineStr">
        <is>
          <t xml:space="preserve">Solicitation</t>
        </is>
      </c>
      <c r="D329" s="0" t="inlineStr">
        <is>
          <t xml:space="preserve">2026-06-10</t>
        </is>
      </c>
      <c r="E329" s="0" t="inlineStr">
        <is>
          <t xml:space="preserve">Navy/USMC</t>
        </is>
      </c>
      <c r="F329" s="0" t="inlineStr">
        <is>
          <t xml:space="preserve">ship_repair_maintenance</t>
        </is>
      </c>
      <c r="G329" s="0" t="inlineStr">
        <is>
          <t xml:space="preserve">336611</t>
        </is>
      </c>
      <c r="H329" s="0" t="inlineStr">
        <is>
          <t xml:space="preserve">J999</t>
        </is>
      </c>
      <c r="I329" s="0" t="inlineStr">
        <is>
          <t xml:space="preserve">USNS AMELIA EARHART (T-AKE 3) Regular Overhaul (ROH)</t>
        </is>
      </c>
      <c r="J329" s="0" t="inlineStr">
        <is>
          <t xml:space="preserve">N6264926RL008</t>
        </is>
      </c>
    </row>
    <row r="330">
      <c r="B330" s="0" t="inlineStr">
        <is>
          <t xml:space="preserve">a4c9ff08e44f4b35890fa4d3fbe954b6</t>
        </is>
      </c>
      <c r="C330" s="0" t="inlineStr">
        <is>
          <t xml:space="preserve">Combined Synopsis/Solicitation</t>
        </is>
      </c>
      <c r="D330" s="0" t="inlineStr">
        <is>
          <t xml:space="preserve">2026-06-10</t>
        </is>
      </c>
      <c r="E330" s="0" t="inlineStr">
        <is>
          <t xml:space="preserve">Other DoD</t>
        </is>
      </c>
      <c r="F330" s="0" t="inlineStr">
        <is>
          <t xml:space="preserve">other</t>
        </is>
      </c>
      <c r="G330" s="0" t="inlineStr">
        <is>
          <t xml:space="preserve">336611</t>
        </is>
      </c>
      <c r="H330" s="0" t="inlineStr">
        <is>
          <t xml:space="preserve">69</t>
        </is>
      </c>
      <c r="I330" s="0" t="inlineStr">
        <is>
          <t xml:space="preserve">69--MODIFICATION KIT,TR</t>
        </is>
      </c>
      <c r="J330" s="0" t="inlineStr">
        <is>
          <t xml:space="preserve">SPE8E926T2864</t>
        </is>
      </c>
    </row>
    <row r="331">
      <c r="B331" s="0" t="inlineStr">
        <is>
          <t xml:space="preserve">22d87f8f15a94248af3bc7b1aed30be1</t>
        </is>
      </c>
      <c r="C331" s="0" t="inlineStr">
        <is>
          <t xml:space="preserve">Combined Synopsis/Solicitation</t>
        </is>
      </c>
      <c r="D331" s="0" t="inlineStr">
        <is>
          <t xml:space="preserve">2026-06-10</t>
        </is>
      </c>
      <c r="E331" s="0" t="inlineStr">
        <is>
          <t xml:space="preserve">Other DoD</t>
        </is>
      </c>
      <c r="F331" s="0" t="inlineStr">
        <is>
          <t xml:space="preserve">other</t>
        </is>
      </c>
      <c r="G331" s="0" t="inlineStr">
        <is>
          <t xml:space="preserve">336611</t>
        </is>
      </c>
      <c r="H331" s="0" t="inlineStr">
        <is>
          <t xml:space="preserve">53</t>
        </is>
      </c>
      <c r="I331" s="0" t="inlineStr">
        <is>
          <t xml:space="preserve">53--UPPER LEAD SUPPORT</t>
        </is>
      </c>
      <c r="J331" s="0" t="inlineStr">
        <is>
          <t xml:space="preserve">SPE7M226T5081</t>
        </is>
      </c>
    </row>
    <row r="332">
      <c r="B332" s="0" t="inlineStr">
        <is>
          <t xml:space="preserve">ed4f6567c4d34b2fb8bba78794f03e61</t>
        </is>
      </c>
      <c r="C332" s="0" t="inlineStr">
        <is>
          <t xml:space="preserve">Combined Synopsis/Solicitation</t>
        </is>
      </c>
      <c r="D332" s="0" t="inlineStr">
        <is>
          <t xml:space="preserve">2026-06-11</t>
        </is>
      </c>
      <c r="E332" s="0" t="inlineStr">
        <is>
          <t xml:space="preserve">Army</t>
        </is>
      </c>
      <c r="F332" s="0" t="inlineStr">
        <is>
          <t xml:space="preserve">other</t>
        </is>
      </c>
      <c r="G332" s="0" t="inlineStr">
        <is>
          <t xml:space="preserve">336611</t>
        </is>
      </c>
      <c r="H332" s="0" t="inlineStr">
        <is>
          <t xml:space="preserve">1935</t>
        </is>
      </c>
      <c r="I332" s="0" t="inlineStr">
        <is>
          <t xml:space="preserve">3315 MVK Crane Barge</t>
        </is>
      </c>
      <c r="J332" s="0" t="inlineStr">
        <is>
          <t xml:space="preserve">W912BU26BA013</t>
        </is>
      </c>
    </row>
    <row r="333">
      <c r="B333" s="0" t="inlineStr">
        <is>
          <t xml:space="preserve">a61996753bb045f5bb85bae0762bcd80</t>
        </is>
      </c>
      <c r="C333" s="0" t="inlineStr">
        <is>
          <t xml:space="preserve">Solicitation</t>
        </is>
      </c>
      <c r="D333" s="0" t="inlineStr">
        <is>
          <t xml:space="preserve">2026-06-11</t>
        </is>
      </c>
      <c r="E333" s="0" t="inlineStr">
        <is>
          <t xml:space="preserve">Navy/USMC</t>
        </is>
      </c>
      <c r="F333" s="0" t="inlineStr">
        <is>
          <t xml:space="preserve">ship_repair_maintenance</t>
        </is>
      </c>
      <c r="G333" s="0" t="inlineStr">
        <is>
          <t xml:space="preserve">336611</t>
        </is>
      </c>
      <c r="H333" s="0" t="inlineStr">
        <is>
          <t xml:space="preserve">J999</t>
        </is>
      </c>
      <c r="I333" s="0" t="inlineStr">
        <is>
          <t xml:space="preserve">USNS LUCY STONE (T-AO 209) FY27 Post Shakedown Availability (PSA)</t>
        </is>
      </c>
      <c r="J333" s="0" t="inlineStr">
        <is>
          <t xml:space="preserve">N3220526R6052</t>
        </is>
      </c>
    </row>
    <row r="334">
      <c r="B334" s="0" t="inlineStr">
        <is>
          <t xml:space="preserve">39b93a06f4bf495da32af4ded99b0d79</t>
        </is>
      </c>
      <c r="C334" s="0" t="inlineStr">
        <is>
          <t xml:space="preserve">Solicitation</t>
        </is>
      </c>
      <c r="D334" s="0" t="inlineStr">
        <is>
          <t xml:space="preserve">2026-06-11</t>
        </is>
      </c>
      <c r="E334" s="0" t="inlineStr">
        <is>
          <t xml:space="preserve">Navy/USMC</t>
        </is>
      </c>
      <c r="F334" s="0" t="inlineStr">
        <is>
          <t xml:space="preserve">ship_repair_maintenance</t>
        </is>
      </c>
      <c r="G334" s="0" t="inlineStr">
        <is>
          <t xml:space="preserve">336611</t>
        </is>
      </c>
      <c r="H334" s="0" t="inlineStr">
        <is>
          <t xml:space="preserve">J999</t>
        </is>
      </c>
      <c r="I334" s="0" t="inlineStr">
        <is>
          <t xml:space="preserve">USNS PUERTO RICO ROH</t>
        </is>
      </c>
      <c r="J334" s="0" t="inlineStr">
        <is>
          <t xml:space="preserve">N6264926RL012</t>
        </is>
      </c>
    </row>
    <row r="335">
      <c r="B335" s="0" t="inlineStr">
        <is>
          <t xml:space="preserve">d8e50396d7914734ae07a70701181ba2</t>
        </is>
      </c>
      <c r="C335" s="0" t="inlineStr">
        <is>
          <t xml:space="preserve">Combined Synopsis/Solicitation</t>
        </is>
      </c>
      <c r="D335" s="0" t="inlineStr">
        <is>
          <t xml:space="preserve">2026-06-12</t>
        </is>
      </c>
      <c r="E335" s="0" t="inlineStr">
        <is>
          <t xml:space="preserve">Coast Guard</t>
        </is>
      </c>
      <c r="F335" s="0" t="inlineStr">
        <is>
          <t xml:space="preserve">other</t>
        </is>
      </c>
      <c r="G335" s="0" t="inlineStr">
        <is>
          <t xml:space="preserve">336611</t>
        </is>
      </c>
      <c r="H335" s="0" t="inlineStr">
        <is>
          <t xml:space="preserve">8305</t>
        </is>
      </c>
      <c r="I335" s="0" t="inlineStr">
        <is>
          <t xml:space="preserve">USCGC William Flores Awning Replacement</t>
        </is>
      </c>
      <c r="J335" s="0" t="inlineStr">
        <is>
          <t xml:space="preserve">13903PR260000005</t>
        </is>
      </c>
    </row>
    <row r="336">
      <c r="B336" s="0" t="inlineStr">
        <is>
          <t xml:space="preserve">adedf4beedac4c788e45f1987ca1d267</t>
        </is>
      </c>
      <c r="C336" s="0" t="inlineStr">
        <is>
          <t xml:space="preserve">Presolicitation</t>
        </is>
      </c>
      <c r="D336" s="0" t="inlineStr">
        <is>
          <t xml:space="preserve">2026-06-09</t>
        </is>
      </c>
      <c r="E336" s="0" t="inlineStr">
        <is>
          <t xml:space="preserve">Navy/USMC</t>
        </is>
      </c>
      <c r="F336" s="0" t="inlineStr">
        <is>
          <t xml:space="preserve">ship_repair_maintenance</t>
        </is>
      </c>
      <c r="G336" s="0" t="inlineStr">
        <is>
          <t xml:space="preserve">336611</t>
        </is>
      </c>
      <c r="H336" s="0" t="inlineStr">
        <is>
          <t xml:space="preserve">J999</t>
        </is>
      </c>
      <c r="I336" s="0" t="inlineStr">
        <is>
          <t xml:space="preserve">LPD-18 NO.4 POTABLE WATER PUMP MOTOR; REPAIR</t>
        </is>
      </c>
      <c r="J336" s="0" t="inlineStr">
        <is>
          <t xml:space="preserve">N6264926QPOTABLEWATERPUMP</t>
        </is>
      </c>
    </row>
    <row r="337">
      <c r="B337" s="0" t="inlineStr">
        <is>
          <t xml:space="preserve">8bf3faf05ccb490d99e99a74d3bae577</t>
        </is>
      </c>
      <c r="C337" s="0" t="inlineStr">
        <is>
          <t xml:space="preserve">Presolicitation</t>
        </is>
      </c>
      <c r="D337" s="0" t="inlineStr">
        <is>
          <t xml:space="preserve">2026-06-09</t>
        </is>
      </c>
      <c r="E337" s="0" t="inlineStr">
        <is>
          <t xml:space="preserve">Navy/USMC</t>
        </is>
      </c>
      <c r="F337" s="0" t="inlineStr">
        <is>
          <t xml:space="preserve">ship_repair_maintenance</t>
        </is>
      </c>
      <c r="G337" s="0" t="inlineStr">
        <is>
          <t xml:space="preserve">336611</t>
        </is>
      </c>
      <c r="H337" s="0" t="inlineStr">
        <is>
          <t xml:space="preserve">J999</t>
        </is>
      </c>
      <c r="I337" s="0" t="inlineStr">
        <is>
          <t xml:space="preserve">LPD-18 SPARE MPDE FUEL INJECTION PUMP; REPAIR</t>
        </is>
      </c>
      <c r="J337" s="0" t="inlineStr">
        <is>
          <t xml:space="preserve">N6264926QSPAREMPDE</t>
        </is>
      </c>
    </row>
    <row r="338">
      <c r="B338" s="0" t="inlineStr">
        <is>
          <t xml:space="preserve">2a7f02dd48484566b47bddce08c63434</t>
        </is>
      </c>
      <c r="C338" s="0" t="inlineStr">
        <is>
          <t xml:space="preserve">Presolicitation</t>
        </is>
      </c>
      <c r="D338" s="0" t="inlineStr">
        <is>
          <t xml:space="preserve">2026-06-09</t>
        </is>
      </c>
      <c r="E338" s="0" t="inlineStr">
        <is>
          <t xml:space="preserve">Navy/USMC</t>
        </is>
      </c>
      <c r="F338" s="0" t="inlineStr">
        <is>
          <t xml:space="preserve">ship_repair_maintenance</t>
        </is>
      </c>
      <c r="G338" s="0" t="inlineStr">
        <is>
          <t xml:space="preserve">336611</t>
        </is>
      </c>
      <c r="H338" s="0" t="inlineStr">
        <is>
          <t xml:space="preserve">J999</t>
        </is>
      </c>
      <c r="I338" s="0" t="inlineStr">
        <is>
          <t xml:space="preserve">LPD-18 RMT VLV OPR FOR VCHT-V-069, PWD-V-1477 AND PWD-V-1479; REPAIR</t>
        </is>
      </c>
      <c r="J338" s="0" t="inlineStr">
        <is>
          <t xml:space="preserve">N6264626QRMTVLVOPR</t>
        </is>
      </c>
    </row>
    <row r="339">
      <c r="B339" s="0" t="inlineStr">
        <is>
          <t xml:space="preserve">0ec414f6d6ee437098fd01dace169cf0</t>
        </is>
      </c>
      <c r="C339" s="0" t="inlineStr">
        <is>
          <t xml:space="preserve">Presolicitation</t>
        </is>
      </c>
      <c r="D339" s="0" t="inlineStr">
        <is>
          <t xml:space="preserve">2026-06-09</t>
        </is>
      </c>
      <c r="E339" s="0" t="inlineStr">
        <is>
          <t xml:space="preserve">Navy/USMC</t>
        </is>
      </c>
      <c r="F339" s="0" t="inlineStr">
        <is>
          <t xml:space="preserve">ship_repair_maintenance</t>
        </is>
      </c>
      <c r="G339" s="0" t="inlineStr">
        <is>
          <t xml:space="preserve">336611</t>
        </is>
      </c>
      <c r="H339" s="0" t="inlineStr">
        <is>
          <t xml:space="preserve">J999</t>
        </is>
      </c>
      <c r="I339" s="0" t="inlineStr">
        <is>
          <t xml:space="preserve">LPD-18, ELECTRIC HEATER FOR STBD MRG/CPP LO SETTLING TANK (7-70-2- F); INSTALL</t>
        </is>
      </c>
      <c r="J339" s="0" t="inlineStr">
        <is>
          <t xml:space="preserve">N6264926QHEATER4MRGCPP</t>
        </is>
      </c>
    </row>
    <row r="340">
      <c r="B340" s="0" t="inlineStr">
        <is>
          <t xml:space="preserve">4d91f423ac3c4dfdaaa4635844dd352d</t>
        </is>
      </c>
      <c r="C340" s="0" t="inlineStr">
        <is>
          <t xml:space="preserve">Sources Sought</t>
        </is>
      </c>
      <c r="D340" s="0" t="inlineStr">
        <is>
          <t xml:space="preserve">2026-06-08</t>
        </is>
      </c>
      <c r="E340" s="0" t="inlineStr">
        <is>
          <t xml:space="preserve">Coast Guard</t>
        </is>
      </c>
      <c r="F340" s="0" t="inlineStr">
        <is>
          <t xml:space="preserve">ship_repair_maintenance</t>
        </is>
      </c>
      <c r="G340" s="0" t="inlineStr">
        <is>
          <t xml:space="preserve">336611</t>
        </is>
      </c>
      <c r="H340" s="0" t="inlineStr">
        <is>
          <t xml:space="preserve">J998</t>
        </is>
      </c>
      <c r="I340" s="0" t="inlineStr">
        <is>
          <t xml:space="preserve">USCGC COHO DD FY27</t>
        </is>
      </c>
      <c r="J340" s="0" t="inlineStr">
        <is>
          <t xml:space="preserve">70Z08027PBPLCOHO</t>
        </is>
      </c>
    </row>
    <row r="341">
      <c r="B341" s="0" t="inlineStr">
        <is>
          <t xml:space="preserve">d9fa3fafbb3d4969a5606cb784778655</t>
        </is>
      </c>
      <c r="C341" s="0" t="inlineStr">
        <is>
          <t xml:space="preserve">Solicitation</t>
        </is>
      </c>
      <c r="D341" s="0" t="inlineStr">
        <is>
          <t xml:space="preserve">2026-05-27</t>
        </is>
      </c>
      <c r="E341" s="0" t="inlineStr">
        <is>
          <t xml:space="preserve">Navy/USMC</t>
        </is>
      </c>
      <c r="F341" s="0" t="inlineStr">
        <is>
          <t xml:space="preserve">marine_components_parts</t>
        </is>
      </c>
      <c r="G341" s="0" t="inlineStr">
        <is>
          <t xml:space="preserve">336612</t>
        </is>
      </c>
      <c r="H341" s="0" t="inlineStr">
        <is>
          <t xml:space="preserve">2040</t>
        </is>
      </c>
      <c r="I341" s="0" t="inlineStr">
        <is>
          <t xml:space="preserve">METER VALVE ASSEMBL</t>
        </is>
      </c>
      <c r="J341" s="0" t="inlineStr">
        <is>
          <t xml:space="preserve">N0010426QFE15</t>
        </is>
      </c>
    </row>
    <row r="342">
      <c r="B342" s="0" t="inlineStr">
        <is>
          <t xml:space="preserve">c478665d79c84e85a9493874b4fe9392</t>
        </is>
      </c>
      <c r="C342" s="0" t="inlineStr">
        <is>
          <t xml:space="preserve">Solicitation</t>
        </is>
      </c>
      <c r="D342" s="0" t="inlineStr">
        <is>
          <t xml:space="preserve">2026-06-03</t>
        </is>
      </c>
      <c r="E342" s="0" t="inlineStr">
        <is>
          <t xml:space="preserve">Navy/USMC</t>
        </is>
      </c>
      <c r="F342" s="0" t="inlineStr">
        <is>
          <t xml:space="preserve">ship_repair_maintenance</t>
        </is>
      </c>
      <c r="G342" s="0" t="inlineStr">
        <is>
          <t xml:space="preserve">336612</t>
        </is>
      </c>
      <c r="H342" s="0" t="inlineStr">
        <is>
          <t xml:space="preserve">2010</t>
        </is>
      </c>
      <c r="I342" s="0" t="inlineStr">
        <is>
          <t xml:space="preserve">2010 Repair of QTY 1 EA, SSBN 726 Class Propeller</t>
        </is>
      </c>
      <c r="J342" s="0" t="inlineStr">
        <is>
          <t xml:space="preserve">N0010426RZ056</t>
        </is>
      </c>
    </row>
    <row r="343">
      <c r="B343" s="0" t="inlineStr">
        <is>
          <t xml:space="preserve">b03f7a3725464e40b9c88f63ab99d66b</t>
        </is>
      </c>
      <c r="C343" s="0" t="inlineStr">
        <is>
          <t xml:space="preserve">Solicitation</t>
        </is>
      </c>
      <c r="D343" s="0" t="inlineStr">
        <is>
          <t xml:space="preserve">2026-06-08</t>
        </is>
      </c>
      <c r="E343" s="0" t="inlineStr">
        <is>
          <t xml:space="preserve">Navy/USMC</t>
        </is>
      </c>
      <c r="F343" s="0" t="inlineStr">
        <is>
          <t xml:space="preserve">ship_repair_maintenance</t>
        </is>
      </c>
      <c r="G343" s="0" t="inlineStr">
        <is>
          <t xml:space="preserve">336611</t>
        </is>
      </c>
      <c r="H343" s="0" t="inlineStr">
        <is>
          <t xml:space="preserve">J999</t>
        </is>
      </c>
      <c r="I343" s="0" t="inlineStr">
        <is>
          <t xml:space="preserve">USS BLUE RIDGE (LCC-19) AIT SUPPORT WORK</t>
        </is>
      </c>
      <c r="J343" s="0" t="inlineStr">
        <is>
          <t xml:space="preserve">N6264926RA024</t>
        </is>
      </c>
    </row>
    <row r="344">
      <c r="B344" s="0" t="inlineStr">
        <is>
          <t xml:space="preserve">60b9dfd80731457db874ccd55688f80c</t>
        </is>
      </c>
      <c r="C344" s="0" t="inlineStr">
        <is>
          <t xml:space="preserve">Combined Synopsis/Solicitation</t>
        </is>
      </c>
      <c r="D344" s="0" t="inlineStr">
        <is>
          <t xml:space="preserve">2026-06-08</t>
        </is>
      </c>
      <c r="E344" s="0" t="inlineStr">
        <is>
          <t xml:space="preserve">Other DoD</t>
        </is>
      </c>
      <c r="F344" s="0" t="inlineStr">
        <is>
          <t xml:space="preserve">other</t>
        </is>
      </c>
      <c r="G344" s="0" t="inlineStr">
        <is>
          <t xml:space="preserve">336611</t>
        </is>
      </c>
      <c r="H344" s="0" t="inlineStr">
        <is>
          <t xml:space="preserve">5360</t>
        </is>
      </c>
      <c r="I344" s="0" t="inlineStr">
        <is>
          <t xml:space="preserve">Spring Hatch SOC</t>
        </is>
      </c>
      <c r="J344" s="0" t="inlineStr">
        <is>
          <t xml:space="preserve">SPMYM326Q4055</t>
        </is>
      </c>
    </row>
    <row r="345">
      <c r="B345" s="0" t="inlineStr">
        <is>
          <t xml:space="preserve">7ee1e485d8274af78e8dfb785e75d26b</t>
        </is>
      </c>
      <c r="C345" s="0" t="inlineStr">
        <is>
          <t xml:space="preserve">Presolicitation</t>
        </is>
      </c>
      <c r="D345" s="0" t="inlineStr">
        <is>
          <t xml:space="preserve">2026-06-11</t>
        </is>
      </c>
      <c r="E345" s="0" t="inlineStr">
        <is>
          <t xml:space="preserve">Navy/USMC</t>
        </is>
      </c>
      <c r="F345" s="0" t="inlineStr">
        <is>
          <t xml:space="preserve">ship_repair_maintenance</t>
        </is>
      </c>
      <c r="G345" s="0" t="inlineStr">
        <is>
          <t xml:space="preserve">336611</t>
        </is>
      </c>
      <c r="H345" s="0" t="inlineStr">
        <is>
          <t xml:space="preserve">J999</t>
        </is>
      </c>
      <c r="I345" s="0" t="inlineStr">
        <is>
          <t xml:space="preserve">USS CHIEF (MCM-14) 1B SSDG RESILIENT MOUNT; REPLACE NO.2 SSDG RESILIENT MOUNT; RE PLACE</t>
        </is>
      </c>
      <c r="J345" s="0" t="inlineStr">
        <is>
          <t xml:space="preserve">N6275826PRCH022</t>
        </is>
      </c>
    </row>
    <row r="346">
      <c r="B346" s="0" t="inlineStr">
        <is>
          <t xml:space="preserve">55aadec42a5a4ed7a682dd80bdc440d6</t>
        </is>
      </c>
      <c r="C346" s="0" t="inlineStr">
        <is>
          <t xml:space="preserve">Special Notice</t>
        </is>
      </c>
      <c r="D346" s="0" t="inlineStr">
        <is>
          <t xml:space="preserve">2026-06-11</t>
        </is>
      </c>
      <c r="E346" s="0" t="inlineStr">
        <is>
          <t xml:space="preserve">Coast Guard</t>
        </is>
      </c>
      <c r="F346" s="0" t="inlineStr">
        <is>
          <t xml:space="preserve">marine_components_parts</t>
        </is>
      </c>
      <c r="G346" s="0" t="inlineStr">
        <is>
          <t xml:space="preserve">336611</t>
        </is>
      </c>
      <c r="H346" s="0" t="inlineStr">
        <is>
          <t xml:space="preserve">2090</t>
        </is>
      </c>
      <c r="I346" s="0" t="inlineStr">
        <is>
          <t xml:space="preserve">USCGC HAMILTON PRESSURE AIR COMPRESSOR</t>
        </is>
      </c>
      <c r="J346" s="0" t="inlineStr">
        <is>
          <t xml:space="preserve">70Z08526Q025356</t>
        </is>
      </c>
    </row>
    <row r="347">
      <c r="B347" s="0" t="inlineStr">
        <is>
          <t xml:space="preserve">dfe109f841dc4a798c64077a9a963a9d</t>
        </is>
      </c>
      <c r="C347" s="0" t="inlineStr">
        <is>
          <t xml:space="preserve">Presolicitation</t>
        </is>
      </c>
      <c r="D347" s="0" t="inlineStr">
        <is>
          <t xml:space="preserve">2026-05-27</t>
        </is>
      </c>
      <c r="E347" s="0" t="inlineStr">
        <is>
          <t xml:space="preserve">Navy/USMC</t>
        </is>
      </c>
      <c r="F347" s="0" t="inlineStr">
        <is>
          <t xml:space="preserve">ship_repair_maintenance</t>
        </is>
      </c>
      <c r="G347" s="0" t="inlineStr">
        <is>
          <t xml:space="preserve">336611</t>
        </is>
      </c>
      <c r="H347" s="0" t="inlineStr">
        <is>
          <t xml:space="preserve">J999</t>
        </is>
      </c>
      <c r="I347" s="0" t="inlineStr">
        <is>
          <t xml:space="preserve">USS NEW ORLEANS (LPD-18) WORKBENCH WITH SINK/CABINET; INSTALL</t>
        </is>
      </c>
      <c r="J347" s="0" t="inlineStr">
        <is>
          <t xml:space="preserve">N6264926Q0331</t>
        </is>
      </c>
    </row>
    <row r="348">
      <c r="B348" s="0" t="inlineStr">
        <is>
          <t xml:space="preserve">8137b8937cc345b88cd345bf3f9a87a6</t>
        </is>
      </c>
      <c r="C348" s="0" t="inlineStr">
        <is>
          <t xml:space="preserve">Combined Synopsis/Solicitation</t>
        </is>
      </c>
      <c r="D348" s="0" t="inlineStr">
        <is>
          <t xml:space="preserve">2026-05-29</t>
        </is>
      </c>
      <c r="E348" s="0" t="inlineStr">
        <is>
          <t xml:space="preserve">Army</t>
        </is>
      </c>
      <c r="F348" s="0" t="inlineStr">
        <is>
          <t xml:space="preserve">ship_repair_maintenance</t>
        </is>
      </c>
      <c r="G348" s="0" t="inlineStr">
        <is>
          <t xml:space="preserve">336611</t>
        </is>
      </c>
      <c r="H348" s="0" t="inlineStr">
        <is>
          <t xml:space="preserve">J020</t>
        </is>
      </c>
      <c r="I348" s="0" t="inlineStr">
        <is>
          <t xml:space="preserve">FY26 Survey Vessel Florida II Dockside Repair Services</t>
        </is>
      </c>
      <c r="J348" s="0" t="inlineStr">
        <is>
          <t xml:space="preserve">W912EP26QA012</t>
        </is>
      </c>
    </row>
    <row r="349">
      <c r="B349" s="0" t="inlineStr">
        <is>
          <t xml:space="preserve">02ce8437495a4a63a8f032e78d7928a2</t>
        </is>
      </c>
      <c r="C349" s="0" t="inlineStr">
        <is>
          <t xml:space="preserve">Solicitation</t>
        </is>
      </c>
      <c r="D349" s="0" t="inlineStr">
        <is>
          <t xml:space="preserve">2026-06-08</t>
        </is>
      </c>
      <c r="E349" s="0" t="inlineStr">
        <is>
          <t xml:space="preserve">Navy/USMC</t>
        </is>
      </c>
      <c r="F349" s="0" t="inlineStr">
        <is>
          <t xml:space="preserve">ship_repair_maintenance</t>
        </is>
      </c>
      <c r="G349" s="0" t="inlineStr">
        <is>
          <t xml:space="preserve">336611</t>
        </is>
      </c>
      <c r="H349" s="0" t="inlineStr">
        <is>
          <t xml:space="preserve">J999</t>
        </is>
      </c>
      <c r="I349" s="0" t="inlineStr">
        <is>
          <t xml:space="preserve">USNS TIPPECANOE (T-AO 199) FY27 Mid-Term Availability.</t>
        </is>
      </c>
      <c r="J349" s="0" t="inlineStr">
        <is>
          <t xml:space="preserve">N3220526R6070</t>
        </is>
      </c>
    </row>
    <row r="350">
      <c r="B350" s="0" t="inlineStr">
        <is>
          <t xml:space="preserve">a8401c8afdc24d1f84d4f5d38175b135</t>
        </is>
      </c>
      <c r="C350" s="0" t="inlineStr">
        <is>
          <t xml:space="preserve">Presolicitation</t>
        </is>
      </c>
      <c r="D350" s="0" t="inlineStr">
        <is>
          <t xml:space="preserve">2026-06-10</t>
        </is>
      </c>
      <c r="E350" s="0" t="inlineStr">
        <is>
          <t xml:space="preserve">Navy/USMC</t>
        </is>
      </c>
      <c r="F350" s="0" t="inlineStr">
        <is>
          <t xml:space="preserve">ship_repair_maintenance</t>
        </is>
      </c>
      <c r="G350" s="0" t="inlineStr">
        <is>
          <t xml:space="preserve">336611</t>
        </is>
      </c>
      <c r="H350" s="0" t="inlineStr">
        <is>
          <t xml:space="preserve">J999</t>
        </is>
      </c>
      <c r="I350" s="0" t="inlineStr">
        <is>
          <t xml:space="preserve">LPD-18  INSULATION AND LAGGING IN VARIOUS SPACE; REPLACE</t>
        </is>
      </c>
      <c r="J350" s="0" t="inlineStr">
        <is>
          <t xml:space="preserve">N6264926Q0366</t>
        </is>
      </c>
    </row>
    <row r="351">
      <c r="B351" s="0" t="inlineStr">
        <is>
          <t xml:space="preserve">53ea3a9641564bc8b1ca381b613e2c2f</t>
        </is>
      </c>
      <c r="C351" s="0" t="inlineStr">
        <is>
          <t xml:space="preserve">Presolicitation</t>
        </is>
      </c>
      <c r="D351" s="0" t="inlineStr">
        <is>
          <t xml:space="preserve">2026-06-10</t>
        </is>
      </c>
      <c r="E351" s="0" t="inlineStr">
        <is>
          <t xml:space="preserve">Navy/USMC</t>
        </is>
      </c>
      <c r="F351" s="0" t="inlineStr">
        <is>
          <t xml:space="preserve">ship_repair_maintenance</t>
        </is>
      </c>
      <c r="G351" s="0" t="inlineStr">
        <is>
          <t xml:space="preserve">336611</t>
        </is>
      </c>
      <c r="H351" s="0" t="inlineStr">
        <is>
          <t xml:space="preserve">J999</t>
        </is>
      </c>
      <c r="I351" s="0" t="inlineStr">
        <is>
          <t xml:space="preserve">USS RUSHMORE (LSD-47) BALLAST TANKS REPAIR AND PRESERVE</t>
        </is>
      </c>
      <c r="J351" s="0" t="inlineStr">
        <is>
          <t xml:space="preserve">N6275826PRRU316</t>
        </is>
      </c>
    </row>
    <row r="352">
      <c r="B352" s="0" t="inlineStr">
        <is>
          <t xml:space="preserve">a1970e689e7f4b979febb3902f41b3f8</t>
        </is>
      </c>
      <c r="C352" s="0" t="inlineStr">
        <is>
          <t xml:space="preserve">Combined Synopsis/Solicitation</t>
        </is>
      </c>
      <c r="D352" s="0" t="inlineStr">
        <is>
          <t xml:space="preserve">2026-06-10</t>
        </is>
      </c>
      <c r="E352" s="0" t="inlineStr">
        <is>
          <t xml:space="preserve">Civil/Other</t>
        </is>
      </c>
      <c r="F352" s="0" t="inlineStr">
        <is>
          <t xml:space="preserve">marine_components_parts</t>
        </is>
      </c>
      <c r="G352" s="0" t="inlineStr">
        <is>
          <t xml:space="preserve">336612</t>
        </is>
      </c>
      <c r="H352" s="0" t="inlineStr">
        <is>
          <t xml:space="preserve">2010</t>
        </is>
      </c>
      <c r="I352" s="0" t="inlineStr">
        <is>
          <t xml:space="preserve">CA - BOAT, MOTOR, TRAILER COMBO - SOM</t>
        </is>
      </c>
      <c r="J352" s="0" t="inlineStr">
        <is>
          <t xml:space="preserve">140G0126Q0178</t>
        </is>
      </c>
    </row>
    <row r="353">
      <c r="B353" s="0" t="inlineStr">
        <is>
          <t xml:space="preserve">d6eec646fe6e4f2392882745fd9c5f77</t>
        </is>
      </c>
      <c r="C353" s="0" t="inlineStr">
        <is>
          <t xml:space="preserve">Presolicitation</t>
        </is>
      </c>
      <c r="D353" s="0" t="inlineStr">
        <is>
          <t xml:space="preserve">2026-06-11</t>
        </is>
      </c>
      <c r="E353" s="0" t="inlineStr">
        <is>
          <t xml:space="preserve">Navy/USMC</t>
        </is>
      </c>
      <c r="F353" s="0" t="inlineStr">
        <is>
          <t xml:space="preserve">ship_repair_maintenance</t>
        </is>
      </c>
      <c r="G353" s="0" t="inlineStr">
        <is>
          <t xml:space="preserve">336611</t>
        </is>
      </c>
      <c r="H353" s="0" t="inlineStr">
        <is>
          <t xml:space="preserve">J999</t>
        </is>
      </c>
      <c r="I353" s="0" t="inlineStr">
        <is>
          <t xml:space="preserve">USS CHIEF (MCM-14) PORT SIDE FANTAIL BULWARK AROUND PANAMA BULWARK CHOCK REPAIR</t>
        </is>
      </c>
      <c r="J353" s="0" t="inlineStr">
        <is>
          <t xml:space="preserve">N6264926Q0372</t>
        </is>
      </c>
    </row>
    <row r="354">
      <c r="B354" s="0" t="inlineStr">
        <is>
          <t xml:space="preserve">3823911892434e198b95bec91a107e85</t>
        </is>
      </c>
      <c r="C354" s="0" t="inlineStr">
        <is>
          <t xml:space="preserve">Presolicitation</t>
        </is>
      </c>
      <c r="D354" s="0" t="inlineStr">
        <is>
          <t xml:space="preserve">2026-06-11</t>
        </is>
      </c>
      <c r="E354" s="0" t="inlineStr">
        <is>
          <t xml:space="preserve">Navy/USMC</t>
        </is>
      </c>
      <c r="F354" s="0" t="inlineStr">
        <is>
          <t xml:space="preserve">ship_repair_maintenance</t>
        </is>
      </c>
      <c r="G354" s="0" t="inlineStr">
        <is>
          <t xml:space="preserve">336611</t>
        </is>
      </c>
      <c r="H354" s="0" t="inlineStr">
        <is>
          <t xml:space="preserve">J019</t>
        </is>
      </c>
      <c r="I354" s="0" t="inlineStr">
        <is>
          <t xml:space="preserve">Maintenance, Repair, and Preservation of Caisson 4-5 Spare</t>
        </is>
      </c>
      <c r="J354" s="0" t="inlineStr">
        <is>
          <t xml:space="preserve">N4523A26R1001</t>
        </is>
      </c>
    </row>
    <row r="355">
      <c r="B355" s="0" t="inlineStr">
        <is>
          <t xml:space="preserve">bfcce13e53954b248f3545d84d764faf</t>
        </is>
      </c>
      <c r="C355" s="0" t="inlineStr">
        <is>
          <t xml:space="preserve">Combined Synopsis/Solicitation</t>
        </is>
      </c>
      <c r="D355" s="0" t="inlineStr">
        <is>
          <t xml:space="preserve">2026-06-12</t>
        </is>
      </c>
      <c r="E355" s="0" t="inlineStr">
        <is>
          <t xml:space="preserve">Coast Guard</t>
        </is>
      </c>
      <c r="F355" s="0" t="inlineStr">
        <is>
          <t xml:space="preserve">ship_repair_maintenance</t>
        </is>
      </c>
      <c r="G355" s="0" t="inlineStr">
        <is>
          <t xml:space="preserve">336611</t>
        </is>
      </c>
      <c r="H355" s="0" t="inlineStr">
        <is>
          <t xml:space="preserve">J998</t>
        </is>
      </c>
      <c r="I355" s="0" t="inlineStr">
        <is>
          <t xml:space="preserve">USCG STA MARATHON (45616) FY26 DRYDOCK REPAIRS</t>
        </is>
      </c>
      <c r="J355" s="0" t="inlineStr">
        <is>
          <t xml:space="preserve">70Z04026QSBPL0012</t>
        </is>
      </c>
    </row>
    <row r="356">
      <c r="B356" s="0" t="inlineStr">
        <is>
          <t xml:space="preserve">b313d00834a14ef1b5cedd6f5836c3ab</t>
        </is>
      </c>
      <c r="C356" s="0" t="inlineStr">
        <is>
          <t xml:space="preserve">Combined Synopsis/Solicitation</t>
        </is>
      </c>
      <c r="D356" s="0" t="inlineStr">
        <is>
          <t xml:space="preserve">2026-06-12</t>
        </is>
      </c>
      <c r="E356" s="0" t="inlineStr">
        <is>
          <t xml:space="preserve">Coast Guard</t>
        </is>
      </c>
      <c r="F356" s="0" t="inlineStr">
        <is>
          <t xml:space="preserve">ship_repair_maintenance</t>
        </is>
      </c>
      <c r="G356" s="0" t="inlineStr">
        <is>
          <t xml:space="preserve">336611</t>
        </is>
      </c>
      <c r="H356" s="0" t="inlineStr">
        <is>
          <t xml:space="preserve">J999</t>
        </is>
      </c>
      <c r="I356" s="0" t="inlineStr">
        <is>
          <t xml:space="preserve">USCGC FIR (WLB 213) DOCKSIDE REPAIR FY26</t>
        </is>
      </c>
      <c r="J356" s="0" t="inlineStr">
        <is>
          <t xml:space="preserve">70Z08526QIBCT0048</t>
        </is>
      </c>
    </row>
    <row r="357">
      <c r="B357" s="0" t="inlineStr">
        <is>
          <t xml:space="preserve">84e6f139d854400a83963f1e8ebdf322</t>
        </is>
      </c>
      <c r="C357" s="0" t="inlineStr">
        <is>
          <t xml:space="preserve">Combined Synopsis/Solicitation</t>
        </is>
      </c>
      <c r="D357" s="0" t="inlineStr">
        <is>
          <t xml:space="preserve">2026-05-27</t>
        </is>
      </c>
      <c r="E357" s="0" t="inlineStr">
        <is>
          <t xml:space="preserve">Coast Guard</t>
        </is>
      </c>
      <c r="F357" s="0" t="inlineStr">
        <is>
          <t xml:space="preserve">ship_repair_maintenance</t>
        </is>
      </c>
      <c r="G357" s="0" t="inlineStr">
        <is>
          <t xml:space="preserve">336611</t>
        </is>
      </c>
      <c r="H357" s="0" t="inlineStr">
        <is>
          <t xml:space="preserve">J998</t>
        </is>
      </c>
      <c r="I357" s="0" t="inlineStr">
        <is>
          <t xml:space="preserve">Dry-Dock: USCG ANT BUFFALO (49413) FY26 DD</t>
        </is>
      </c>
      <c r="J357" s="0" t="inlineStr">
        <is>
          <t xml:space="preserve">70Z04026QSBPL0011</t>
        </is>
      </c>
    </row>
    <row r="358">
      <c r="B358" s="0" t="inlineStr">
        <is>
          <t xml:space="preserve">7f3443531b73480890236a1f5f8bbe6c</t>
        </is>
      </c>
      <c r="C358" s="0" t="inlineStr">
        <is>
          <t xml:space="preserve">Special Notice</t>
        </is>
      </c>
      <c r="D358" s="0" t="inlineStr">
        <is>
          <t xml:space="preserve">2026-05-28</t>
        </is>
      </c>
      <c r="E358" s="0" t="inlineStr">
        <is>
          <t xml:space="preserve">Army</t>
        </is>
      </c>
      <c r="F358" s="0" t="inlineStr">
        <is>
          <t xml:space="preserve">other</t>
        </is>
      </c>
      <c r="G358" s="0" t="inlineStr">
        <is>
          <t xml:space="preserve">336611</t>
        </is>
      </c>
      <c r="H358" s="0" t="inlineStr">
        <is>
          <t xml:space="preserve">1935</t>
        </is>
      </c>
      <c r="I358" s="0" t="inlineStr">
        <is>
          <t xml:space="preserve">3066 NAO Derrickboat Elizabeth Replacement</t>
        </is>
      </c>
      <c r="J358" s="0" t="inlineStr">
        <is>
          <t xml:space="preserve">W912BU26BA015</t>
        </is>
      </c>
    </row>
    <row r="359">
      <c r="B359" s="0" t="inlineStr">
        <is>
          <t xml:space="preserve">cfe383fd50b344f787a3716dbee9f22a</t>
        </is>
      </c>
      <c r="C359" s="0" t="inlineStr">
        <is>
          <t xml:space="preserve">Solicitation</t>
        </is>
      </c>
      <c r="D359" s="0" t="inlineStr">
        <is>
          <t xml:space="preserve">2026-03-26</t>
        </is>
      </c>
      <c r="E359" s="0" t="inlineStr">
        <is>
          <t xml:space="preserve">Navy/USMC</t>
        </is>
      </c>
      <c r="F359" s="0" t="inlineStr">
        <is>
          <t xml:space="preserve">marine_components_parts</t>
        </is>
      </c>
      <c r="G359" s="0" t="inlineStr">
        <is>
          <t xml:space="preserve">336611</t>
        </is>
      </c>
      <c r="H359" s="0" t="inlineStr">
        <is>
          <t xml:space="preserve">2090</t>
        </is>
      </c>
      <c r="I359" s="0" t="inlineStr">
        <is>
          <t xml:space="preserve">20--ACCUMULATOR,HYDRAUL</t>
        </is>
      </c>
      <c r="J359" s="0" t="inlineStr">
        <is>
          <t xml:space="preserve">N0010425RYK73</t>
        </is>
      </c>
    </row>
    <row r="360">
      <c r="B360" s="0" t="inlineStr">
        <is>
          <t xml:space="preserve">7b86c64834904be88d729560687544b0</t>
        </is>
      </c>
      <c r="C360" s="0" t="inlineStr">
        <is>
          <t xml:space="preserve">Solicitation</t>
        </is>
      </c>
      <c r="D360" s="0" t="inlineStr">
        <is>
          <t xml:space="preserve">2026-05-28</t>
        </is>
      </c>
      <c r="E360" s="0" t="inlineStr">
        <is>
          <t xml:space="preserve">Navy/USMC</t>
        </is>
      </c>
      <c r="F360" s="0" t="inlineStr">
        <is>
          <t xml:space="preserve">services_rdte</t>
        </is>
      </c>
      <c r="G360" s="0" t="inlineStr">
        <is>
          <t xml:space="preserve">336611</t>
        </is>
      </c>
      <c r="H360" s="0" t="inlineStr">
        <is>
          <t xml:space="preserve">R425</t>
        </is>
      </c>
      <c r="I360" s="0" t="inlineStr">
        <is>
          <t xml:space="preserve">N6449826Q5179</t>
        </is>
      </c>
      <c r="J360" s="0" t="inlineStr">
        <is>
          <t xml:space="preserve">N6449826Q5179</t>
        </is>
      </c>
    </row>
    <row r="361">
      <c r="B361" s="0" t="inlineStr">
        <is>
          <t xml:space="preserve">4b89739cf3854cf1ae6ced46568e601d</t>
        </is>
      </c>
      <c r="C361" s="0" t="inlineStr">
        <is>
          <t xml:space="preserve">Combined Synopsis/Solicitation</t>
        </is>
      </c>
      <c r="D361" s="0" t="inlineStr">
        <is>
          <t xml:space="preserve">2026-05-29</t>
        </is>
      </c>
      <c r="E361" s="0" t="inlineStr">
        <is>
          <t xml:space="preserve">Navy/USMC</t>
        </is>
      </c>
      <c r="F361" s="0" t="inlineStr">
        <is>
          <t xml:space="preserve">ship_repair_maintenance</t>
        </is>
      </c>
      <c r="G361" s="0" t="inlineStr">
        <is>
          <t xml:space="preserve">336611</t>
        </is>
      </c>
      <c r="H361" s="0" t="inlineStr">
        <is>
          <t xml:space="preserve">J028</t>
        </is>
      </c>
      <c r="I361" s="0" t="inlineStr">
        <is>
          <t xml:space="preserve">Unit Dolly Jacking and Carrying Services (SRF-JRMC) Yokosuka, Japan</t>
        </is>
      </c>
      <c r="J361" s="0" t="inlineStr">
        <is>
          <t xml:space="preserve">N6264926QB040</t>
        </is>
      </c>
    </row>
    <row r="362">
      <c r="B362" s="0" t="inlineStr">
        <is>
          <t xml:space="preserve">e67de8250fe34c83af18413b08cfcab2</t>
        </is>
      </c>
      <c r="C362" s="0" t="inlineStr">
        <is>
          <t xml:space="preserve">Presolicitation</t>
        </is>
      </c>
      <c r="D362" s="0" t="inlineStr">
        <is>
          <t xml:space="preserve">2026-06-01</t>
        </is>
      </c>
      <c r="E362" s="0" t="inlineStr">
        <is>
          <t xml:space="preserve">Navy/USMC</t>
        </is>
      </c>
      <c r="F362" s="0" t="inlineStr">
        <is>
          <t xml:space="preserve">ship_repair_maintenance</t>
        </is>
      </c>
      <c r="G362" s="0" t="inlineStr">
        <is>
          <t xml:space="preserve">336611</t>
        </is>
      </c>
      <c r="H362" s="0" t="inlineStr">
        <is>
          <t xml:space="preserve">J999</t>
        </is>
      </c>
      <c r="I362" s="0" t="inlineStr">
        <is>
          <t xml:space="preserve">USS NEW ORLEANS (LPD-18) NO.ONE CWE 3RD PLATF DOOR DOGGING MECHANISM; REPAIR</t>
        </is>
      </c>
      <c r="J362" s="0" t="inlineStr">
        <is>
          <t xml:space="preserve">N6264926Q1098</t>
        </is>
      </c>
    </row>
    <row r="363">
      <c r="B363" s="0" t="inlineStr">
        <is>
          <t xml:space="preserve">87fee091df634ade9ffb57def856f581</t>
        </is>
      </c>
      <c r="C363" s="0" t="inlineStr">
        <is>
          <t xml:space="preserve">Presolicitation</t>
        </is>
      </c>
      <c r="D363" s="0" t="inlineStr">
        <is>
          <t xml:space="preserve">2026-06-01</t>
        </is>
      </c>
      <c r="E363" s="0" t="inlineStr">
        <is>
          <t xml:space="preserve">Navy/USMC</t>
        </is>
      </c>
      <c r="F363" s="0" t="inlineStr">
        <is>
          <t xml:space="preserve">ship_repair_maintenance</t>
        </is>
      </c>
      <c r="G363" s="0" t="inlineStr">
        <is>
          <t xml:space="preserve">336611</t>
        </is>
      </c>
      <c r="H363" s="0" t="inlineStr">
        <is>
          <t xml:space="preserve">J999</t>
        </is>
      </c>
      <c r="I363" s="0" t="inlineStr">
        <is>
          <t xml:space="preserve">USS PATRIOT (MCM-7) SEAWATER PUMP DISCHARGE PIPING FOR 1A MPDE; REPLACE</t>
        </is>
      </c>
      <c r="J363" s="0" t="inlineStr">
        <is>
          <t xml:space="preserve">N6264926Q1097</t>
        </is>
      </c>
    </row>
    <row r="364">
      <c r="B364" s="0" t="inlineStr">
        <is>
          <t xml:space="preserve">760c0e62fb20403dbaad8800b0160c3d</t>
        </is>
      </c>
      <c r="C364" s="0" t="inlineStr">
        <is>
          <t xml:space="preserve">Solicitation</t>
        </is>
      </c>
      <c r="D364" s="0" t="inlineStr">
        <is>
          <t xml:space="preserve">2026-06-10</t>
        </is>
      </c>
      <c r="E364" s="0" t="inlineStr">
        <is>
          <t xml:space="preserve">Navy/USMC</t>
        </is>
      </c>
      <c r="F364" s="0" t="inlineStr">
        <is>
          <t xml:space="preserve">services_rdte</t>
        </is>
      </c>
      <c r="G364" s="0" t="inlineStr">
        <is>
          <t xml:space="preserve">336611</t>
        </is>
      </c>
      <c r="H364" s="0" t="inlineStr">
        <is>
          <t xml:space="preserve">R425</t>
        </is>
      </c>
      <c r="I364" s="0" t="inlineStr">
        <is>
          <t xml:space="preserve">DDG 75 SA 94451 Alfa Laval installation---Big Blue 3 MAC Holders</t>
        </is>
      </c>
      <c r="J364" s="0" t="inlineStr">
        <is>
          <t xml:space="preserve">N6449826Q0034</t>
        </is>
      </c>
    </row>
    <row r="365">
      <c r="B365" s="0" t="inlineStr">
        <is>
          <t xml:space="preserve">de82817323dd4c4d99f4a0bb9ff088d0</t>
        </is>
      </c>
      <c r="C365" s="0" t="inlineStr">
        <is>
          <t xml:space="preserve">Solicitation</t>
        </is>
      </c>
      <c r="D365" s="0" t="inlineStr">
        <is>
          <t xml:space="preserve">2026-05-28</t>
        </is>
      </c>
      <c r="E365" s="0" t="inlineStr">
        <is>
          <t xml:space="preserve">Navy/USMC</t>
        </is>
      </c>
      <c r="F365" s="0" t="inlineStr">
        <is>
          <t xml:space="preserve">services_rdte</t>
        </is>
      </c>
      <c r="G365" s="0" t="inlineStr">
        <is>
          <t xml:space="preserve">336611</t>
        </is>
      </c>
      <c r="H365" s="0" t="inlineStr">
        <is>
          <t xml:space="preserve">R425</t>
        </is>
      </c>
      <c r="I365" s="0" t="inlineStr">
        <is>
          <t xml:space="preserve">Big Blue 3 MAC (N6449821D0013 - N6449821D0023) USS GEORGE WASHINGTON CVN 73 SCS</t>
        </is>
      </c>
      <c r="J365" s="0" t="inlineStr">
        <is>
          <t xml:space="preserve">N6449826Q5173</t>
        </is>
      </c>
    </row>
    <row r="366">
      <c r="B366" s="0" t="inlineStr">
        <is>
          <t xml:space="preserve">90c49936cdf2465997ae0102d616172b</t>
        </is>
      </c>
      <c r="C366" s="0" t="inlineStr">
        <is>
          <t xml:space="preserve">Solicitation</t>
        </is>
      </c>
      <c r="D366" s="0" t="inlineStr">
        <is>
          <t xml:space="preserve">2026-05-28</t>
        </is>
      </c>
      <c r="E366" s="0" t="inlineStr">
        <is>
          <t xml:space="preserve">Navy/USMC</t>
        </is>
      </c>
      <c r="F366" s="0" t="inlineStr">
        <is>
          <t xml:space="preserve">marine_components_parts</t>
        </is>
      </c>
      <c r="G366" s="0" t="inlineStr">
        <is>
          <t xml:space="preserve">336612</t>
        </is>
      </c>
      <c r="H366" s="0" t="inlineStr">
        <is>
          <t xml:space="preserve">2040</t>
        </is>
      </c>
      <c r="I366" s="0" t="inlineStr">
        <is>
          <t xml:space="preserve">ROTARY JOINT</t>
        </is>
      </c>
      <c r="J366" s="0" t="inlineStr">
        <is>
          <t xml:space="preserve">N0010426QYA7R</t>
        </is>
      </c>
    </row>
    <row r="367">
      <c r="B367" s="0" t="inlineStr">
        <is>
          <t xml:space="preserve">479b13bfc8a247118af1aa8e018d36e5</t>
        </is>
      </c>
      <c r="C367" s="0" t="inlineStr">
        <is>
          <t xml:space="preserve">Solicitation</t>
        </is>
      </c>
      <c r="D367" s="0" t="inlineStr">
        <is>
          <t xml:space="preserve">2026-05-28</t>
        </is>
      </c>
      <c r="E367" s="0" t="inlineStr">
        <is>
          <t xml:space="preserve">Navy/USMC</t>
        </is>
      </c>
      <c r="F367" s="0" t="inlineStr">
        <is>
          <t xml:space="preserve">marine_components_parts</t>
        </is>
      </c>
      <c r="G367" s="0" t="inlineStr">
        <is>
          <t xml:space="preserve">336612</t>
        </is>
      </c>
      <c r="H367" s="0" t="inlineStr">
        <is>
          <t xml:space="preserve">2040</t>
        </is>
      </c>
      <c r="I367" s="0" t="inlineStr">
        <is>
          <t xml:space="preserve">TORQUE ASSIST ASSEM</t>
        </is>
      </c>
      <c r="J367" s="0" t="inlineStr">
        <is>
          <t xml:space="preserve">N0010426QYA3Y</t>
        </is>
      </c>
    </row>
    <row r="368">
      <c r="B368" s="0" t="inlineStr">
        <is>
          <t xml:space="preserve">daac93d9ae4d446aa87866b22d4594b6</t>
        </is>
      </c>
      <c r="C368" s="0" t="inlineStr">
        <is>
          <t xml:space="preserve">Solicitation</t>
        </is>
      </c>
      <c r="D368" s="0" t="inlineStr">
        <is>
          <t xml:space="preserve">2026-05-31</t>
        </is>
      </c>
      <c r="E368" s="0" t="inlineStr">
        <is>
          <t xml:space="preserve">Navy/USMC</t>
        </is>
      </c>
      <c r="F368" s="0" t="inlineStr">
        <is>
          <t xml:space="preserve">ship_repair_maintenance</t>
        </is>
      </c>
      <c r="G368" s="0" t="inlineStr">
        <is>
          <t xml:space="preserve">336611</t>
        </is>
      </c>
      <c r="H368" s="0" t="inlineStr">
        <is>
          <t xml:space="preserve">J999</t>
        </is>
      </c>
      <c r="I368" s="0" t="inlineStr">
        <is>
          <t xml:space="preserve">USS NEW ORLEANS (LPD-18) EXHAUST VENTILATION FAN MOTOR (ES-127, 5-46-4); REPAIR</t>
        </is>
      </c>
      <c r="J368" s="0" t="inlineStr">
        <is>
          <t xml:space="preserve">N6264926Q0338</t>
        </is>
      </c>
    </row>
    <row r="369">
      <c r="B369" s="0" t="inlineStr">
        <is>
          <t xml:space="preserve">373d843bc13d4ee1af6cbd6acbab5951</t>
        </is>
      </c>
      <c r="C369" s="0" t="inlineStr">
        <is>
          <t xml:space="preserve">Presolicitation</t>
        </is>
      </c>
      <c r="D369" s="0" t="inlineStr">
        <is>
          <t xml:space="preserve">2026-06-01</t>
        </is>
      </c>
      <c r="E369" s="0" t="inlineStr">
        <is>
          <t xml:space="preserve">Navy/USMC</t>
        </is>
      </c>
      <c r="F369" s="0" t="inlineStr">
        <is>
          <t xml:space="preserve">ship_repair_maintenance</t>
        </is>
      </c>
      <c r="G369" s="0" t="inlineStr">
        <is>
          <t xml:space="preserve">336611</t>
        </is>
      </c>
      <c r="H369" s="0" t="inlineStr">
        <is>
          <t xml:space="preserve">J999</t>
        </is>
      </c>
      <c r="I369" s="0" t="inlineStr">
        <is>
          <t xml:space="preserve">USS NEW ORLEANS (LPD-18)WORKBENCH WITH SINK/CABINET IN HELICOPTER WORKSHOP 1- 114-2-Q; INSTALL</t>
        </is>
      </c>
      <c r="J369" s="0" t="inlineStr">
        <is>
          <t xml:space="preserve">N6264926Q0331PRE</t>
        </is>
      </c>
    </row>
    <row r="370">
      <c r="B370" s="0" t="inlineStr">
        <is>
          <t xml:space="preserve">6e985544e8434add94b6a9c7ebf951a8</t>
        </is>
      </c>
      <c r="C370" s="0" t="inlineStr">
        <is>
          <t xml:space="preserve">Special Notice</t>
        </is>
      </c>
      <c r="D370" s="0" t="inlineStr">
        <is>
          <t xml:space="preserve">2026-06-02</t>
        </is>
      </c>
      <c r="E370" s="0" t="inlineStr">
        <is>
          <t xml:space="preserve">Navy/USMC</t>
        </is>
      </c>
      <c r="F370" s="0" t="inlineStr">
        <is>
          <t xml:space="preserve">marine_components_parts</t>
        </is>
      </c>
      <c r="G370" s="0" t="inlineStr">
        <is>
          <t xml:space="preserve">336611</t>
        </is>
      </c>
      <c r="H370" s="0" t="inlineStr">
        <is>
          <t xml:space="preserve">2040</t>
        </is>
      </c>
      <c r="I370" s="0" t="inlineStr">
        <is>
          <t xml:space="preserve">MIL-DTL-24582B, Anchor, Two-Fluke, Balanced Fluke</t>
        </is>
      </c>
      <c r="J370" s="0" t="inlineStr">
        <is>
          <t xml:space="preserve">N0002426SN-42</t>
        </is>
      </c>
    </row>
    <row r="371">
      <c r="B371" s="0" t="inlineStr">
        <is>
          <t xml:space="preserve">339a311bd80444b496e4fc06ac7dfd49</t>
        </is>
      </c>
      <c r="C371" s="0" t="inlineStr">
        <is>
          <t xml:space="preserve">Combined Synopsis/Solicitation</t>
        </is>
      </c>
      <c r="D371" s="0" t="inlineStr">
        <is>
          <t xml:space="preserve">2026-06-01</t>
        </is>
      </c>
      <c r="E371" s="0" t="inlineStr">
        <is>
          <t xml:space="preserve">Civil/Other</t>
        </is>
      </c>
      <c r="F371" s="0" t="inlineStr">
        <is>
          <t xml:space="preserve">vessel_procurement</t>
        </is>
      </c>
      <c r="G371" s="0" t="inlineStr">
        <is>
          <t xml:space="preserve">336612</t>
        </is>
      </c>
      <c r="H371" s="0" t="inlineStr">
        <is>
          <t xml:space="preserve">1940</t>
        </is>
      </c>
      <c r="I371" s="0" t="inlineStr">
        <is>
          <t xml:space="preserve">GLBA SUPPLY HDPE HARBOR BOAT 19-21'</t>
        </is>
      </c>
      <c r="J371" s="0" t="inlineStr">
        <is>
          <t xml:space="preserve">140P9726Q0041</t>
        </is>
      </c>
    </row>
    <row r="372">
      <c r="B372" s="0" t="inlineStr">
        <is>
          <t xml:space="preserve">df05573a8ca74564b787a8a90828a9df</t>
        </is>
      </c>
      <c r="C372" s="0" t="inlineStr">
        <is>
          <t xml:space="preserve">Solicitation</t>
        </is>
      </c>
      <c r="D372" s="0" t="inlineStr">
        <is>
          <t xml:space="preserve">2026-06-09</t>
        </is>
      </c>
      <c r="E372" s="0" t="inlineStr">
        <is>
          <t xml:space="preserve">Navy/USMC</t>
        </is>
      </c>
      <c r="F372" s="0" t="inlineStr">
        <is>
          <t xml:space="preserve">ship_repair_maintenance</t>
        </is>
      </c>
      <c r="G372" s="0" t="inlineStr">
        <is>
          <t xml:space="preserve">336611</t>
        </is>
      </c>
      <c r="H372" s="0" t="inlineStr">
        <is>
          <t xml:space="preserve">J998</t>
        </is>
      </c>
      <c r="I372" s="0" t="inlineStr">
        <is>
          <t xml:space="preserve">USNS OSCAR V. PETERSON FY 27 Mid-Term Availability</t>
        </is>
      </c>
      <c r="J372" s="0" t="inlineStr">
        <is>
          <t xml:space="preserve">N3220526R6078</t>
        </is>
      </c>
    </row>
    <row r="373">
      <c r="B373" s="0" t="inlineStr">
        <is>
          <t xml:space="preserve">5d98d2dcff9541558780e1af43c2b299</t>
        </is>
      </c>
      <c r="C373" s="0" t="inlineStr">
        <is>
          <t xml:space="preserve">Solicitation</t>
        </is>
      </c>
      <c r="D373" s="0" t="inlineStr">
        <is>
          <t xml:space="preserve">2026-06-11</t>
        </is>
      </c>
      <c r="E373" s="0" t="inlineStr">
        <is>
          <t xml:space="preserve">Navy/USMC</t>
        </is>
      </c>
      <c r="F373" s="0" t="inlineStr">
        <is>
          <t xml:space="preserve">ship_repair_maintenance</t>
        </is>
      </c>
      <c r="G373" s="0" t="inlineStr">
        <is>
          <t xml:space="preserve">336611</t>
        </is>
      </c>
      <c r="H373" s="0" t="inlineStr">
        <is>
          <t xml:space="preserve">J999</t>
        </is>
      </c>
      <c r="I373" s="0" t="inlineStr">
        <is>
          <t xml:space="preserve">MCM-14 ELM-245065 PKP FIRE EXTINGUISHER INSTALLATION; ACCOMPLISH</t>
        </is>
      </c>
      <c r="J373" s="0" t="inlineStr">
        <is>
          <t xml:space="preserve">N6264926Q0368</t>
        </is>
      </c>
    </row>
    <row r="374">
      <c r="B374" s="0" t="inlineStr">
        <is>
          <t xml:space="preserve">4bb0ad185cfa4c6ca2f0c15dc0b7675e</t>
        </is>
      </c>
      <c r="C374" s="0" t="inlineStr">
        <is>
          <t xml:space="preserve">Solicitation</t>
        </is>
      </c>
      <c r="D374" s="0" t="inlineStr">
        <is>
          <t xml:space="preserve">2026-06-12</t>
        </is>
      </c>
      <c r="E374" s="0" t="inlineStr">
        <is>
          <t xml:space="preserve">Coast Guard</t>
        </is>
      </c>
      <c r="F374" s="0" t="inlineStr">
        <is>
          <t xml:space="preserve">ship_repair_maintenance</t>
        </is>
      </c>
      <c r="G374" s="0" t="inlineStr">
        <is>
          <t xml:space="preserve">336611</t>
        </is>
      </c>
      <c r="H374" s="0" t="inlineStr">
        <is>
          <t xml:space="preserve">J999</t>
        </is>
      </c>
      <c r="I374" s="0" t="inlineStr">
        <is>
          <t xml:space="preserve">USCGC Blue Shark Dockside FY2027</t>
        </is>
      </c>
      <c r="J374" s="0" t="inlineStr">
        <is>
          <t xml:space="preserve">70Z08026QPBPL0043</t>
        </is>
      </c>
    </row>
    <row r="375">
      <c r="B375" s="0" t="inlineStr">
        <is>
          <t xml:space="preserve">b73d23eb00b34ea09db044d81a0e78c9</t>
        </is>
      </c>
      <c r="C375" s="0" t="inlineStr">
        <is>
          <t xml:space="preserve">Solicitation</t>
        </is>
      </c>
      <c r="D375" s="0" t="inlineStr">
        <is>
          <t xml:space="preserve">2026-02-04</t>
        </is>
      </c>
      <c r="E375" s="0" t="inlineStr">
        <is>
          <t xml:space="preserve">Navy/USMC</t>
        </is>
      </c>
      <c r="F375" s="0" t="inlineStr">
        <is>
          <t xml:space="preserve">marine_components_parts</t>
        </is>
      </c>
      <c r="G375" s="0" t="inlineStr">
        <is>
          <t xml:space="preserve">336611</t>
        </is>
      </c>
      <c r="H375" s="0" t="inlineStr">
        <is>
          <t xml:space="preserve">2090</t>
        </is>
      </c>
      <c r="I375" s="0" t="inlineStr">
        <is>
          <t xml:space="preserve">20--TILE</t>
        </is>
      </c>
      <c r="J375" s="0" t="inlineStr">
        <is>
          <t xml:space="preserve">N0010425RYH49</t>
        </is>
      </c>
    </row>
    <row r="376">
      <c r="B376" s="0" t="inlineStr">
        <is>
          <t xml:space="preserve">d83632eb5fab4a4c96c7007f7fccb70c</t>
        </is>
      </c>
      <c r="C376" s="0" t="inlineStr">
        <is>
          <t xml:space="preserve">Solicitation</t>
        </is>
      </c>
      <c r="D376" s="0" t="inlineStr">
        <is>
          <t xml:space="preserve">2026-06-02</t>
        </is>
      </c>
      <c r="E376" s="0" t="inlineStr">
        <is>
          <t xml:space="preserve">Navy/USMC</t>
        </is>
      </c>
      <c r="F376" s="0" t="inlineStr">
        <is>
          <t xml:space="preserve">ship_repair_maintenance</t>
        </is>
      </c>
      <c r="G376" s="0" t="inlineStr">
        <is>
          <t xml:space="preserve">336611</t>
        </is>
      </c>
      <c r="H376" s="0" t="inlineStr">
        <is>
          <t xml:space="preserve">J999</t>
        </is>
      </c>
      <c r="I376" s="0" t="inlineStr">
        <is>
          <t xml:space="preserve">USNS SACAGAWEA (T-AKE 2) Voyage Repair Availability KR</t>
        </is>
      </c>
      <c r="J376" s="0" t="inlineStr">
        <is>
          <t xml:space="preserve">N6264926RK011</t>
        </is>
      </c>
    </row>
    <row r="377">
      <c r="B377" s="0" t="inlineStr">
        <is>
          <t xml:space="preserve">805046d8733442e883113425b05abc26</t>
        </is>
      </c>
      <c r="C377" s="0" t="inlineStr">
        <is>
          <t xml:space="preserve">Solicitation</t>
        </is>
      </c>
      <c r="D377" s="0" t="inlineStr">
        <is>
          <t xml:space="preserve">2026-06-02</t>
        </is>
      </c>
      <c r="E377" s="0" t="inlineStr">
        <is>
          <t xml:space="preserve">Navy/USMC</t>
        </is>
      </c>
      <c r="F377" s="0" t="inlineStr">
        <is>
          <t xml:space="preserve">services_rdte</t>
        </is>
      </c>
      <c r="G377" s="0" t="inlineStr">
        <is>
          <t xml:space="preserve">336611</t>
        </is>
      </c>
      <c r="H377" s="0" t="inlineStr">
        <is>
          <t xml:space="preserve">R425</t>
        </is>
      </c>
      <c r="I377" s="0" t="inlineStr">
        <is>
          <t xml:space="preserve">Big Blue 3 MAC (N6449821D0013 - N6449821D0023) LCS Voyage Data Recorder (VDR) Hardware Installation</t>
        </is>
      </c>
      <c r="J377" s="0" t="inlineStr">
        <is>
          <t xml:space="preserve">N6449826Q5182</t>
        </is>
      </c>
    </row>
    <row r="378">
      <c r="B378" s="0" t="inlineStr">
        <is>
          <t xml:space="preserve">25be507fcc3c4389b6ed91cbb061d115</t>
        </is>
      </c>
      <c r="C378" s="0" t="inlineStr">
        <is>
          <t xml:space="preserve">Solicitation</t>
        </is>
      </c>
      <c r="D378" s="0" t="inlineStr">
        <is>
          <t xml:space="preserve">2026-06-10</t>
        </is>
      </c>
      <c r="E378" s="0" t="inlineStr">
        <is>
          <t xml:space="preserve">Navy/USMC</t>
        </is>
      </c>
      <c r="F378" s="0" t="inlineStr">
        <is>
          <t xml:space="preserve">ship_repair_maintenance</t>
        </is>
      </c>
      <c r="G378" s="0" t="inlineStr">
        <is>
          <t xml:space="preserve">336611</t>
        </is>
      </c>
      <c r="H378" s="0" t="inlineStr">
        <is>
          <t xml:space="preserve">J999</t>
        </is>
      </c>
      <c r="I378" s="0" t="inlineStr">
        <is>
          <t xml:space="preserve">USS GRIDLEY (DDG 101) FY27 Depot Modernization Period (DMP)</t>
        </is>
      </c>
      <c r="J378" s="0" t="inlineStr">
        <is>
          <t xml:space="preserve">N0002426R4414</t>
        </is>
      </c>
    </row>
    <row r="379">
      <c r="B379" s="0" t="inlineStr">
        <is>
          <t xml:space="preserve">c0c058d15a804ec8b0dc7e32132dff05</t>
        </is>
      </c>
      <c r="C379" s="0" t="inlineStr">
        <is>
          <t xml:space="preserve">Sources Sought</t>
        </is>
      </c>
      <c r="D379" s="0" t="inlineStr">
        <is>
          <t xml:space="preserve">2026-06-12</t>
        </is>
      </c>
      <c r="E379" s="0" t="inlineStr">
        <is>
          <t xml:space="preserve">Coast Guard</t>
        </is>
      </c>
      <c r="F379" s="0" t="inlineStr">
        <is>
          <t xml:space="preserve">ship_repair_maintenance</t>
        </is>
      </c>
      <c r="G379" s="0" t="inlineStr">
        <is>
          <t xml:space="preserve">336611</t>
        </is>
      </c>
      <c r="H379" s="0" t="inlineStr">
        <is>
          <t xml:space="preserve">J998</t>
        </is>
      </c>
      <c r="I379" s="0" t="inlineStr">
        <is>
          <t xml:space="preserve">USCGC SAWFISH (WPB-87357) DRYDOCK</t>
        </is>
      </c>
      <c r="J379" s="0" t="inlineStr">
        <is>
          <t xml:space="preserve">70Z08026PBPLSAWFISHDD</t>
        </is>
      </c>
    </row>
    <row r="380">
      <c r="B380" s="0" t="inlineStr">
        <is>
          <t xml:space="preserve">cf0c658859c84315be703fea4e5822ea</t>
        </is>
      </c>
      <c r="C380" s="0" t="inlineStr">
        <is>
          <t xml:space="preserve">Solicitation</t>
        </is>
      </c>
      <c r="D380" s="0" t="inlineStr">
        <is>
          <t xml:space="preserve">2026-06-07</t>
        </is>
      </c>
      <c r="E380" s="0" t="inlineStr">
        <is>
          <t xml:space="preserve">Navy/USMC</t>
        </is>
      </c>
      <c r="F380" s="0" t="inlineStr">
        <is>
          <t xml:space="preserve">ship_repair_maintenance</t>
        </is>
      </c>
      <c r="G380" s="0" t="inlineStr">
        <is>
          <t xml:space="preserve">336611</t>
        </is>
      </c>
      <c r="H380" s="0" t="inlineStr">
        <is>
          <t xml:space="preserve">J999</t>
        </is>
      </c>
      <c r="I380" s="0" t="inlineStr">
        <is>
          <t xml:space="preserve">6A1 Preventive Maintenance for Puget Sound Naval Shipyard (PSNS)Barge YR-85 and YR-95</t>
        </is>
      </c>
      <c r="J380" s="0" t="inlineStr">
        <is>
          <t xml:space="preserve">N6264926RA054</t>
        </is>
      </c>
    </row>
    <row r="381">
      <c r="B381" s="0" t="inlineStr">
        <is>
          <t xml:space="preserve">9460c67a6db74215aa5eb30ec7cbf065</t>
        </is>
      </c>
      <c r="C381" s="0" t="inlineStr">
        <is>
          <t xml:space="preserve">Special Notice</t>
        </is>
      </c>
      <c r="D381" s="0" t="inlineStr">
        <is>
          <t xml:space="preserve">2026-06-09</t>
        </is>
      </c>
      <c r="E381" s="0" t="inlineStr">
        <is>
          <t xml:space="preserve">Navy/USMC</t>
        </is>
      </c>
      <c r="F381" s="0" t="inlineStr">
        <is>
          <t xml:space="preserve">ship_repair_maintenance</t>
        </is>
      </c>
      <c r="G381" s="0" t="inlineStr">
        <is>
          <t xml:space="preserve">336611</t>
        </is>
      </c>
      <c r="H381" s="0" t="inlineStr">
        <is>
          <t xml:space="preserve">J998</t>
        </is>
      </c>
      <c r="I381" s="0" t="inlineStr">
        <is>
          <t xml:space="preserve">RFI 2: Sources Sought for Large Ship Repair Services at Naval Station Rota, Spain</t>
        </is>
      </c>
      <c r="J381" s="0" t="inlineStr">
        <is>
          <t xml:space="preserve">N6817126RT003</t>
        </is>
      </c>
    </row>
    <row r="382">
      <c r="B382" s="0" t="inlineStr">
        <is>
          <t xml:space="preserve">1719d59bb4fb48bc89fa43e1be513751</t>
        </is>
      </c>
      <c r="C382" s="0" t="inlineStr">
        <is>
          <t xml:space="preserve">Solicitation</t>
        </is>
      </c>
      <c r="D382" s="0" t="inlineStr">
        <is>
          <t xml:space="preserve">2026-06-11</t>
        </is>
      </c>
      <c r="E382" s="0" t="inlineStr">
        <is>
          <t xml:space="preserve">Navy/USMC</t>
        </is>
      </c>
      <c r="F382" s="0" t="inlineStr">
        <is>
          <t xml:space="preserve">ship_repair_maintenance</t>
        </is>
      </c>
      <c r="G382" s="0" t="inlineStr">
        <is>
          <t xml:space="preserve">336611</t>
        </is>
      </c>
      <c r="H382" s="0" t="inlineStr">
        <is>
          <t xml:space="preserve">J999</t>
        </is>
      </c>
      <c r="I382" s="0" t="inlineStr">
        <is>
          <t xml:space="preserve">Dive Boat Dryberthing</t>
        </is>
      </c>
      <c r="J382" s="0" t="inlineStr">
        <is>
          <t xml:space="preserve">N6264926Q0327</t>
        </is>
      </c>
    </row>
    <row r="383">
      <c r="B383" s="0" t="inlineStr">
        <is>
          <t xml:space="preserve">7669576da1f640f7b855837f7da3346c</t>
        </is>
      </c>
      <c r="C383" s="0" t="inlineStr">
        <is>
          <t xml:space="preserve">Sources Sought</t>
        </is>
      </c>
      <c r="D383" s="0" t="inlineStr">
        <is>
          <t xml:space="preserve">2026-06-04</t>
        </is>
      </c>
      <c r="E383" s="0" t="inlineStr">
        <is>
          <t xml:space="preserve">Navy/USMC</t>
        </is>
      </c>
      <c r="F383" s="0" t="inlineStr">
        <is>
          <t xml:space="preserve">marine_components_parts</t>
        </is>
      </c>
      <c r="G383" s="0" t="inlineStr">
        <is>
          <t xml:space="preserve">336611</t>
        </is>
      </c>
      <c r="H383" s="0" t="inlineStr">
        <is>
          <t xml:space="preserve">2010</t>
        </is>
      </c>
      <c r="I383" s="0" t="inlineStr">
        <is>
          <t xml:space="preserve">Engineering and Fabrication Services for Propulsor Support Hardware</t>
        </is>
      </c>
      <c r="J383" s="0" t="inlineStr">
        <is>
          <t xml:space="preserve">26-KC-0003</t>
        </is>
      </c>
    </row>
    <row r="384">
      <c r="B384" s="0" t="inlineStr">
        <is>
          <t xml:space="preserve">317ff8892e274dd19d8aa7c62eded400</t>
        </is>
      </c>
      <c r="C384" s="0" t="inlineStr">
        <is>
          <t xml:space="preserve">Solicitation</t>
        </is>
      </c>
      <c r="D384" s="0" t="inlineStr">
        <is>
          <t xml:space="preserve">2026-06-05</t>
        </is>
      </c>
      <c r="E384" s="0" t="inlineStr">
        <is>
          <t xml:space="preserve">Navy/USMC</t>
        </is>
      </c>
      <c r="F384" s="0" t="inlineStr">
        <is>
          <t xml:space="preserve">ship_repair_maintenance</t>
        </is>
      </c>
      <c r="G384" s="0" t="inlineStr">
        <is>
          <t xml:space="preserve">336611</t>
        </is>
      </c>
      <c r="H384" s="0" t="inlineStr">
        <is>
          <t xml:space="preserve">J999</t>
        </is>
      </c>
      <c r="I384" s="0" t="inlineStr">
        <is>
          <t xml:space="preserve">USS CINCINNATI (LCS 20) FY27 Docking Selected Restricted Availability (DSRA) and USS CANBERRA (LCS 30) FY27 DSRA Request for Proposal(s) (RFP)</t>
        </is>
      </c>
      <c r="J384" s="0" t="inlineStr">
        <is>
          <t xml:space="preserve">N0002426R4441</t>
        </is>
      </c>
    </row>
    <row r="385">
      <c r="B385" s="0" t="inlineStr">
        <is>
          <t xml:space="preserve">6b2f35efccce4075a5b7616ad22c06d7</t>
        </is>
      </c>
      <c r="C385" s="0" t="inlineStr">
        <is>
          <t xml:space="preserve">Sources Sought</t>
        </is>
      </c>
      <c r="D385" s="0" t="inlineStr">
        <is>
          <t xml:space="preserve">2026-06-05</t>
        </is>
      </c>
      <c r="E385" s="0" t="inlineStr">
        <is>
          <t xml:space="preserve">Navy/USMC</t>
        </is>
      </c>
      <c r="F385" s="0" t="inlineStr">
        <is>
          <t xml:space="preserve">vessel_procurement</t>
        </is>
      </c>
      <c r="G385" s="0" t="inlineStr">
        <is>
          <t xml:space="preserve">336611</t>
        </is>
      </c>
      <c r="H385" s="0" t="inlineStr">
        <is>
          <t xml:space="preserve">1905</t>
        </is>
      </c>
      <c r="I385" s="0" t="inlineStr">
        <is>
          <t xml:space="preserve">Defueled Ex-Long Beach (CGN 9) Transportation &amp; Disposal</t>
        </is>
      </c>
      <c r="J385" s="0" t="inlineStr">
        <is>
          <t xml:space="preserve">N0002426ICGN9</t>
        </is>
      </c>
    </row>
    <row r="386">
      <c r="B386" s="0" t="inlineStr">
        <is>
          <t xml:space="preserve">88110ea0c93c402eb35b8daf93cf1ecd</t>
        </is>
      </c>
      <c r="C386" s="0" t="inlineStr">
        <is>
          <t xml:space="preserve">Solicitation</t>
        </is>
      </c>
      <c r="D386" s="0" t="inlineStr">
        <is>
          <t xml:space="preserve">2026-06-10</t>
        </is>
      </c>
      <c r="E386" s="0" t="inlineStr">
        <is>
          <t xml:space="preserve">Other DoD</t>
        </is>
      </c>
      <c r="F386" s="0" t="inlineStr">
        <is>
          <t xml:space="preserve">marine_components_parts</t>
        </is>
      </c>
      <c r="G386" s="0" t="inlineStr">
        <is>
          <t xml:space="preserve">336611</t>
        </is>
      </c>
      <c r="H386" s="0" t="inlineStr">
        <is>
          <t xml:space="preserve">2090</t>
        </is>
      </c>
      <c r="I386" s="0" t="inlineStr">
        <is>
          <t xml:space="preserve">20-Accumulator, Hydraulic</t>
        </is>
      </c>
      <c r="J386" s="0" t="inlineStr">
        <is>
          <t xml:space="preserve">MAAC-2025-ZID3-019</t>
        </is>
      </c>
    </row>
    <row r="387">
      <c r="B387" s="0" t="inlineStr">
        <is>
          <t xml:space="preserve">451ec17bd41641369e1223d483d1c1c1</t>
        </is>
      </c>
      <c r="C387" s="0" t="inlineStr">
        <is>
          <t xml:space="preserve">Solicitation</t>
        </is>
      </c>
      <c r="D387" s="0" t="inlineStr">
        <is>
          <t xml:space="preserve">2026-06-11</t>
        </is>
      </c>
      <c r="E387" s="0" t="inlineStr">
        <is>
          <t xml:space="preserve">Navy/USMC</t>
        </is>
      </c>
      <c r="F387" s="0" t="inlineStr">
        <is>
          <t xml:space="preserve">marine_components_parts</t>
        </is>
      </c>
      <c r="G387" s="0" t="inlineStr">
        <is>
          <t xml:space="preserve">336612</t>
        </is>
      </c>
      <c r="H387" s="0" t="inlineStr">
        <is>
          <t xml:space="preserve">2040</t>
        </is>
      </c>
      <c r="I387" s="0" t="inlineStr">
        <is>
          <t xml:space="preserve">MATERIAL,RADAR ABSO</t>
        </is>
      </c>
      <c r="J387" s="0" t="inlineStr">
        <is>
          <t xml:space="preserve">N0010426QYA8Y</t>
        </is>
      </c>
    </row>
    <row r="388">
      <c r="B388" s="0" t="inlineStr">
        <is>
          <t xml:space="preserve">99894e11580d47aba8e8d2573f1c5ca7</t>
        </is>
      </c>
      <c r="C388" s="0" t="inlineStr">
        <is>
          <t xml:space="preserve">Sources Sought</t>
        </is>
      </c>
      <c r="D388" s="0" t="inlineStr">
        <is>
          <t xml:space="preserve">2026-06-11</t>
        </is>
      </c>
      <c r="E388" s="0" t="inlineStr">
        <is>
          <t xml:space="preserve">Coast Guard</t>
        </is>
      </c>
      <c r="F388" s="0" t="inlineStr">
        <is>
          <t xml:space="preserve">ship_repair_maintenance</t>
        </is>
      </c>
      <c r="G388" s="0" t="inlineStr">
        <is>
          <t xml:space="preserve">336611</t>
        </is>
      </c>
      <c r="H388" s="0" t="inlineStr">
        <is>
          <t xml:space="preserve">J998</t>
        </is>
      </c>
      <c r="I388" s="0" t="inlineStr">
        <is>
          <t xml:space="preserve">USCGC HAMMER (WLR-75405) DRYDOCK REPAIR FY27</t>
        </is>
      </c>
      <c r="J388" s="0" t="inlineStr">
        <is>
          <t xml:space="preserve">70Z08526RIBCT25789</t>
        </is>
      </c>
    </row>
    <row r="389">
      <c r="B389" s="0" t="inlineStr">
        <is>
          <t xml:space="preserve">a2a23a6c48b24ad8afe186c2a1f4dced</t>
        </is>
      </c>
      <c r="C389" s="0" t="inlineStr">
        <is>
          <t xml:space="preserve">Solicitation</t>
        </is>
      </c>
      <c r="D389" s="0" t="inlineStr">
        <is>
          <t xml:space="preserve">2026-05-18</t>
        </is>
      </c>
      <c r="E389" s="0" t="inlineStr">
        <is>
          <t xml:space="preserve">Navy/USMC</t>
        </is>
      </c>
      <c r="F389" s="0" t="inlineStr">
        <is>
          <t xml:space="preserve">marine_components_parts</t>
        </is>
      </c>
      <c r="G389" s="0" t="inlineStr">
        <is>
          <t xml:space="preserve">336612</t>
        </is>
      </c>
      <c r="H389" s="0" t="inlineStr">
        <is>
          <t xml:space="preserve">2040</t>
        </is>
      </c>
      <c r="I389" s="0" t="inlineStr">
        <is>
          <t xml:space="preserve">20--CONNECTOR TRAVELING</t>
        </is>
      </c>
      <c r="J389" s="0" t="inlineStr">
        <is>
          <t xml:space="preserve">N0010426QYA92</t>
        </is>
      </c>
    </row>
    <row r="390">
      <c r="B390" s="0" t="inlineStr">
        <is>
          <t xml:space="preserve">5d93e225e52f418cb28f7e55920a2504</t>
        </is>
      </c>
      <c r="C390" s="0" t="inlineStr">
        <is>
          <t xml:space="preserve">Solicitation</t>
        </is>
      </c>
      <c r="D390" s="0" t="inlineStr">
        <is>
          <t xml:space="preserve">2026-06-11</t>
        </is>
      </c>
      <c r="E390" s="0" t="inlineStr">
        <is>
          <t xml:space="preserve">Other DoD</t>
        </is>
      </c>
      <c r="F390" s="0" t="inlineStr">
        <is>
          <t xml:space="preserve">marine_components_parts</t>
        </is>
      </c>
      <c r="G390" s="0" t="inlineStr">
        <is>
          <t xml:space="preserve">336612</t>
        </is>
      </c>
      <c r="H390" s="0" t="inlineStr">
        <is>
          <t xml:space="preserve">2010</t>
        </is>
      </c>
      <c r="I390" s="0" t="inlineStr">
        <is>
          <t xml:space="preserve">20--PROPELLING UNIT, OU- AND SIMILAR REPLACEMENT PARTS</t>
        </is>
      </c>
      <c r="J390" s="0" t="inlineStr">
        <is>
          <t xml:space="preserve">SPRMM126QGA80</t>
        </is>
      </c>
    </row>
    <row r="391">
      <c r="B391" s="0" t="inlineStr">
        <is>
          <t xml:space="preserve">597b35e1604446a8aed0e284009c1268</t>
        </is>
      </c>
      <c r="C391" s="0" t="inlineStr">
        <is>
          <t xml:space="preserve">Presolicitation</t>
        </is>
      </c>
      <c r="D391" s="0" t="inlineStr">
        <is>
          <t xml:space="preserve">2026-06-01</t>
        </is>
      </c>
      <c r="E391" s="0" t="inlineStr">
        <is>
          <t xml:space="preserve">Navy/USMC</t>
        </is>
      </c>
      <c r="F391" s="0" t="inlineStr">
        <is>
          <t xml:space="preserve">vessel_procurement</t>
        </is>
      </c>
      <c r="G391" s="0" t="inlineStr">
        <is>
          <t xml:space="preserve">336611</t>
        </is>
      </c>
      <c r="H391" s="0" t="inlineStr">
        <is>
          <t xml:space="preserve">1925</t>
        </is>
      </c>
      <c r="I391" s="0" t="inlineStr">
        <is>
          <t xml:space="preserve">Next Generation Hospital Ship T-AH(X) Request for Information (RFI)</t>
        </is>
      </c>
      <c r="J391" s="0" t="inlineStr">
        <is>
          <t xml:space="preserve">N00024-26-R-2433</t>
        </is>
      </c>
    </row>
    <row r="392">
      <c r="B392" s="0" t="inlineStr">
        <is>
          <t xml:space="preserve">43b234d6f0554d58945073995bfc1dea</t>
        </is>
      </c>
      <c r="C392" s="0" t="inlineStr">
        <is>
          <t xml:space="preserve">Combined Synopsis/Solicitation</t>
        </is>
      </c>
      <c r="D392" s="0" t="inlineStr">
        <is>
          <t xml:space="preserve">2026-05-29</t>
        </is>
      </c>
      <c r="E392" s="0" t="inlineStr">
        <is>
          <t xml:space="preserve">Navy/USMC</t>
        </is>
      </c>
      <c r="F392" s="0" t="inlineStr">
        <is>
          <t xml:space="preserve">ship_repair_maintenance</t>
        </is>
      </c>
      <c r="G392" s="0" t="inlineStr">
        <is>
          <t xml:space="preserve">336611</t>
        </is>
      </c>
      <c r="H392" s="0" t="inlineStr">
        <is>
          <t xml:space="preserve">J999</t>
        </is>
      </c>
      <c r="I392" s="0" t="inlineStr">
        <is>
          <t xml:space="preserve">LCU-1651, Accomplish, Docking or Hauling Out</t>
        </is>
      </c>
      <c r="J392" s="0" t="inlineStr">
        <is>
          <t xml:space="preserve">N6264926Q0333</t>
        </is>
      </c>
    </row>
    <row r="393">
      <c r="B393" s="0" t="inlineStr">
        <is>
          <t xml:space="preserve">bbe1d6971d394afe99dbc4be21382cb0</t>
        </is>
      </c>
      <c r="C393" s="0" t="inlineStr">
        <is>
          <t xml:space="preserve">Presolicitation</t>
        </is>
      </c>
      <c r="D393" s="0" t="inlineStr">
        <is>
          <t xml:space="preserve">2026-06-11</t>
        </is>
      </c>
      <c r="E393" s="0" t="inlineStr">
        <is>
          <t xml:space="preserve">Navy/USMC</t>
        </is>
      </c>
      <c r="F393" s="0" t="inlineStr">
        <is>
          <t xml:space="preserve">vessel_procurement</t>
        </is>
      </c>
      <c r="G393" s="0" t="inlineStr">
        <is>
          <t xml:space="preserve">336611</t>
        </is>
      </c>
      <c r="H393" s="0" t="inlineStr">
        <is>
          <t xml:space="preserve">1905</t>
        </is>
      </c>
      <c r="I393" s="0" t="inlineStr">
        <is>
          <t xml:space="preserve">Multi Mission Surface Combatant (MMSC) Post Delivery Execution Yard (PDEY)</t>
        </is>
      </c>
      <c r="J393" s="0" t="inlineStr">
        <is>
          <t xml:space="preserve">N00024-26-R-2309</t>
        </is>
      </c>
    </row>
    <row r="394">
      <c r="B394" s="0" t="inlineStr">
        <is>
          <t xml:space="preserve">a2754a346613496faad9d35c70e8d25f</t>
        </is>
      </c>
      <c r="C394" s="0" t="inlineStr">
        <is>
          <t xml:space="preserve">Solicitation</t>
        </is>
      </c>
      <c r="D394" s="0" t="inlineStr">
        <is>
          <t xml:space="preserve">2026-05-21</t>
        </is>
      </c>
      <c r="E394" s="0" t="inlineStr">
        <is>
          <t xml:space="preserve">Navy/USMC</t>
        </is>
      </c>
      <c r="F394" s="0" t="inlineStr">
        <is>
          <t xml:space="preserve">ship_repair_maintenance</t>
        </is>
      </c>
      <c r="G394" s="0" t="inlineStr">
        <is>
          <t xml:space="preserve">336611</t>
        </is>
      </c>
      <c r="H394" s="0" t="inlineStr">
        <is>
          <t xml:space="preserve">J999</t>
        </is>
      </c>
      <c r="I394" s="0" t="inlineStr">
        <is>
          <t xml:space="preserve">USS JOHN P MURTHA (LPD 26) FY27 Docking Selected Restricted Availability (DSRA) Request for Proposals</t>
        </is>
      </c>
      <c r="J394" s="0" t="inlineStr">
        <is>
          <t xml:space="preserve">N0002426R4412</t>
        </is>
      </c>
    </row>
    <row r="395">
      <c r="B395" s="0" t="inlineStr">
        <is>
          <t xml:space="preserve">6eeae45b44e9427f9912138de16e8a62</t>
        </is>
      </c>
      <c r="C395" s="0" t="inlineStr">
        <is>
          <t xml:space="preserve">Solicitation</t>
        </is>
      </c>
      <c r="D395" s="0" t="inlineStr">
        <is>
          <t xml:space="preserve">2026-06-12</t>
        </is>
      </c>
      <c r="E395" s="0" t="inlineStr">
        <is>
          <t xml:space="preserve">Navy/USMC</t>
        </is>
      </c>
      <c r="F395" s="0" t="inlineStr">
        <is>
          <t xml:space="preserve">ship_repair_maintenance</t>
        </is>
      </c>
      <c r="G395" s="0" t="inlineStr">
        <is>
          <t xml:space="preserve">336611</t>
        </is>
      </c>
      <c r="H395" s="0" t="inlineStr">
        <is>
          <t xml:space="preserve">J019</t>
        </is>
      </c>
      <c r="I395" s="0" t="inlineStr">
        <is>
          <t xml:space="preserve">FAS-33 Overhaul</t>
        </is>
      </c>
      <c r="J395" s="0" t="inlineStr">
        <is>
          <t xml:space="preserve">N6264926Q0373</t>
        </is>
      </c>
    </row>
    <row r="396">
      <c r="B396" s="0" t="inlineStr">
        <is>
          <t xml:space="preserve">e8fab862846c4304bbe26ab41d5a3faa</t>
        </is>
      </c>
      <c r="C396" s="0" t="inlineStr">
        <is>
          <t xml:space="preserve">Presolicitation</t>
        </is>
      </c>
      <c r="D396" s="0" t="inlineStr">
        <is>
          <t xml:space="preserve">2026-06-08</t>
        </is>
      </c>
      <c r="E396" s="0" t="inlineStr">
        <is>
          <t xml:space="preserve">Navy/USMC</t>
        </is>
      </c>
      <c r="F396" s="0" t="inlineStr">
        <is>
          <t xml:space="preserve">ship_repair_maintenance</t>
        </is>
      </c>
      <c r="G396" s="0" t="inlineStr">
        <is>
          <t xml:space="preserve">336611</t>
        </is>
      </c>
      <c r="H396" s="0" t="inlineStr">
        <is>
          <t xml:space="preserve">J999</t>
        </is>
      </c>
      <c r="I396" s="0" t="inlineStr">
        <is>
          <t xml:space="preserve">USS RUSHMORE(LSD-47) WATER CONTROL VALVE;REPLACE</t>
        </is>
      </c>
      <c r="J396" s="0" t="inlineStr">
        <is>
          <t xml:space="preserve">N6264926R0046</t>
        </is>
      </c>
    </row>
    <row r="397">
      <c r="B397" s="0" t="inlineStr">
        <is>
          <t xml:space="preserve">ad593c69844248508aa6a17f396241f7</t>
        </is>
      </c>
      <c r="C397" s="0" t="inlineStr">
        <is>
          <t xml:space="preserve">Presolicitation</t>
        </is>
      </c>
      <c r="D397" s="0" t="inlineStr">
        <is>
          <t xml:space="preserve">2026-06-08</t>
        </is>
      </c>
      <c r="E397" s="0" t="inlineStr">
        <is>
          <t xml:space="preserve">Navy/USMC</t>
        </is>
      </c>
      <c r="F397" s="0" t="inlineStr">
        <is>
          <t xml:space="preserve">ship_repair_maintenance</t>
        </is>
      </c>
      <c r="G397" s="0" t="inlineStr">
        <is>
          <t xml:space="preserve">336611</t>
        </is>
      </c>
      <c r="H397" s="0" t="inlineStr">
        <is>
          <t xml:space="preserve">J999</t>
        </is>
      </c>
      <c r="I397" s="0" t="inlineStr">
        <is>
          <t xml:space="preserve">USS RUSHMORE (LSD-47) 7C1 VEHICLE LASHING SOCKET IN WELL DECK; REPLACE</t>
        </is>
      </c>
      <c r="J397" s="0" t="inlineStr">
        <is>
          <t xml:space="preserve">N6264926R0045</t>
        </is>
      </c>
    </row>
    <row r="398">
      <c r="B398" s="0" t="inlineStr">
        <is>
          <t xml:space="preserve">78f865b398ed4db9a143d0f47f058b04</t>
        </is>
      </c>
      <c r="C398" s="0" t="inlineStr">
        <is>
          <t xml:space="preserve">Solicitation</t>
        </is>
      </c>
      <c r="D398" s="0" t="inlineStr">
        <is>
          <t xml:space="preserve">2026-05-28</t>
        </is>
      </c>
      <c r="E398" s="0" t="inlineStr">
        <is>
          <t xml:space="preserve">Navy/USMC</t>
        </is>
      </c>
      <c r="F398" s="0" t="inlineStr">
        <is>
          <t xml:space="preserve">ship_repair_maintenance</t>
        </is>
      </c>
      <c r="G398" s="0" t="inlineStr">
        <is>
          <t xml:space="preserve">336611</t>
        </is>
      </c>
      <c r="H398" s="0" t="inlineStr">
        <is>
          <t xml:space="preserve">J999</t>
        </is>
      </c>
      <c r="I398" s="0" t="inlineStr">
        <is>
          <t xml:space="preserve">USS RUSHMORE (LSD-47) 7C1 SRA 57pkg</t>
        </is>
      </c>
      <c r="J398" s="0" t="inlineStr">
        <is>
          <t xml:space="preserve">N6264926R0011</t>
        </is>
      </c>
    </row>
    <row r="399">
      <c r="B399" s="0" t="inlineStr">
        <is>
          <t xml:space="preserve">c9081104c81f47e89901678140f9d479</t>
        </is>
      </c>
      <c r="C399" s="0" t="inlineStr">
        <is>
          <t xml:space="preserve">Solicitation</t>
        </is>
      </c>
      <c r="D399" s="0" t="inlineStr">
        <is>
          <t xml:space="preserve">2026-05-11</t>
        </is>
      </c>
      <c r="E399" s="0" t="inlineStr">
        <is>
          <t xml:space="preserve">Navy/USMC</t>
        </is>
      </c>
      <c r="F399" s="0" t="inlineStr">
        <is>
          <t xml:space="preserve">marine_components_parts</t>
        </is>
      </c>
      <c r="G399" s="0" t="inlineStr">
        <is>
          <t xml:space="preserve">336611</t>
        </is>
      </c>
      <c r="H399" s="0" t="inlineStr">
        <is>
          <t xml:space="preserve">2090</t>
        </is>
      </c>
      <c r="I399" s="0" t="inlineStr">
        <is>
          <t xml:space="preserve">20--CYLINDER,DUPLEX</t>
        </is>
      </c>
      <c r="J399" s="0" t="inlineStr">
        <is>
          <t xml:space="preserve">N0010426QYA76</t>
        </is>
      </c>
    </row>
    <row r="400">
      <c r="B400" s="0" t="inlineStr">
        <is>
          <t xml:space="preserve">3421c3884ad9407090f803664dd41773</t>
        </is>
      </c>
      <c r="C400" s="0" t="inlineStr">
        <is>
          <t xml:space="preserve">Special Notice</t>
        </is>
      </c>
      <c r="D400" s="0" t="inlineStr">
        <is>
          <t xml:space="preserve">2026-05-28</t>
        </is>
      </c>
      <c r="E400" s="0" t="inlineStr">
        <is>
          <t xml:space="preserve">Army</t>
        </is>
      </c>
      <c r="F400" s="0" t="inlineStr">
        <is>
          <t xml:space="preserve">ship_repair_maintenance</t>
        </is>
      </c>
      <c r="G400" s="0" t="inlineStr">
        <is>
          <t xml:space="preserve">336611</t>
        </is>
      </c>
      <c r="H400" s="0" t="inlineStr">
        <is>
          <t xml:space="preserve">J999</t>
        </is>
      </c>
      <c r="I400" s="0" t="inlineStr">
        <is>
          <t xml:space="preserve">FY27 Portland District Dredge Vessel MSRA</t>
        </is>
      </c>
      <c r="J400" s="0" t="inlineStr">
        <is>
          <t xml:space="preserve">W9127N26B1BS9</t>
        </is>
      </c>
    </row>
    <row r="401">
      <c r="B401" s="0" t="inlineStr">
        <is>
          <t xml:space="preserve">ddd28270d68b43f5b312ea5244fe5118</t>
        </is>
      </c>
      <c r="C401" s="0" t="inlineStr">
        <is>
          <t xml:space="preserve">Solicitation</t>
        </is>
      </c>
      <c r="D401" s="0" t="inlineStr">
        <is>
          <t xml:space="preserve">2026-01-19</t>
        </is>
      </c>
      <c r="E401" s="0" t="inlineStr">
        <is>
          <t xml:space="preserve">Navy/USMC</t>
        </is>
      </c>
      <c r="F401" s="0" t="inlineStr">
        <is>
          <t xml:space="preserve">marine_components_parts</t>
        </is>
      </c>
      <c r="G401" s="0" t="inlineStr">
        <is>
          <t xml:space="preserve">336612</t>
        </is>
      </c>
      <c r="H401" s="0" t="inlineStr">
        <is>
          <t xml:space="preserve">2040</t>
        </is>
      </c>
      <c r="I401" s="0" t="inlineStr">
        <is>
          <t xml:space="preserve">TUBE,PERISCOPE</t>
        </is>
      </c>
      <c r="J401" s="0" t="inlineStr">
        <is>
          <t xml:space="preserve">N0010426QFB48</t>
        </is>
      </c>
    </row>
    <row r="402">
      <c r="B402" s="0" t="inlineStr">
        <is>
          <t xml:space="preserve">15f7f01b894842edaf1116515773824e</t>
        </is>
      </c>
      <c r="C402" s="0" t="inlineStr">
        <is>
          <t xml:space="preserve">Solicitation</t>
        </is>
      </c>
      <c r="D402" s="0" t="inlineStr">
        <is>
          <t xml:space="preserve">2025-09-23</t>
        </is>
      </c>
      <c r="E402" s="0" t="inlineStr">
        <is>
          <t xml:space="preserve">Navy/USMC</t>
        </is>
      </c>
      <c r="F402" s="0" t="inlineStr">
        <is>
          <t xml:space="preserve">ship_repair_maintenance</t>
        </is>
      </c>
      <c r="G402" s="0" t="inlineStr">
        <is>
          <t xml:space="preserve">336611</t>
        </is>
      </c>
      <c r="H402" s="0" t="inlineStr">
        <is>
          <t xml:space="preserve">J999</t>
        </is>
      </c>
      <c r="I402" s="0" t="inlineStr">
        <is>
          <t xml:space="preserve">USS BLUE RIDGE 5C1 DSRA TYCOM 7 (YOKOSUKA, JAPAN)</t>
        </is>
      </c>
      <c r="J402" s="0" t="inlineStr">
        <is>
          <t xml:space="preserve">N6264925RA059-0008</t>
        </is>
      </c>
    </row>
    <row r="403">
      <c r="B403" s="0" t="inlineStr">
        <is>
          <t xml:space="preserve">30b281101a4b452f8c41da8bdffcea42</t>
        </is>
      </c>
      <c r="C403" s="0" t="inlineStr">
        <is>
          <t xml:space="preserve">Sources Sought</t>
        </is>
      </c>
      <c r="D403" s="0" t="inlineStr">
        <is>
          <t xml:space="preserve">2025-10-20</t>
        </is>
      </c>
      <c r="E403" s="0" t="inlineStr">
        <is>
          <t xml:space="preserve">Coast Guard</t>
        </is>
      </c>
      <c r="F403" s="0" t="inlineStr">
        <is>
          <t xml:space="preserve">ship_repair_maintenance</t>
        </is>
      </c>
      <c r="G403" s="0" t="inlineStr">
        <is>
          <t xml:space="preserve">336611</t>
        </is>
      </c>
      <c r="H403" s="0" t="inlineStr">
        <is>
          <t xml:space="preserve">J999</t>
        </is>
      </c>
      <c r="I403" s="0" t="inlineStr">
        <is>
          <t xml:space="preserve">USCGC REEF SHARK DD FY26</t>
        </is>
      </c>
      <c r="J403" s="0" t="inlineStr">
        <is>
          <t xml:space="preserve">70Z08026RSHARK</t>
        </is>
      </c>
    </row>
    <row r="404">
      <c r="B404" s="0" t="inlineStr">
        <is>
          <t xml:space="preserve">ad341a18beeb4bdfac9cc3424200fad5</t>
        </is>
      </c>
      <c r="C404" s="0" t="inlineStr">
        <is>
          <t xml:space="preserve">Presolicitation</t>
        </is>
      </c>
      <c r="D404" s="0" t="inlineStr">
        <is>
          <t xml:space="preserve">2026-03-12</t>
        </is>
      </c>
      <c r="E404" s="0" t="inlineStr">
        <is>
          <t xml:space="preserve">Navy/USMC</t>
        </is>
      </c>
      <c r="F404" s="0" t="inlineStr">
        <is>
          <t xml:space="preserve">services_rdte</t>
        </is>
      </c>
      <c r="G404" s="0" t="inlineStr">
        <is>
          <t xml:space="preserve">336611</t>
        </is>
      </c>
      <c r="H404" s="0" t="inlineStr">
        <is>
          <t xml:space="preserve">AC31</t>
        </is>
      </c>
      <c r="I404" s="0" t="inlineStr">
        <is>
          <t xml:space="preserve">Announcement for Upcoming 2027 NSRP R&amp;D Project Solicitations</t>
        </is>
      </c>
      <c r="J404" s="0" t="inlineStr">
        <is>
          <t xml:space="preserve">NSRP-RA-27_PP-27</t>
        </is>
      </c>
    </row>
    <row r="405">
      <c r="B405" s="0" t="inlineStr">
        <is>
          <t xml:space="preserve">842bc2f113cf4e7e91e2cb3514b35e60</t>
        </is>
      </c>
      <c r="C405" s="0" t="inlineStr">
        <is>
          <t xml:space="preserve">Solicitation</t>
        </is>
      </c>
      <c r="D405" s="0" t="inlineStr">
        <is>
          <t xml:space="preserve">2026-04-15</t>
        </is>
      </c>
      <c r="E405" s="0" t="inlineStr">
        <is>
          <t xml:space="preserve">Navy/USMC</t>
        </is>
      </c>
      <c r="F405" s="0" t="inlineStr">
        <is>
          <t xml:space="preserve">services_rdte</t>
        </is>
      </c>
      <c r="G405" s="0" t="inlineStr">
        <is>
          <t xml:space="preserve">336611</t>
        </is>
      </c>
      <c r="H405" s="0" t="inlineStr">
        <is>
          <t xml:space="preserve">AC31</t>
        </is>
      </c>
      <c r="I405" s="0" t="inlineStr">
        <is>
          <t xml:space="preserve">Announcement for Upcoming 2027 NSRP R&amp;D Project Solicitations</t>
        </is>
      </c>
      <c r="J405" s="0" t="inlineStr">
        <is>
          <t xml:space="preserve">NSRP-RA-27</t>
        </is>
      </c>
    </row>
    <row r="406">
      <c r="B406" s="0" t="inlineStr">
        <is>
          <t xml:space="preserve">2fa99dc981ad4d65a2a78c18023e2125</t>
        </is>
      </c>
      <c r="C406" s="0" t="inlineStr">
        <is>
          <t xml:space="preserve">Solicitation</t>
        </is>
      </c>
      <c r="D406" s="0" t="inlineStr">
        <is>
          <t xml:space="preserve">2026-05-19</t>
        </is>
      </c>
      <c r="E406" s="0" t="inlineStr">
        <is>
          <t xml:space="preserve">Navy/USMC</t>
        </is>
      </c>
      <c r="F406" s="0" t="inlineStr">
        <is>
          <t xml:space="preserve">services_rdte</t>
        </is>
      </c>
      <c r="G406" s="0" t="inlineStr">
        <is>
          <t xml:space="preserve">336611</t>
        </is>
      </c>
      <c r="H406" s="0" t="inlineStr">
        <is>
          <t xml:space="preserve">AC31</t>
        </is>
      </c>
      <c r="I406" s="0" t="inlineStr">
        <is>
          <t xml:space="preserve">Announcement for Upcoming 2027 NSRP Panel Project Solicitation</t>
        </is>
      </c>
      <c r="J406" s="0" t="inlineStr">
        <is>
          <t xml:space="preserve">NSRP-PP-27</t>
        </is>
      </c>
    </row>
    <row r="407">
      <c r="B407" s="0" t="inlineStr">
        <is>
          <t xml:space="preserve">5e019b090a3647d8856e0e845dbc5f32</t>
        </is>
      </c>
      <c r="C407" s="0" t="inlineStr">
        <is>
          <t xml:space="preserve">Solicitation</t>
        </is>
      </c>
      <c r="D407" s="0" t="inlineStr">
        <is>
          <t xml:space="preserve">2025-12-15</t>
        </is>
      </c>
      <c r="E407" s="0" t="inlineStr">
        <is>
          <t xml:space="preserve">Navy/USMC</t>
        </is>
      </c>
      <c r="F407" s="0" t="inlineStr">
        <is>
          <t xml:space="preserve">ship_repair_maintenance</t>
        </is>
      </c>
      <c r="G407" s="0" t="inlineStr">
        <is>
          <t xml:space="preserve">336611</t>
        </is>
      </c>
      <c r="H407" s="0" t="inlineStr">
        <is>
          <t xml:space="preserve">J019</t>
        </is>
      </c>
      <c r="I407" s="0" t="inlineStr">
        <is>
          <t xml:space="preserve">Bravo Dive Boat 65DS1101</t>
        </is>
      </c>
      <c r="J407" s="0" t="inlineStr">
        <is>
          <t xml:space="preserve">N4523A26Q1110</t>
        </is>
      </c>
    </row>
    <row r="408">
      <c r="B408" s="0" t="inlineStr">
        <is>
          <t xml:space="preserve">9c6cb34d691c4a36a42e2b5a736c7d52</t>
        </is>
      </c>
      <c r="C408" s="0" t="inlineStr">
        <is>
          <t xml:space="preserve">Presolicitation</t>
        </is>
      </c>
      <c r="D408" s="0" t="inlineStr">
        <is>
          <t xml:space="preserve">2025-12-03</t>
        </is>
      </c>
      <c r="E408" s="0" t="inlineStr">
        <is>
          <t xml:space="preserve">Navy/USMC</t>
        </is>
      </c>
      <c r="F408" s="0" t="inlineStr">
        <is>
          <t xml:space="preserve">ship_repair_maintenance</t>
        </is>
      </c>
      <c r="G408" s="0" t="inlineStr">
        <is>
          <t xml:space="preserve">336611</t>
        </is>
      </c>
      <c r="H408" s="0" t="inlineStr">
        <is>
          <t xml:space="preserve">J999</t>
        </is>
      </c>
      <c r="I408" s="0" t="inlineStr">
        <is>
          <t xml:space="preserve">J999 Machine Lower Bearing Staves of Rudder Service</t>
        </is>
      </c>
      <c r="J408" s="0" t="inlineStr">
        <is>
          <t xml:space="preserve">N0040626Q0019</t>
        </is>
      </c>
    </row>
    <row r="409">
      <c r="B409" s="0" t="inlineStr">
        <is>
          <t xml:space="preserve">c2c828ffaf9848a1a975736420ad55cf</t>
        </is>
      </c>
      <c r="C409" s="0" t="inlineStr">
        <is>
          <t xml:space="preserve">Solicitation</t>
        </is>
      </c>
      <c r="D409" s="0" t="inlineStr">
        <is>
          <t xml:space="preserve">2025-12-10</t>
        </is>
      </c>
      <c r="E409" s="0" t="inlineStr">
        <is>
          <t xml:space="preserve">Coast Guard</t>
        </is>
      </c>
      <c r="F409" s="0" t="inlineStr">
        <is>
          <t xml:space="preserve">other</t>
        </is>
      </c>
      <c r="G409" s="0" t="inlineStr">
        <is>
          <t xml:space="preserve">336611</t>
        </is>
      </c>
      <c r="H409" s="0" t="inlineStr">
        <is>
          <t xml:space="preserve">2990</t>
        </is>
      </c>
      <c r="I409" s="0" t="inlineStr">
        <is>
          <t xml:space="preserve">ACTUATOR,GOVERNOR</t>
        </is>
      </c>
      <c r="J409" s="0" t="inlineStr">
        <is>
          <t xml:space="preserve">70Z08526Q39002B00</t>
        </is>
      </c>
    </row>
    <row r="410">
      <c r="B410" s="0" t="inlineStr">
        <is>
          <t xml:space="preserve">786ce53900aa48ea860e2073873c398a</t>
        </is>
      </c>
      <c r="C410" s="0" t="inlineStr">
        <is>
          <t xml:space="preserve">Combined Synopsis/Solicitation</t>
        </is>
      </c>
      <c r="D410" s="0" t="inlineStr">
        <is>
          <t xml:space="preserve">2025-12-18</t>
        </is>
      </c>
      <c r="E410" s="0" t="inlineStr">
        <is>
          <t xml:space="preserve">Coast Guard</t>
        </is>
      </c>
      <c r="F410" s="0" t="inlineStr">
        <is>
          <t xml:space="preserve">ship_repair_maintenance</t>
        </is>
      </c>
      <c r="G410" s="0" t="inlineStr">
        <is>
          <t xml:space="preserve">336611</t>
        </is>
      </c>
      <c r="H410" s="0" t="inlineStr">
        <is>
          <t xml:space="preserve">J020</t>
        </is>
      </c>
      <c r="I410" s="0" t="inlineStr">
        <is>
          <t xml:space="preserve">FM 200</t>
        </is>
      </c>
      <c r="J410" s="0" t="inlineStr">
        <is>
          <t xml:space="preserve">52000PR260001597</t>
        </is>
      </c>
    </row>
    <row r="411">
      <c r="B411" s="0" t="inlineStr">
        <is>
          <t xml:space="preserve">f4f12f5e8ae1466495a068cbd366e251</t>
        </is>
      </c>
      <c r="C411" s="0" t="inlineStr">
        <is>
          <t xml:space="preserve">Presolicitation</t>
        </is>
      </c>
      <c r="D411" s="0" t="inlineStr">
        <is>
          <t xml:space="preserve">2026-04-01</t>
        </is>
      </c>
      <c r="E411" s="0" t="inlineStr">
        <is>
          <t xml:space="preserve">Navy/USMC</t>
        </is>
      </c>
      <c r="F411" s="0" t="inlineStr">
        <is>
          <t xml:space="preserve">ship_repair_maintenance</t>
        </is>
      </c>
      <c r="G411" s="0" t="inlineStr">
        <is>
          <t xml:space="preserve">336611</t>
        </is>
      </c>
      <c r="H411" s="0" t="inlineStr">
        <is>
          <t xml:space="preserve">J999</t>
        </is>
      </c>
      <c r="I411" s="0" t="inlineStr">
        <is>
          <t xml:space="preserve">USS SHOUP (DDG 86) SRA 7C1, Bundle 1</t>
        </is>
      </c>
      <c r="J411" s="0" t="inlineStr">
        <is>
          <t xml:space="preserve">N6264927RA001PS</t>
        </is>
      </c>
    </row>
    <row r="412">
      <c r="B412" s="0" t="inlineStr">
        <is>
          <t xml:space="preserve">a3f3bb4848924b4d8ec3363d0a1102d5</t>
        </is>
      </c>
      <c r="C412" s="0" t="inlineStr">
        <is>
          <t xml:space="preserve">Combined Synopsis/Solicitation</t>
        </is>
      </c>
      <c r="D412" s="0" t="inlineStr">
        <is>
          <t xml:space="preserve">2026-06-12</t>
        </is>
      </c>
      <c r="E412" s="0" t="inlineStr">
        <is>
          <t xml:space="preserve">Navy/USMC</t>
        </is>
      </c>
      <c r="F412" s="0" t="inlineStr">
        <is>
          <t xml:space="preserve">vessel_procurement</t>
        </is>
      </c>
      <c r="G412" s="0" t="inlineStr">
        <is>
          <t xml:space="preserve">335311</t>
        </is>
      </c>
      <c r="H412" s="0" t="inlineStr">
        <is>
          <t xml:space="preserve">1905</t>
        </is>
      </c>
      <c r="I412" s="0" t="inlineStr">
        <is>
          <t xml:space="preserve">RESEARCH AND DEVELOPMENT OF NAVAL POWER AND ENERGY SYSTEMS (N00024-19-R-4145 Broad Agency Announcement (BAA))</t>
        </is>
      </c>
      <c r="J412" s="0" t="inlineStr">
        <is>
          <t xml:space="preserve">N00024-19-R4145</t>
        </is>
      </c>
    </row>
    <row r="413">
      <c r="B413" s="0" t="inlineStr">
        <is>
          <t xml:space="preserve">a6d5238e80fd4b8a9d2964fe943c118d</t>
        </is>
      </c>
      <c r="C413" s="0" t="inlineStr">
        <is>
          <t xml:space="preserve">Special Notice</t>
        </is>
      </c>
      <c r="D413" s="0" t="inlineStr">
        <is>
          <t xml:space="preserve">2025-09-06</t>
        </is>
      </c>
      <c r="E413" s="0" t="inlineStr">
        <is>
          <t xml:space="preserve">Other DoD</t>
        </is>
      </c>
      <c r="F413" s="0" t="inlineStr">
        <is>
          <t xml:space="preserve">other</t>
        </is>
      </c>
      <c r="G413" s="0" t="inlineStr">
        <is>
          <t xml:space="preserve">336611</t>
        </is>
      </c>
      <c r="H413" s="0" t="inlineStr">
        <is>
          <t xml:space="preserve">5410</t>
        </is>
      </c>
      <c r="I413" s="0" t="inlineStr">
        <is>
          <t xml:space="preserve">Notice of Intent to Sole Source - Secure Brow System Mid-Brow Doors</t>
        </is>
      </c>
      <c r="J413" s="0" t="inlineStr">
        <is>
          <t xml:space="preserve">HDTRA125RE062</t>
        </is>
      </c>
    </row>
    <row r="414">
      <c r="B414" s="0" t="inlineStr">
        <is>
          <t xml:space="preserve">e3ecaf893ac1411c807f4928975bde39</t>
        </is>
      </c>
      <c r="C414" s="0" t="inlineStr">
        <is>
          <t xml:space="preserve">Presolicitation</t>
        </is>
      </c>
      <c r="D414" s="0" t="inlineStr">
        <is>
          <t xml:space="preserve">2025-12-11</t>
        </is>
      </c>
      <c r="E414" s="0" t="inlineStr">
        <is>
          <t xml:space="preserve">Navy/USMC</t>
        </is>
      </c>
      <c r="F414" s="0" t="inlineStr">
        <is>
          <t xml:space="preserve">ship_repair_maintenance</t>
        </is>
      </c>
      <c r="G414" s="0" t="inlineStr">
        <is>
          <t xml:space="preserve">336611</t>
        </is>
      </c>
      <c r="H414" s="0" t="inlineStr">
        <is>
          <t xml:space="preserve">J999</t>
        </is>
      </c>
      <c r="I414" s="0" t="inlineStr">
        <is>
          <t xml:space="preserve">USNS HENRY J. KAISER FY 27 ROH/DD</t>
        </is>
      </c>
      <c r="J414" s="0" t="inlineStr">
        <is>
          <t xml:space="preserve">N3220526R6024</t>
        </is>
      </c>
    </row>
    <row r="415">
      <c r="B415" s="0" t="inlineStr">
        <is>
          <t xml:space="preserve">3dca75b8652843a2bbb6fc9539462020</t>
        </is>
      </c>
      <c r="C415" s="0" t="inlineStr">
        <is>
          <t xml:space="preserve">Presolicitation</t>
        </is>
      </c>
      <c r="D415" s="0" t="inlineStr">
        <is>
          <t xml:space="preserve">2026-03-12</t>
        </is>
      </c>
      <c r="E415" s="0" t="inlineStr">
        <is>
          <t xml:space="preserve">Navy/USMC</t>
        </is>
      </c>
      <c r="F415" s="0" t="inlineStr">
        <is>
          <t xml:space="preserve">ship_repair_maintenance</t>
        </is>
      </c>
      <c r="G415" s="0" t="inlineStr">
        <is>
          <t xml:space="preserve">336611</t>
        </is>
      </c>
      <c r="H415" s="0" t="inlineStr">
        <is>
          <t xml:space="preserve">J998</t>
        </is>
      </c>
      <c r="I415" s="0" t="inlineStr">
        <is>
          <t xml:space="preserve">USNS LARAMIE (T-AO 203) MTA</t>
        </is>
      </c>
      <c r="J415" s="0" t="inlineStr">
        <is>
          <t xml:space="preserve">N3220526R6058</t>
        </is>
      </c>
    </row>
    <row r="416">
      <c r="B416" s="0" t="inlineStr">
        <is>
          <t xml:space="preserve">eae81149664e4a3d9d765e22f1b220b4</t>
        </is>
      </c>
      <c r="C416" s="0" t="inlineStr">
        <is>
          <t xml:space="preserve">Special Notice</t>
        </is>
      </c>
      <c r="D416" s="0" t="inlineStr">
        <is>
          <t xml:space="preserve">2026-03-23</t>
        </is>
      </c>
      <c r="E416" s="0" t="inlineStr">
        <is>
          <t xml:space="preserve">Navy/USMC</t>
        </is>
      </c>
      <c r="F416" s="0" t="inlineStr">
        <is>
          <t xml:space="preserve">ship_repair_maintenance</t>
        </is>
      </c>
      <c r="G416" s="0" t="inlineStr">
        <is>
          <t xml:space="preserve">336611</t>
        </is>
      </c>
      <c r="I416" s="0" t="inlineStr">
        <is>
          <t xml:space="preserve">Notice of Revised Estimated Award Schedule for CNO Availability Contracts (WTA, SAN, TRX)</t>
        </is>
      </c>
      <c r="J416" s="0" t="inlineStr">
        <is>
          <t xml:space="preserve">N00024-26-SN-4401</t>
        </is>
      </c>
    </row>
    <row r="417">
      <c r="B417" s="0" t="inlineStr">
        <is>
          <t xml:space="preserve">c47833c8110e45ae814a1b8a06c78311</t>
        </is>
      </c>
      <c r="C417" s="0" t="inlineStr">
        <is>
          <t xml:space="preserve">Presolicitation</t>
        </is>
      </c>
      <c r="D417" s="0" t="inlineStr">
        <is>
          <t xml:space="preserve">2026-04-07</t>
        </is>
      </c>
      <c r="E417" s="0" t="inlineStr">
        <is>
          <t xml:space="preserve">Navy/USMC</t>
        </is>
      </c>
      <c r="F417" s="0" t="inlineStr">
        <is>
          <t xml:space="preserve">ship_repair_maintenance</t>
        </is>
      </c>
      <c r="G417" s="0" t="inlineStr">
        <is>
          <t xml:space="preserve">336611</t>
        </is>
      </c>
      <c r="H417" s="0" t="inlineStr">
        <is>
          <t xml:space="preserve">J998</t>
        </is>
      </c>
      <c r="I417" s="0" t="inlineStr">
        <is>
          <t xml:space="preserve">USNS LEROY GRUMMAN FY27 ROH/DD Pre-Solicitation Notice</t>
        </is>
      </c>
      <c r="J417" s="0" t="inlineStr">
        <is>
          <t xml:space="preserve">N3220526R0027</t>
        </is>
      </c>
    </row>
    <row r="418">
      <c r="B418" s="0" t="inlineStr">
        <is>
          <t xml:space="preserve">d7ef2bd7c7314f54826b4552392896fb</t>
        </is>
      </c>
      <c r="C418" s="0" t="inlineStr">
        <is>
          <t xml:space="preserve">Presolicitation</t>
        </is>
      </c>
      <c r="D418" s="0" t="inlineStr">
        <is>
          <t xml:space="preserve">2026-04-14</t>
        </is>
      </c>
      <c r="E418" s="0" t="inlineStr">
        <is>
          <t xml:space="preserve">Navy/USMC</t>
        </is>
      </c>
      <c r="F418" s="0" t="inlineStr">
        <is>
          <t xml:space="preserve">ship_repair_maintenance</t>
        </is>
      </c>
      <c r="G418" s="0" t="inlineStr">
        <is>
          <t xml:space="preserve">336611</t>
        </is>
      </c>
      <c r="H418" s="0" t="inlineStr">
        <is>
          <t xml:space="preserve">J998</t>
        </is>
      </c>
      <c r="I418" s="0" t="inlineStr">
        <is>
          <t xml:space="preserve">USNS OSCAR V. PETERSON FY 27 Mid-Term Availability</t>
        </is>
      </c>
      <c r="J418" s="0" t="inlineStr">
        <is>
          <t xml:space="preserve">N3220526R6078</t>
        </is>
      </c>
    </row>
    <row r="419">
      <c r="B419" s="0" t="inlineStr">
        <is>
          <t xml:space="preserve">43bb74eb3d9748a0967cc99903cb061a</t>
        </is>
      </c>
      <c r="C419" s="0" t="inlineStr">
        <is>
          <t xml:space="preserve">Presolicitation</t>
        </is>
      </c>
      <c r="D419" s="0" t="inlineStr">
        <is>
          <t xml:space="preserve">2026-05-28</t>
        </is>
      </c>
      <c r="E419" s="0" t="inlineStr">
        <is>
          <t xml:space="preserve">Navy/USMC</t>
        </is>
      </c>
      <c r="F419" s="0" t="inlineStr">
        <is>
          <t xml:space="preserve">ship_repair_maintenance</t>
        </is>
      </c>
      <c r="G419" s="0" t="inlineStr">
        <is>
          <t xml:space="preserve">336611</t>
        </is>
      </c>
      <c r="H419" s="0" t="inlineStr">
        <is>
          <t xml:space="preserve">1905</t>
        </is>
      </c>
      <c r="I419" s="0" t="inlineStr">
        <is>
          <t xml:space="preserve">Submarine Rescue Operations Maintenance Contractor (SROMC)</t>
        </is>
      </c>
      <c r="J419" s="0" t="inlineStr">
        <is>
          <t xml:space="preserve">N0002427R4302</t>
        </is>
      </c>
    </row>
    <row r="420">
      <c r="B420" s="0" t="inlineStr">
        <is>
          <t xml:space="preserve">feda1fa6eeb445379c04bf9529af5946</t>
        </is>
      </c>
      <c r="C420" s="0" t="inlineStr">
        <is>
          <t xml:space="preserve">Presolicitation</t>
        </is>
      </c>
      <c r="D420" s="0" t="inlineStr">
        <is>
          <t xml:space="preserve">2026-05-31</t>
        </is>
      </c>
      <c r="E420" s="0" t="inlineStr">
        <is>
          <t xml:space="preserve">Navy/USMC</t>
        </is>
      </c>
      <c r="F420" s="0" t="inlineStr">
        <is>
          <t xml:space="preserve">ship_repair_maintenance</t>
        </is>
      </c>
      <c r="G420" s="0" t="inlineStr">
        <is>
          <t xml:space="preserve">336611</t>
        </is>
      </c>
      <c r="H420" s="0" t="inlineStr">
        <is>
          <t xml:space="preserve">J999</t>
        </is>
      </c>
      <c r="I420" s="0" t="inlineStr">
        <is>
          <t xml:space="preserve">LPD-18 DECK INSIDE COAMING FOR ASW DUPLEX STRAINER; PRESERVE DECK INSIDE COAMING FOR LPAC NO.2; PRESERVE/</t>
        </is>
      </c>
      <c r="J420" s="0" t="inlineStr">
        <is>
          <t xml:space="preserve">N6264926Q0336</t>
        </is>
      </c>
    </row>
    <row r="421">
      <c r="B421" s="0" t="inlineStr">
        <is>
          <t xml:space="preserve">e0602392291c49d8a88e51871b031849</t>
        </is>
      </c>
      <c r="C421" s="0" t="inlineStr">
        <is>
          <t xml:space="preserve">Presolicitation</t>
        </is>
      </c>
      <c r="D421" s="0" t="inlineStr">
        <is>
          <t xml:space="preserve">2026-05-31</t>
        </is>
      </c>
      <c r="E421" s="0" t="inlineStr">
        <is>
          <t xml:space="preserve">Navy/USMC</t>
        </is>
      </c>
      <c r="F421" s="0" t="inlineStr">
        <is>
          <t xml:space="preserve">ship_repair_maintenance</t>
        </is>
      </c>
      <c r="G421" s="0" t="inlineStr">
        <is>
          <t xml:space="preserve">336611</t>
        </is>
      </c>
      <c r="H421" s="0" t="inlineStr">
        <is>
          <t xml:space="preserve">J999</t>
        </is>
      </c>
      <c r="I421" s="0" t="inlineStr">
        <is>
          <t xml:space="preserve">LPD-18 VENTILATION DUCT FOR SS-31 AND ES-92; REPLACE</t>
        </is>
      </c>
      <c r="J421" s="0" t="inlineStr">
        <is>
          <t xml:space="preserve">N6264926Q0335</t>
        </is>
      </c>
    </row>
    <row r="422">
      <c r="B422" s="0" t="inlineStr">
        <is>
          <t xml:space="preserve">909774fd1af9459191014bc345658842</t>
        </is>
      </c>
      <c r="C422" s="0" t="inlineStr">
        <is>
          <t xml:space="preserve">Presolicitation</t>
        </is>
      </c>
      <c r="D422" s="0" t="inlineStr">
        <is>
          <t xml:space="preserve">2026-05-31</t>
        </is>
      </c>
      <c r="E422" s="0" t="inlineStr">
        <is>
          <t xml:space="preserve">Navy/USMC</t>
        </is>
      </c>
      <c r="F422" s="0" t="inlineStr">
        <is>
          <t xml:space="preserve">ship_repair_maintenance</t>
        </is>
      </c>
      <c r="G422" s="0" t="inlineStr">
        <is>
          <t xml:space="preserve">336611</t>
        </is>
      </c>
      <c r="H422" s="0" t="inlineStr">
        <is>
          <t xml:space="preserve">J999</t>
        </is>
      </c>
      <c r="I422" s="0" t="inlineStr">
        <is>
          <t xml:space="preserve">LPD-18 VENTILATION FAN MOTOR ASSEMBLY (TPSS-3, TPSS 03-58-1); REPAIR</t>
        </is>
      </c>
      <c r="J422" s="0" t="inlineStr">
        <is>
          <t xml:space="preserve">N6264926Q0334</t>
        </is>
      </c>
    </row>
    <row r="423">
      <c r="B423" s="0" t="inlineStr">
        <is>
          <t xml:space="preserve">621cfa4b82cb4d99926dfae0becf6b4a</t>
        </is>
      </c>
      <c r="C423" s="0" t="inlineStr">
        <is>
          <t xml:space="preserve">Special Notice</t>
        </is>
      </c>
      <c r="D423" s="0" t="inlineStr">
        <is>
          <t xml:space="preserve">2026-06-08</t>
        </is>
      </c>
      <c r="E423" s="0" t="inlineStr">
        <is>
          <t xml:space="preserve">Navy/USMC</t>
        </is>
      </c>
      <c r="F423" s="0" t="inlineStr">
        <is>
          <t xml:space="preserve">ship_repair_maintenance</t>
        </is>
      </c>
      <c r="G423" s="0" t="inlineStr">
        <is>
          <t xml:space="preserve">336611</t>
        </is>
      </c>
      <c r="H423" s="0" t="inlineStr">
        <is>
          <t xml:space="preserve">1905</t>
        </is>
      </c>
      <c r="I423" s="0" t="inlineStr">
        <is>
          <t xml:space="preserve">Submarine Rescue Operations Maintenance Contractor (SROMC)</t>
        </is>
      </c>
      <c r="J423" s="0" t="inlineStr">
        <is>
          <t xml:space="preserve">N0002427R4302</t>
        </is>
      </c>
    </row>
    <row r="424">
      <c r="B424" s="0" t="inlineStr">
        <is>
          <t xml:space="preserve">b6dba884249a4479ba6361bf39b77d30</t>
        </is>
      </c>
      <c r="C424" s="0" t="inlineStr">
        <is>
          <t xml:space="preserve">Presolicitation</t>
        </is>
      </c>
      <c r="D424" s="0" t="inlineStr">
        <is>
          <t xml:space="preserve">2026-06-09</t>
        </is>
      </c>
      <c r="E424" s="0" t="inlineStr">
        <is>
          <t xml:space="preserve">Navy/USMC</t>
        </is>
      </c>
      <c r="F424" s="0" t="inlineStr">
        <is>
          <t xml:space="preserve">ship_repair_maintenance</t>
        </is>
      </c>
      <c r="G424" s="0" t="inlineStr">
        <is>
          <t xml:space="preserve">336611</t>
        </is>
      </c>
      <c r="H424" s="0" t="inlineStr">
        <is>
          <t xml:space="preserve">J998</t>
        </is>
      </c>
      <c r="I424" s="0" t="inlineStr">
        <is>
          <t xml:space="preserve">USNS PATUXENT (T-AO 201) FY27 Mid-Term Availability</t>
        </is>
      </c>
      <c r="J424" s="0" t="inlineStr">
        <is>
          <t xml:space="preserve">N3220526R6002</t>
        </is>
      </c>
    </row>
    <row r="425">
      <c r="B425" s="0" t="inlineStr">
        <is>
          <t xml:space="preserve">8af150443c5d4741b01678822c5ca9a4</t>
        </is>
      </c>
      <c r="C425" s="0" t="inlineStr">
        <is>
          <t xml:space="preserve">Presolicitation</t>
        </is>
      </c>
      <c r="D425" s="0" t="inlineStr">
        <is>
          <t xml:space="preserve">2026-06-12</t>
        </is>
      </c>
      <c r="E425" s="0" t="inlineStr">
        <is>
          <t xml:space="preserve">Navy/USMC</t>
        </is>
      </c>
      <c r="F425" s="0" t="inlineStr">
        <is>
          <t xml:space="preserve">ship_repair_maintenance</t>
        </is>
      </c>
      <c r="G425" s="0" t="inlineStr">
        <is>
          <t xml:space="preserve">336611</t>
        </is>
      </c>
      <c r="H425" s="0" t="inlineStr">
        <is>
          <t xml:space="preserve">J998</t>
        </is>
      </c>
      <c r="I425" s="0" t="inlineStr">
        <is>
          <t xml:space="preserve">USNS CODY Mid-Term Availability</t>
        </is>
      </c>
      <c r="J425" s="0" t="inlineStr">
        <is>
          <t xml:space="preserve">N3220526R6104</t>
        </is>
      </c>
    </row>
    <row r="426">
      <c r="B426" s="0" t="inlineStr">
        <is>
          <t xml:space="preserve">5a7134f5bd274a28b790508a3ab8526a</t>
        </is>
      </c>
      <c r="C426" s="0" t="inlineStr">
        <is>
          <t xml:space="preserve">Award Notice</t>
        </is>
      </c>
      <c r="D426" s="0" t="inlineStr">
        <is>
          <t xml:space="preserve">2026-06-09</t>
        </is>
      </c>
      <c r="E426" s="0" t="inlineStr">
        <is>
          <t xml:space="preserve">Civil/Other</t>
        </is>
      </c>
      <c r="F426" s="0" t="inlineStr">
        <is>
          <t xml:space="preserve">other</t>
        </is>
      </c>
      <c r="G426" s="0" t="inlineStr">
        <is>
          <t xml:space="preserve">336612</t>
        </is>
      </c>
      <c r="H426" s="0" t="inlineStr">
        <is>
          <t xml:space="preserve">99</t>
        </is>
      </c>
      <c r="I426" s="0" t="inlineStr">
        <is>
          <t xml:space="preserve">Multiple Award Schedule</t>
        </is>
      </c>
      <c r="J426" s="0" t="inlineStr">
        <is>
          <t xml:space="preserve">47QSMD20R0001</t>
        </is>
      </c>
    </row>
    <row r="427">
      <c r="B427" s="0" t="inlineStr">
        <is>
          <t xml:space="preserve">384350f72da54675bb43854f520aadac</t>
        </is>
      </c>
      <c r="C427" s="0" t="inlineStr">
        <is>
          <t xml:space="preserve">Award Notice</t>
        </is>
      </c>
      <c r="D427" s="0" t="inlineStr">
        <is>
          <t xml:space="preserve">2025-09-04</t>
        </is>
      </c>
      <c r="E427" s="0" t="inlineStr">
        <is>
          <t xml:space="preserve">Navy/USMC</t>
        </is>
      </c>
      <c r="F427" s="0" t="inlineStr">
        <is>
          <t xml:space="preserve">ship_repair_maintenance</t>
        </is>
      </c>
      <c r="G427" s="0" t="inlineStr">
        <is>
          <t xml:space="preserve">336611</t>
        </is>
      </c>
      <c r="H427" s="0" t="inlineStr">
        <is>
          <t xml:space="preserve">J998</t>
        </is>
      </c>
      <c r="I427" s="0" t="inlineStr">
        <is>
          <t xml:space="preserve">USNS ROBERT E. SIMANEK, PSA</t>
        </is>
      </c>
      <c r="J427" s="0" t="inlineStr">
        <is>
          <t xml:space="preserve">N3220525R4083</t>
        </is>
      </c>
    </row>
    <row r="428">
      <c r="B428" s="0" t="inlineStr">
        <is>
          <t xml:space="preserve">2831d243dd6d4152a34f5baa0f751539</t>
        </is>
      </c>
      <c r="C428" s="0" t="inlineStr">
        <is>
          <t xml:space="preserve">Award Notice</t>
        </is>
      </c>
      <c r="D428" s="0" t="inlineStr">
        <is>
          <t xml:space="preserve">2025-09-04</t>
        </is>
      </c>
      <c r="E428" s="0" t="inlineStr">
        <is>
          <t xml:space="preserve">Navy/USMC</t>
        </is>
      </c>
      <c r="F428" s="0" t="inlineStr">
        <is>
          <t xml:space="preserve">ship_repair_maintenance</t>
        </is>
      </c>
      <c r="G428" s="0" t="inlineStr">
        <is>
          <t xml:space="preserve">336611</t>
        </is>
      </c>
      <c r="H428" s="0" t="inlineStr">
        <is>
          <t xml:space="preserve">J998</t>
        </is>
      </c>
      <c r="I428" s="0" t="inlineStr">
        <is>
          <t xml:space="preserve">USNS ROBERT E. SIMANEK, PSA</t>
        </is>
      </c>
      <c r="J428" s="0" t="inlineStr">
        <is>
          <t xml:space="preserve">N3220525R4083</t>
        </is>
      </c>
    </row>
    <row r="429">
      <c r="B429" s="0" t="inlineStr">
        <is>
          <t xml:space="preserve">1ce3626ae11c4a04b464ac00676480de</t>
        </is>
      </c>
      <c r="C429" s="0" t="inlineStr">
        <is>
          <t xml:space="preserve">Award Notice</t>
        </is>
      </c>
      <c r="D429" s="0" t="inlineStr">
        <is>
          <t xml:space="preserve">2025-09-12</t>
        </is>
      </c>
      <c r="E429" s="0" t="inlineStr">
        <is>
          <t xml:space="preserve">Navy/USMC</t>
        </is>
      </c>
      <c r="F429" s="0" t="inlineStr">
        <is>
          <t xml:space="preserve">ship_repair_maintenance</t>
        </is>
      </c>
      <c r="G429" s="0" t="inlineStr">
        <is>
          <t xml:space="preserve">336611</t>
        </is>
      </c>
      <c r="H429" s="0" t="inlineStr">
        <is>
          <t xml:space="preserve">J999</t>
        </is>
      </c>
      <c r="I429" s="0" t="inlineStr">
        <is>
          <t xml:space="preserve">USNS MATTHEW PERRY (T-AKE 9) lay berth and ship repair</t>
        </is>
      </c>
      <c r="J429" s="0" t="inlineStr">
        <is>
          <t xml:space="preserve">N3220525C4039</t>
        </is>
      </c>
    </row>
    <row r="430">
      <c r="B430" s="0" t="inlineStr">
        <is>
          <t xml:space="preserve">23c3424a8f0846cdae65788417aaa552</t>
        </is>
      </c>
      <c r="C430" s="0" t="inlineStr">
        <is>
          <t xml:space="preserve">Award Notice</t>
        </is>
      </c>
      <c r="D430" s="0" t="inlineStr">
        <is>
          <t xml:space="preserve">2025-10-30</t>
        </is>
      </c>
      <c r="E430" s="0" t="inlineStr">
        <is>
          <t xml:space="preserve">Navy/USMC</t>
        </is>
      </c>
      <c r="F430" s="0" t="inlineStr">
        <is>
          <t xml:space="preserve">other</t>
        </is>
      </c>
      <c r="G430" s="0" t="inlineStr">
        <is>
          <t xml:space="preserve">336611</t>
        </is>
      </c>
      <c r="H430" s="0" t="inlineStr">
        <is>
          <t xml:space="preserve">2830</t>
        </is>
      </c>
      <c r="I430" s="0" t="inlineStr">
        <is>
          <t xml:space="preserve">N3904025C0008 - SSTG Field Service Labor</t>
        </is>
      </c>
      <c r="J430" s="0" t="inlineStr">
        <is>
          <t xml:space="preserve">N3904025C0008</t>
        </is>
      </c>
    </row>
    <row r="431">
      <c r="B431" s="0" t="inlineStr">
        <is>
          <t xml:space="preserve">c6b983e9f0fc41c095a296a87c805a3f</t>
        </is>
      </c>
      <c r="C431" s="0" t="inlineStr">
        <is>
          <t xml:space="preserve">Award Notice</t>
        </is>
      </c>
      <c r="D431" s="0" t="inlineStr">
        <is>
          <t xml:space="preserve">2025-12-19</t>
        </is>
      </c>
      <c r="E431" s="0" t="inlineStr">
        <is>
          <t xml:space="preserve">Navy/USMC</t>
        </is>
      </c>
      <c r="F431" s="0" t="inlineStr">
        <is>
          <t xml:space="preserve">ship_repair_maintenance</t>
        </is>
      </c>
      <c r="G431" s="0" t="inlineStr">
        <is>
          <t xml:space="preserve">336611</t>
        </is>
      </c>
      <c r="H431" s="0" t="inlineStr">
        <is>
          <t xml:space="preserve">J999</t>
        </is>
      </c>
      <c r="I431" s="0" t="inlineStr">
        <is>
          <t xml:space="preserve">USS KANSAS CITY (LCS 22) FY26 Docking Selected Restricted Availability (DSRA)</t>
        </is>
      </c>
      <c r="J431" s="0" t="inlineStr">
        <is>
          <t xml:space="preserve">N0002426C4408</t>
        </is>
      </c>
    </row>
    <row r="432">
      <c r="B432" s="0" t="inlineStr">
        <is>
          <t xml:space="preserve">17a1ef724f354af6a7d676fa2c7243c4</t>
        </is>
      </c>
      <c r="C432" s="0" t="inlineStr">
        <is>
          <t xml:space="preserve">Award Notice</t>
        </is>
      </c>
      <c r="D432" s="0" t="inlineStr">
        <is>
          <t xml:space="preserve">2025-12-19</t>
        </is>
      </c>
      <c r="E432" s="0" t="inlineStr">
        <is>
          <t xml:space="preserve">Navy/USMC</t>
        </is>
      </c>
      <c r="F432" s="0" t="inlineStr">
        <is>
          <t xml:space="preserve">ship_repair_maintenance</t>
        </is>
      </c>
      <c r="G432" s="0" t="inlineStr">
        <is>
          <t xml:space="preserve">336611</t>
        </is>
      </c>
      <c r="H432" s="0" t="inlineStr">
        <is>
          <t xml:space="preserve">J999</t>
        </is>
      </c>
      <c r="I432" s="0" t="inlineStr">
        <is>
          <t xml:space="preserve">USS STOCKDALE (DDG 106) FY26 Docking Selected Restricted Availability (DSRA)</t>
        </is>
      </c>
      <c r="J432" s="0" t="inlineStr">
        <is>
          <t xml:space="preserve">N0002426C4409</t>
        </is>
      </c>
    </row>
    <row r="433">
      <c r="B433" s="0" t="inlineStr">
        <is>
          <t xml:space="preserve">0f1a82c921534e4d8b6b0b5682c965c2</t>
        </is>
      </c>
      <c r="C433" s="0" t="inlineStr">
        <is>
          <t xml:space="preserve">Award Notice</t>
        </is>
      </c>
      <c r="D433" s="0" t="inlineStr">
        <is>
          <t xml:space="preserve">2026-01-05</t>
        </is>
      </c>
      <c r="E433" s="0" t="inlineStr">
        <is>
          <t xml:space="preserve">Navy/USMC</t>
        </is>
      </c>
      <c r="F433" s="0" t="inlineStr">
        <is>
          <t xml:space="preserve">ship_repair_maintenance</t>
        </is>
      </c>
      <c r="G433" s="0" t="inlineStr">
        <is>
          <t xml:space="preserve">336611</t>
        </is>
      </c>
      <c r="H433" s="0" t="inlineStr">
        <is>
          <t xml:space="preserve">J998</t>
        </is>
      </c>
      <c r="I433" s="0" t="inlineStr">
        <is>
          <t xml:space="preserve">FY26 USNS JOHN ERICSSON DEACTIVATION</t>
        </is>
      </c>
      <c r="J433" s="0" t="inlineStr">
        <is>
          <t xml:space="preserve">N3220525R6014</t>
        </is>
      </c>
    </row>
    <row r="434">
      <c r="B434" s="0" t="inlineStr">
        <is>
          <t xml:space="preserve">59f255dec59a41ff9d754d044835f141</t>
        </is>
      </c>
      <c r="C434" s="0" t="inlineStr">
        <is>
          <t xml:space="preserve">Award Notice</t>
        </is>
      </c>
      <c r="D434" s="0" t="inlineStr">
        <is>
          <t xml:space="preserve">2026-01-23</t>
        </is>
      </c>
      <c r="E434" s="0" t="inlineStr">
        <is>
          <t xml:space="preserve">Navy/USMC</t>
        </is>
      </c>
      <c r="F434" s="0" t="inlineStr">
        <is>
          <t xml:space="preserve">ship_repair_maintenance</t>
        </is>
      </c>
      <c r="G434" s="0" t="inlineStr">
        <is>
          <t xml:space="preserve">336611</t>
        </is>
      </c>
      <c r="H434" s="0" t="inlineStr">
        <is>
          <t xml:space="preserve">J998</t>
        </is>
      </c>
      <c r="I434" s="0" t="inlineStr">
        <is>
          <t xml:space="preserve">USNS LEROY GRUMMAN (T-AO 195) FY26 MTA</t>
        </is>
      </c>
      <c r="J434" s="0" t="inlineStr">
        <is>
          <t xml:space="preserve">N3220526C0005</t>
        </is>
      </c>
    </row>
    <row r="435">
      <c r="B435" s="0" t="inlineStr">
        <is>
          <t xml:space="preserve">f7958519a64348b0a60dfd46c7ce10da</t>
        </is>
      </c>
      <c r="C435" s="0" t="inlineStr">
        <is>
          <t xml:space="preserve">Award Notice</t>
        </is>
      </c>
      <c r="D435" s="0" t="inlineStr">
        <is>
          <t xml:space="preserve">2026-01-29</t>
        </is>
      </c>
      <c r="E435" s="0" t="inlineStr">
        <is>
          <t xml:space="preserve">Army</t>
        </is>
      </c>
      <c r="F435" s="0" t="inlineStr">
        <is>
          <t xml:space="preserve">ship_repair_maintenance</t>
        </is>
      </c>
      <c r="G435" s="0" t="inlineStr">
        <is>
          <t xml:space="preserve">336611</t>
        </is>
      </c>
      <c r="H435" s="0" t="inlineStr">
        <is>
          <t xml:space="preserve">J019</t>
        </is>
      </c>
      <c r="I435" s="0" t="inlineStr">
        <is>
          <t xml:space="preserve">Army Watercraft Sustainment Maintenance (AWSM) Program Zone 2 OCONUS (AWARD NOTICE)</t>
        </is>
      </c>
      <c r="J435" s="0" t="inlineStr">
        <is>
          <t xml:space="preserve">W912CH25RA006</t>
        </is>
      </c>
    </row>
    <row r="436">
      <c r="B436" s="0" t="inlineStr">
        <is>
          <t xml:space="preserve">d8fdc103a2b445aa92b157d0986d9a90</t>
        </is>
      </c>
      <c r="C436" s="0" t="inlineStr">
        <is>
          <t xml:space="preserve">Award Notice</t>
        </is>
      </c>
      <c r="D436" s="0" t="inlineStr">
        <is>
          <t xml:space="preserve">2026-01-29</t>
        </is>
      </c>
      <c r="E436" s="0" t="inlineStr">
        <is>
          <t xml:space="preserve">Army</t>
        </is>
      </c>
      <c r="F436" s="0" t="inlineStr">
        <is>
          <t xml:space="preserve">ship_repair_maintenance</t>
        </is>
      </c>
      <c r="G436" s="0" t="inlineStr">
        <is>
          <t xml:space="preserve">336611</t>
        </is>
      </c>
      <c r="H436" s="0" t="inlineStr">
        <is>
          <t xml:space="preserve">J019</t>
        </is>
      </c>
      <c r="I436" s="0" t="inlineStr">
        <is>
          <t xml:space="preserve">Army Watercraft Sustainment Maintenance (AWSM) Program Zone 1 CONUS (AWARD NOTICE)</t>
        </is>
      </c>
      <c r="J436" s="0" t="inlineStr">
        <is>
          <t xml:space="preserve">W912CH25RA005</t>
        </is>
      </c>
    </row>
    <row r="437">
      <c r="B437" s="0" t="inlineStr">
        <is>
          <t xml:space="preserve">d3c5db9a1a304da3a6d3ea3ce9882c82</t>
        </is>
      </c>
      <c r="C437" s="0" t="inlineStr">
        <is>
          <t xml:space="preserve">Award Notice</t>
        </is>
      </c>
      <c r="D437" s="0" t="inlineStr">
        <is>
          <t xml:space="preserve">2026-01-29</t>
        </is>
      </c>
      <c r="E437" s="0" t="inlineStr">
        <is>
          <t xml:space="preserve">Army</t>
        </is>
      </c>
      <c r="F437" s="0" t="inlineStr">
        <is>
          <t xml:space="preserve">ship_repair_maintenance</t>
        </is>
      </c>
      <c r="G437" s="0" t="inlineStr">
        <is>
          <t xml:space="preserve">336611</t>
        </is>
      </c>
      <c r="H437" s="0" t="inlineStr">
        <is>
          <t xml:space="preserve">J019</t>
        </is>
      </c>
      <c r="I437" s="0" t="inlineStr">
        <is>
          <t xml:space="preserve">Army Watercraft Sustainment Maintenance (AWSM) Program Zone 1 CONUS (AWARD NOTICE)</t>
        </is>
      </c>
      <c r="J437" s="0" t="inlineStr">
        <is>
          <t xml:space="preserve">W912CH25RA005</t>
        </is>
      </c>
    </row>
    <row r="438">
      <c r="B438" s="0" t="inlineStr">
        <is>
          <t xml:space="preserve">cf7026c34fee4cf8ac1b426aa1c6ca67</t>
        </is>
      </c>
      <c r="C438" s="0" t="inlineStr">
        <is>
          <t xml:space="preserve">Award Notice</t>
        </is>
      </c>
      <c r="D438" s="0" t="inlineStr">
        <is>
          <t xml:space="preserve">2026-01-29</t>
        </is>
      </c>
      <c r="E438" s="0" t="inlineStr">
        <is>
          <t xml:space="preserve">Army</t>
        </is>
      </c>
      <c r="F438" s="0" t="inlineStr">
        <is>
          <t xml:space="preserve">ship_repair_maintenance</t>
        </is>
      </c>
      <c r="G438" s="0" t="inlineStr">
        <is>
          <t xml:space="preserve">336611</t>
        </is>
      </c>
      <c r="H438" s="0" t="inlineStr">
        <is>
          <t xml:space="preserve">J019</t>
        </is>
      </c>
      <c r="I438" s="0" t="inlineStr">
        <is>
          <t xml:space="preserve">Army Watercraft Sustainment Maintenance (AWSM) Program Zone 2 OCONUS (AWARD NOTICE)</t>
        </is>
      </c>
      <c r="J438" s="0" t="inlineStr">
        <is>
          <t xml:space="preserve">W912CH25RA006</t>
        </is>
      </c>
    </row>
    <row r="439">
      <c r="B439" s="0" t="inlineStr">
        <is>
          <t xml:space="preserve">ca87448a78254afaab2153c2469bf8ee</t>
        </is>
      </c>
      <c r="C439" s="0" t="inlineStr">
        <is>
          <t xml:space="preserve">Award Notice</t>
        </is>
      </c>
      <c r="D439" s="0" t="inlineStr">
        <is>
          <t xml:space="preserve">2026-01-29</t>
        </is>
      </c>
      <c r="E439" s="0" t="inlineStr">
        <is>
          <t xml:space="preserve">Army</t>
        </is>
      </c>
      <c r="F439" s="0" t="inlineStr">
        <is>
          <t xml:space="preserve">ship_repair_maintenance</t>
        </is>
      </c>
      <c r="G439" s="0" t="inlineStr">
        <is>
          <t xml:space="preserve">336611</t>
        </is>
      </c>
      <c r="H439" s="0" t="inlineStr">
        <is>
          <t xml:space="preserve">J019</t>
        </is>
      </c>
      <c r="I439" s="0" t="inlineStr">
        <is>
          <t xml:space="preserve">Army Watercraft Sustainment Maintenance (AWSM) Program Zone 2 OCONUS (AWARD NOTICE)</t>
        </is>
      </c>
      <c r="J439" s="0" t="inlineStr">
        <is>
          <t xml:space="preserve">W912CH25RA006</t>
        </is>
      </c>
    </row>
    <row r="440">
      <c r="B440" s="0" t="inlineStr">
        <is>
          <t xml:space="preserve">c825b3cf07b84fb2a4d7a485d9b84e27</t>
        </is>
      </c>
      <c r="C440" s="0" t="inlineStr">
        <is>
          <t xml:space="preserve">Award Notice</t>
        </is>
      </c>
      <c r="D440" s="0" t="inlineStr">
        <is>
          <t xml:space="preserve">2026-01-29</t>
        </is>
      </c>
      <c r="E440" s="0" t="inlineStr">
        <is>
          <t xml:space="preserve">Army</t>
        </is>
      </c>
      <c r="F440" s="0" t="inlineStr">
        <is>
          <t xml:space="preserve">ship_repair_maintenance</t>
        </is>
      </c>
      <c r="G440" s="0" t="inlineStr">
        <is>
          <t xml:space="preserve">336611</t>
        </is>
      </c>
      <c r="H440" s="0" t="inlineStr">
        <is>
          <t xml:space="preserve">J019</t>
        </is>
      </c>
      <c r="I440" s="0" t="inlineStr">
        <is>
          <t xml:space="preserve">Army Watercraft Sustainment Maintenance (AWSM) Program Zone 1 CONUS (AWARD NOTICE)</t>
        </is>
      </c>
      <c r="J440" s="0" t="inlineStr">
        <is>
          <t xml:space="preserve">W912CH25RA005</t>
        </is>
      </c>
    </row>
    <row r="441">
      <c r="B441" s="0" t="inlineStr">
        <is>
          <t xml:space="preserve">c2d623b557a046b3b73ca3ce51e1fd02</t>
        </is>
      </c>
      <c r="C441" s="0" t="inlineStr">
        <is>
          <t xml:space="preserve">Award Notice</t>
        </is>
      </c>
      <c r="D441" s="0" t="inlineStr">
        <is>
          <t xml:space="preserve">2026-01-29</t>
        </is>
      </c>
      <c r="E441" s="0" t="inlineStr">
        <is>
          <t xml:space="preserve">Army</t>
        </is>
      </c>
      <c r="F441" s="0" t="inlineStr">
        <is>
          <t xml:space="preserve">ship_repair_maintenance</t>
        </is>
      </c>
      <c r="G441" s="0" t="inlineStr">
        <is>
          <t xml:space="preserve">336611</t>
        </is>
      </c>
      <c r="H441" s="0" t="inlineStr">
        <is>
          <t xml:space="preserve">J019</t>
        </is>
      </c>
      <c r="I441" s="0" t="inlineStr">
        <is>
          <t xml:space="preserve">Army Watercraft Sustainment Maintenance (AWSM) Program Zone 1 CONUS (AWARD NOTICE)</t>
        </is>
      </c>
      <c r="J441" s="0" t="inlineStr">
        <is>
          <t xml:space="preserve">W912CH25RA005</t>
        </is>
      </c>
    </row>
    <row r="442">
      <c r="B442" s="0" t="inlineStr">
        <is>
          <t xml:space="preserve">b9b7e8309faa470895c1169a4c0c1935</t>
        </is>
      </c>
      <c r="C442" s="0" t="inlineStr">
        <is>
          <t xml:space="preserve">Award Notice</t>
        </is>
      </c>
      <c r="D442" s="0" t="inlineStr">
        <is>
          <t xml:space="preserve">2026-01-29</t>
        </is>
      </c>
      <c r="E442" s="0" t="inlineStr">
        <is>
          <t xml:space="preserve">Army</t>
        </is>
      </c>
      <c r="F442" s="0" t="inlineStr">
        <is>
          <t xml:space="preserve">ship_repair_maintenance</t>
        </is>
      </c>
      <c r="G442" s="0" t="inlineStr">
        <is>
          <t xml:space="preserve">336611</t>
        </is>
      </c>
      <c r="H442" s="0" t="inlineStr">
        <is>
          <t xml:space="preserve">J019</t>
        </is>
      </c>
      <c r="I442" s="0" t="inlineStr">
        <is>
          <t xml:space="preserve">Army Watercraft Sustainment Maintenance (AWSM) Program Zone 1 CONUS (AWARD NOTICE)</t>
        </is>
      </c>
      <c r="J442" s="0" t="inlineStr">
        <is>
          <t xml:space="preserve">W912CH25RA005</t>
        </is>
      </c>
    </row>
    <row r="443">
      <c r="B443" s="0" t="inlineStr">
        <is>
          <t xml:space="preserve">afbbd14bfcdf42988cb59e237b44f0b5</t>
        </is>
      </c>
      <c r="C443" s="0" t="inlineStr">
        <is>
          <t xml:space="preserve">Award Notice</t>
        </is>
      </c>
      <c r="D443" s="0" t="inlineStr">
        <is>
          <t xml:space="preserve">2026-01-29</t>
        </is>
      </c>
      <c r="E443" s="0" t="inlineStr">
        <is>
          <t xml:space="preserve">Army</t>
        </is>
      </c>
      <c r="F443" s="0" t="inlineStr">
        <is>
          <t xml:space="preserve">ship_repair_maintenance</t>
        </is>
      </c>
      <c r="G443" s="0" t="inlineStr">
        <is>
          <t xml:space="preserve">336611</t>
        </is>
      </c>
      <c r="H443" s="0" t="inlineStr">
        <is>
          <t xml:space="preserve">J019</t>
        </is>
      </c>
      <c r="I443" s="0" t="inlineStr">
        <is>
          <t xml:space="preserve">Army Watercraft Sustainment Maintenance (AWSM) Program Zone 2 OCONUS (AWARD NOTICE)</t>
        </is>
      </c>
      <c r="J443" s="0" t="inlineStr">
        <is>
          <t xml:space="preserve">W912CH25RA006</t>
        </is>
      </c>
    </row>
    <row r="444">
      <c r="B444" s="0" t="inlineStr">
        <is>
          <t xml:space="preserve">9dbfc32e3e4242bfa5a24c50675ca353</t>
        </is>
      </c>
      <c r="C444" s="0" t="inlineStr">
        <is>
          <t xml:space="preserve">Award Notice</t>
        </is>
      </c>
      <c r="D444" s="0" t="inlineStr">
        <is>
          <t xml:space="preserve">2026-01-29</t>
        </is>
      </c>
      <c r="E444" s="0" t="inlineStr">
        <is>
          <t xml:space="preserve">Army</t>
        </is>
      </c>
      <c r="F444" s="0" t="inlineStr">
        <is>
          <t xml:space="preserve">ship_repair_maintenance</t>
        </is>
      </c>
      <c r="G444" s="0" t="inlineStr">
        <is>
          <t xml:space="preserve">336611</t>
        </is>
      </c>
      <c r="H444" s="0" t="inlineStr">
        <is>
          <t xml:space="preserve">J019</t>
        </is>
      </c>
      <c r="I444" s="0" t="inlineStr">
        <is>
          <t xml:space="preserve">Army Watercraft Sustainment Maintenance (AWSM) Program Zone 2 OCONUS (AWARD NOTICE)</t>
        </is>
      </c>
      <c r="J444" s="0" t="inlineStr">
        <is>
          <t xml:space="preserve">W912CH25RA006</t>
        </is>
      </c>
    </row>
    <row r="445">
      <c r="B445" s="0" t="inlineStr">
        <is>
          <t xml:space="preserve">99987da7c53c41a6bb0570a0a6aba40d</t>
        </is>
      </c>
      <c r="C445" s="0" t="inlineStr">
        <is>
          <t xml:space="preserve">Award Notice</t>
        </is>
      </c>
      <c r="D445" s="0" t="inlineStr">
        <is>
          <t xml:space="preserve">2026-01-29</t>
        </is>
      </c>
      <c r="E445" s="0" t="inlineStr">
        <is>
          <t xml:space="preserve">Army</t>
        </is>
      </c>
      <c r="F445" s="0" t="inlineStr">
        <is>
          <t xml:space="preserve">ship_repair_maintenance</t>
        </is>
      </c>
      <c r="G445" s="0" t="inlineStr">
        <is>
          <t xml:space="preserve">336611</t>
        </is>
      </c>
      <c r="H445" s="0" t="inlineStr">
        <is>
          <t xml:space="preserve">J019</t>
        </is>
      </c>
      <c r="I445" s="0" t="inlineStr">
        <is>
          <t xml:space="preserve">Army Watercraft Sustainment Maintenance (AWSM) Program Zone 2 OCONUS (AWARD NOTICE)</t>
        </is>
      </c>
      <c r="J445" s="0" t="inlineStr">
        <is>
          <t xml:space="preserve">W912CH25RA006</t>
        </is>
      </c>
    </row>
    <row r="446">
      <c r="B446" s="0" t="inlineStr">
        <is>
          <t xml:space="preserve">8646d56406704458923962a1cfcfe45b</t>
        </is>
      </c>
      <c r="C446" s="0" t="inlineStr">
        <is>
          <t xml:space="preserve">Award Notice</t>
        </is>
      </c>
      <c r="D446" s="0" t="inlineStr">
        <is>
          <t xml:space="preserve">2026-01-29</t>
        </is>
      </c>
      <c r="E446" s="0" t="inlineStr">
        <is>
          <t xml:space="preserve">Army</t>
        </is>
      </c>
      <c r="F446" s="0" t="inlineStr">
        <is>
          <t xml:space="preserve">ship_repair_maintenance</t>
        </is>
      </c>
      <c r="G446" s="0" t="inlineStr">
        <is>
          <t xml:space="preserve">336611</t>
        </is>
      </c>
      <c r="H446" s="0" t="inlineStr">
        <is>
          <t xml:space="preserve">J019</t>
        </is>
      </c>
      <c r="I446" s="0" t="inlineStr">
        <is>
          <t xml:space="preserve">Army Watercraft Sustainment Maintenance (AWSM) Program Zone 2 OCONUS (AWARD NOTICE)</t>
        </is>
      </c>
      <c r="J446" s="0" t="inlineStr">
        <is>
          <t xml:space="preserve">W912CH25RA006</t>
        </is>
      </c>
    </row>
    <row r="447">
      <c r="B447" s="0" t="inlineStr">
        <is>
          <t xml:space="preserve">8196781e8ac6486ab9cd3f34a4a1fa19</t>
        </is>
      </c>
      <c r="C447" s="0" t="inlineStr">
        <is>
          <t xml:space="preserve">Award Notice</t>
        </is>
      </c>
      <c r="D447" s="0" t="inlineStr">
        <is>
          <t xml:space="preserve">2026-01-29</t>
        </is>
      </c>
      <c r="E447" s="0" t="inlineStr">
        <is>
          <t xml:space="preserve">Army</t>
        </is>
      </c>
      <c r="F447" s="0" t="inlineStr">
        <is>
          <t xml:space="preserve">ship_repair_maintenance</t>
        </is>
      </c>
      <c r="G447" s="0" t="inlineStr">
        <is>
          <t xml:space="preserve">336611</t>
        </is>
      </c>
      <c r="H447" s="0" t="inlineStr">
        <is>
          <t xml:space="preserve">J019</t>
        </is>
      </c>
      <c r="I447" s="0" t="inlineStr">
        <is>
          <t xml:space="preserve">Army Watercraft Sustainment Maintenance (AWSM) Program Zone 2 OCONUS (AWARD NOTICE)</t>
        </is>
      </c>
      <c r="J447" s="0" t="inlineStr">
        <is>
          <t xml:space="preserve">W912CH25RA006</t>
        </is>
      </c>
    </row>
    <row r="448">
      <c r="B448" s="0" t="inlineStr">
        <is>
          <t xml:space="preserve">776a430d1c6947169eaff96a765f9ba1</t>
        </is>
      </c>
      <c r="C448" s="0" t="inlineStr">
        <is>
          <t xml:space="preserve">Award Notice</t>
        </is>
      </c>
      <c r="D448" s="0" t="inlineStr">
        <is>
          <t xml:space="preserve">2026-01-29</t>
        </is>
      </c>
      <c r="E448" s="0" t="inlineStr">
        <is>
          <t xml:space="preserve">Army</t>
        </is>
      </c>
      <c r="F448" s="0" t="inlineStr">
        <is>
          <t xml:space="preserve">ship_repair_maintenance</t>
        </is>
      </c>
      <c r="G448" s="0" t="inlineStr">
        <is>
          <t xml:space="preserve">336611</t>
        </is>
      </c>
      <c r="H448" s="0" t="inlineStr">
        <is>
          <t xml:space="preserve">J019</t>
        </is>
      </c>
      <c r="I448" s="0" t="inlineStr">
        <is>
          <t xml:space="preserve">Army Watercraft Sustainment Maintenance (AWSM) Program Zone 2 OCONUS (AWARD NOTICE)</t>
        </is>
      </c>
      <c r="J448" s="0" t="inlineStr">
        <is>
          <t xml:space="preserve">W912CH25RA006</t>
        </is>
      </c>
    </row>
    <row r="449">
      <c r="B449" s="0" t="inlineStr">
        <is>
          <t xml:space="preserve">6d0ad21a19b44122acf87cb91b772a58</t>
        </is>
      </c>
      <c r="C449" s="0" t="inlineStr">
        <is>
          <t xml:space="preserve">Award Notice</t>
        </is>
      </c>
      <c r="D449" s="0" t="inlineStr">
        <is>
          <t xml:space="preserve">2026-01-29</t>
        </is>
      </c>
      <c r="E449" s="0" t="inlineStr">
        <is>
          <t xml:space="preserve">Army</t>
        </is>
      </c>
      <c r="F449" s="0" t="inlineStr">
        <is>
          <t xml:space="preserve">ship_repair_maintenance</t>
        </is>
      </c>
      <c r="G449" s="0" t="inlineStr">
        <is>
          <t xml:space="preserve">336611</t>
        </is>
      </c>
      <c r="H449" s="0" t="inlineStr">
        <is>
          <t xml:space="preserve">J019</t>
        </is>
      </c>
      <c r="I449" s="0" t="inlineStr">
        <is>
          <t xml:space="preserve">Army Watercraft Sustainment Maintenance (AWSM) Program Zone 2 OCONUS (AWARD NOTICE)</t>
        </is>
      </c>
      <c r="J449" s="0" t="inlineStr">
        <is>
          <t xml:space="preserve">W912CH25RA006</t>
        </is>
      </c>
    </row>
    <row r="450">
      <c r="B450" s="0" t="inlineStr">
        <is>
          <t xml:space="preserve">649bdc61f7ca40d981b3086e98f29d8e</t>
        </is>
      </c>
      <c r="C450" s="0" t="inlineStr">
        <is>
          <t xml:space="preserve">Award Notice</t>
        </is>
      </c>
      <c r="D450" s="0" t="inlineStr">
        <is>
          <t xml:space="preserve">2026-01-29</t>
        </is>
      </c>
      <c r="E450" s="0" t="inlineStr">
        <is>
          <t xml:space="preserve">Army</t>
        </is>
      </c>
      <c r="F450" s="0" t="inlineStr">
        <is>
          <t xml:space="preserve">ship_repair_maintenance</t>
        </is>
      </c>
      <c r="G450" s="0" t="inlineStr">
        <is>
          <t xml:space="preserve">336611</t>
        </is>
      </c>
      <c r="H450" s="0" t="inlineStr">
        <is>
          <t xml:space="preserve">J019</t>
        </is>
      </c>
      <c r="I450" s="0" t="inlineStr">
        <is>
          <t xml:space="preserve">Army Watercraft Sustainment Maintenance (AWSM) Program Zone 1 CONUS (AWARD NOTICE)</t>
        </is>
      </c>
      <c r="J450" s="0" t="inlineStr">
        <is>
          <t xml:space="preserve">W912CH25RA005</t>
        </is>
      </c>
    </row>
    <row r="451">
      <c r="B451" s="0" t="inlineStr">
        <is>
          <t xml:space="preserve">5d0e26f900244392b81ca2deb832b493</t>
        </is>
      </c>
      <c r="C451" s="0" t="inlineStr">
        <is>
          <t xml:space="preserve">Award Notice</t>
        </is>
      </c>
      <c r="D451" s="0" t="inlineStr">
        <is>
          <t xml:space="preserve">2026-01-29</t>
        </is>
      </c>
      <c r="E451" s="0" t="inlineStr">
        <is>
          <t xml:space="preserve">Army</t>
        </is>
      </c>
      <c r="F451" s="0" t="inlineStr">
        <is>
          <t xml:space="preserve">ship_repair_maintenance</t>
        </is>
      </c>
      <c r="G451" s="0" t="inlineStr">
        <is>
          <t xml:space="preserve">336611</t>
        </is>
      </c>
      <c r="H451" s="0" t="inlineStr">
        <is>
          <t xml:space="preserve">J019</t>
        </is>
      </c>
      <c r="I451" s="0" t="inlineStr">
        <is>
          <t xml:space="preserve">Army Watercraft Sustainment Maintenance (AWSM) Program Zone 1 CONUS (AWARD NOTICE)</t>
        </is>
      </c>
      <c r="J451" s="0" t="inlineStr">
        <is>
          <t xml:space="preserve">W912CH25RA005</t>
        </is>
      </c>
    </row>
    <row r="452">
      <c r="B452" s="0" t="inlineStr">
        <is>
          <t xml:space="preserve">4475961cac5b4a8ca31a349a2ee019f2</t>
        </is>
      </c>
      <c r="C452" s="0" t="inlineStr">
        <is>
          <t xml:space="preserve">Award Notice</t>
        </is>
      </c>
      <c r="D452" s="0" t="inlineStr">
        <is>
          <t xml:space="preserve">2026-01-29</t>
        </is>
      </c>
      <c r="E452" s="0" t="inlineStr">
        <is>
          <t xml:space="preserve">Army</t>
        </is>
      </c>
      <c r="F452" s="0" t="inlineStr">
        <is>
          <t xml:space="preserve">ship_repair_maintenance</t>
        </is>
      </c>
      <c r="G452" s="0" t="inlineStr">
        <is>
          <t xml:space="preserve">336611</t>
        </is>
      </c>
      <c r="H452" s="0" t="inlineStr">
        <is>
          <t xml:space="preserve">J019</t>
        </is>
      </c>
      <c r="I452" s="0" t="inlineStr">
        <is>
          <t xml:space="preserve">Army Watercraft Sustainment Maintenance (AWSM) Program Zone 2 OCONUS (AWARD NOTICE)</t>
        </is>
      </c>
      <c r="J452" s="0" t="inlineStr">
        <is>
          <t xml:space="preserve">W912CH25RA006</t>
        </is>
      </c>
    </row>
    <row r="453">
      <c r="B453" s="0" t="inlineStr">
        <is>
          <t xml:space="preserve">358da22969764b93942149a2a81b4ac4</t>
        </is>
      </c>
      <c r="C453" s="0" t="inlineStr">
        <is>
          <t xml:space="preserve">Award Notice</t>
        </is>
      </c>
      <c r="D453" s="0" t="inlineStr">
        <is>
          <t xml:space="preserve">2026-01-29</t>
        </is>
      </c>
      <c r="E453" s="0" t="inlineStr">
        <is>
          <t xml:space="preserve">Army</t>
        </is>
      </c>
      <c r="F453" s="0" t="inlineStr">
        <is>
          <t xml:space="preserve">ship_repair_maintenance</t>
        </is>
      </c>
      <c r="G453" s="0" t="inlineStr">
        <is>
          <t xml:space="preserve">336611</t>
        </is>
      </c>
      <c r="H453" s="0" t="inlineStr">
        <is>
          <t xml:space="preserve">J019</t>
        </is>
      </c>
      <c r="I453" s="0" t="inlineStr">
        <is>
          <t xml:space="preserve">Army Watercraft Sustainment Maintenance (AWSM) Program Zone 1 CONUS (AWARD NOTICE)</t>
        </is>
      </c>
      <c r="J453" s="0" t="inlineStr">
        <is>
          <t xml:space="preserve">W912CH25RA005</t>
        </is>
      </c>
    </row>
    <row r="454">
      <c r="B454" s="0" t="inlineStr">
        <is>
          <t xml:space="preserve">29a7a81a14aa47f4b400f77022dd49a3</t>
        </is>
      </c>
      <c r="C454" s="0" t="inlineStr">
        <is>
          <t xml:space="preserve">Award Notice</t>
        </is>
      </c>
      <c r="D454" s="0" t="inlineStr">
        <is>
          <t xml:space="preserve">2026-01-29</t>
        </is>
      </c>
      <c r="E454" s="0" t="inlineStr">
        <is>
          <t xml:space="preserve">Army</t>
        </is>
      </c>
      <c r="F454" s="0" t="inlineStr">
        <is>
          <t xml:space="preserve">ship_repair_maintenance</t>
        </is>
      </c>
      <c r="G454" s="0" t="inlineStr">
        <is>
          <t xml:space="preserve">336611</t>
        </is>
      </c>
      <c r="H454" s="0" t="inlineStr">
        <is>
          <t xml:space="preserve">J019</t>
        </is>
      </c>
      <c r="I454" s="0" t="inlineStr">
        <is>
          <t xml:space="preserve">Army Watercraft Sustainment Maintenance (AWSM) Program Zone 2 OCONUS (AWARD NOTICE)</t>
        </is>
      </c>
      <c r="J454" s="0" t="inlineStr">
        <is>
          <t xml:space="preserve">W912CH25RA006</t>
        </is>
      </c>
    </row>
    <row r="455">
      <c r="B455" s="0" t="inlineStr">
        <is>
          <t xml:space="preserve">1fb05a3a926047f3aceb66e7ceaa2fe9</t>
        </is>
      </c>
      <c r="C455" s="0" t="inlineStr">
        <is>
          <t xml:space="preserve">Award Notice</t>
        </is>
      </c>
      <c r="D455" s="0" t="inlineStr">
        <is>
          <t xml:space="preserve">2026-01-29</t>
        </is>
      </c>
      <c r="E455" s="0" t="inlineStr">
        <is>
          <t xml:space="preserve">Army</t>
        </is>
      </c>
      <c r="F455" s="0" t="inlineStr">
        <is>
          <t xml:space="preserve">ship_repair_maintenance</t>
        </is>
      </c>
      <c r="G455" s="0" t="inlineStr">
        <is>
          <t xml:space="preserve">336611</t>
        </is>
      </c>
      <c r="H455" s="0" t="inlineStr">
        <is>
          <t xml:space="preserve">J019</t>
        </is>
      </c>
      <c r="I455" s="0" t="inlineStr">
        <is>
          <t xml:space="preserve">Army Watercraft Sustainment Maintenance (AWSM) Program Zone 1 CONUS (AWARD NOTICE)</t>
        </is>
      </c>
      <c r="J455" s="0" t="inlineStr">
        <is>
          <t xml:space="preserve">W912CH25RA005</t>
        </is>
      </c>
    </row>
    <row r="456">
      <c r="B456" s="0" t="inlineStr">
        <is>
          <t xml:space="preserve">194cbb611fac42ce8b3e974167b3d153</t>
        </is>
      </c>
      <c r="C456" s="0" t="inlineStr">
        <is>
          <t xml:space="preserve">Award Notice</t>
        </is>
      </c>
      <c r="D456" s="0" t="inlineStr">
        <is>
          <t xml:space="preserve">2026-01-29</t>
        </is>
      </c>
      <c r="E456" s="0" t="inlineStr">
        <is>
          <t xml:space="preserve">Army</t>
        </is>
      </c>
      <c r="F456" s="0" t="inlineStr">
        <is>
          <t xml:space="preserve">ship_repair_maintenance</t>
        </is>
      </c>
      <c r="G456" s="0" t="inlineStr">
        <is>
          <t xml:space="preserve">336611</t>
        </is>
      </c>
      <c r="H456" s="0" t="inlineStr">
        <is>
          <t xml:space="preserve">J019</t>
        </is>
      </c>
      <c r="I456" s="0" t="inlineStr">
        <is>
          <t xml:space="preserve">Army Watercraft Sustainment Maintenance (AWSM) Program Zone 2 OCONUS (AWARD NOTICE)</t>
        </is>
      </c>
      <c r="J456" s="0" t="inlineStr">
        <is>
          <t xml:space="preserve">W912CH25RA006</t>
        </is>
      </c>
    </row>
    <row r="457">
      <c r="B457" s="0" t="inlineStr">
        <is>
          <t xml:space="preserve">14fa4d2d94cd4a758c460c913e70b26c</t>
        </is>
      </c>
      <c r="C457" s="0" t="inlineStr">
        <is>
          <t xml:space="preserve">Award Notice</t>
        </is>
      </c>
      <c r="D457" s="0" t="inlineStr">
        <is>
          <t xml:space="preserve">2026-01-29</t>
        </is>
      </c>
      <c r="E457" s="0" t="inlineStr">
        <is>
          <t xml:space="preserve">Army</t>
        </is>
      </c>
      <c r="F457" s="0" t="inlineStr">
        <is>
          <t xml:space="preserve">ship_repair_maintenance</t>
        </is>
      </c>
      <c r="G457" s="0" t="inlineStr">
        <is>
          <t xml:space="preserve">336611</t>
        </is>
      </c>
      <c r="H457" s="0" t="inlineStr">
        <is>
          <t xml:space="preserve">J019</t>
        </is>
      </c>
      <c r="I457" s="0" t="inlineStr">
        <is>
          <t xml:space="preserve">Army Watercraft Sustainment Maintenance (AWSM) Program Zone 2 OCONUS (AWARD NOTICE)</t>
        </is>
      </c>
      <c r="J457" s="0" t="inlineStr">
        <is>
          <t xml:space="preserve">W912CH25RA006</t>
        </is>
      </c>
    </row>
    <row r="458">
      <c r="B458" s="0" t="inlineStr">
        <is>
          <t xml:space="preserve">1223639446c146639f6186447da6ea7f</t>
        </is>
      </c>
      <c r="C458" s="0" t="inlineStr">
        <is>
          <t xml:space="preserve">Award Notice</t>
        </is>
      </c>
      <c r="D458" s="0" t="inlineStr">
        <is>
          <t xml:space="preserve">2026-01-29</t>
        </is>
      </c>
      <c r="E458" s="0" t="inlineStr">
        <is>
          <t xml:space="preserve">Army</t>
        </is>
      </c>
      <c r="F458" s="0" t="inlineStr">
        <is>
          <t xml:space="preserve">ship_repair_maintenance</t>
        </is>
      </c>
      <c r="G458" s="0" t="inlineStr">
        <is>
          <t xml:space="preserve">336611</t>
        </is>
      </c>
      <c r="H458" s="0" t="inlineStr">
        <is>
          <t xml:space="preserve">J019</t>
        </is>
      </c>
      <c r="I458" s="0" t="inlineStr">
        <is>
          <t xml:space="preserve">Army Watercraft Sustainment Maintenance (AWSM) Program Zone 1 CONUS (AWARD NOTICE)</t>
        </is>
      </c>
      <c r="J458" s="0" t="inlineStr">
        <is>
          <t xml:space="preserve">W912CH25RA005</t>
        </is>
      </c>
    </row>
    <row r="459">
      <c r="B459" s="0" t="inlineStr">
        <is>
          <t xml:space="preserve">05c99b2554ed4f52b0fd445e117e4b5b</t>
        </is>
      </c>
      <c r="C459" s="0" t="inlineStr">
        <is>
          <t xml:space="preserve">Award Notice</t>
        </is>
      </c>
      <c r="D459" s="0" t="inlineStr">
        <is>
          <t xml:space="preserve">2026-01-29</t>
        </is>
      </c>
      <c r="E459" s="0" t="inlineStr">
        <is>
          <t xml:space="preserve">Army</t>
        </is>
      </c>
      <c r="F459" s="0" t="inlineStr">
        <is>
          <t xml:space="preserve">ship_repair_maintenance</t>
        </is>
      </c>
      <c r="G459" s="0" t="inlineStr">
        <is>
          <t xml:space="preserve">336611</t>
        </is>
      </c>
      <c r="H459" s="0" t="inlineStr">
        <is>
          <t xml:space="preserve">J019</t>
        </is>
      </c>
      <c r="I459" s="0" t="inlineStr">
        <is>
          <t xml:space="preserve">Army Watercraft Sustainment Maintenance (AWSM) Program Zone 1 CONUS (AWARD NOTICE)</t>
        </is>
      </c>
      <c r="J459" s="0" t="inlineStr">
        <is>
          <t xml:space="preserve">W912CH25RA005</t>
        </is>
      </c>
    </row>
    <row r="460">
      <c r="B460" s="0" t="inlineStr">
        <is>
          <t xml:space="preserve">04e2507dead94c8fb41ee3a023a1d4f0</t>
        </is>
      </c>
      <c r="C460" s="0" t="inlineStr">
        <is>
          <t xml:space="preserve">Award Notice</t>
        </is>
      </c>
      <c r="D460" s="0" t="inlineStr">
        <is>
          <t xml:space="preserve">2026-01-29</t>
        </is>
      </c>
      <c r="E460" s="0" t="inlineStr">
        <is>
          <t xml:space="preserve">Army</t>
        </is>
      </c>
      <c r="F460" s="0" t="inlineStr">
        <is>
          <t xml:space="preserve">ship_repair_maintenance</t>
        </is>
      </c>
      <c r="G460" s="0" t="inlineStr">
        <is>
          <t xml:space="preserve">336611</t>
        </is>
      </c>
      <c r="H460" s="0" t="inlineStr">
        <is>
          <t xml:space="preserve">J019</t>
        </is>
      </c>
      <c r="I460" s="0" t="inlineStr">
        <is>
          <t xml:space="preserve">Army Watercraft Sustainment Maintenance (AWSM) Program Zone 1 CONUS (AWARD NOTICE)</t>
        </is>
      </c>
      <c r="J460" s="0" t="inlineStr">
        <is>
          <t xml:space="preserve">W912CH25RA005</t>
        </is>
      </c>
    </row>
    <row r="461">
      <c r="B461" s="0" t="inlineStr">
        <is>
          <t xml:space="preserve">00c9cb138df64ec0a7640a3812ae832f</t>
        </is>
      </c>
      <c r="C461" s="0" t="inlineStr">
        <is>
          <t xml:space="preserve">Award Notice</t>
        </is>
      </c>
      <c r="D461" s="0" t="inlineStr">
        <is>
          <t xml:space="preserve">2026-01-29</t>
        </is>
      </c>
      <c r="E461" s="0" t="inlineStr">
        <is>
          <t xml:space="preserve">Army</t>
        </is>
      </c>
      <c r="F461" s="0" t="inlineStr">
        <is>
          <t xml:space="preserve">ship_repair_maintenance</t>
        </is>
      </c>
      <c r="G461" s="0" t="inlineStr">
        <is>
          <t xml:space="preserve">336611</t>
        </is>
      </c>
      <c r="H461" s="0" t="inlineStr">
        <is>
          <t xml:space="preserve">J019</t>
        </is>
      </c>
      <c r="I461" s="0" t="inlineStr">
        <is>
          <t xml:space="preserve">Army Watercraft Sustainment Maintenance (AWSM) Program Zone 1 CONUS (AWARD NOTICE)</t>
        </is>
      </c>
      <c r="J461" s="0" t="inlineStr">
        <is>
          <t xml:space="preserve">W912CH25RA005</t>
        </is>
      </c>
    </row>
    <row r="462">
      <c r="B462" s="0" t="inlineStr">
        <is>
          <t xml:space="preserve">5b634d68f1a94adb9fa60ae5911e0f21</t>
        </is>
      </c>
      <c r="C462" s="0" t="inlineStr">
        <is>
          <t xml:space="preserve">Award Notice</t>
        </is>
      </c>
      <c r="D462" s="0" t="inlineStr">
        <is>
          <t xml:space="preserve">2026-01-30</t>
        </is>
      </c>
      <c r="E462" s="0" t="inlineStr">
        <is>
          <t xml:space="preserve">Army</t>
        </is>
      </c>
      <c r="F462" s="0" t="inlineStr">
        <is>
          <t xml:space="preserve">ship_repair_maintenance</t>
        </is>
      </c>
      <c r="G462" s="0" t="inlineStr">
        <is>
          <t xml:space="preserve">336611</t>
        </is>
      </c>
      <c r="H462" s="0" t="inlineStr">
        <is>
          <t xml:space="preserve">J019</t>
        </is>
      </c>
      <c r="I462" s="0" t="inlineStr">
        <is>
          <t xml:space="preserve">Army Watercraft Sustainment Maintenance (AWSM) Program Zone 1 CONUS (AWARD NOTICE)</t>
        </is>
      </c>
      <c r="J462" s="0" t="inlineStr">
        <is>
          <t xml:space="preserve">W912CH25RA005</t>
        </is>
      </c>
    </row>
    <row r="463">
      <c r="B463" s="0" t="inlineStr">
        <is>
          <t xml:space="preserve">ba7a1e4d863442868cdad1c1518a7a5b</t>
        </is>
      </c>
      <c r="C463" s="0" t="inlineStr">
        <is>
          <t xml:space="preserve">Justification</t>
        </is>
      </c>
      <c r="D463" s="0" t="inlineStr">
        <is>
          <t xml:space="preserve">2026-02-17</t>
        </is>
      </c>
      <c r="E463" s="0" t="inlineStr">
        <is>
          <t xml:space="preserve">Navy/USMC</t>
        </is>
      </c>
      <c r="F463" s="0" t="inlineStr">
        <is>
          <t xml:space="preserve">ship_repair_maintenance</t>
        </is>
      </c>
      <c r="G463" s="0" t="inlineStr">
        <is>
          <t xml:space="preserve">336611</t>
        </is>
      </c>
      <c r="H463" s="0" t="inlineStr">
        <is>
          <t xml:space="preserve">J999</t>
        </is>
      </c>
      <c r="I463" s="0" t="inlineStr">
        <is>
          <t xml:space="preserve">GUADALUPE JA Ship Repair N10425C2148</t>
        </is>
      </c>
      <c r="J463" s="0" t="inlineStr">
        <is>
          <t xml:space="preserve">N10425C2148</t>
        </is>
      </c>
    </row>
    <row r="464">
      <c r="B464" s="0" t="inlineStr">
        <is>
          <t xml:space="preserve">36d06f28b33d45a9b5b1429fbd82557b</t>
        </is>
      </c>
      <c r="C464" s="0" t="inlineStr">
        <is>
          <t xml:space="preserve">Justification</t>
        </is>
      </c>
      <c r="D464" s="0" t="inlineStr">
        <is>
          <t xml:space="preserve">2026-02-23</t>
        </is>
      </c>
      <c r="E464" s="0" t="inlineStr">
        <is>
          <t xml:space="preserve">Navy/USMC</t>
        </is>
      </c>
      <c r="F464" s="0" t="inlineStr">
        <is>
          <t xml:space="preserve">ship_repair_maintenance</t>
        </is>
      </c>
      <c r="G464" s="0" t="inlineStr">
        <is>
          <t xml:space="preserve">336611</t>
        </is>
      </c>
      <c r="H464" s="0" t="inlineStr">
        <is>
          <t xml:space="preserve">J999</t>
        </is>
      </c>
      <c r="I464" s="0" t="inlineStr">
        <is>
          <t xml:space="preserve">Ship repair services for USS HIGGINS</t>
        </is>
      </c>
      <c r="J464" s="0" t="inlineStr">
        <is>
          <t xml:space="preserve">SING-022-26</t>
        </is>
      </c>
    </row>
    <row r="465">
      <c r="B465" s="0" t="inlineStr">
        <is>
          <t xml:space="preserve">f10b434a927349ee9d234d28c14862a9</t>
        </is>
      </c>
      <c r="C465" s="0" t="inlineStr">
        <is>
          <t xml:space="preserve">Award Notice</t>
        </is>
      </c>
      <c r="D465" s="0" t="inlineStr">
        <is>
          <t xml:space="preserve">2026-03-02</t>
        </is>
      </c>
      <c r="E465" s="0" t="inlineStr">
        <is>
          <t xml:space="preserve">Army</t>
        </is>
      </c>
      <c r="F465" s="0" t="inlineStr">
        <is>
          <t xml:space="preserve">marine_components_parts</t>
        </is>
      </c>
      <c r="G465" s="0" t="inlineStr">
        <is>
          <t xml:space="preserve">336611</t>
        </is>
      </c>
      <c r="H465" s="0" t="inlineStr">
        <is>
          <t xml:space="preserve">2040</t>
        </is>
      </c>
      <c r="I465" s="0" t="inlineStr">
        <is>
          <t xml:space="preserve">Tent Barge Recessed Shell Bitts</t>
        </is>
      </c>
      <c r="J465" s="0" t="inlineStr">
        <is>
          <t xml:space="preserve">W912P926QA006</t>
        </is>
      </c>
    </row>
    <row r="466">
      <c r="B466" s="0" t="inlineStr">
        <is>
          <t xml:space="preserve">a13f2168a5f948d898a7f51c72982727</t>
        </is>
      </c>
      <c r="C466" s="0" t="inlineStr">
        <is>
          <t xml:space="preserve">Award Notice</t>
        </is>
      </c>
      <c r="D466" s="0" t="inlineStr">
        <is>
          <t xml:space="preserve">2026-03-04</t>
        </is>
      </c>
      <c r="E466" s="0" t="inlineStr">
        <is>
          <t xml:space="preserve">Navy/USMC</t>
        </is>
      </c>
      <c r="F466" s="0" t="inlineStr">
        <is>
          <t xml:space="preserve">ship_repair_maintenance</t>
        </is>
      </c>
      <c r="G466" s="0" t="inlineStr">
        <is>
          <t xml:space="preserve">336611</t>
        </is>
      </c>
      <c r="H466" s="0" t="inlineStr">
        <is>
          <t xml:space="preserve">J999</t>
        </is>
      </c>
      <c r="I466" s="0" t="inlineStr">
        <is>
          <t xml:space="preserve">USNS GUADALUPE FY26 Mid-Term Availability</t>
        </is>
      </c>
      <c r="J466" s="0" t="inlineStr">
        <is>
          <t xml:space="preserve">N3220526C1230</t>
        </is>
      </c>
    </row>
    <row r="467">
      <c r="B467" s="0" t="inlineStr">
        <is>
          <t xml:space="preserve">72188b1f0ca145a2bd58a1172ef32ccd</t>
        </is>
      </c>
      <c r="C467" s="0" t="inlineStr">
        <is>
          <t xml:space="preserve">Award Notice</t>
        </is>
      </c>
      <c r="D467" s="0" t="inlineStr">
        <is>
          <t xml:space="preserve">2026-04-16</t>
        </is>
      </c>
      <c r="E467" s="0" t="inlineStr">
        <is>
          <t xml:space="preserve">Coast Guard</t>
        </is>
      </c>
      <c r="F467" s="0" t="inlineStr">
        <is>
          <t xml:space="preserve">ship_repair_maintenance</t>
        </is>
      </c>
      <c r="G467" s="0" t="inlineStr">
        <is>
          <t xml:space="preserve">336611</t>
        </is>
      </c>
      <c r="H467" s="0" t="inlineStr">
        <is>
          <t xml:space="preserve">J999</t>
        </is>
      </c>
      <c r="I467" s="0" t="inlineStr">
        <is>
          <t xml:space="preserve">Drydock (DD): USCGC Polar Star FY26-30 Repair</t>
        </is>
      </c>
      <c r="J467" s="0" t="inlineStr">
        <is>
          <t xml:space="preserve">70Z08526DLREP0008</t>
        </is>
      </c>
    </row>
    <row r="468">
      <c r="B468" s="0" t="inlineStr">
        <is>
          <t xml:space="preserve">afb650b4439a4663bb89d9b2168c7ceb</t>
        </is>
      </c>
      <c r="C468" s="0" t="inlineStr">
        <is>
          <t xml:space="preserve">Award Notice</t>
        </is>
      </c>
      <c r="D468" s="0" t="inlineStr">
        <is>
          <t xml:space="preserve">2026-04-30</t>
        </is>
      </c>
      <c r="E468" s="0" t="inlineStr">
        <is>
          <t xml:space="preserve">Navy/USMC</t>
        </is>
      </c>
      <c r="F468" s="0" t="inlineStr">
        <is>
          <t xml:space="preserve">ship_repair_maintenance</t>
        </is>
      </c>
      <c r="G468" s="0" t="inlineStr">
        <is>
          <t xml:space="preserve">336611</t>
        </is>
      </c>
      <c r="H468" s="0" t="inlineStr">
        <is>
          <t xml:space="preserve">J041</t>
        </is>
      </c>
      <c r="I468" s="0" t="inlineStr">
        <is>
          <t xml:space="preserve">N3904026C0002- Scrubbers and Burners</t>
        </is>
      </c>
      <c r="J468" s="0" t="inlineStr">
        <is>
          <t xml:space="preserve">N3904026C0002</t>
        </is>
      </c>
    </row>
    <row r="469">
      <c r="B469" s="0" t="inlineStr">
        <is>
          <t xml:space="preserve">fffddfb1ef7c4b6092e12ec31ed910d3</t>
        </is>
      </c>
      <c r="C469" s="0" t="inlineStr">
        <is>
          <t xml:space="preserve">Justification</t>
        </is>
      </c>
      <c r="D469" s="0" t="inlineStr">
        <is>
          <t xml:space="preserve">2026-05-14</t>
        </is>
      </c>
      <c r="E469" s="0" t="inlineStr">
        <is>
          <t xml:space="preserve">Navy/USMC</t>
        </is>
      </c>
      <c r="F469" s="0" t="inlineStr">
        <is>
          <t xml:space="preserve">ship_repair_maintenance</t>
        </is>
      </c>
      <c r="G469" s="0" t="inlineStr">
        <is>
          <t xml:space="preserve">336611</t>
        </is>
      </c>
      <c r="H469" s="0" t="inlineStr">
        <is>
          <t xml:space="preserve">J019</t>
        </is>
      </c>
      <c r="I469" s="0" t="inlineStr">
        <is>
          <t xml:space="preserve">Beluga Barge</t>
        </is>
      </c>
      <c r="J469" s="0" t="inlineStr">
        <is>
          <t xml:space="preserve">N4523A26C1004P00002</t>
        </is>
      </c>
    </row>
    <row r="470">
      <c r="B470" s="0" t="inlineStr">
        <is>
          <t xml:space="preserve">629f0b384076423186c4232d68cacd63</t>
        </is>
      </c>
      <c r="C470" s="0" t="inlineStr">
        <is>
          <t xml:space="preserve">Justification</t>
        </is>
      </c>
      <c r="D470" s="0" t="inlineStr">
        <is>
          <t xml:space="preserve">2026-05-14</t>
        </is>
      </c>
      <c r="E470" s="0" t="inlineStr">
        <is>
          <t xml:space="preserve">Navy/USMC</t>
        </is>
      </c>
      <c r="F470" s="0" t="inlineStr">
        <is>
          <t xml:space="preserve">ship_repair_maintenance</t>
        </is>
      </c>
      <c r="G470" s="0" t="inlineStr">
        <is>
          <t xml:space="preserve">336611</t>
        </is>
      </c>
      <c r="H470" s="0" t="inlineStr">
        <is>
          <t xml:space="preserve">J998</t>
        </is>
      </c>
      <c r="I470" s="0" t="inlineStr">
        <is>
          <t xml:space="preserve">FORREST SHERMAN FY26 DMP 112N</t>
        </is>
      </c>
      <c r="J470" s="0" t="inlineStr">
        <is>
          <t xml:space="preserve">N50054-26081</t>
        </is>
      </c>
    </row>
    <row r="471">
      <c r="B471" s="0" t="inlineStr">
        <is>
          <t xml:space="preserve">140fb43f0cee4203aea2bc4f331f7815</t>
        </is>
      </c>
      <c r="C471" s="0" t="inlineStr">
        <is>
          <t xml:space="preserve">Justification</t>
        </is>
      </c>
      <c r="D471" s="0" t="inlineStr">
        <is>
          <t xml:space="preserve">2026-05-19</t>
        </is>
      </c>
      <c r="E471" s="0" t="inlineStr">
        <is>
          <t xml:space="preserve">Navy/USMC</t>
        </is>
      </c>
      <c r="F471" s="0" t="inlineStr">
        <is>
          <t xml:space="preserve">ship_repair_maintenance</t>
        </is>
      </c>
      <c r="G471" s="0" t="inlineStr">
        <is>
          <t xml:space="preserve">336611</t>
        </is>
      </c>
      <c r="H471" s="0" t="inlineStr">
        <is>
          <t xml:space="preserve">J999</t>
        </is>
      </c>
      <c r="I471" s="0" t="inlineStr">
        <is>
          <t xml:space="preserve">USS EMORY S. LAND ROH/DD FY26</t>
        </is>
      </c>
      <c r="J471" s="0" t="inlineStr">
        <is>
          <t xml:space="preserve">N10426C1223P00002</t>
        </is>
      </c>
    </row>
    <row r="472">
      <c r="B472" s="0" t="inlineStr">
        <is>
          <t xml:space="preserve">053517221b9c4b82b338b21ea23fc160</t>
        </is>
      </c>
      <c r="C472" s="0" t="inlineStr">
        <is>
          <t xml:space="preserve">Justification</t>
        </is>
      </c>
      <c r="D472" s="0" t="inlineStr">
        <is>
          <t xml:space="preserve">2026-05-25</t>
        </is>
      </c>
      <c r="E472" s="0" t="inlineStr">
        <is>
          <t xml:space="preserve">Navy/USMC</t>
        </is>
      </c>
      <c r="F472" s="0" t="inlineStr">
        <is>
          <t xml:space="preserve">ship_repair_maintenance</t>
        </is>
      </c>
      <c r="G472" s="0" t="inlineStr">
        <is>
          <t xml:space="preserve">336611</t>
        </is>
      </c>
      <c r="H472" s="0" t="inlineStr">
        <is>
          <t xml:space="preserve">J998</t>
        </is>
      </c>
      <c r="I472" s="0" t="inlineStr">
        <is>
          <t xml:space="preserve">USNS ROBERT E. PEARY ROH (T-AKE 5) Regular Overhaul (ROH)</t>
        </is>
      </c>
      <c r="J472" s="0" t="inlineStr">
        <is>
          <t xml:space="preserve">N3220526C1221P00004</t>
        </is>
      </c>
    </row>
    <row r="473">
      <c r="B473" s="0" t="inlineStr">
        <is>
          <t xml:space="preserve">6580fdf6e5ec4509bb0b8776c79c1e99</t>
        </is>
      </c>
      <c r="C473" s="0" t="inlineStr">
        <is>
          <t xml:space="preserve">Award Notice</t>
        </is>
      </c>
      <c r="D473" s="0" t="inlineStr">
        <is>
          <t xml:space="preserve">2026-05-28</t>
        </is>
      </c>
      <c r="E473" s="0" t="inlineStr">
        <is>
          <t xml:space="preserve">Other DoD</t>
        </is>
      </c>
      <c r="F473" s="0" t="inlineStr">
        <is>
          <t xml:space="preserve">marine_components_parts</t>
        </is>
      </c>
      <c r="G473" s="0" t="inlineStr">
        <is>
          <t xml:space="preserve">336611</t>
        </is>
      </c>
      <c r="H473" s="0" t="inlineStr">
        <is>
          <t xml:space="preserve">66</t>
        </is>
      </c>
      <c r="I473" s="0" t="inlineStr">
        <is>
          <t xml:space="preserve">66--GAGE,RECEIVER PRESS</t>
        </is>
      </c>
      <c r="J473" s="0" t="inlineStr">
        <is>
          <t xml:space="preserve">SPE4A526T040D</t>
        </is>
      </c>
    </row>
    <row r="474">
      <c r="B474" s="0" t="inlineStr">
        <is>
          <t xml:space="preserve">9ac6d3278be045f9ac4795737738088d</t>
        </is>
      </c>
      <c r="C474" s="0" t="inlineStr">
        <is>
          <t xml:space="preserve">Award Notice</t>
        </is>
      </c>
      <c r="D474" s="0" t="inlineStr">
        <is>
          <t xml:space="preserve">2026-05-28</t>
        </is>
      </c>
      <c r="E474" s="0" t="inlineStr">
        <is>
          <t xml:space="preserve">Civil/Other</t>
        </is>
      </c>
      <c r="F474" s="0" t="inlineStr">
        <is>
          <t xml:space="preserve">vessel_procurement</t>
        </is>
      </c>
      <c r="G474" s="0" t="inlineStr">
        <is>
          <t xml:space="preserve">336612</t>
        </is>
      </c>
      <c r="H474" s="0" t="inlineStr">
        <is>
          <t xml:space="preserve">1940</t>
        </is>
      </c>
      <c r="I474" s="0" t="inlineStr">
        <is>
          <t xml:space="preserve">19--NH-FWS UMBAGOG NWR-BOAT</t>
        </is>
      </c>
      <c r="J474" s="0" t="inlineStr">
        <is>
          <t xml:space="preserve">140F1G26Q0030</t>
        </is>
      </c>
    </row>
    <row r="475">
      <c r="B475" s="0" t="inlineStr">
        <is>
          <t xml:space="preserve">f30b3278243b42db9168c1e1b2dbf10b</t>
        </is>
      </c>
      <c r="C475" s="0" t="inlineStr">
        <is>
          <t xml:space="preserve">Award Notice</t>
        </is>
      </c>
      <c r="D475" s="0" t="inlineStr">
        <is>
          <t xml:space="preserve">2026-05-29</t>
        </is>
      </c>
      <c r="E475" s="0" t="inlineStr">
        <is>
          <t xml:space="preserve">Coast Guard</t>
        </is>
      </c>
      <c r="F475" s="0" t="inlineStr">
        <is>
          <t xml:space="preserve">ship_repair_maintenance</t>
        </is>
      </c>
      <c r="G475" s="0" t="inlineStr">
        <is>
          <t xml:space="preserve">336611</t>
        </is>
      </c>
      <c r="H475" s="0" t="inlineStr">
        <is>
          <t xml:space="preserve">J999</t>
        </is>
      </c>
      <c r="I475" s="0" t="inlineStr">
        <is>
          <t xml:space="preserve">Dockside (DS): USCGC MIDGETT FY26 Repair</t>
        </is>
      </c>
      <c r="J475" s="0" t="inlineStr">
        <is>
          <t xml:space="preserve">70Z08526DLREP0010-70Z08526FLREP0081</t>
        </is>
      </c>
    </row>
    <row r="476">
      <c r="B476" s="0" t="inlineStr">
        <is>
          <t xml:space="preserve">745de06ee7ac46eda0b64b81429d2e8d</t>
        </is>
      </c>
      <c r="C476" s="0" t="inlineStr">
        <is>
          <t xml:space="preserve">Award Notice</t>
        </is>
      </c>
      <c r="D476" s="0" t="inlineStr">
        <is>
          <t xml:space="preserve">2026-05-29</t>
        </is>
      </c>
      <c r="E476" s="0" t="inlineStr">
        <is>
          <t xml:space="preserve">Coast Guard</t>
        </is>
      </c>
      <c r="F476" s="0" t="inlineStr">
        <is>
          <t xml:space="preserve">ship_repair_maintenance</t>
        </is>
      </c>
      <c r="G476" s="0" t="inlineStr">
        <is>
          <t xml:space="preserve">336611</t>
        </is>
      </c>
      <c r="H476" s="0" t="inlineStr">
        <is>
          <t xml:space="preserve">J999</t>
        </is>
      </c>
      <c r="I476" s="0" t="inlineStr">
        <is>
          <t xml:space="preserve">Dry-dock (DD): USCGC ALEX HALEY FY26 Repair</t>
        </is>
      </c>
      <c r="J476" s="0" t="inlineStr">
        <is>
          <t xml:space="preserve">70Z08526DLREP0011-70Z08526FLREP0078</t>
        </is>
      </c>
    </row>
    <row r="477">
      <c r="B477" s="0" t="inlineStr">
        <is>
          <t xml:space="preserve">aeeccf5bbc8a4b7ea5ef85a345f007e2</t>
        </is>
      </c>
      <c r="C477" s="0" t="inlineStr">
        <is>
          <t xml:space="preserve">Award Notice</t>
        </is>
      </c>
      <c r="D477" s="0" t="inlineStr">
        <is>
          <t xml:space="preserve">2026-06-01</t>
        </is>
      </c>
      <c r="E477" s="0" t="inlineStr">
        <is>
          <t xml:space="preserve">Civil/Other</t>
        </is>
      </c>
      <c r="F477" s="0" t="inlineStr">
        <is>
          <t xml:space="preserve">ship_repair_maintenance</t>
        </is>
      </c>
      <c r="G477" s="0" t="inlineStr">
        <is>
          <t xml:space="preserve">336611</t>
        </is>
      </c>
      <c r="H477" s="0" t="inlineStr">
        <is>
          <t xml:space="preserve">J020</t>
        </is>
      </c>
      <c r="I477" s="0" t="inlineStr">
        <is>
          <t xml:space="preserve">TD-208 Pusher Tug FY26 Dry Docking</t>
        </is>
      </c>
      <c r="J477" s="0" t="inlineStr">
        <is>
          <t xml:space="preserve">6933A226P000014</t>
        </is>
      </c>
    </row>
    <row r="478">
      <c r="B478" s="0" t="inlineStr">
        <is>
          <t xml:space="preserve">737ba598d2224ce0908b6c10a8c8cde7</t>
        </is>
      </c>
      <c r="C478" s="0" t="inlineStr">
        <is>
          <t xml:space="preserve">Justification</t>
        </is>
      </c>
      <c r="D478" s="0" t="inlineStr">
        <is>
          <t xml:space="preserve">2026-06-01</t>
        </is>
      </c>
      <c r="E478" s="0" t="inlineStr">
        <is>
          <t xml:space="preserve">Navy/USMC</t>
        </is>
      </c>
      <c r="F478" s="0" t="inlineStr">
        <is>
          <t xml:space="preserve">ship_repair_maintenance</t>
        </is>
      </c>
      <c r="G478" s="0" t="inlineStr">
        <is>
          <t xml:space="preserve">336611</t>
        </is>
      </c>
      <c r="H478" s="0" t="inlineStr">
        <is>
          <t xml:space="preserve">J998</t>
        </is>
      </c>
      <c r="I478" s="0" t="inlineStr">
        <is>
          <t xml:space="preserve">USNS LARAMIE ROH/DD FY 26</t>
        </is>
      </c>
      <c r="J478" s="0" t="inlineStr">
        <is>
          <t xml:space="preserve">N3220526C1226P00005</t>
        </is>
      </c>
    </row>
    <row r="479">
      <c r="B479" s="0" t="inlineStr">
        <is>
          <t xml:space="preserve">54be60a6641d487a80ad72025b1de295</t>
        </is>
      </c>
      <c r="C479" s="0" t="inlineStr">
        <is>
          <t xml:space="preserve">Award Notice</t>
        </is>
      </c>
      <c r="D479" s="0" t="inlineStr">
        <is>
          <t xml:space="preserve">2026-06-01</t>
        </is>
      </c>
      <c r="E479" s="0" t="inlineStr">
        <is>
          <t xml:space="preserve">Other DoD</t>
        </is>
      </c>
      <c r="F479" s="0" t="inlineStr">
        <is>
          <t xml:space="preserve">marine_components_parts</t>
        </is>
      </c>
      <c r="G479" s="0" t="inlineStr">
        <is>
          <t xml:space="preserve">336611</t>
        </is>
      </c>
      <c r="H479" s="0" t="inlineStr">
        <is>
          <t xml:space="preserve">20</t>
        </is>
      </c>
      <c r="I479" s="0" t="inlineStr">
        <is>
          <t xml:space="preserve">20--WINDOW,MARINE</t>
        </is>
      </c>
      <c r="J479" s="0" t="inlineStr">
        <is>
          <t xml:space="preserve">SPE7M126T0950</t>
        </is>
      </c>
    </row>
    <row r="480">
      <c r="B480" s="0" t="inlineStr">
        <is>
          <t xml:space="preserve">15df7671a99443178ab05e1bc1c8e325</t>
        </is>
      </c>
      <c r="C480" s="0" t="inlineStr">
        <is>
          <t xml:space="preserve">Award Notice</t>
        </is>
      </c>
      <c r="D480" s="0" t="inlineStr">
        <is>
          <t xml:space="preserve">2026-06-01</t>
        </is>
      </c>
      <c r="E480" s="0" t="inlineStr">
        <is>
          <t xml:space="preserve">Other DoD</t>
        </is>
      </c>
      <c r="F480" s="0" t="inlineStr">
        <is>
          <t xml:space="preserve">marine_components_parts</t>
        </is>
      </c>
      <c r="G480" s="0" t="inlineStr">
        <is>
          <t xml:space="preserve">336611</t>
        </is>
      </c>
      <c r="H480" s="0" t="inlineStr">
        <is>
          <t xml:space="preserve">20</t>
        </is>
      </c>
      <c r="I480" s="0" t="inlineStr">
        <is>
          <t xml:space="preserve">20--ACCUMULATOR,PNEUMAT</t>
        </is>
      </c>
      <c r="J480" s="0" t="inlineStr">
        <is>
          <t xml:space="preserve">SPE7M526T162L</t>
        </is>
      </c>
    </row>
    <row r="481">
      <c r="B481" s="0" t="inlineStr">
        <is>
          <t xml:space="preserve">480e70e5230f4756a7a4687885649c6f</t>
        </is>
      </c>
      <c r="C481" s="0" t="inlineStr">
        <is>
          <t xml:space="preserve">Justification</t>
        </is>
      </c>
      <c r="D481" s="0" t="inlineStr">
        <is>
          <t xml:space="preserve">2026-06-01</t>
        </is>
      </c>
      <c r="E481" s="0" t="inlineStr">
        <is>
          <t xml:space="preserve">Navy/USMC</t>
        </is>
      </c>
      <c r="F481" s="0" t="inlineStr">
        <is>
          <t xml:space="preserve">marine_components_parts</t>
        </is>
      </c>
      <c r="G481" s="0" t="inlineStr">
        <is>
          <t xml:space="preserve">336612</t>
        </is>
      </c>
      <c r="H481" s="0" t="inlineStr">
        <is>
          <t xml:space="preserve">2010</t>
        </is>
      </c>
      <c r="I481" s="0" t="inlineStr">
        <is>
          <t xml:space="preserve">20--HUB,PROPELLER,SHIP</t>
        </is>
      </c>
      <c r="J481" s="0" t="inlineStr">
        <is>
          <t xml:space="preserve">N0010426CTA08</t>
        </is>
      </c>
    </row>
    <row r="482">
      <c r="B482" s="0" t="inlineStr">
        <is>
          <t xml:space="preserve">bc6c0dfc6e874bb78a9c20074062b556</t>
        </is>
      </c>
      <c r="C482" s="0" t="inlineStr">
        <is>
          <t xml:space="preserve">Award Notice</t>
        </is>
      </c>
      <c r="D482" s="0" t="inlineStr">
        <is>
          <t xml:space="preserve">2026-06-01</t>
        </is>
      </c>
      <c r="E482" s="0" t="inlineStr">
        <is>
          <t xml:space="preserve">Civil/Other</t>
        </is>
      </c>
      <c r="F482" s="0" t="inlineStr">
        <is>
          <t xml:space="preserve">other</t>
        </is>
      </c>
      <c r="G482" s="0" t="inlineStr">
        <is>
          <t xml:space="preserve">483114</t>
        </is>
      </c>
      <c r="H482" s="0" t="inlineStr">
        <is>
          <t xml:space="preserve">1910</t>
        </is>
      </c>
      <c r="I482" s="0" t="inlineStr">
        <is>
          <t xml:space="preserve">19--GFISHER Charter Vessel</t>
        </is>
      </c>
      <c r="J482" s="0" t="inlineStr">
        <is>
          <t xml:space="preserve">1305M326Q0129</t>
        </is>
      </c>
    </row>
    <row r="483">
      <c r="B483" s="0" t="inlineStr">
        <is>
          <t xml:space="preserve">d7cfd6cbc43a42129f513a6dd688fb83</t>
        </is>
      </c>
      <c r="C483" s="0" t="inlineStr">
        <is>
          <t xml:space="preserve">Award Notice</t>
        </is>
      </c>
      <c r="D483" s="0" t="inlineStr">
        <is>
          <t xml:space="preserve">2026-06-02</t>
        </is>
      </c>
      <c r="E483" s="0" t="inlineStr">
        <is>
          <t xml:space="preserve">Coast Guard</t>
        </is>
      </c>
      <c r="F483" s="0" t="inlineStr">
        <is>
          <t xml:space="preserve">ship_repair_maintenance</t>
        </is>
      </c>
      <c r="G483" s="0" t="inlineStr">
        <is>
          <t xml:space="preserve">336611</t>
        </is>
      </c>
      <c r="H483" s="0" t="inlineStr">
        <is>
          <t xml:space="preserve">J999</t>
        </is>
      </c>
      <c r="I483" s="0" t="inlineStr">
        <is>
          <t xml:space="preserve">USCGC CHEYENNE Drydock Repair FY 26</t>
        </is>
      </c>
      <c r="J483" s="0" t="inlineStr">
        <is>
          <t xml:space="preserve">70Z08526CIBCT0017</t>
        </is>
      </c>
    </row>
    <row r="484">
      <c r="B484" s="0" t="inlineStr">
        <is>
          <t xml:space="preserve">91fd81582d444d428e295e5b0083eb2e</t>
        </is>
      </c>
      <c r="C484" s="0" t="inlineStr">
        <is>
          <t xml:space="preserve">Award Notice</t>
        </is>
      </c>
      <c r="D484" s="0" t="inlineStr">
        <is>
          <t xml:space="preserve">2026-06-02</t>
        </is>
      </c>
      <c r="E484" s="0" t="inlineStr">
        <is>
          <t xml:space="preserve">Civil/Other</t>
        </is>
      </c>
      <c r="F484" s="0" t="inlineStr">
        <is>
          <t xml:space="preserve">ship_repair_maintenance</t>
        </is>
      </c>
      <c r="G484" s="0" t="inlineStr">
        <is>
          <t xml:space="preserve">336611</t>
        </is>
      </c>
      <c r="H484" s="0" t="inlineStr">
        <is>
          <t xml:space="preserve">1910</t>
        </is>
      </c>
      <c r="I484" s="0" t="inlineStr">
        <is>
          <t xml:space="preserve">Ronald H. Brown FY26 Drydock Repairs</t>
        </is>
      </c>
      <c r="J484" s="0" t="inlineStr">
        <is>
          <t xml:space="preserve">1305M226P0124</t>
        </is>
      </c>
    </row>
    <row r="485">
      <c r="B485" s="0" t="inlineStr">
        <is>
          <t xml:space="preserve">3288cacf22cc4d53a73823c04444d669</t>
        </is>
      </c>
      <c r="C485" s="0" t="inlineStr">
        <is>
          <t xml:space="preserve">Award Notice</t>
        </is>
      </c>
      <c r="D485" s="0" t="inlineStr">
        <is>
          <t xml:space="preserve">2026-06-02</t>
        </is>
      </c>
      <c r="E485" s="0" t="inlineStr">
        <is>
          <t xml:space="preserve">Coast Guard</t>
        </is>
      </c>
      <c r="F485" s="0" t="inlineStr">
        <is>
          <t xml:space="preserve">ship_repair_maintenance</t>
        </is>
      </c>
      <c r="G485" s="0" t="inlineStr">
        <is>
          <t xml:space="preserve">336611</t>
        </is>
      </c>
      <c r="H485" s="0" t="inlineStr">
        <is>
          <t xml:space="preserve">J998</t>
        </is>
      </c>
      <c r="I485" s="0" t="inlineStr">
        <is>
          <t xml:space="preserve">CGC SPENCER FY26 DS1</t>
        </is>
      </c>
      <c r="J485" s="0" t="inlineStr">
        <is>
          <t xml:space="preserve">70Z08026CMECP0018</t>
        </is>
      </c>
    </row>
    <row r="486">
      <c r="B486" s="0" t="inlineStr">
        <is>
          <t xml:space="preserve">0da4b46e80f94df8a32d6758581ef7da</t>
        </is>
      </c>
      <c r="C486" s="0" t="inlineStr">
        <is>
          <t xml:space="preserve">Award Notice</t>
        </is>
      </c>
      <c r="D486" s="0" t="inlineStr">
        <is>
          <t xml:space="preserve">2026-06-02</t>
        </is>
      </c>
      <c r="E486" s="0" t="inlineStr">
        <is>
          <t xml:space="preserve">Other DoD</t>
        </is>
      </c>
      <c r="F486" s="0" t="inlineStr">
        <is>
          <t xml:space="preserve">marine_components_parts</t>
        </is>
      </c>
      <c r="G486" s="0" t="inlineStr">
        <is>
          <t xml:space="preserve">336612</t>
        </is>
      </c>
      <c r="H486" s="0" t="inlineStr">
        <is>
          <t xml:space="preserve">20</t>
        </is>
      </c>
      <c r="I486" s="0" t="inlineStr">
        <is>
          <t xml:space="preserve">20--WINDOW,METAL</t>
        </is>
      </c>
      <c r="J486" s="0" t="inlineStr">
        <is>
          <t xml:space="preserve">SPE7M126T9152</t>
        </is>
      </c>
    </row>
    <row r="487">
      <c r="B487" s="0" t="inlineStr">
        <is>
          <t xml:space="preserve">c748cde8304b4a20933a0e037fe1027c</t>
        </is>
      </c>
      <c r="C487" s="0" t="inlineStr">
        <is>
          <t xml:space="preserve">Award Notice</t>
        </is>
      </c>
      <c r="D487" s="0" t="inlineStr">
        <is>
          <t xml:space="preserve">2026-06-03</t>
        </is>
      </c>
      <c r="E487" s="0" t="inlineStr">
        <is>
          <t xml:space="preserve">Other DoD</t>
        </is>
      </c>
      <c r="F487" s="0" t="inlineStr">
        <is>
          <t xml:space="preserve">marine_components_parts</t>
        </is>
      </c>
      <c r="G487" s="0" t="inlineStr">
        <is>
          <t xml:space="preserve">336611</t>
        </is>
      </c>
      <c r="H487" s="0" t="inlineStr">
        <is>
          <t xml:space="preserve">20</t>
        </is>
      </c>
      <c r="I487" s="0" t="inlineStr">
        <is>
          <t xml:space="preserve">20--WINDOW,MARINE</t>
        </is>
      </c>
      <c r="J487" s="0" t="inlineStr">
        <is>
          <t xml:space="preserve">SPE7M426T6116</t>
        </is>
      </c>
    </row>
    <row r="488">
      <c r="B488" s="0" t="inlineStr">
        <is>
          <t xml:space="preserve">cef2f4924f5844a2bf194f718170138e</t>
        </is>
      </c>
      <c r="C488" s="0" t="inlineStr">
        <is>
          <t xml:space="preserve">Award Notice</t>
        </is>
      </c>
      <c r="D488" s="0" t="inlineStr">
        <is>
          <t xml:space="preserve">2026-06-03</t>
        </is>
      </c>
      <c r="E488" s="0" t="inlineStr">
        <is>
          <t xml:space="preserve">Civil/Other</t>
        </is>
      </c>
      <c r="F488" s="0" t="inlineStr">
        <is>
          <t xml:space="preserve">ship_repair_maintenance</t>
        </is>
      </c>
      <c r="G488" s="0" t="inlineStr">
        <is>
          <t xml:space="preserve">336612</t>
        </is>
      </c>
      <c r="H488" s="0" t="inlineStr">
        <is>
          <t xml:space="preserve">J019</t>
        </is>
      </c>
      <c r="I488" s="0" t="inlineStr">
        <is>
          <t xml:space="preserve">J--IL-CARTERVILLE FWCO - Motor Replacements</t>
        </is>
      </c>
      <c r="J488" s="0" t="inlineStr">
        <is>
          <t xml:space="preserve">GS07F0172Y</t>
        </is>
      </c>
    </row>
    <row r="489">
      <c r="B489" s="0" t="inlineStr">
        <is>
          <t xml:space="preserve">33a6b6cd6fc34afa8e5b0952de36bbbd</t>
        </is>
      </c>
      <c r="C489" s="0" t="inlineStr">
        <is>
          <t xml:space="preserve">Award Notice</t>
        </is>
      </c>
      <c r="D489" s="0" t="inlineStr">
        <is>
          <t xml:space="preserve">2026-06-03</t>
        </is>
      </c>
      <c r="E489" s="0" t="inlineStr">
        <is>
          <t xml:space="preserve">Civil/Other</t>
        </is>
      </c>
      <c r="F489" s="0" t="inlineStr">
        <is>
          <t xml:space="preserve">vessel_procurement</t>
        </is>
      </c>
      <c r="G489" s="0" t="inlineStr">
        <is>
          <t xml:space="preserve">336612</t>
        </is>
      </c>
      <c r="H489" s="0" t="inlineStr">
        <is>
          <t xml:space="preserve">1940</t>
        </is>
      </c>
      <c r="I489" s="0" t="inlineStr">
        <is>
          <t xml:space="preserve">19--MI- LUDINGTON BS- BOAT, MOTOR, BOAT TRAILER</t>
        </is>
      </c>
      <c r="J489" s="0" t="inlineStr">
        <is>
          <t xml:space="preserve">140FS226Q0099</t>
        </is>
      </c>
    </row>
    <row r="490">
      <c r="B490" s="0" t="inlineStr">
        <is>
          <t xml:space="preserve">dfa7c29def974eb7aab793b9b4c6d113</t>
        </is>
      </c>
      <c r="C490" s="0" t="inlineStr">
        <is>
          <t xml:space="preserve">Justification</t>
        </is>
      </c>
      <c r="D490" s="0" t="inlineStr">
        <is>
          <t xml:space="preserve">2026-06-04</t>
        </is>
      </c>
      <c r="E490" s="0" t="inlineStr">
        <is>
          <t xml:space="preserve">Navy/USMC</t>
        </is>
      </c>
      <c r="F490" s="0" t="inlineStr">
        <is>
          <t xml:space="preserve">ship_repair_maintenance</t>
        </is>
      </c>
      <c r="G490" s="0" t="inlineStr">
        <is>
          <t xml:space="preserve">336611</t>
        </is>
      </c>
      <c r="H490" s="0" t="inlineStr">
        <is>
          <t xml:space="preserve">J998</t>
        </is>
      </c>
      <c r="I490" s="0" t="inlineStr">
        <is>
          <t xml:space="preserve">USNS JOSHUA HUMPHREYS FY26 MTA</t>
        </is>
      </c>
      <c r="J490" s="0" t="inlineStr">
        <is>
          <t xml:space="preserve">N3220526C1206P00008</t>
        </is>
      </c>
    </row>
    <row r="491">
      <c r="B491" s="0" t="inlineStr">
        <is>
          <t xml:space="preserve">9a02fc440697437e8de969bdd2b5b9d1</t>
        </is>
      </c>
      <c r="C491" s="0" t="inlineStr">
        <is>
          <t xml:space="preserve">Justification</t>
        </is>
      </c>
      <c r="D491" s="0" t="inlineStr">
        <is>
          <t xml:space="preserve">2026-06-04</t>
        </is>
      </c>
      <c r="E491" s="0" t="inlineStr">
        <is>
          <t xml:space="preserve">Navy/USMC</t>
        </is>
      </c>
      <c r="F491" s="0" t="inlineStr">
        <is>
          <t xml:space="preserve">ship_repair_maintenance</t>
        </is>
      </c>
      <c r="G491" s="0" t="inlineStr">
        <is>
          <t xml:space="preserve">336611</t>
        </is>
      </c>
      <c r="H491" s="0" t="inlineStr">
        <is>
          <t xml:space="preserve">J998</t>
        </is>
      </c>
      <c r="I491" s="0" t="inlineStr">
        <is>
          <t xml:space="preserve">Redacted J&amp;A for P00001</t>
        </is>
      </c>
      <c r="J491" s="0" t="inlineStr">
        <is>
          <t xml:space="preserve">N50054-26-SB419</t>
        </is>
      </c>
    </row>
    <row r="492">
      <c r="B492" s="0" t="inlineStr">
        <is>
          <t xml:space="preserve">9198d16bd5a64540964180bff569ada2</t>
        </is>
      </c>
      <c r="C492" s="0" t="inlineStr">
        <is>
          <t xml:space="preserve">Award Notice</t>
        </is>
      </c>
      <c r="D492" s="0" t="inlineStr">
        <is>
          <t xml:space="preserve">2026-06-04</t>
        </is>
      </c>
      <c r="E492" s="0" t="inlineStr">
        <is>
          <t xml:space="preserve">Navy/USMC</t>
        </is>
      </c>
      <c r="F492" s="0" t="inlineStr">
        <is>
          <t xml:space="preserve">ship_repair_maintenance</t>
        </is>
      </c>
      <c r="G492" s="0" t="inlineStr">
        <is>
          <t xml:space="preserve">336611</t>
        </is>
      </c>
      <c r="H492" s="0" t="inlineStr">
        <is>
          <t xml:space="preserve">J998</t>
        </is>
      </c>
      <c r="I492" s="0" t="inlineStr">
        <is>
          <t xml:space="preserve">USNS POINT LOMA PSA FY26</t>
        </is>
      </c>
      <c r="J492" s="0" t="inlineStr">
        <is>
          <t xml:space="preserve">N3220526C0007</t>
        </is>
      </c>
    </row>
    <row r="493">
      <c r="B493" s="0" t="inlineStr">
        <is>
          <t xml:space="preserve">4fa881dd609f4cec9080a967d8bce5d1</t>
        </is>
      </c>
      <c r="C493" s="0" t="inlineStr">
        <is>
          <t xml:space="preserve">Justification</t>
        </is>
      </c>
      <c r="D493" s="0" t="inlineStr">
        <is>
          <t xml:space="preserve">2026-06-04</t>
        </is>
      </c>
      <c r="E493" s="0" t="inlineStr">
        <is>
          <t xml:space="preserve">Navy/USMC</t>
        </is>
      </c>
      <c r="F493" s="0" t="inlineStr">
        <is>
          <t xml:space="preserve">ship_repair_maintenance</t>
        </is>
      </c>
      <c r="G493" s="0" t="inlineStr">
        <is>
          <t xml:space="preserve">336611</t>
        </is>
      </c>
      <c r="H493" s="0" t="inlineStr">
        <is>
          <t xml:space="preserve">J999</t>
        </is>
      </c>
      <c r="I493" s="0" t="inlineStr">
        <is>
          <t xml:space="preserve">USNS MERCY (T-AH 19) FY26 ROH/DD</t>
        </is>
      </c>
      <c r="J493" s="0" t="inlineStr">
        <is>
          <t xml:space="preserve">N10426C0006P00007</t>
        </is>
      </c>
    </row>
    <row r="494">
      <c r="B494" s="0" t="inlineStr">
        <is>
          <t xml:space="preserve">be40062c3c284e5e941346f99200aaef</t>
        </is>
      </c>
      <c r="C494" s="0" t="inlineStr">
        <is>
          <t xml:space="preserve">Award Notice</t>
        </is>
      </c>
      <c r="D494" s="0" t="inlineStr">
        <is>
          <t xml:space="preserve">2026-06-05</t>
        </is>
      </c>
      <c r="E494" s="0" t="inlineStr">
        <is>
          <t xml:space="preserve">Coast Guard</t>
        </is>
      </c>
      <c r="F494" s="0" t="inlineStr">
        <is>
          <t xml:space="preserve">ship_repair_maintenance</t>
        </is>
      </c>
      <c r="G494" s="0" t="inlineStr">
        <is>
          <t xml:space="preserve">336611</t>
        </is>
      </c>
      <c r="H494" s="0" t="inlineStr">
        <is>
          <t xml:space="preserve">J998</t>
        </is>
      </c>
      <c r="I494" s="0" t="inlineStr">
        <is>
          <t xml:space="preserve">CGC MACKINAW DOCKSIDE REPAIRS</t>
        </is>
      </c>
      <c r="J494" s="0" t="inlineStr">
        <is>
          <t xml:space="preserve">70Z08526CIBCT0021</t>
        </is>
      </c>
    </row>
    <row r="495">
      <c r="B495" s="0" t="inlineStr">
        <is>
          <t xml:space="preserve">648c67c47b7147de8ac2862769381b3e</t>
        </is>
      </c>
      <c r="C495" s="0" t="inlineStr">
        <is>
          <t xml:space="preserve">Award Notice</t>
        </is>
      </c>
      <c r="D495" s="0" t="inlineStr">
        <is>
          <t xml:space="preserve">2026-06-05</t>
        </is>
      </c>
      <c r="E495" s="0" t="inlineStr">
        <is>
          <t xml:space="preserve">Coast Guard</t>
        </is>
      </c>
      <c r="F495" s="0" t="inlineStr">
        <is>
          <t xml:space="preserve">ship_repair_maintenance</t>
        </is>
      </c>
      <c r="G495" s="0" t="inlineStr">
        <is>
          <t xml:space="preserve">336611</t>
        </is>
      </c>
      <c r="H495" s="0" t="inlineStr">
        <is>
          <t xml:space="preserve">J998</t>
        </is>
      </c>
      <c r="I495" s="0" t="inlineStr">
        <is>
          <t xml:space="preserve">CGC SPAR DOCKSIDE REPAIRS</t>
        </is>
      </c>
      <c r="J495" s="0" t="inlineStr">
        <is>
          <t xml:space="preserve">70Z08526CIBCT0019</t>
        </is>
      </c>
    </row>
    <row r="496">
      <c r="B496" s="0" t="inlineStr">
        <is>
          <t xml:space="preserve">7e526d542c4e40b790aa5d68f711688a</t>
        </is>
      </c>
      <c r="C496" s="0" t="inlineStr">
        <is>
          <t xml:space="preserve">Award Notice</t>
        </is>
      </c>
      <c r="D496" s="0" t="inlineStr">
        <is>
          <t xml:space="preserve">2026-06-05</t>
        </is>
      </c>
      <c r="E496" s="0" t="inlineStr">
        <is>
          <t xml:space="preserve">Civil/Other</t>
        </is>
      </c>
      <c r="F496" s="0" t="inlineStr">
        <is>
          <t xml:space="preserve">vessel_procurement</t>
        </is>
      </c>
      <c r="G496" s="0" t="inlineStr">
        <is>
          <t xml:space="preserve">336612</t>
        </is>
      </c>
      <c r="H496" s="0" t="inlineStr">
        <is>
          <t xml:space="preserve">1940</t>
        </is>
      </c>
      <c r="I496" s="0" t="inlineStr">
        <is>
          <t xml:space="preserve">19--IL-FWS UPR MS RIV NWF - PATROL BOAT, OUTBOARD MOTO</t>
        </is>
      </c>
      <c r="J496" s="0" t="inlineStr">
        <is>
          <t xml:space="preserve">140FS226F0086</t>
        </is>
      </c>
    </row>
    <row r="497">
      <c r="B497" s="0" t="inlineStr">
        <is>
          <t xml:space="preserve">279be0d398d14baebdf8f75af941db9e</t>
        </is>
      </c>
      <c r="C497" s="0" t="inlineStr">
        <is>
          <t xml:space="preserve">Award Notice</t>
        </is>
      </c>
      <c r="D497" s="0" t="inlineStr">
        <is>
          <t xml:space="preserve">2026-06-08</t>
        </is>
      </c>
      <c r="E497" s="0" t="inlineStr">
        <is>
          <t xml:space="preserve">Other DoD</t>
        </is>
      </c>
      <c r="F497" s="0" t="inlineStr">
        <is>
          <t xml:space="preserve">marine_components_parts</t>
        </is>
      </c>
      <c r="G497" s="0" t="inlineStr">
        <is>
          <t xml:space="preserve">336611</t>
        </is>
      </c>
      <c r="H497" s="0" t="inlineStr">
        <is>
          <t xml:space="preserve">48</t>
        </is>
      </c>
      <c r="I497" s="0" t="inlineStr">
        <is>
          <t xml:space="preserve">48--VALVE,BUTTERFLY</t>
        </is>
      </c>
      <c r="J497" s="0" t="inlineStr">
        <is>
          <t xml:space="preserve">SPE7MC26Q0135</t>
        </is>
      </c>
    </row>
    <row r="498">
      <c r="B498" s="0" t="inlineStr">
        <is>
          <t xml:space="preserve">21fd5ea4b4234eee84d309d4e35789cc</t>
        </is>
      </c>
      <c r="C498" s="0" t="inlineStr">
        <is>
          <t xml:space="preserve">Award Notice</t>
        </is>
      </c>
      <c r="D498" s="0" t="inlineStr">
        <is>
          <t xml:space="preserve">2026-06-08</t>
        </is>
      </c>
      <c r="E498" s="0" t="inlineStr">
        <is>
          <t xml:space="preserve">Navy/USMC</t>
        </is>
      </c>
      <c r="F498" s="0" t="inlineStr">
        <is>
          <t xml:space="preserve">ship_repair_maintenance</t>
        </is>
      </c>
      <c r="G498" s="0" t="inlineStr">
        <is>
          <t xml:space="preserve">336611</t>
        </is>
      </c>
      <c r="H498" s="0" t="inlineStr">
        <is>
          <t xml:space="preserve">J030</t>
        </is>
      </c>
      <c r="I498" s="0" t="inlineStr">
        <is>
          <t xml:space="preserve">In-Service Submarine Propeller and Propulsor On-Site Repairs</t>
        </is>
      </c>
      <c r="J498" s="0" t="inlineStr">
        <is>
          <t xml:space="preserve">N64498-26-D-1007</t>
        </is>
      </c>
    </row>
    <row r="499">
      <c r="B499" s="0" t="inlineStr">
        <is>
          <t xml:space="preserve">98709d52f8844efeaded273ad7789465</t>
        </is>
      </c>
      <c r="C499" s="0" t="inlineStr">
        <is>
          <t xml:space="preserve">Justification</t>
        </is>
      </c>
      <c r="D499" s="0" t="inlineStr">
        <is>
          <t xml:space="preserve">2026-06-08</t>
        </is>
      </c>
      <c r="E499" s="0" t="inlineStr">
        <is>
          <t xml:space="preserve">Navy/USMC</t>
        </is>
      </c>
      <c r="F499" s="0" t="inlineStr">
        <is>
          <t xml:space="preserve">marine_components_parts</t>
        </is>
      </c>
      <c r="G499" s="0" t="inlineStr">
        <is>
          <t xml:space="preserve">336612</t>
        </is>
      </c>
      <c r="H499" s="0" t="inlineStr">
        <is>
          <t xml:space="preserve">2010</t>
        </is>
      </c>
      <c r="I499" s="0" t="inlineStr">
        <is>
          <t xml:space="preserve">20--HUB,PROPELLER,SHIP</t>
        </is>
      </c>
      <c r="J499" s="0" t="inlineStr">
        <is>
          <t xml:space="preserve">N0010426PTB31</t>
        </is>
      </c>
    </row>
    <row r="500">
      <c r="B500" s="0" t="inlineStr">
        <is>
          <t xml:space="preserve">a7e4fbf26cd941959844e963b7f6ceb9</t>
        </is>
      </c>
      <c r="C500" s="0" t="inlineStr">
        <is>
          <t xml:space="preserve">Award Notice</t>
        </is>
      </c>
      <c r="D500" s="0" t="inlineStr">
        <is>
          <t xml:space="preserve">2026-06-09</t>
        </is>
      </c>
      <c r="E500" s="0" t="inlineStr">
        <is>
          <t xml:space="preserve">Other DoD</t>
        </is>
      </c>
      <c r="F500" s="0" t="inlineStr">
        <is>
          <t xml:space="preserve">marine_components_parts</t>
        </is>
      </c>
      <c r="G500" s="0" t="inlineStr">
        <is>
          <t xml:space="preserve">336611</t>
        </is>
      </c>
      <c r="H500" s="0" t="inlineStr">
        <is>
          <t xml:space="preserve">63</t>
        </is>
      </c>
      <c r="I500" s="0" t="inlineStr">
        <is>
          <t xml:space="preserve">63--SWITCHBOARD,ALARM,S</t>
        </is>
      </c>
      <c r="J500" s="0" t="inlineStr">
        <is>
          <t xml:space="preserve">SPE4A626T01B9</t>
        </is>
      </c>
    </row>
    <row r="501">
      <c r="B501" s="0" t="inlineStr">
        <is>
          <t xml:space="preserve">be464279c3a8431cbb014c8c62b453fe</t>
        </is>
      </c>
      <c r="C501" s="0" t="inlineStr">
        <is>
          <t xml:space="preserve">Award Notice</t>
        </is>
      </c>
      <c r="D501" s="0" t="inlineStr">
        <is>
          <t xml:space="preserve">2026-06-09</t>
        </is>
      </c>
      <c r="E501" s="0" t="inlineStr">
        <is>
          <t xml:space="preserve">Other DoD</t>
        </is>
      </c>
      <c r="F501" s="0" t="inlineStr">
        <is>
          <t xml:space="preserve">marine_components_parts</t>
        </is>
      </c>
      <c r="G501" s="0" t="inlineStr">
        <is>
          <t xml:space="preserve">336612</t>
        </is>
      </c>
      <c r="H501" s="0" t="inlineStr">
        <is>
          <t xml:space="preserve">20</t>
        </is>
      </c>
      <c r="I501" s="0" t="inlineStr">
        <is>
          <t xml:space="preserve">20--COVER,LIGHT,MARINE</t>
        </is>
      </c>
      <c r="J501" s="0" t="inlineStr">
        <is>
          <t xml:space="preserve">SPE7L126T567E</t>
        </is>
      </c>
    </row>
    <row r="502">
      <c r="B502" s="0" t="inlineStr">
        <is>
          <t xml:space="preserve">a589720606924949a075e8cac2da2180</t>
        </is>
      </c>
      <c r="C502" s="0" t="inlineStr">
        <is>
          <t xml:space="preserve">Justification</t>
        </is>
      </c>
      <c r="D502" s="0" t="inlineStr">
        <is>
          <t xml:space="preserve">2026-06-10</t>
        </is>
      </c>
      <c r="E502" s="0" t="inlineStr">
        <is>
          <t xml:space="preserve">Navy/USMC</t>
        </is>
      </c>
      <c r="F502" s="0" t="inlineStr">
        <is>
          <t xml:space="preserve">ship_repair_maintenance</t>
        </is>
      </c>
      <c r="G502" s="0" t="inlineStr">
        <is>
          <t xml:space="preserve">336611</t>
        </is>
      </c>
      <c r="H502" s="0" t="inlineStr">
        <is>
          <t xml:space="preserve">1930</t>
        </is>
      </c>
      <c r="I502" s="0" t="inlineStr">
        <is>
          <t xml:space="preserve">Yard Repair Berthing and Messing Barge (YRBM) 68-71 Award Redacted J&amp;A</t>
        </is>
      </c>
      <c r="J502" s="0" t="inlineStr">
        <is>
          <t xml:space="preserve">N0002422C2253JA</t>
        </is>
      </c>
    </row>
    <row r="503">
      <c r="B503" s="0" t="inlineStr">
        <is>
          <t xml:space="preserve">5ea1c7bc20dc4b56893f21359dbd0ad9</t>
        </is>
      </c>
      <c r="C503" s="0" t="inlineStr">
        <is>
          <t xml:space="preserve">Award Notice</t>
        </is>
      </c>
      <c r="D503" s="0" t="inlineStr">
        <is>
          <t xml:space="preserve">2026-06-10</t>
        </is>
      </c>
      <c r="E503" s="0" t="inlineStr">
        <is>
          <t xml:space="preserve">Civil/Other</t>
        </is>
      </c>
      <c r="F503" s="0" t="inlineStr">
        <is>
          <t xml:space="preserve">other</t>
        </is>
      </c>
      <c r="G503" s="0" t="inlineStr">
        <is>
          <t xml:space="preserve">336611</t>
        </is>
      </c>
      <c r="H503" s="0" t="inlineStr">
        <is>
          <t xml:space="preserve">1910</t>
        </is>
      </c>
      <c r="I503" s="0" t="inlineStr">
        <is>
          <t xml:space="preserve">19--Henry Bigelow FSV Midlife Extension Program</t>
        </is>
      </c>
      <c r="J503" s="0" t="inlineStr">
        <is>
          <t xml:space="preserve">140802-26-0310</t>
        </is>
      </c>
    </row>
    <row r="504">
      <c r="B504" s="0" t="inlineStr">
        <is>
          <t xml:space="preserve">19b875da0d684edeaa8775ee878e40f4</t>
        </is>
      </c>
      <c r="C504" s="0" t="inlineStr">
        <is>
          <t xml:space="preserve">Award Notice</t>
        </is>
      </c>
      <c r="D504" s="0" t="inlineStr">
        <is>
          <t xml:space="preserve">2026-06-10</t>
        </is>
      </c>
      <c r="E504" s="0" t="inlineStr">
        <is>
          <t xml:space="preserve">Other DoD</t>
        </is>
      </c>
      <c r="F504" s="0" t="inlineStr">
        <is>
          <t xml:space="preserve">marine_components_parts</t>
        </is>
      </c>
      <c r="G504" s="0" t="inlineStr">
        <is>
          <t xml:space="preserve">336611</t>
        </is>
      </c>
      <c r="H504" s="0" t="inlineStr">
        <is>
          <t xml:space="preserve">59</t>
        </is>
      </c>
      <c r="I504" s="0" t="inlineStr">
        <is>
          <t xml:space="preserve">59--PLUG ASSEMBLY,OUTBO</t>
        </is>
      </c>
      <c r="J504" s="0" t="inlineStr">
        <is>
          <t xml:space="preserve">SPE7M526T204S</t>
        </is>
      </c>
    </row>
    <row r="505">
      <c r="B505" s="0" t="inlineStr">
        <is>
          <t xml:space="preserve">b9544cc778c74afc820f5f2f0f7aea92</t>
        </is>
      </c>
      <c r="C505" s="0" t="inlineStr">
        <is>
          <t xml:space="preserve">Award Notice</t>
        </is>
      </c>
      <c r="D505" s="0" t="inlineStr">
        <is>
          <t xml:space="preserve">2026-06-11</t>
        </is>
      </c>
      <c r="E505" s="0" t="inlineStr">
        <is>
          <t xml:space="preserve">Coast Guard</t>
        </is>
      </c>
      <c r="F505" s="0" t="inlineStr">
        <is>
          <t xml:space="preserve">ship_repair_maintenance</t>
        </is>
      </c>
      <c r="G505" s="0" t="inlineStr">
        <is>
          <t xml:space="preserve">336611</t>
        </is>
      </c>
      <c r="H505" s="0" t="inlineStr">
        <is>
          <t xml:space="preserve">J998</t>
        </is>
      </c>
      <c r="I505" s="0" t="inlineStr">
        <is>
          <t xml:space="preserve">DOCKSIDE: USCGC ANGELA MCSHAN DS FY26</t>
        </is>
      </c>
      <c r="J505" s="0" t="inlineStr">
        <is>
          <t xml:space="preserve">70Z08026CPBPL0040</t>
        </is>
      </c>
    </row>
    <row r="506">
      <c r="B506" s="0" t="inlineStr">
        <is>
          <t xml:space="preserve">746401996bc1498385d0b2116f6ecdcb</t>
        </is>
      </c>
      <c r="C506" s="0" t="inlineStr">
        <is>
          <t xml:space="preserve">Award Notice</t>
        </is>
      </c>
      <c r="D506" s="0" t="inlineStr">
        <is>
          <t xml:space="preserve">2026-06-11</t>
        </is>
      </c>
      <c r="E506" s="0" t="inlineStr">
        <is>
          <t xml:space="preserve">Other DoD</t>
        </is>
      </c>
      <c r="F506" s="0" t="inlineStr">
        <is>
          <t xml:space="preserve">marine_components_parts</t>
        </is>
      </c>
      <c r="G506" s="0" t="inlineStr">
        <is>
          <t xml:space="preserve">336611</t>
        </is>
      </c>
      <c r="H506" s="0" t="inlineStr">
        <is>
          <t xml:space="preserve">59</t>
        </is>
      </c>
      <c r="I506" s="0" t="inlineStr">
        <is>
          <t xml:space="preserve">59--AMPLIFIER,RADIO FRE</t>
        </is>
      </c>
      <c r="J506" s="0" t="inlineStr">
        <is>
          <t xml:space="preserve">SPE7M526T034V</t>
        </is>
      </c>
    </row>
    <row r="507">
      <c r="B507" s="0" t="inlineStr">
        <is>
          <t xml:space="preserve">f92ca3e5c9234fd296aa1d76c0243dfc</t>
        </is>
      </c>
      <c r="C507" s="0" t="inlineStr">
        <is>
          <t xml:space="preserve">Justification</t>
        </is>
      </c>
      <c r="D507" s="0" t="inlineStr">
        <is>
          <t xml:space="preserve">2026-06-11</t>
        </is>
      </c>
      <c r="E507" s="0" t="inlineStr">
        <is>
          <t xml:space="preserve">Navy/USMC</t>
        </is>
      </c>
      <c r="F507" s="0" t="inlineStr">
        <is>
          <t xml:space="preserve">marine_components_parts</t>
        </is>
      </c>
      <c r="G507" s="0" t="inlineStr">
        <is>
          <t xml:space="preserve">336612</t>
        </is>
      </c>
      <c r="H507" s="0" t="inlineStr">
        <is>
          <t xml:space="preserve">2010</t>
        </is>
      </c>
      <c r="I507" s="0" t="inlineStr">
        <is>
          <t xml:space="preserve">J&amp;A | BLADE,PROPELLER,SHI</t>
        </is>
      </c>
      <c r="J507" s="0" t="inlineStr">
        <is>
          <t xml:space="preserve">N0010426CJA06</t>
        </is>
      </c>
    </row>
    <row r="508">
      <c r="B508" s="0" t="inlineStr">
        <is>
          <t xml:space="preserve">f5d1513f157f4421bb0a827ec0431458</t>
        </is>
      </c>
      <c r="C508" s="0" t="inlineStr">
        <is>
          <t xml:space="preserve">Award Notice</t>
        </is>
      </c>
      <c r="D508" s="0" t="inlineStr">
        <is>
          <t xml:space="preserve">2026-06-12</t>
        </is>
      </c>
      <c r="E508" s="0" t="inlineStr">
        <is>
          <t xml:space="preserve">Other DoD</t>
        </is>
      </c>
      <c r="F508" s="0" t="inlineStr">
        <is>
          <t xml:space="preserve">vessel_procurement</t>
        </is>
      </c>
      <c r="G508" s="0" t="inlineStr">
        <is>
          <t xml:space="preserve">336612</t>
        </is>
      </c>
      <c r="H508" s="0" t="inlineStr">
        <is>
          <t xml:space="preserve">1990</t>
        </is>
      </c>
      <c r="I508" s="0" t="inlineStr">
        <is>
          <t xml:space="preserve">Watercraft Targets MATOC(s)</t>
        </is>
      </c>
      <c r="J508" s="0" t="inlineStr">
        <is>
          <t xml:space="preserve">FA282326D0009</t>
        </is>
      </c>
    </row>
    <row r="509">
      <c r="B509" s="0" t="inlineStr">
        <is>
          <t xml:space="preserve">d6ed759fb46f44e597f2264266e6179e</t>
        </is>
      </c>
      <c r="C509" s="0" t="inlineStr">
        <is>
          <t xml:space="preserve">Award Notice</t>
        </is>
      </c>
      <c r="D509" s="0" t="inlineStr">
        <is>
          <t xml:space="preserve">2026-06-12</t>
        </is>
      </c>
      <c r="E509" s="0" t="inlineStr">
        <is>
          <t xml:space="preserve">Other DoD</t>
        </is>
      </c>
      <c r="F509" s="0" t="inlineStr">
        <is>
          <t xml:space="preserve">vessel_procurement</t>
        </is>
      </c>
      <c r="G509" s="0" t="inlineStr">
        <is>
          <t xml:space="preserve">336612</t>
        </is>
      </c>
      <c r="H509" s="0" t="inlineStr">
        <is>
          <t xml:space="preserve">1990</t>
        </is>
      </c>
      <c r="I509" s="0" t="inlineStr">
        <is>
          <t xml:space="preserve">Watercraft Targets MATOC(s)</t>
        </is>
      </c>
      <c r="J509" s="0" t="inlineStr">
        <is>
          <t xml:space="preserve">FA282326D0010</t>
        </is>
      </c>
    </row>
    <row r="510">
      <c r="B510" s="0" t="inlineStr">
        <is>
          <t xml:space="preserve">d1f0b04f36b04614a1c661486c1363cb</t>
        </is>
      </c>
      <c r="C510" s="0" t="inlineStr">
        <is>
          <t xml:space="preserve">Award Notice</t>
        </is>
      </c>
      <c r="D510" s="0" t="inlineStr">
        <is>
          <t xml:space="preserve">2026-06-12</t>
        </is>
      </c>
      <c r="E510" s="0" t="inlineStr">
        <is>
          <t xml:space="preserve">Other DoD</t>
        </is>
      </c>
      <c r="F510" s="0" t="inlineStr">
        <is>
          <t xml:space="preserve">vessel_procurement</t>
        </is>
      </c>
      <c r="G510" s="0" t="inlineStr">
        <is>
          <t xml:space="preserve">336612</t>
        </is>
      </c>
      <c r="H510" s="0" t="inlineStr">
        <is>
          <t xml:space="preserve">1990</t>
        </is>
      </c>
      <c r="I510" s="0" t="inlineStr">
        <is>
          <t xml:space="preserve">Watercraft Targets MATOC(s)</t>
        </is>
      </c>
      <c r="J510" s="0" t="inlineStr">
        <is>
          <t xml:space="preserve">FA282326D0011</t>
        </is>
      </c>
    </row>
    <row r="511">
      <c r="B511" s="0" t="inlineStr">
        <is>
          <t xml:space="preserve">b3e1d5793c56465ba64439e98f33cc12</t>
        </is>
      </c>
      <c r="C511" s="0" t="inlineStr">
        <is>
          <t xml:space="preserve">Award Notice</t>
        </is>
      </c>
      <c r="D511" s="0" t="inlineStr">
        <is>
          <t xml:space="preserve">2026-06-12</t>
        </is>
      </c>
      <c r="E511" s="0" t="inlineStr">
        <is>
          <t xml:space="preserve">Other DoD</t>
        </is>
      </c>
      <c r="F511" s="0" t="inlineStr">
        <is>
          <t xml:space="preserve">vessel_procurement</t>
        </is>
      </c>
      <c r="G511" s="0" t="inlineStr">
        <is>
          <t xml:space="preserve">336612</t>
        </is>
      </c>
      <c r="H511" s="0" t="inlineStr">
        <is>
          <t xml:space="preserve">1990</t>
        </is>
      </c>
      <c r="I511" s="0" t="inlineStr">
        <is>
          <t xml:space="preserve">Watercraft Targets MATOC(s)</t>
        </is>
      </c>
      <c r="J511" s="0" t="inlineStr">
        <is>
          <t xml:space="preserve">FA282326D0012</t>
        </is>
      </c>
    </row>
    <row r="512">
      <c r="B512" s="0" t="inlineStr">
        <is>
          <t xml:space="preserve">4e79b0b1f0724ab8b5b7df6b3729d2da</t>
        </is>
      </c>
      <c r="C512" s="0" t="inlineStr">
        <is>
          <t xml:space="preserve">Award Notice</t>
        </is>
      </c>
      <c r="D512" s="0" t="inlineStr">
        <is>
          <t xml:space="preserve">2026-06-12</t>
        </is>
      </c>
      <c r="E512" s="0" t="inlineStr">
        <is>
          <t xml:space="preserve">Navy/USMC</t>
        </is>
      </c>
      <c r="F512" s="0" t="inlineStr">
        <is>
          <t xml:space="preserve">marine_components_parts</t>
        </is>
      </c>
      <c r="G512" s="0" t="inlineStr">
        <is>
          <t xml:space="preserve">336612</t>
        </is>
      </c>
      <c r="H512" s="0" t="inlineStr">
        <is>
          <t xml:space="preserve">2010</t>
        </is>
      </c>
      <c r="I512" s="0" t="inlineStr">
        <is>
          <t xml:space="preserve">BLADE,PROPELLER,SHI</t>
        </is>
      </c>
      <c r="J512" s="0" t="inlineStr">
        <is>
          <t xml:space="preserve">N0010426CJA06</t>
        </is>
      </c>
    </row>
    <row r="513">
      <c r="B513" s="0" t="inlineStr">
        <is>
          <t xml:space="preserve">33a1c79691b941f8a200f226515a7195</t>
        </is>
      </c>
      <c r="C513" s="0" t="inlineStr">
        <is>
          <t xml:space="preserve">Award Notice</t>
        </is>
      </c>
      <c r="D513" s="0" t="inlineStr">
        <is>
          <t xml:space="preserve">2026-06-12</t>
        </is>
      </c>
      <c r="E513" s="0" t="inlineStr">
        <is>
          <t xml:space="preserve">Other DoD</t>
        </is>
      </c>
      <c r="F513" s="0" t="inlineStr">
        <is>
          <t xml:space="preserve">vessel_procurement</t>
        </is>
      </c>
      <c r="G513" s="0" t="inlineStr">
        <is>
          <t xml:space="preserve">336612</t>
        </is>
      </c>
      <c r="H513" s="0" t="inlineStr">
        <is>
          <t xml:space="preserve">1990</t>
        </is>
      </c>
      <c r="I513" s="0" t="inlineStr">
        <is>
          <t xml:space="preserve">Watercraft Targets MATOC(s)</t>
        </is>
      </c>
      <c r="J513" s="0" t="inlineStr">
        <is>
          <t xml:space="preserve">FA282326D0013</t>
        </is>
      </c>
    </row>
    <row r="514">
      <c r="B514" s="0" t="inlineStr">
        <is>
          <t xml:space="preserve">778b90a472384476b2237d5d72b5253f</t>
        </is>
      </c>
      <c r="C514" s="0" t="inlineStr">
        <is>
          <t xml:space="preserve">Combined Synopsis/Solicitation</t>
        </is>
      </c>
      <c r="D514" s="0" t="inlineStr">
        <is>
          <t xml:space="preserve">2025-07-02</t>
        </is>
      </c>
      <c r="E514" s="0" t="inlineStr">
        <is>
          <t xml:space="preserve">Army</t>
        </is>
      </c>
      <c r="F514" s="0" t="inlineStr">
        <is>
          <t xml:space="preserve">usv_autonomy</t>
        </is>
      </c>
      <c r="G514" s="0" t="inlineStr">
        <is>
          <t xml:space="preserve">336411</t>
        </is>
      </c>
      <c r="H514" s="0" t="inlineStr">
        <is>
          <t xml:space="preserve">1550</t>
        </is>
      </c>
      <c r="I514" s="0" t="inlineStr">
        <is>
          <t xml:space="preserve">Unmanned Ariel Vehicle (UAV)</t>
        </is>
      </c>
      <c r="J514" s="0" t="inlineStr">
        <is>
          <t xml:space="preserve">W911S225U1060</t>
        </is>
      </c>
    </row>
    <row r="515">
      <c r="B515" s="0" t="inlineStr">
        <is>
          <t xml:space="preserve">bdf9c4a9f37e4812850b28195339c45a</t>
        </is>
      </c>
      <c r="C515" s="0" t="inlineStr">
        <is>
          <t xml:space="preserve">Solicitation</t>
        </is>
      </c>
      <c r="D515" s="0" t="inlineStr">
        <is>
          <t xml:space="preserve">2025-08-25</t>
        </is>
      </c>
      <c r="E515" s="0" t="inlineStr">
        <is>
          <t xml:space="preserve">Army</t>
        </is>
      </c>
      <c r="F515" s="0" t="inlineStr">
        <is>
          <t xml:space="preserve">usv_autonomy</t>
        </is>
      </c>
      <c r="G515" s="0" t="inlineStr">
        <is>
          <t xml:space="preserve">236220</t>
        </is>
      </c>
      <c r="H515" s="0" t="inlineStr">
        <is>
          <t xml:space="preserve">Y1JZ</t>
        </is>
      </c>
      <c r="I515" s="0" t="inlineStr">
        <is>
          <t xml:space="preserve">DTA Manned/Unmanned Tactical Vehicle Lab</t>
        </is>
      </c>
      <c r="J515" s="0" t="inlineStr">
        <is>
          <t xml:space="preserve">W912QR25R0052</t>
        </is>
      </c>
    </row>
    <row r="516">
      <c r="B516" s="0" t="inlineStr">
        <is>
          <t xml:space="preserve">e38b31b58dbb41599b9c4c2b22c6fe56</t>
        </is>
      </c>
      <c r="C516" s="0" t="inlineStr">
        <is>
          <t xml:space="preserve">Solicitation</t>
        </is>
      </c>
      <c r="D516" s="0" t="inlineStr">
        <is>
          <t xml:space="preserve">2025-07-18</t>
        </is>
      </c>
      <c r="E516" s="0" t="inlineStr">
        <is>
          <t xml:space="preserve">Army</t>
        </is>
      </c>
      <c r="F516" s="0" t="inlineStr">
        <is>
          <t xml:space="preserve">services_rdte</t>
        </is>
      </c>
      <c r="G516" s="0" t="inlineStr">
        <is>
          <t xml:space="preserve">541380</t>
        </is>
      </c>
      <c r="H516" s="0" t="inlineStr">
        <is>
          <t xml:space="preserve">H348</t>
        </is>
      </c>
      <c r="I516" s="0" t="inlineStr">
        <is>
          <t xml:space="preserve">Pressure Vessel Inspection</t>
        </is>
      </c>
      <c r="J516" s="0" t="inlineStr">
        <is>
          <t xml:space="preserve">W912BV25QA029</t>
        </is>
      </c>
    </row>
    <row r="517">
      <c r="B517" s="0" t="inlineStr">
        <is>
          <t xml:space="preserve">310209a2e3994947ab87ff52d4777266</t>
        </is>
      </c>
      <c r="C517" s="0" t="inlineStr">
        <is>
          <t xml:space="preserve">Combined Synopsis/Solicitation</t>
        </is>
      </c>
      <c r="D517" s="0" t="inlineStr">
        <is>
          <t xml:space="preserve">2025-08-05</t>
        </is>
      </c>
      <c r="E517" s="0" t="inlineStr">
        <is>
          <t xml:space="preserve">Army</t>
        </is>
      </c>
      <c r="F517" s="0" t="inlineStr">
        <is>
          <t xml:space="preserve">usv_autonomy</t>
        </is>
      </c>
      <c r="G517" s="0" t="inlineStr">
        <is>
          <t xml:space="preserve">336411</t>
        </is>
      </c>
      <c r="H517" s="0" t="inlineStr">
        <is>
          <t xml:space="preserve">1550</t>
        </is>
      </c>
      <c r="I517" s="0" t="inlineStr">
        <is>
          <t xml:space="preserve">Unmanned Aerial System</t>
        </is>
      </c>
      <c r="J517" s="0" t="inlineStr">
        <is>
          <t xml:space="preserve">W911S225U1419</t>
        </is>
      </c>
    </row>
    <row r="518">
      <c r="B518" s="0" t="inlineStr">
        <is>
          <t xml:space="preserve">65b9ae1a80b545789e92de2352637d83</t>
        </is>
      </c>
      <c r="C518" s="0" t="inlineStr">
        <is>
          <t xml:space="preserve">Solicitation</t>
        </is>
      </c>
      <c r="D518" s="0" t="inlineStr">
        <is>
          <t xml:space="preserve">2025-08-11</t>
        </is>
      </c>
      <c r="E518" s="0" t="inlineStr">
        <is>
          <t xml:space="preserve">Navy/USMC</t>
        </is>
      </c>
      <c r="F518" s="0" t="inlineStr">
        <is>
          <t xml:space="preserve">other</t>
        </is>
      </c>
      <c r="G518" s="0" t="inlineStr">
        <is>
          <t xml:space="preserve">236220</t>
        </is>
      </c>
      <c r="H518" s="0" t="inlineStr">
        <is>
          <t xml:space="preserve">Y1PZ</t>
        </is>
      </c>
      <c r="I518" s="0" t="inlineStr">
        <is>
          <t xml:space="preserve">N3319125R6018 D-B NAVTRAC Boat Ramp, Sogakope, Ghana Amendment 1</t>
        </is>
      </c>
      <c r="J518" s="0" t="inlineStr">
        <is>
          <t xml:space="preserve">N3319125R6018</t>
        </is>
      </c>
    </row>
    <row r="519">
      <c r="B519" s="0" t="inlineStr">
        <is>
          <t xml:space="preserve">8f7f53c8e6594049bbc32f60df7c86ad</t>
        </is>
      </c>
      <c r="C519" s="0" t="inlineStr">
        <is>
          <t xml:space="preserve">Solicitation</t>
        </is>
      </c>
      <c r="D519" s="0" t="inlineStr">
        <is>
          <t xml:space="preserve">2025-08-14</t>
        </is>
      </c>
      <c r="E519" s="0" t="inlineStr">
        <is>
          <t xml:space="preserve">Army</t>
        </is>
      </c>
      <c r="F519" s="0" t="inlineStr">
        <is>
          <t xml:space="preserve">usv_autonomy</t>
        </is>
      </c>
      <c r="G519" s="0" t="inlineStr">
        <is>
          <t xml:space="preserve">333241</t>
        </is>
      </c>
      <c r="H519" s="0" t="inlineStr">
        <is>
          <t xml:space="preserve">7310</t>
        </is>
      </c>
      <c r="I519" s="0" t="inlineStr">
        <is>
          <t xml:space="preserve">Autonomous Food Production System/Korea</t>
        </is>
      </c>
      <c r="J519" s="0" t="inlineStr">
        <is>
          <t xml:space="preserve">W90VN925RA098</t>
        </is>
      </c>
    </row>
    <row r="520">
      <c r="B520" s="0" t="inlineStr">
        <is>
          <t xml:space="preserve">84ddc8bf577548f481cea1ca5b1b9303</t>
        </is>
      </c>
      <c r="C520" s="0" t="inlineStr">
        <is>
          <t xml:space="preserve">Solicitation</t>
        </is>
      </c>
      <c r="D520" s="0" t="inlineStr">
        <is>
          <t xml:space="preserve">2025-08-07</t>
        </is>
      </c>
      <c r="E520" s="0" t="inlineStr">
        <is>
          <t xml:space="preserve">Army</t>
        </is>
      </c>
      <c r="F520" s="0" t="inlineStr">
        <is>
          <t xml:space="preserve">other</t>
        </is>
      </c>
      <c r="G520" s="0" t="inlineStr">
        <is>
          <t xml:space="preserve">333618</t>
        </is>
      </c>
      <c r="H520" s="0" t="inlineStr">
        <is>
          <t xml:space="preserve">2805</t>
        </is>
      </c>
      <c r="I520" s="0" t="inlineStr">
        <is>
          <t xml:space="preserve">Three Honda 150HP Outbaord Boat Motors</t>
        </is>
      </c>
      <c r="J520" s="0" t="inlineStr">
        <is>
          <t xml:space="preserve">W912ES25QA048</t>
        </is>
      </c>
    </row>
    <row r="521">
      <c r="B521" s="0" t="inlineStr">
        <is>
          <t xml:space="preserve">86480ce33a2949b6894aac4d2827797a</t>
        </is>
      </c>
      <c r="C521" s="0" t="inlineStr">
        <is>
          <t xml:space="preserve">Sources Sought</t>
        </is>
      </c>
      <c r="D521" s="0" t="inlineStr">
        <is>
          <t xml:space="preserve">2025-08-28</t>
        </is>
      </c>
      <c r="E521" s="0" t="inlineStr">
        <is>
          <t xml:space="preserve">Navy/USMC</t>
        </is>
      </c>
      <c r="F521" s="0" t="inlineStr">
        <is>
          <t xml:space="preserve">other</t>
        </is>
      </c>
      <c r="I521" s="0" t="inlineStr">
        <is>
          <t xml:space="preserve">Sources Sought - MIDS SWARMM Family 3 Radio</t>
        </is>
      </c>
      <c r="J521" s="0" t="inlineStr">
        <is>
          <t xml:space="preserve">MIDS-SWARMM-FAMILY-3</t>
        </is>
      </c>
    </row>
    <row r="522">
      <c r="B522" s="0" t="inlineStr">
        <is>
          <t xml:space="preserve">43074728570046e7a1cbb3739034a1f7</t>
        </is>
      </c>
      <c r="C522" s="0" t="inlineStr">
        <is>
          <t xml:space="preserve">Solicitation</t>
        </is>
      </c>
      <c r="D522" s="0" t="inlineStr">
        <is>
          <t xml:space="preserve">2025-09-10</t>
        </is>
      </c>
      <c r="E522" s="0" t="inlineStr">
        <is>
          <t xml:space="preserve">Army</t>
        </is>
      </c>
      <c r="F522" s="0" t="inlineStr">
        <is>
          <t xml:space="preserve">marine_components_parts</t>
        </is>
      </c>
      <c r="G522" s="0" t="inlineStr">
        <is>
          <t xml:space="preserve">333618</t>
        </is>
      </c>
      <c r="H522" s="0" t="inlineStr">
        <is>
          <t xml:space="preserve">2010</t>
        </is>
      </c>
      <c r="I522" s="0" t="inlineStr">
        <is>
          <t xml:space="preserve">W91237-25-Q-A057 Motor for Pontoon Boat at Summersville Lake</t>
        </is>
      </c>
      <c r="J522" s="0" t="inlineStr">
        <is>
          <t xml:space="preserve">W9123725QA057</t>
        </is>
      </c>
    </row>
    <row r="523">
      <c r="B523" s="0" t="inlineStr">
        <is>
          <t xml:space="preserve">71b12ebcaf6a43dfaae51f1d32d2c1cf</t>
        </is>
      </c>
      <c r="C523" s="0" t="inlineStr">
        <is>
          <t xml:space="preserve">Presolicitation</t>
        </is>
      </c>
      <c r="D523" s="0" t="inlineStr">
        <is>
          <t xml:space="preserve">2025-09-11</t>
        </is>
      </c>
      <c r="E523" s="0" t="inlineStr">
        <is>
          <t xml:space="preserve">Army</t>
        </is>
      </c>
      <c r="F523" s="0" t="inlineStr">
        <is>
          <t xml:space="preserve">other</t>
        </is>
      </c>
      <c r="G523" s="0" t="inlineStr">
        <is>
          <t xml:space="preserve">811310</t>
        </is>
      </c>
      <c r="H523" s="0" t="inlineStr">
        <is>
          <t xml:space="preserve">Z1ED</t>
        </is>
      </c>
      <c r="I523" s="0" t="inlineStr">
        <is>
          <t xml:space="preserve">MOTOR VESSEL MISSOURI RIVER ENGINE REBUILD</t>
        </is>
      </c>
      <c r="J523" s="0" t="inlineStr">
        <is>
          <t xml:space="preserve">W9128F25QA099</t>
        </is>
      </c>
    </row>
    <row r="524">
      <c r="B524" s="0" t="inlineStr">
        <is>
          <t xml:space="preserve">26c1a7219eda45c695cc78e28f87fa1c</t>
        </is>
      </c>
      <c r="C524" s="0" t="inlineStr">
        <is>
          <t xml:space="preserve">Combined Synopsis/Solicitation</t>
        </is>
      </c>
      <c r="D524" s="0" t="inlineStr">
        <is>
          <t xml:space="preserve">2025-09-16</t>
        </is>
      </c>
      <c r="E524" s="0" t="inlineStr">
        <is>
          <t xml:space="preserve">Army</t>
        </is>
      </c>
      <c r="F524" s="0" t="inlineStr">
        <is>
          <t xml:space="preserve">other</t>
        </is>
      </c>
      <c r="G524" s="0" t="inlineStr">
        <is>
          <t xml:space="preserve">339999</t>
        </is>
      </c>
      <c r="H524" s="0" t="inlineStr">
        <is>
          <t xml:space="preserve">1367</t>
        </is>
      </c>
      <c r="I524" s="0" t="inlineStr">
        <is>
          <t xml:space="preserve">Maritime Harness and Flotation Device</t>
        </is>
      </c>
      <c r="J524" s="0" t="inlineStr">
        <is>
          <t xml:space="preserve">W911S225U2094</t>
        </is>
      </c>
    </row>
    <row r="525">
      <c r="B525" s="0" t="inlineStr">
        <is>
          <t xml:space="preserve">59f638566d00432a8375d63c23bc7ef0</t>
        </is>
      </c>
      <c r="C525" s="0" t="inlineStr">
        <is>
          <t xml:space="preserve">Solicitation</t>
        </is>
      </c>
      <c r="D525" s="0" t="inlineStr">
        <is>
          <t xml:space="preserve">2025-09-09</t>
        </is>
      </c>
      <c r="E525" s="0" t="inlineStr">
        <is>
          <t xml:space="preserve">Army</t>
        </is>
      </c>
      <c r="F525" s="0" t="inlineStr">
        <is>
          <t xml:space="preserve">other</t>
        </is>
      </c>
      <c r="G525" s="0" t="inlineStr">
        <is>
          <t xml:space="preserve">326211</t>
        </is>
      </c>
      <c r="H525" s="0" t="inlineStr">
        <is>
          <t xml:space="preserve">2610</t>
        </is>
      </c>
      <c r="I525" s="0" t="inlineStr">
        <is>
          <t xml:space="preserve">UNITED STATES MILITARY INFLATABLE RIGID BOAT (USMIRIB) TRAILER TIRES</t>
        </is>
      </c>
      <c r="J525" s="0" t="inlineStr">
        <is>
          <t xml:space="preserve">W912ER25QA001</t>
        </is>
      </c>
    </row>
    <row r="526">
      <c r="B526" s="0" t="inlineStr">
        <is>
          <t xml:space="preserve">e9f0d447887d482aba69e3f16a8c0c9b</t>
        </is>
      </c>
      <c r="C526" s="0" t="inlineStr">
        <is>
          <t xml:space="preserve">Combined Synopsis/Solicitation</t>
        </is>
      </c>
      <c r="D526" s="0" t="inlineStr">
        <is>
          <t xml:space="preserve">2025-09-17</t>
        </is>
      </c>
      <c r="E526" s="0" t="inlineStr">
        <is>
          <t xml:space="preserve">Army</t>
        </is>
      </c>
      <c r="F526" s="0" t="inlineStr">
        <is>
          <t xml:space="preserve">other</t>
        </is>
      </c>
      <c r="G526" s="0" t="inlineStr">
        <is>
          <t xml:space="preserve">339999</t>
        </is>
      </c>
      <c r="H526" s="0" t="inlineStr">
        <is>
          <t xml:space="preserve">1367</t>
        </is>
      </c>
      <c r="I526" s="0" t="inlineStr">
        <is>
          <t xml:space="preserve">Maritime Tactical Harness and Flotation System</t>
        </is>
      </c>
      <c r="J526" s="0" t="inlineStr">
        <is>
          <t xml:space="preserve">W911S225U2095</t>
        </is>
      </c>
    </row>
    <row r="527">
      <c r="B527" s="0" t="inlineStr">
        <is>
          <t xml:space="preserve">b3c6af6e7fae4e0a84df6110d87aa7a5</t>
        </is>
      </c>
      <c r="C527" s="0" t="inlineStr">
        <is>
          <t xml:space="preserve">Combined Synopsis/Solicitation</t>
        </is>
      </c>
      <c r="D527" s="0" t="inlineStr">
        <is>
          <t xml:space="preserve">2025-10-01</t>
        </is>
      </c>
      <c r="E527" s="0" t="inlineStr">
        <is>
          <t xml:space="preserve">Army</t>
        </is>
      </c>
      <c r="F527" s="0" t="inlineStr">
        <is>
          <t xml:space="preserve">other</t>
        </is>
      </c>
      <c r="G527" s="0" t="inlineStr">
        <is>
          <t xml:space="preserve">541330</t>
        </is>
      </c>
      <c r="H527" s="0" t="inlineStr">
        <is>
          <t xml:space="preserve">C216</t>
        </is>
      </c>
      <c r="I527" s="0" t="inlineStr">
        <is>
          <t xml:space="preserve">INDEFINITE DELIVERY INDEFINITE QUANTITY CONTRACT FOR DREDGE VESSEL ENGINEERING SERVICES, NAVAL ARCHITECTURE, AND MARINE ENGINEERING</t>
        </is>
      </c>
      <c r="J527" s="0" t="inlineStr">
        <is>
          <t xml:space="preserve">W912BU26RA001</t>
        </is>
      </c>
    </row>
    <row r="528">
      <c r="B528" s="0" t="inlineStr">
        <is>
          <t xml:space="preserve">522c6b3c28f94195b15a467fbe260d59</t>
        </is>
      </c>
      <c r="C528" s="0" t="inlineStr">
        <is>
          <t xml:space="preserve">Presolicitation</t>
        </is>
      </c>
      <c r="D528" s="0" t="inlineStr">
        <is>
          <t xml:space="preserve">2025-11-17</t>
        </is>
      </c>
      <c r="E528" s="0" t="inlineStr">
        <is>
          <t xml:space="preserve">Navy/USMC</t>
        </is>
      </c>
      <c r="F528" s="0" t="inlineStr">
        <is>
          <t xml:space="preserve">ship_repair_maintenance</t>
        </is>
      </c>
      <c r="G528" s="0" t="inlineStr">
        <is>
          <t xml:space="preserve">811210</t>
        </is>
      </c>
      <c r="H528" s="0" t="inlineStr">
        <is>
          <t xml:space="preserve">J059</t>
        </is>
      </c>
      <c r="I528" s="0" t="inlineStr">
        <is>
          <t xml:space="preserve">Repair and Technical Support of Maritime Domain Awareness (MDA) system</t>
        </is>
      </c>
      <c r="J528" s="0" t="inlineStr">
        <is>
          <t xml:space="preserve">N6523626Q0002</t>
        </is>
      </c>
    </row>
    <row r="529">
      <c r="B529" s="0" t="inlineStr">
        <is>
          <t xml:space="preserve">b265de2e95da46218cebddaaa58a9a6f</t>
        </is>
      </c>
      <c r="C529" s="0" t="inlineStr">
        <is>
          <t xml:space="preserve">Solicitation</t>
        </is>
      </c>
      <c r="D529" s="0" t="inlineStr">
        <is>
          <t xml:space="preserve">2025-12-04</t>
        </is>
      </c>
      <c r="E529" s="0" t="inlineStr">
        <is>
          <t xml:space="preserve">Navy/USMC</t>
        </is>
      </c>
      <c r="F529" s="0" t="inlineStr">
        <is>
          <t xml:space="preserve">other</t>
        </is>
      </c>
      <c r="G529" s="0" t="inlineStr">
        <is>
          <t xml:space="preserve">333923</t>
        </is>
      </c>
      <c r="H529" s="0" t="inlineStr">
        <is>
          <t xml:space="preserve">3950</t>
        </is>
      </c>
      <c r="I529" s="0" t="inlineStr">
        <is>
          <t xml:space="preserve">100 METRIC TON MOBILE BOAT HOIST, B3806, NAVAL SPECIAL WARFARE GROUP 8, JOINT EXPEDITIONARY BASE LITTLE CREEK, VIRGINIA BEACH, VA</t>
        </is>
      </c>
      <c r="J529" s="0" t="inlineStr">
        <is>
          <t xml:space="preserve">N6247025R0019</t>
        </is>
      </c>
    </row>
    <row r="530">
      <c r="B530" s="0" t="inlineStr">
        <is>
          <t xml:space="preserve">e63458330fc74d3db11fbf4df732178f</t>
        </is>
      </c>
      <c r="C530" s="0" t="inlineStr">
        <is>
          <t xml:space="preserve">Solicitation</t>
        </is>
      </c>
      <c r="D530" s="0" t="inlineStr">
        <is>
          <t xml:space="preserve">2025-12-19</t>
        </is>
      </c>
      <c r="E530" s="0" t="inlineStr">
        <is>
          <t xml:space="preserve">Navy/USMC</t>
        </is>
      </c>
      <c r="F530" s="0" t="inlineStr">
        <is>
          <t xml:space="preserve">ship_repair_maintenance</t>
        </is>
      </c>
      <c r="G530" s="0" t="inlineStr">
        <is>
          <t xml:space="preserve">811210</t>
        </is>
      </c>
      <c r="H530" s="0" t="inlineStr">
        <is>
          <t xml:space="preserve">J059</t>
        </is>
      </c>
      <c r="I530" s="0" t="inlineStr">
        <is>
          <t xml:space="preserve">Repair and Technical Support of Maritime Domain Awareness (MDA) System</t>
        </is>
      </c>
      <c r="J530" s="0" t="inlineStr">
        <is>
          <t xml:space="preserve">N6523626RE015</t>
        </is>
      </c>
    </row>
    <row r="531">
      <c r="B531" s="0" t="inlineStr">
        <is>
          <t xml:space="preserve">1b92954826b4488cb011cb429108c8a1</t>
        </is>
      </c>
      <c r="C531" s="0" t="inlineStr">
        <is>
          <t xml:space="preserve">Combined Synopsis/Solicitation</t>
        </is>
      </c>
      <c r="D531" s="0" t="inlineStr">
        <is>
          <t xml:space="preserve">2026-01-07</t>
        </is>
      </c>
      <c r="E531" s="0" t="inlineStr">
        <is>
          <t xml:space="preserve">Army</t>
        </is>
      </c>
      <c r="F531" s="0" t="inlineStr">
        <is>
          <t xml:space="preserve">usv_autonomy</t>
        </is>
      </c>
      <c r="G531" s="0" t="inlineStr">
        <is>
          <t xml:space="preserve">339112</t>
        </is>
      </c>
      <c r="H531" s="0" t="inlineStr">
        <is>
          <t xml:space="preserve">6515</t>
        </is>
      </c>
      <c r="I531" s="0" t="inlineStr">
        <is>
          <t xml:space="preserve">6l capacity Autonomous Portable blood Refrigeration Unit</t>
        </is>
      </c>
      <c r="J531" s="0" t="inlineStr">
        <is>
          <t xml:space="preserve">W911S226U2391</t>
        </is>
      </c>
    </row>
    <row r="532">
      <c r="B532" s="0" t="inlineStr">
        <is>
          <t xml:space="preserve">ed055b8571564af399dbb2174c87b736</t>
        </is>
      </c>
      <c r="C532" s="0" t="inlineStr">
        <is>
          <t xml:space="preserve">Combined Synopsis/Solicitation</t>
        </is>
      </c>
      <c r="D532" s="0" t="inlineStr">
        <is>
          <t xml:space="preserve">2026-01-20</t>
        </is>
      </c>
      <c r="E532" s="0" t="inlineStr">
        <is>
          <t xml:space="preserve">Army</t>
        </is>
      </c>
      <c r="F532" s="0" t="inlineStr">
        <is>
          <t xml:space="preserve">usv_autonomy</t>
        </is>
      </c>
      <c r="G532" s="0" t="inlineStr">
        <is>
          <t xml:space="preserve">339112</t>
        </is>
      </c>
      <c r="H532" s="0" t="inlineStr">
        <is>
          <t xml:space="preserve">6515</t>
        </is>
      </c>
      <c r="I532" s="0" t="inlineStr">
        <is>
          <t xml:space="preserve">autonomous portable blood refrigeration unit</t>
        </is>
      </c>
      <c r="J532" s="0" t="inlineStr">
        <is>
          <t xml:space="preserve">W911S226U2474</t>
        </is>
      </c>
    </row>
    <row r="533">
      <c r="B533" s="0" t="inlineStr">
        <is>
          <t xml:space="preserve">80d8e8a150c24850a3bda34c0eb87013</t>
        </is>
      </c>
      <c r="C533" s="0" t="inlineStr">
        <is>
          <t xml:space="preserve">Sources Sought</t>
        </is>
      </c>
      <c r="D533" s="0" t="inlineStr">
        <is>
          <t xml:space="preserve">2026-02-03</t>
        </is>
      </c>
      <c r="E533" s="0" t="inlineStr">
        <is>
          <t xml:space="preserve">Army</t>
        </is>
      </c>
      <c r="F533" s="0" t="inlineStr">
        <is>
          <t xml:space="preserve">other</t>
        </is>
      </c>
      <c r="G533" s="0" t="inlineStr">
        <is>
          <t xml:space="preserve">336411</t>
        </is>
      </c>
      <c r="H533" s="0" t="inlineStr">
        <is>
          <t xml:space="preserve">1550</t>
        </is>
      </c>
      <c r="I533" s="0" t="inlineStr">
        <is>
          <t xml:space="preserve">small unmanned aircraft systems (sUAS)</t>
        </is>
      </c>
      <c r="J533" s="0" t="inlineStr">
        <is>
          <t xml:space="preserve">W911S226QSDRN</t>
        </is>
      </c>
    </row>
    <row r="534">
      <c r="B534" s="0" t="inlineStr">
        <is>
          <t xml:space="preserve">101f758de5f345dcafdec4012422fc83</t>
        </is>
      </c>
      <c r="C534" s="0" t="inlineStr">
        <is>
          <t xml:space="preserve">Combined Synopsis/Solicitation</t>
        </is>
      </c>
      <c r="D534" s="0" t="inlineStr">
        <is>
          <t xml:space="preserve">2026-02-09</t>
        </is>
      </c>
      <c r="E534" s="0" t="inlineStr">
        <is>
          <t xml:space="preserve">Navy/USMC</t>
        </is>
      </c>
      <c r="F534" s="0" t="inlineStr">
        <is>
          <t xml:space="preserve">ship_repair_maintenance</t>
        </is>
      </c>
      <c r="G534" s="0" t="inlineStr">
        <is>
          <t xml:space="preserve">488390</t>
        </is>
      </c>
      <c r="H534" s="0" t="inlineStr">
        <is>
          <t xml:space="preserve">J019</t>
        </is>
      </c>
      <c r="I534" s="0" t="inlineStr">
        <is>
          <t xml:space="preserve">N66001-26-Q-6059, BOAT MAINTENANCE</t>
        </is>
      </c>
      <c r="J534" s="0" t="inlineStr">
        <is>
          <t xml:space="preserve">N6600126Q6059</t>
        </is>
      </c>
    </row>
    <row r="535">
      <c r="B535" s="0" t="inlineStr">
        <is>
          <t xml:space="preserve">92f4c3da667149388111d8bfca9684c7</t>
        </is>
      </c>
      <c r="C535" s="0" t="inlineStr">
        <is>
          <t xml:space="preserve">Sources Sought</t>
        </is>
      </c>
      <c r="D535" s="0" t="inlineStr">
        <is>
          <t xml:space="preserve">2026-02-12</t>
        </is>
      </c>
      <c r="E535" s="0" t="inlineStr">
        <is>
          <t xml:space="preserve">Coast Guard</t>
        </is>
      </c>
      <c r="F535" s="0" t="inlineStr">
        <is>
          <t xml:space="preserve">ship_repair_maintenance</t>
        </is>
      </c>
      <c r="G535" s="0" t="inlineStr">
        <is>
          <t xml:space="preserve">332710</t>
        </is>
      </c>
      <c r="H535" s="0" t="inlineStr">
        <is>
          <t xml:space="preserve">2040</t>
        </is>
      </c>
      <c r="I535" s="0" t="inlineStr">
        <is>
          <t xml:space="preserve">87' Coastal Patrol Boat Starboard and PORT Rudder Overhaul</t>
        </is>
      </c>
      <c r="J535" s="0" t="inlineStr">
        <is>
          <t xml:space="preserve">70Z08026F16007B00RP</t>
        </is>
      </c>
    </row>
    <row r="536">
      <c r="B536" s="0" t="inlineStr">
        <is>
          <t xml:space="preserve">092e10228d4447808d0c1acda2577e09</t>
        </is>
      </c>
      <c r="C536" s="0" t="inlineStr">
        <is>
          <t xml:space="preserve">Sources Sought</t>
        </is>
      </c>
      <c r="D536" s="0" t="inlineStr">
        <is>
          <t xml:space="preserve">2026-02-26</t>
        </is>
      </c>
      <c r="E536" s="0" t="inlineStr">
        <is>
          <t xml:space="preserve">Navy/USMC</t>
        </is>
      </c>
      <c r="F536" s="0" t="inlineStr">
        <is>
          <t xml:space="preserve">other</t>
        </is>
      </c>
      <c r="G536" s="0" t="inlineStr">
        <is>
          <t xml:space="preserve">334290</t>
        </is>
      </c>
      <c r="H536" s="0" t="inlineStr">
        <is>
          <t xml:space="preserve">5845</t>
        </is>
      </c>
      <c r="I536" s="0" t="inlineStr">
        <is>
          <t xml:space="preserve">5845 Sources Sought - Dome, Sonar (Bow Dome) - Maritime NAVSUP WSS</t>
        </is>
      </c>
      <c r="J536" s="0" t="inlineStr">
        <is>
          <t xml:space="preserve">N0010426RZ053</t>
        </is>
      </c>
    </row>
    <row r="537">
      <c r="B537" s="0" t="inlineStr">
        <is>
          <t xml:space="preserve">b7c30b38c0c146959eda43eb198f7cd4</t>
        </is>
      </c>
      <c r="C537" s="0" t="inlineStr">
        <is>
          <t xml:space="preserve">Sources Sought</t>
        </is>
      </c>
      <c r="D537" s="0" t="inlineStr">
        <is>
          <t xml:space="preserve">2026-01-29</t>
        </is>
      </c>
      <c r="E537" s="0" t="inlineStr">
        <is>
          <t xml:space="preserve">Army</t>
        </is>
      </c>
      <c r="F537" s="0" t="inlineStr">
        <is>
          <t xml:space="preserve">other</t>
        </is>
      </c>
      <c r="G537" s="0" t="inlineStr">
        <is>
          <t xml:space="preserve">336411</t>
        </is>
      </c>
      <c r="I537" s="0" t="inlineStr">
        <is>
          <t xml:space="preserve">Request for Information (RFI) for Unmanned Aircraft Systems (UAS), Counter-UAS Systems, and Related Supplies</t>
        </is>
      </c>
      <c r="J537" s="0" t="inlineStr">
        <is>
          <t xml:space="preserve">PAN411-26-P-0000027192</t>
        </is>
      </c>
    </row>
    <row r="538">
      <c r="B538" s="0" t="inlineStr">
        <is>
          <t xml:space="preserve">cd95770dfd184847879a8f22deb78263</t>
        </is>
      </c>
      <c r="C538" s="0" t="inlineStr">
        <is>
          <t xml:space="preserve">Combined Synopsis/Solicitation</t>
        </is>
      </c>
      <c r="D538" s="0" t="inlineStr">
        <is>
          <t xml:space="preserve">2026-02-18</t>
        </is>
      </c>
      <c r="E538" s="0" t="inlineStr">
        <is>
          <t xml:space="preserve">Civil/Other</t>
        </is>
      </c>
      <c r="F538" s="0" t="inlineStr">
        <is>
          <t xml:space="preserve">usv_autonomy</t>
        </is>
      </c>
      <c r="G538" s="0" t="inlineStr">
        <is>
          <t xml:space="preserve">333310</t>
        </is>
      </c>
      <c r="H538" s="0" t="inlineStr">
        <is>
          <t xml:space="preserve">7910</t>
        </is>
      </c>
      <c r="I538" s="0" t="inlineStr">
        <is>
          <t xml:space="preserve">7910--NX EQ  Autonomous Floor Scrubber (VA-26-00008377)</t>
        </is>
      </c>
      <c r="J538" s="0" t="inlineStr">
        <is>
          <t xml:space="preserve">36C10G26R0008</t>
        </is>
      </c>
    </row>
    <row r="539">
      <c r="B539" s="0" t="inlineStr">
        <is>
          <t xml:space="preserve">fb896cd1262144d19e47389cfb9207ba</t>
        </is>
      </c>
      <c r="C539" s="0" t="inlineStr">
        <is>
          <t xml:space="preserve">Combined Synopsis/Solicitation</t>
        </is>
      </c>
      <c r="D539" s="0" t="inlineStr">
        <is>
          <t xml:space="preserve">2026-03-09</t>
        </is>
      </c>
      <c r="E539" s="0" t="inlineStr">
        <is>
          <t xml:space="preserve">Army</t>
        </is>
      </c>
      <c r="F539" s="0" t="inlineStr">
        <is>
          <t xml:space="preserve">other</t>
        </is>
      </c>
      <c r="G539" s="0" t="inlineStr">
        <is>
          <t xml:space="preserve">336411</t>
        </is>
      </c>
      <c r="H539" s="0" t="inlineStr">
        <is>
          <t xml:space="preserve">1550</t>
        </is>
      </c>
      <c r="I539" s="0" t="inlineStr">
        <is>
          <t xml:space="preserve">Unmanned Aircraft System Kinetic Strike Payload</t>
        </is>
      </c>
      <c r="J539" s="0" t="inlineStr">
        <is>
          <t xml:space="preserve">W911S226U2754</t>
        </is>
      </c>
    </row>
    <row r="540">
      <c r="B540" s="0" t="inlineStr">
        <is>
          <t xml:space="preserve">dd0c44c75b90428ab037c4780d5e6013</t>
        </is>
      </c>
      <c r="C540" s="0" t="inlineStr">
        <is>
          <t xml:space="preserve">Sources Sought</t>
        </is>
      </c>
      <c r="D540" s="0" t="inlineStr">
        <is>
          <t xml:space="preserve">2026-03-20</t>
        </is>
      </c>
      <c r="E540" s="0" t="inlineStr">
        <is>
          <t xml:space="preserve">Navy/USMC</t>
        </is>
      </c>
      <c r="F540" s="0" t="inlineStr">
        <is>
          <t xml:space="preserve">usv_autonomy</t>
        </is>
      </c>
      <c r="G540" s="0" t="inlineStr">
        <is>
          <t xml:space="preserve">334220</t>
        </is>
      </c>
      <c r="H540" s="0" t="inlineStr">
        <is>
          <t xml:space="preserve">1550</t>
        </is>
      </c>
      <c r="I540" s="0" t="inlineStr">
        <is>
          <t xml:space="preserve">Unmanned Common Controller (UCC) for the United States Marine Corps</t>
        </is>
      </c>
      <c r="J540" s="0" t="inlineStr">
        <is>
          <t xml:space="preserve">243-26-012</t>
        </is>
      </c>
    </row>
    <row r="541">
      <c r="B541" s="0" t="inlineStr">
        <is>
          <t xml:space="preserve">d71555a5a6704e5abb1393c9eafdcc99</t>
        </is>
      </c>
      <c r="C541" s="0" t="inlineStr">
        <is>
          <t xml:space="preserve">Sources Sought</t>
        </is>
      </c>
      <c r="D541" s="0" t="inlineStr">
        <is>
          <t xml:space="preserve">2026-03-19</t>
        </is>
      </c>
      <c r="E541" s="0" t="inlineStr">
        <is>
          <t xml:space="preserve">Navy/USMC</t>
        </is>
      </c>
      <c r="F541" s="0" t="inlineStr">
        <is>
          <t xml:space="preserve">usv_autonomy</t>
        </is>
      </c>
      <c r="G541" s="0" t="inlineStr">
        <is>
          <t xml:space="preserve">541715</t>
        </is>
      </c>
      <c r="H541" s="0" t="inlineStr">
        <is>
          <t xml:space="preserve">AC12</t>
        </is>
      </c>
      <c r="I541" s="0" t="inlineStr">
        <is>
          <t xml:space="preserve">Reuseable, Unmanned Developmental Test and Evaluation (DT&amp;E) Platform</t>
        </is>
      </c>
      <c r="J541" s="0" t="inlineStr">
        <is>
          <t xml:space="preserve">N6893626RFPREQD0AH3000002</t>
        </is>
      </c>
    </row>
    <row r="542">
      <c r="B542" s="0" t="inlineStr">
        <is>
          <t xml:space="preserve">be929f9961b04bc4a4cb4c7507ae6f0e</t>
        </is>
      </c>
      <c r="C542" s="0" t="inlineStr">
        <is>
          <t xml:space="preserve">Combined Synopsis/Solicitation</t>
        </is>
      </c>
      <c r="D542" s="0" t="inlineStr">
        <is>
          <t xml:space="preserve">2026-04-07</t>
        </is>
      </c>
      <c r="E542" s="0" t="inlineStr">
        <is>
          <t xml:space="preserve">Army</t>
        </is>
      </c>
      <c r="F542" s="0" t="inlineStr">
        <is>
          <t xml:space="preserve">marine_components_parts</t>
        </is>
      </c>
      <c r="G542" s="0" t="inlineStr">
        <is>
          <t xml:space="preserve">336310</t>
        </is>
      </c>
      <c r="H542" s="0" t="inlineStr">
        <is>
          <t xml:space="preserve">2010</t>
        </is>
      </c>
      <c r="I542" s="0" t="inlineStr">
        <is>
          <t xml:space="preserve">ARTB Boat Motors</t>
        </is>
      </c>
      <c r="J542" s="0" t="inlineStr">
        <is>
          <t xml:space="preserve">W911S226U2969</t>
        </is>
      </c>
    </row>
    <row r="543">
      <c r="B543" s="0" t="inlineStr">
        <is>
          <t xml:space="preserve">a1c5ab527bde44a5ad422b04ccccc1bb</t>
        </is>
      </c>
      <c r="C543" s="0" t="inlineStr">
        <is>
          <t xml:space="preserve">Solicitation</t>
        </is>
      </c>
      <c r="D543" s="0" t="inlineStr">
        <is>
          <t xml:space="preserve">2026-04-13</t>
        </is>
      </c>
      <c r="E543" s="0" t="inlineStr">
        <is>
          <t xml:space="preserve">Army</t>
        </is>
      </c>
      <c r="F543" s="0" t="inlineStr">
        <is>
          <t xml:space="preserve">other</t>
        </is>
      </c>
      <c r="G543" s="0" t="inlineStr">
        <is>
          <t xml:space="preserve">336411</t>
        </is>
      </c>
      <c r="H543" s="0" t="inlineStr">
        <is>
          <t xml:space="preserve">1550</t>
        </is>
      </c>
      <c r="I543" s="0" t="inlineStr">
        <is>
          <t xml:space="preserve">Call for Solutions for UAS Marketplace Onboarding of Group 1 and 2 Uncrewed Aircraft Systems (UAS) and Launched Effects (LE)</t>
        </is>
      </c>
      <c r="J543" s="0" t="inlineStr">
        <is>
          <t xml:space="preserve">W58RGZ-26-S-C001-0001</t>
        </is>
      </c>
    </row>
    <row r="544">
      <c r="B544" s="0" t="inlineStr">
        <is>
          <t xml:space="preserve">876ad75cb1054125981b73c5e085a383</t>
        </is>
      </c>
      <c r="C544" s="0" t="inlineStr">
        <is>
          <t xml:space="preserve">Combined Synopsis/Solicitation</t>
        </is>
      </c>
      <c r="D544" s="0" t="inlineStr">
        <is>
          <t xml:space="preserve">2026-04-14</t>
        </is>
      </c>
      <c r="E544" s="0" t="inlineStr">
        <is>
          <t xml:space="preserve">Army</t>
        </is>
      </c>
      <c r="F544" s="0" t="inlineStr">
        <is>
          <t xml:space="preserve">usv_autonomy</t>
        </is>
      </c>
      <c r="G544" s="0" t="inlineStr">
        <is>
          <t xml:space="preserve">336411</t>
        </is>
      </c>
      <c r="H544" s="0" t="inlineStr">
        <is>
          <t xml:space="preserve">1550</t>
        </is>
      </c>
      <c r="I544" s="0" t="inlineStr">
        <is>
          <t xml:space="preserve">Unmanned aerial surveillance drone</t>
        </is>
      </c>
      <c r="J544" s="0" t="inlineStr">
        <is>
          <t xml:space="preserve">W911S226U3022</t>
        </is>
      </c>
    </row>
    <row r="545">
      <c r="B545" s="0" t="inlineStr">
        <is>
          <t xml:space="preserve">a61c4ee1e5204c3ea03dec6d7e1dde47</t>
        </is>
      </c>
      <c r="C545" s="0" t="inlineStr">
        <is>
          <t xml:space="preserve">Presolicitation</t>
        </is>
      </c>
      <c r="D545" s="0" t="inlineStr">
        <is>
          <t xml:space="preserve">2026-04-17</t>
        </is>
      </c>
      <c r="E545" s="0" t="inlineStr">
        <is>
          <t xml:space="preserve">Army</t>
        </is>
      </c>
      <c r="F545" s="0" t="inlineStr">
        <is>
          <t xml:space="preserve">usv_autonomy</t>
        </is>
      </c>
      <c r="G545" s="0" t="inlineStr">
        <is>
          <t xml:space="preserve">236220</t>
        </is>
      </c>
      <c r="H545" s="0" t="inlineStr">
        <is>
          <t xml:space="preserve">Y1JZ</t>
        </is>
      </c>
      <c r="I545" s="0" t="inlineStr">
        <is>
          <t xml:space="preserve">Unmanned Fusion Warfare Laboratory (UFWL) at NSWC Crane IN</t>
        </is>
      </c>
      <c r="J545" s="0" t="inlineStr">
        <is>
          <t xml:space="preserve">W912QR26BA010</t>
        </is>
      </c>
    </row>
    <row r="546">
      <c r="B546" s="0" t="inlineStr">
        <is>
          <t xml:space="preserve">692437899bf2436d82f8ec5941c3af68</t>
        </is>
      </c>
      <c r="C546" s="0" t="inlineStr">
        <is>
          <t xml:space="preserve">Presolicitation</t>
        </is>
      </c>
      <c r="D546" s="0" t="inlineStr">
        <is>
          <t xml:space="preserve">2026-04-28</t>
        </is>
      </c>
      <c r="E546" s="0" t="inlineStr">
        <is>
          <t xml:space="preserve">Navy/USMC</t>
        </is>
      </c>
      <c r="F546" s="0" t="inlineStr">
        <is>
          <t xml:space="preserve">services_rdte</t>
        </is>
      </c>
      <c r="G546" s="0" t="inlineStr">
        <is>
          <t xml:space="preserve">541330</t>
        </is>
      </c>
      <c r="H546" s="0" t="inlineStr">
        <is>
          <t xml:space="preserve">R706</t>
        </is>
      </c>
      <c r="I546" s="0" t="inlineStr">
        <is>
          <t xml:space="preserve">REQUEST FOR INFORMATION (RFI)/SOURCES SOUGHT ? NON-PERSONAL ACQUISITION ENGINEERING, PRODUCT SUPPORT AND LOGISTICS (PSL) SUPPORT TO THE MARITIME ELECTROMAGNETIC WARFARE DIVISION- PSC R706 - NAICS 541330</t>
        </is>
      </c>
      <c r="J546" s="0" t="inlineStr">
        <is>
          <t xml:space="preserve">N0016426SNB39</t>
        </is>
      </c>
    </row>
    <row r="547">
      <c r="B547" s="0" t="inlineStr">
        <is>
          <t xml:space="preserve">435dc25e5eaf427aa3f0a2321692fa21</t>
        </is>
      </c>
      <c r="C547" s="0" t="inlineStr">
        <is>
          <t xml:space="preserve">Solicitation</t>
        </is>
      </c>
      <c r="D547" s="0" t="inlineStr">
        <is>
          <t xml:space="preserve">2026-05-04</t>
        </is>
      </c>
      <c r="E547" s="0" t="inlineStr">
        <is>
          <t xml:space="preserve">Navy/USMC</t>
        </is>
      </c>
      <c r="F547" s="0" t="inlineStr">
        <is>
          <t xml:space="preserve">other</t>
        </is>
      </c>
      <c r="G547" s="0" t="inlineStr">
        <is>
          <t xml:space="preserve">236210</t>
        </is>
      </c>
      <c r="H547" s="0" t="inlineStr">
        <is>
          <t xml:space="preserve">Y1EZ</t>
        </is>
      </c>
      <c r="I547" s="0" t="inlineStr">
        <is>
          <t xml:space="preserve">P1360: Joint Maritime Facility, Newfoundland, Canada</t>
        </is>
      </c>
      <c r="J547" s="0" t="inlineStr">
        <is>
          <t xml:space="preserve">N6247026R0011</t>
        </is>
      </c>
    </row>
    <row r="548">
      <c r="B548" s="0" t="inlineStr">
        <is>
          <t xml:space="preserve">60410a0d11344a148b7ad73caf5fabe0</t>
        </is>
      </c>
      <c r="C548" s="0" t="inlineStr">
        <is>
          <t xml:space="preserve">Sources Sought</t>
        </is>
      </c>
      <c r="D548" s="0" t="inlineStr">
        <is>
          <t xml:space="preserve">2026-04-14</t>
        </is>
      </c>
      <c r="E548" s="0" t="inlineStr">
        <is>
          <t xml:space="preserve">Army</t>
        </is>
      </c>
      <c r="F548" s="0" t="inlineStr">
        <is>
          <t xml:space="preserve">services_rdte</t>
        </is>
      </c>
      <c r="G548" s="0" t="inlineStr">
        <is>
          <t xml:space="preserve">541990</t>
        </is>
      </c>
      <c r="H548" s="0" t="inlineStr">
        <is>
          <t xml:space="preserve">R499</t>
        </is>
      </c>
      <c r="I548" s="0" t="inlineStr">
        <is>
          <t xml:space="preserve">NAMS/SAMS Vessel Inspection Sources Sought</t>
        </is>
      </c>
      <c r="J548" s="0" t="inlineStr">
        <is>
          <t xml:space="preserve">W912EQ26SS0006</t>
        </is>
      </c>
    </row>
    <row r="549">
      <c r="B549" s="0" t="inlineStr">
        <is>
          <t xml:space="preserve">1c8c9fed25344fc98d7a723b1b418dd0</t>
        </is>
      </c>
      <c r="C549" s="0" t="inlineStr">
        <is>
          <t xml:space="preserve">Solicitation</t>
        </is>
      </c>
      <c r="D549" s="0" t="inlineStr">
        <is>
          <t xml:space="preserve">2026-05-13</t>
        </is>
      </c>
      <c r="E549" s="0" t="inlineStr">
        <is>
          <t xml:space="preserve">Army</t>
        </is>
      </c>
      <c r="F549" s="0" t="inlineStr">
        <is>
          <t xml:space="preserve">other</t>
        </is>
      </c>
      <c r="G549" s="0" t="inlineStr">
        <is>
          <t xml:space="preserve">336411</t>
        </is>
      </c>
      <c r="H549" s="0" t="inlineStr">
        <is>
          <t xml:space="preserve">1550</t>
        </is>
      </c>
      <c r="I549" s="0" t="inlineStr">
        <is>
          <t xml:space="preserve">Platoon Level Small Uncrewed Aircraft System (SUAS)</t>
        </is>
      </c>
      <c r="J549" s="0" t="inlineStr">
        <is>
          <t xml:space="preserve">W58RGZ-26-S-C001-0002</t>
        </is>
      </c>
    </row>
    <row r="550">
      <c r="B550" s="0" t="inlineStr">
        <is>
          <t xml:space="preserve">02ec5ed7969d4c249423beb4425ef8f5</t>
        </is>
      </c>
      <c r="C550" s="0" t="inlineStr">
        <is>
          <t xml:space="preserve">Sources Sought</t>
        </is>
      </c>
      <c r="D550" s="0" t="inlineStr">
        <is>
          <t xml:space="preserve">2026-05-12</t>
        </is>
      </c>
      <c r="E550" s="0" t="inlineStr">
        <is>
          <t xml:space="preserve">Civil/Other</t>
        </is>
      </c>
      <c r="F550" s="0" t="inlineStr">
        <is>
          <t xml:space="preserve">usv_autonomy</t>
        </is>
      </c>
      <c r="G550" s="0" t="inlineStr">
        <is>
          <t xml:space="preserve">541715</t>
        </is>
      </c>
      <c r="H550" s="0" t="inlineStr">
        <is>
          <t xml:space="preserve">1550</t>
        </is>
      </c>
      <c r="I550" s="0" t="inlineStr">
        <is>
          <t xml:space="preserve">Advanced Communications Experiment – Cross-border Autonomous Vehicle Session Persistence Experiment and Research</t>
        </is>
      </c>
      <c r="J550" s="0" t="inlineStr">
        <is>
          <t xml:space="preserve">70RSAT26RFI000017</t>
        </is>
      </c>
    </row>
    <row r="551">
      <c r="B551" s="0" t="inlineStr">
        <is>
          <t xml:space="preserve">55a273dd52024806abe33f7bf9b5d797</t>
        </is>
      </c>
      <c r="C551" s="0" t="inlineStr">
        <is>
          <t xml:space="preserve">Combined Synopsis/Solicitation</t>
        </is>
      </c>
      <c r="D551" s="0" t="inlineStr">
        <is>
          <t xml:space="preserve">2026-05-13</t>
        </is>
      </c>
      <c r="E551" s="0" t="inlineStr">
        <is>
          <t xml:space="preserve">Other DoD</t>
        </is>
      </c>
      <c r="F551" s="0" t="inlineStr">
        <is>
          <t xml:space="preserve">other</t>
        </is>
      </c>
      <c r="G551" s="0" t="inlineStr">
        <is>
          <t xml:space="preserve">333310</t>
        </is>
      </c>
      <c r="H551" s="0" t="inlineStr">
        <is>
          <t xml:space="preserve">46</t>
        </is>
      </c>
      <c r="I551" s="0" t="inlineStr">
        <is>
          <t xml:space="preserve">46--VESSEL ASSEMBLY,REV</t>
        </is>
      </c>
      <c r="J551" s="0" t="inlineStr">
        <is>
          <t xml:space="preserve">SPE8E826T3667</t>
        </is>
      </c>
    </row>
    <row r="552">
      <c r="B552" s="0" t="inlineStr">
        <is>
          <t xml:space="preserve">f7f65adb0fea456d844c0b85c25ee106</t>
        </is>
      </c>
      <c r="C552" s="0" t="inlineStr">
        <is>
          <t xml:space="preserve">Combined Synopsis/Solicitation</t>
        </is>
      </c>
      <c r="D552" s="0" t="inlineStr">
        <is>
          <t xml:space="preserve">2026-05-19</t>
        </is>
      </c>
      <c r="E552" s="0" t="inlineStr">
        <is>
          <t xml:space="preserve">Navy/USMC</t>
        </is>
      </c>
      <c r="F552" s="0" t="inlineStr">
        <is>
          <t xml:space="preserve">services_rdte</t>
        </is>
      </c>
      <c r="G552" s="0" t="inlineStr">
        <is>
          <t xml:space="preserve">541990</t>
        </is>
      </c>
      <c r="H552" s="0" t="inlineStr">
        <is>
          <t xml:space="preserve">H320</t>
        </is>
      </c>
      <c r="I552" s="0" t="inlineStr">
        <is>
          <t xml:space="preserve">engineering inspection regime onboard Training Support Vessel Squadron (TSVRON) vessels TSV-1 PREVAIL, TSV-3 HUNTER, TSV-4 NARRAGANSETT, and TSV-5 VINDICATOR currently homeported at JEB Little Creek. The Training Support Vessels (TSV) are utilized to suppo</t>
        </is>
      </c>
      <c r="J552" s="0" t="inlineStr">
        <is>
          <t xml:space="preserve">N0018926QL1180001</t>
        </is>
      </c>
    </row>
    <row r="553">
      <c r="B553" s="0" t="inlineStr">
        <is>
          <t xml:space="preserve">8aae6f893e8c456d8a938103cd144700</t>
        </is>
      </c>
      <c r="C553" s="0" t="inlineStr">
        <is>
          <t xml:space="preserve">Solicitation</t>
        </is>
      </c>
      <c r="D553" s="0" t="inlineStr">
        <is>
          <t xml:space="preserve">2026-04-28</t>
        </is>
      </c>
      <c r="E553" s="0" t="inlineStr">
        <is>
          <t xml:space="preserve">Other DoD</t>
        </is>
      </c>
      <c r="F553" s="0" t="inlineStr">
        <is>
          <t xml:space="preserve">marine_components_parts</t>
        </is>
      </c>
      <c r="G553" s="0" t="inlineStr">
        <is>
          <t xml:space="preserve">333998</t>
        </is>
      </c>
      <c r="H553" s="0" t="inlineStr">
        <is>
          <t xml:space="preserve">2030</t>
        </is>
      </c>
      <c r="I553" s="0" t="inlineStr">
        <is>
          <t xml:space="preserve">2030-DAVITS, BOAT, BOOM</t>
        </is>
      </c>
      <c r="J553" s="0" t="inlineStr">
        <is>
          <t xml:space="preserve">SPRMM1-26-Q-MF06</t>
        </is>
      </c>
    </row>
    <row r="554">
      <c r="B554" s="0" t="inlineStr">
        <is>
          <t xml:space="preserve">665b597d311e4667b356d1115be5785e</t>
        </is>
      </c>
      <c r="C554" s="0" t="inlineStr">
        <is>
          <t xml:space="preserve">Solicitation</t>
        </is>
      </c>
      <c r="D554" s="0" t="inlineStr">
        <is>
          <t xml:space="preserve">2026-04-28</t>
        </is>
      </c>
      <c r="E554" s="0" t="inlineStr">
        <is>
          <t xml:space="preserve">Other DoD</t>
        </is>
      </c>
      <c r="F554" s="0" t="inlineStr">
        <is>
          <t xml:space="preserve">marine_components_parts</t>
        </is>
      </c>
      <c r="G554" s="0" t="inlineStr">
        <is>
          <t xml:space="preserve">334220</t>
        </is>
      </c>
      <c r="H554" s="0" t="inlineStr">
        <is>
          <t xml:space="preserve">5985</t>
        </is>
      </c>
      <c r="I554" s="0" t="inlineStr">
        <is>
          <t xml:space="preserve">RFQ- DLA MARITIME, RADOME (NSN 5985-01-574-6295)- Qty 4</t>
        </is>
      </c>
      <c r="J554" s="0" t="inlineStr">
        <is>
          <t xml:space="preserve">SPRMM1-26-Q-HC44</t>
        </is>
      </c>
    </row>
    <row r="555">
      <c r="B555" s="0" t="inlineStr">
        <is>
          <t xml:space="preserve">11908ae8d90e414382211244cf25bde7</t>
        </is>
      </c>
      <c r="C555" s="0" t="inlineStr">
        <is>
          <t xml:space="preserve">Combined Synopsis/Solicitation</t>
        </is>
      </c>
      <c r="D555" s="0" t="inlineStr">
        <is>
          <t xml:space="preserve">2026-05-13</t>
        </is>
      </c>
      <c r="E555" s="0" t="inlineStr">
        <is>
          <t xml:space="preserve">Other DoD</t>
        </is>
      </c>
      <c r="F555" s="0" t="inlineStr">
        <is>
          <t xml:space="preserve">marine_components_parts</t>
        </is>
      </c>
      <c r="G555" s="0" t="inlineStr">
        <is>
          <t xml:space="preserve">332510</t>
        </is>
      </c>
      <c r="H555" s="0" t="inlineStr">
        <is>
          <t xml:space="preserve">20</t>
        </is>
      </c>
      <c r="I555" s="0" t="inlineStr">
        <is>
          <t xml:space="preserve">20--HOOK,BOAT</t>
        </is>
      </c>
      <c r="J555" s="0" t="inlineStr">
        <is>
          <t xml:space="preserve">SPE7M426U0335</t>
        </is>
      </c>
    </row>
    <row r="556">
      <c r="B556" s="0" t="inlineStr">
        <is>
          <t xml:space="preserve">cef13d9d3e0c4190be0a39eb7d38f88a</t>
        </is>
      </c>
      <c r="C556" s="0" t="inlineStr">
        <is>
          <t xml:space="preserve">Special Notice</t>
        </is>
      </c>
      <c r="D556" s="0" t="inlineStr">
        <is>
          <t xml:space="preserve">2026-05-14</t>
        </is>
      </c>
      <c r="E556" s="0" t="inlineStr">
        <is>
          <t xml:space="preserve">Other DoD</t>
        </is>
      </c>
      <c r="F556" s="0" t="inlineStr">
        <is>
          <t xml:space="preserve">other</t>
        </is>
      </c>
      <c r="I556" s="0" t="inlineStr">
        <is>
          <t xml:space="preserve">2026 NSWC Port Hueneme Maritime Advanced Technology Accelerator Consortium (MATAC) OTA Virtual Industry Day</t>
        </is>
      </c>
    </row>
    <row r="557">
      <c r="B557" s="0" t="inlineStr">
        <is>
          <t xml:space="preserve">832104b46d5344d58b9673ebd98b737d</t>
        </is>
      </c>
      <c r="C557" s="0" t="inlineStr">
        <is>
          <t xml:space="preserve">Special Notice</t>
        </is>
      </c>
      <c r="D557" s="0" t="inlineStr">
        <is>
          <t xml:space="preserve">2026-04-29</t>
        </is>
      </c>
      <c r="E557" s="0" t="inlineStr">
        <is>
          <t xml:space="preserve">Other DoD</t>
        </is>
      </c>
      <c r="F557" s="0" t="inlineStr">
        <is>
          <t xml:space="preserve">services_rdte</t>
        </is>
      </c>
      <c r="G557" s="0" t="inlineStr">
        <is>
          <t xml:space="preserve">541715</t>
        </is>
      </c>
      <c r="H557" s="0" t="inlineStr">
        <is>
          <t xml:space="preserve">AC13</t>
        </is>
      </c>
      <c r="I557" s="0" t="inlineStr">
        <is>
          <t xml:space="preserve">USSOCOM RFI TE 26-3 Maritime Operations in Contested Electromagnetic Spectrum (EMS) Environments</t>
        </is>
      </c>
      <c r="J557" s="0" t="inlineStr">
        <is>
          <t xml:space="preserve">RFI_TE_26_3_Maritime_Operations_in_Contested_Electromagnetic_Spectrum_Environments</t>
        </is>
      </c>
    </row>
    <row r="558">
      <c r="B558" s="0" t="inlineStr">
        <is>
          <t xml:space="preserve">15edc823c51141e7bac8c62921dd272f</t>
        </is>
      </c>
      <c r="C558" s="0" t="inlineStr">
        <is>
          <t xml:space="preserve">Presolicitation</t>
        </is>
      </c>
      <c r="D558" s="0" t="inlineStr">
        <is>
          <t xml:space="preserve">2026-05-14</t>
        </is>
      </c>
      <c r="E558" s="0" t="inlineStr">
        <is>
          <t xml:space="preserve">Navy/USMC</t>
        </is>
      </c>
      <c r="F558" s="0" t="inlineStr">
        <is>
          <t xml:space="preserve">usv_autonomy</t>
        </is>
      </c>
      <c r="G558" s="0" t="inlineStr">
        <is>
          <t xml:space="preserve">541715</t>
        </is>
      </c>
      <c r="H558" s="0" t="inlineStr">
        <is>
          <t xml:space="preserve">AC12</t>
        </is>
      </c>
      <c r="I558" s="0" t="inlineStr">
        <is>
          <t xml:space="preserve">Manned/Unmanned Teaming (MUM-T) Plus Experimentation Effort</t>
        </is>
      </c>
      <c r="J558" s="0" t="inlineStr">
        <is>
          <t xml:space="preserve">N00019-26-RFPREQ-TPM231-0370</t>
        </is>
      </c>
    </row>
    <row r="559">
      <c r="B559" s="0" t="inlineStr">
        <is>
          <t xml:space="preserve">10450f8611df4a2f8fd9f6af5fe2d326</t>
        </is>
      </c>
      <c r="C559" s="0" t="inlineStr">
        <is>
          <t xml:space="preserve">Combined Synopsis/Solicitation</t>
        </is>
      </c>
      <c r="D559" s="0" t="inlineStr">
        <is>
          <t xml:space="preserve">2026-05-21</t>
        </is>
      </c>
      <c r="E559" s="0" t="inlineStr">
        <is>
          <t xml:space="preserve">Other DoD</t>
        </is>
      </c>
      <c r="F559" s="0" t="inlineStr">
        <is>
          <t xml:space="preserve">marine_components_parts</t>
        </is>
      </c>
      <c r="G559" s="0" t="inlineStr">
        <is>
          <t xml:space="preserve">114119</t>
        </is>
      </c>
      <c r="H559" s="0" t="inlineStr">
        <is>
          <t xml:space="preserve">20</t>
        </is>
      </c>
      <c r="I559" s="0" t="inlineStr">
        <is>
          <t xml:space="preserve">20--BLADDER,BOAT</t>
        </is>
      </c>
      <c r="J559" s="0" t="inlineStr">
        <is>
          <t xml:space="preserve">SPE7M426T131J</t>
        </is>
      </c>
    </row>
    <row r="560">
      <c r="B560" s="0" t="inlineStr">
        <is>
          <t xml:space="preserve">fd5dc79aba2e4245851c3181dbcbc691</t>
        </is>
      </c>
      <c r="C560" s="0" t="inlineStr">
        <is>
          <t xml:space="preserve">Combined Synopsis/Solicitation</t>
        </is>
      </c>
      <c r="D560" s="0" t="inlineStr">
        <is>
          <t xml:space="preserve">2026-05-29</t>
        </is>
      </c>
      <c r="E560" s="0" t="inlineStr">
        <is>
          <t xml:space="preserve">Navy/USMC</t>
        </is>
      </c>
      <c r="F560" s="0" t="inlineStr">
        <is>
          <t xml:space="preserve">other</t>
        </is>
      </c>
      <c r="G560" s="0" t="inlineStr">
        <is>
          <t xml:space="preserve">484230</t>
        </is>
      </c>
      <c r="H560" s="0" t="inlineStr">
        <is>
          <t xml:space="preserve">V125</t>
        </is>
      </c>
      <c r="I560" s="0" t="inlineStr">
        <is>
          <t xml:space="preserve">BOAT HAULING FOR TWO UTILITY BOATS</t>
        </is>
      </c>
      <c r="J560" s="0" t="inlineStr">
        <is>
          <t xml:space="preserve">N0018926QL143</t>
        </is>
      </c>
    </row>
    <row r="561">
      <c r="B561" s="0" t="inlineStr">
        <is>
          <t xml:space="preserve">a7164128dccb4bd99970f81c3677ab4e</t>
        </is>
      </c>
      <c r="C561" s="0" t="inlineStr">
        <is>
          <t xml:space="preserve">Solicitation</t>
        </is>
      </c>
      <c r="D561" s="0" t="inlineStr">
        <is>
          <t xml:space="preserve">2026-05-29</t>
        </is>
      </c>
      <c r="E561" s="0" t="inlineStr">
        <is>
          <t xml:space="preserve">Other DoD</t>
        </is>
      </c>
      <c r="F561" s="0" t="inlineStr">
        <is>
          <t xml:space="preserve">services_rdte</t>
        </is>
      </c>
      <c r="G561" s="0" t="inlineStr">
        <is>
          <t xml:space="preserve">541715</t>
        </is>
      </c>
      <c r="H561" s="0" t="inlineStr">
        <is>
          <t xml:space="preserve">AC13</t>
        </is>
      </c>
      <c r="I561" s="0" t="inlineStr">
        <is>
          <t xml:space="preserve">SOF AT&amp;L Innovative Technology and Agile Acquisition Commercial Solutions Opening (CSO) CALL CSO003 PEO Maritime, Special Operations Forces Combat Diving Development</t>
        </is>
      </c>
      <c r="J561" s="0" t="inlineStr">
        <is>
          <t xml:space="preserve">SOF_ATL_Combat_Dive</t>
        </is>
      </c>
    </row>
    <row r="562">
      <c r="B562" s="0" t="inlineStr">
        <is>
          <t xml:space="preserve">deacc9ceb35c4316ac4c366337f573e8</t>
        </is>
      </c>
      <c r="C562" s="0" t="inlineStr">
        <is>
          <t xml:space="preserve">Solicitation</t>
        </is>
      </c>
      <c r="D562" s="0" t="inlineStr">
        <is>
          <t xml:space="preserve">2026-05-29</t>
        </is>
      </c>
      <c r="E562" s="0" t="inlineStr">
        <is>
          <t xml:space="preserve">Civil/Other</t>
        </is>
      </c>
      <c r="F562" s="0" t="inlineStr">
        <is>
          <t xml:space="preserve">services_rdte</t>
        </is>
      </c>
      <c r="G562" s="0" t="inlineStr">
        <is>
          <t xml:space="preserve">541720</t>
        </is>
      </c>
      <c r="H562" s="0" t="inlineStr">
        <is>
          <t xml:space="preserve">R405</t>
        </is>
      </c>
      <c r="I562" s="0" t="inlineStr">
        <is>
          <t xml:space="preserve">Study on the Economic Impact of the  International Maritime Organization Net Zero Framework</t>
        </is>
      </c>
      <c r="J562" s="0" t="inlineStr">
        <is>
          <t xml:space="preserve">693JF726R000015</t>
        </is>
      </c>
    </row>
    <row r="563">
      <c r="B563" s="0" t="inlineStr">
        <is>
          <t xml:space="preserve">e7ea8337807f42ffaf88ee7318848044</t>
        </is>
      </c>
      <c r="C563" s="0" t="inlineStr">
        <is>
          <t xml:space="preserve">Solicitation</t>
        </is>
      </c>
      <c r="D563" s="0" t="inlineStr">
        <is>
          <t xml:space="preserve">2026-06-01</t>
        </is>
      </c>
      <c r="E563" s="0" t="inlineStr">
        <is>
          <t xml:space="preserve">Navy/USMC</t>
        </is>
      </c>
      <c r="F563" s="0" t="inlineStr">
        <is>
          <t xml:space="preserve">services_rdte</t>
        </is>
      </c>
      <c r="G563" s="0" t="inlineStr">
        <is>
          <t xml:space="preserve">611699</t>
        </is>
      </c>
      <c r="H563" s="0" t="inlineStr">
        <is>
          <t xml:space="preserve">U099</t>
        </is>
      </c>
      <c r="I563" s="0" t="inlineStr">
        <is>
          <t xml:space="preserve">Emerging Threats in Small Unmanned Aircraft Systems (sUAS) Warfare</t>
        </is>
      </c>
      <c r="J563" s="0" t="inlineStr">
        <is>
          <t xml:space="preserve">N0018926QL154</t>
        </is>
      </c>
    </row>
    <row r="564">
      <c r="B564" s="0" t="inlineStr">
        <is>
          <t xml:space="preserve">4962043728494fe1998f3eb8ff762ce6</t>
        </is>
      </c>
      <c r="C564" s="0" t="inlineStr">
        <is>
          <t xml:space="preserve">Combined Synopsis/Solicitation</t>
        </is>
      </c>
      <c r="D564" s="0" t="inlineStr">
        <is>
          <t xml:space="preserve">2026-06-02</t>
        </is>
      </c>
      <c r="E564" s="0" t="inlineStr">
        <is>
          <t xml:space="preserve">Navy/USMC</t>
        </is>
      </c>
      <c r="F564" s="0" t="inlineStr">
        <is>
          <t xml:space="preserve">other</t>
        </is>
      </c>
      <c r="G564" s="0" t="inlineStr">
        <is>
          <t xml:space="preserve">532411</t>
        </is>
      </c>
      <c r="H564" s="0" t="inlineStr">
        <is>
          <t xml:space="preserve">W020</t>
        </is>
      </c>
      <c r="I564" s="0" t="inlineStr">
        <is>
          <t xml:space="preserve">CHARTERED MARITIME VESSEL SUPPORT SERVICES</t>
        </is>
      </c>
      <c r="J564" s="0" t="inlineStr">
        <is>
          <t xml:space="preserve">N0060426Q4046</t>
        </is>
      </c>
    </row>
    <row r="565">
      <c r="B565" s="0" t="inlineStr">
        <is>
          <t xml:space="preserve">45f35fbe399247888b3cd8a097aefcc6</t>
        </is>
      </c>
      <c r="C565" s="0" t="inlineStr">
        <is>
          <t xml:space="preserve">Solicitation</t>
        </is>
      </c>
      <c r="D565" s="0" t="inlineStr">
        <is>
          <t xml:space="preserve">2026-05-27</t>
        </is>
      </c>
      <c r="E565" s="0" t="inlineStr">
        <is>
          <t xml:space="preserve">Navy/USMC</t>
        </is>
      </c>
      <c r="F565" s="0" t="inlineStr">
        <is>
          <t xml:space="preserve">marine_components_parts</t>
        </is>
      </c>
      <c r="G565" s="0" t="inlineStr">
        <is>
          <t xml:space="preserve">332999</t>
        </is>
      </c>
      <c r="H565" s="0" t="inlineStr">
        <is>
          <t xml:space="preserve">2090</t>
        </is>
      </c>
      <c r="I565" s="0" t="inlineStr">
        <is>
          <t xml:space="preserve">OEM Coast Marine and Industrial Supply COMAR Pilot Ladders for a T-AO Class Vessel</t>
        </is>
      </c>
      <c r="J565" s="0" t="inlineStr">
        <is>
          <t xml:space="preserve">N0040626Q0241</t>
        </is>
      </c>
    </row>
    <row r="566">
      <c r="B566" s="0" t="inlineStr">
        <is>
          <t xml:space="preserve">ae150e504f51467a91de9b4aca7db1a9</t>
        </is>
      </c>
      <c r="C566" s="0" t="inlineStr">
        <is>
          <t xml:space="preserve">Special Notice</t>
        </is>
      </c>
      <c r="D566" s="0" t="inlineStr">
        <is>
          <t xml:space="preserve">2026-05-13</t>
        </is>
      </c>
      <c r="E566" s="0" t="inlineStr">
        <is>
          <t xml:space="preserve">Other DoD</t>
        </is>
      </c>
      <c r="F566" s="0" t="inlineStr">
        <is>
          <t xml:space="preserve">usv_autonomy</t>
        </is>
      </c>
      <c r="G566" s="0" t="inlineStr">
        <is>
          <t xml:space="preserve">336411</t>
        </is>
      </c>
      <c r="H566" s="0" t="inlineStr">
        <is>
          <t xml:space="preserve">1550</t>
        </is>
      </c>
      <c r="I566" s="0" t="inlineStr">
        <is>
          <t xml:space="preserve">United States Special Operations Command (USSOCOM)  Long Range/Long Endurance (LR|LE) Uncrewed Aerial System (UAS) Event – 2027-1 (sLE27-1)</t>
        </is>
      </c>
    </row>
    <row r="567">
      <c r="B567" s="0" t="inlineStr">
        <is>
          <t xml:space="preserve">d1577d444af94dbebf153baac000a4b9</t>
        </is>
      </c>
      <c r="C567" s="0" t="inlineStr">
        <is>
          <t xml:space="preserve">Presolicitation</t>
        </is>
      </c>
      <c r="D567" s="0" t="inlineStr">
        <is>
          <t xml:space="preserve">2026-05-20</t>
        </is>
      </c>
      <c r="E567" s="0" t="inlineStr">
        <is>
          <t xml:space="preserve">Civil/Other</t>
        </is>
      </c>
      <c r="F567" s="0" t="inlineStr">
        <is>
          <t xml:space="preserve">other</t>
        </is>
      </c>
      <c r="G567" s="0" t="inlineStr">
        <is>
          <t xml:space="preserve">237990</t>
        </is>
      </c>
      <c r="H567" s="0" t="inlineStr">
        <is>
          <t xml:space="preserve">Y1PZ</t>
        </is>
      </c>
      <c r="I567" s="0" t="inlineStr">
        <is>
          <t xml:space="preserve">Y--Steamboat Rock State Park Shoreline Stabilization Columbia Basin Project, Washi</t>
        </is>
      </c>
      <c r="J567" s="0" t="inlineStr">
        <is>
          <t xml:space="preserve">140R1026B0001</t>
        </is>
      </c>
    </row>
    <row r="568">
      <c r="B568" s="0" t="inlineStr">
        <is>
          <t xml:space="preserve">d3ed500fec8e40bc82a1931d10dea91f</t>
        </is>
      </c>
      <c r="C568" s="0" t="inlineStr">
        <is>
          <t xml:space="preserve">Sources Sought</t>
        </is>
      </c>
      <c r="D568" s="0" t="inlineStr">
        <is>
          <t xml:space="preserve">2026-05-26</t>
        </is>
      </c>
      <c r="E568" s="0" t="inlineStr">
        <is>
          <t xml:space="preserve">Army</t>
        </is>
      </c>
      <c r="F568" s="0" t="inlineStr">
        <is>
          <t xml:space="preserve">other</t>
        </is>
      </c>
      <c r="G568" s="0" t="inlineStr">
        <is>
          <t xml:space="preserve">488310</t>
        </is>
      </c>
      <c r="H568" s="0" t="inlineStr">
        <is>
          <t xml:space="preserve">M2CA</t>
        </is>
      </c>
      <c r="I568" s="0" t="inlineStr">
        <is>
          <t xml:space="preserve">Pacific Maritime Transportation and Towage Services</t>
        </is>
      </c>
      <c r="J568" s="0" t="inlineStr">
        <is>
          <t xml:space="preserve">PAN413-26-P-0000026813</t>
        </is>
      </c>
    </row>
    <row r="569">
      <c r="B569" s="0" t="inlineStr">
        <is>
          <t xml:space="preserve">d44ea5123ff647d19da5c1255eb4d2f8</t>
        </is>
      </c>
      <c r="C569" s="0" t="inlineStr">
        <is>
          <t xml:space="preserve">Combined Synopsis/Solicitation</t>
        </is>
      </c>
      <c r="D569" s="0" t="inlineStr">
        <is>
          <t xml:space="preserve">2026-05-28</t>
        </is>
      </c>
      <c r="E569" s="0" t="inlineStr">
        <is>
          <t xml:space="preserve">Navy/USMC</t>
        </is>
      </c>
      <c r="F569" s="0" t="inlineStr">
        <is>
          <t xml:space="preserve">usv_autonomy</t>
        </is>
      </c>
      <c r="G569" s="0" t="inlineStr">
        <is>
          <t xml:space="preserve">611710</t>
        </is>
      </c>
      <c r="H569" s="0" t="inlineStr">
        <is>
          <t xml:space="preserve">U099</t>
        </is>
      </c>
      <c r="I569" s="0" t="inlineStr">
        <is>
          <t xml:space="preserve">Autonomous Drone and Systems Training</t>
        </is>
      </c>
      <c r="J569" s="0" t="inlineStr">
        <is>
          <t xml:space="preserve">N0016426Q0146Amendment</t>
        </is>
      </c>
    </row>
    <row r="570">
      <c r="B570" s="0" t="inlineStr">
        <is>
          <t xml:space="preserve">675f05de152f4d58b3e5a8c010a867d6</t>
        </is>
      </c>
      <c r="C570" s="0" t="inlineStr">
        <is>
          <t xml:space="preserve">Sources Sought</t>
        </is>
      </c>
      <c r="D570" s="0" t="inlineStr">
        <is>
          <t xml:space="preserve">2026-05-28</t>
        </is>
      </c>
      <c r="E570" s="0" t="inlineStr">
        <is>
          <t xml:space="preserve">Civil/Other</t>
        </is>
      </c>
      <c r="F570" s="0" t="inlineStr">
        <is>
          <t xml:space="preserve">other</t>
        </is>
      </c>
      <c r="G570" s="0" t="inlineStr">
        <is>
          <t xml:space="preserve">237990</t>
        </is>
      </c>
      <c r="H570" s="0" t="inlineStr">
        <is>
          <t xml:space="preserve">Y1PZ</t>
        </is>
      </c>
      <c r="I570" s="0" t="inlineStr">
        <is>
          <t xml:space="preserve">Y--Boat Ramp Replacement Project at Kirwin NWR</t>
        </is>
      </c>
      <c r="J570" s="0" t="inlineStr">
        <is>
          <t xml:space="preserve">140FGA26R0023</t>
        </is>
      </c>
    </row>
    <row r="571">
      <c r="B571" s="0" t="inlineStr">
        <is>
          <t xml:space="preserve">31f1e1819a8d4e69a95c00a478037aaf</t>
        </is>
      </c>
      <c r="C571" s="0" t="inlineStr">
        <is>
          <t xml:space="preserve">Solicitation</t>
        </is>
      </c>
      <c r="D571" s="0" t="inlineStr">
        <is>
          <t xml:space="preserve">2026-06-02</t>
        </is>
      </c>
      <c r="E571" s="0" t="inlineStr">
        <is>
          <t xml:space="preserve">Civil/Other</t>
        </is>
      </c>
      <c r="F571" s="0" t="inlineStr">
        <is>
          <t xml:space="preserve">marine_components_parts</t>
        </is>
      </c>
      <c r="G571" s="0" t="inlineStr">
        <is>
          <t xml:space="preserve">541330</t>
        </is>
      </c>
      <c r="H571" s="0" t="inlineStr">
        <is>
          <t xml:space="preserve">6605</t>
        </is>
      </c>
      <c r="I571" s="0" t="inlineStr">
        <is>
          <t xml:space="preserve">Experimental Cryogenic Vacuum Pressure Vessel for Characterization of Flashing Liquid Jet</t>
        </is>
      </c>
      <c r="J571" s="0" t="inlineStr">
        <is>
          <t xml:space="preserve">80NSSC26930603Q</t>
        </is>
      </c>
    </row>
    <row r="572">
      <c r="B572" s="0" t="inlineStr">
        <is>
          <t xml:space="preserve">9a03d2630fd948d49dd95de258461f25</t>
        </is>
      </c>
      <c r="C572" s="0" t="inlineStr">
        <is>
          <t xml:space="preserve">Special Notice</t>
        </is>
      </c>
      <c r="D572" s="0" t="inlineStr">
        <is>
          <t xml:space="preserve">2026-06-04</t>
        </is>
      </c>
      <c r="E572" s="0" t="inlineStr">
        <is>
          <t xml:space="preserve">Civil/Other</t>
        </is>
      </c>
      <c r="F572" s="0" t="inlineStr">
        <is>
          <t xml:space="preserve">usv_autonomy</t>
        </is>
      </c>
      <c r="G572" s="0" t="inlineStr">
        <is>
          <t xml:space="preserve">115112</t>
        </is>
      </c>
      <c r="H572" s="0" t="inlineStr">
        <is>
          <t xml:space="preserve">F108</t>
        </is>
      </c>
      <c r="I572" s="0" t="inlineStr">
        <is>
          <t xml:space="preserve">Unmanned Aerial Systems Trials for Release of Sterile Insect Technique Navel Orangeworm</t>
        </is>
      </c>
      <c r="J572" s="0" t="inlineStr">
        <is>
          <t xml:space="preserve">1169789</t>
        </is>
      </c>
    </row>
    <row r="573">
      <c r="B573" s="0" t="inlineStr">
        <is>
          <t xml:space="preserve">4461ea1e171c41ceb8467a491103e081</t>
        </is>
      </c>
      <c r="C573" s="0" t="inlineStr">
        <is>
          <t xml:space="preserve">Sources Sought</t>
        </is>
      </c>
      <c r="D573" s="0" t="inlineStr">
        <is>
          <t xml:space="preserve">2026-05-07</t>
        </is>
      </c>
      <c r="E573" s="0" t="inlineStr">
        <is>
          <t xml:space="preserve">Navy/USMC</t>
        </is>
      </c>
      <c r="F573" s="0" t="inlineStr">
        <is>
          <t xml:space="preserve">other</t>
        </is>
      </c>
      <c r="G573" s="0" t="inlineStr">
        <is>
          <t xml:space="preserve">562211</t>
        </is>
      </c>
      <c r="H573" s="0" t="inlineStr">
        <is>
          <t xml:space="preserve">S222</t>
        </is>
      </c>
      <c r="I573" s="0" t="inlineStr">
        <is>
          <t xml:space="preserve">Collection and Treatment Services for Collection, Holding, and Transfer (CHT) and Disposal Services for Industrial Waste from Ships and Vessels at Commander, Fleet Activities, Sasebo (CFAS), Japan</t>
        </is>
      </c>
      <c r="J573" s="0" t="inlineStr">
        <is>
          <t xml:space="preserve">N4008426B6300</t>
        </is>
      </c>
    </row>
    <row r="574">
      <c r="B574" s="0" t="inlineStr">
        <is>
          <t xml:space="preserve">036fa29560c146eead00c3f4f91cc43d</t>
        </is>
      </c>
      <c r="C574" s="0" t="inlineStr">
        <is>
          <t xml:space="preserve">Special Notice</t>
        </is>
      </c>
      <c r="D574" s="0" t="inlineStr">
        <is>
          <t xml:space="preserve">2026-05-08</t>
        </is>
      </c>
      <c r="E574" s="0" t="inlineStr">
        <is>
          <t xml:space="preserve">Civil/Other</t>
        </is>
      </c>
      <c r="F574" s="0" t="inlineStr">
        <is>
          <t xml:space="preserve">other</t>
        </is>
      </c>
      <c r="G574" s="0" t="inlineStr">
        <is>
          <t xml:space="preserve">483112</t>
        </is>
      </c>
      <c r="H574" s="0" t="inlineStr">
        <is>
          <t xml:space="preserve">V124</t>
        </is>
      </c>
      <c r="I574" s="0" t="inlineStr">
        <is>
          <t xml:space="preserve">V--Vessel Atlantic Ops Physical Inspections RFI</t>
        </is>
      </c>
      <c r="J574" s="0" t="inlineStr">
        <is>
          <t xml:space="preserve">DOIEFBO260006</t>
        </is>
      </c>
    </row>
    <row r="575">
      <c r="B575" s="0" t="inlineStr">
        <is>
          <t xml:space="preserve">a6ee4fe74c0a4820a25521c1bf5eb6dc</t>
        </is>
      </c>
      <c r="C575" s="0" t="inlineStr">
        <is>
          <t xml:space="preserve">Sources Sought</t>
        </is>
      </c>
      <c r="D575" s="0" t="inlineStr">
        <is>
          <t xml:space="preserve">2026-05-19</t>
        </is>
      </c>
      <c r="E575" s="0" t="inlineStr">
        <is>
          <t xml:space="preserve">Navy/USMC</t>
        </is>
      </c>
      <c r="F575" s="0" t="inlineStr">
        <is>
          <t xml:space="preserve">other</t>
        </is>
      </c>
      <c r="G575" s="0" t="inlineStr">
        <is>
          <t xml:space="preserve">339999</t>
        </is>
      </c>
      <c r="H575" s="0" t="inlineStr">
        <is>
          <t xml:space="preserve">8470</t>
        </is>
      </c>
      <c r="I575" s="0" t="inlineStr">
        <is>
          <t xml:space="preserve">N6133126SNQ31-Sources Sought Announcement For Improved Maritime Ballistic Plate (IMBP)</t>
        </is>
      </c>
      <c r="J575" s="0" t="inlineStr">
        <is>
          <t xml:space="preserve">N6133126SNQ31</t>
        </is>
      </c>
    </row>
    <row r="576">
      <c r="B576" s="0" t="inlineStr">
        <is>
          <t xml:space="preserve">87da3e9b456f4720a6c27c9f406583ba</t>
        </is>
      </c>
      <c r="C576" s="0" t="inlineStr">
        <is>
          <t xml:space="preserve">Sources Sought</t>
        </is>
      </c>
      <c r="D576" s="0" t="inlineStr">
        <is>
          <t xml:space="preserve">2026-05-24</t>
        </is>
      </c>
      <c r="E576" s="0" t="inlineStr">
        <is>
          <t xml:space="preserve">Civil/Other</t>
        </is>
      </c>
      <c r="F576" s="0" t="inlineStr">
        <is>
          <t xml:space="preserve">services_rdte</t>
        </is>
      </c>
      <c r="G576" s="0" t="inlineStr">
        <is>
          <t xml:space="preserve">541990</t>
        </is>
      </c>
      <c r="H576" s="0" t="inlineStr">
        <is>
          <t xml:space="preserve">R499</t>
        </is>
      </c>
      <c r="I576" s="0" t="inlineStr">
        <is>
          <t xml:space="preserve">Title XI Vessel Surveys and Appraisals Support Services</t>
        </is>
      </c>
      <c r="J576" s="0" t="inlineStr">
        <is>
          <t xml:space="preserve">693JF7-26-SS-0003</t>
        </is>
      </c>
    </row>
    <row r="577">
      <c r="B577" s="0" t="inlineStr">
        <is>
          <t xml:space="preserve">cb3f69683a8f44558a17dd1113a2323e</t>
        </is>
      </c>
      <c r="C577" s="0" t="inlineStr">
        <is>
          <t xml:space="preserve">Sources Sought</t>
        </is>
      </c>
      <c r="D577" s="0" t="inlineStr">
        <is>
          <t xml:space="preserve">2026-06-01</t>
        </is>
      </c>
      <c r="E577" s="0" t="inlineStr">
        <is>
          <t xml:space="preserve">Civil/Other</t>
        </is>
      </c>
      <c r="F577" s="0" t="inlineStr">
        <is>
          <t xml:space="preserve">ship_repair_maintenance</t>
        </is>
      </c>
      <c r="G577" s="0" t="inlineStr">
        <is>
          <t xml:space="preserve">488190</t>
        </is>
      </c>
      <c r="I577" s="0" t="inlineStr">
        <is>
          <t xml:space="preserve">CBP AMO MQ-9 PREDATOR B/GUARDIAN UNMANNED AIRCRAFT SYSTEMS (UAS) OPERATIONAL AND MAINTENANCE SUPPORT EXPERIENCE AND CAPABILITY</t>
        </is>
      </c>
      <c r="J577" s="0" t="inlineStr">
        <is>
          <t xml:space="preserve">2026RFIUASMOS</t>
        </is>
      </c>
    </row>
    <row r="578">
      <c r="B578" s="0" t="inlineStr">
        <is>
          <t xml:space="preserve">b6a0067fa3e04881b7d5f60d59debae6</t>
        </is>
      </c>
      <c r="C578" s="0" t="inlineStr">
        <is>
          <t xml:space="preserve">Combined Synopsis/Solicitation</t>
        </is>
      </c>
      <c r="D578" s="0" t="inlineStr">
        <is>
          <t xml:space="preserve">2026-06-03</t>
        </is>
      </c>
      <c r="E578" s="0" t="inlineStr">
        <is>
          <t xml:space="preserve">Civil/Other</t>
        </is>
      </c>
      <c r="F578" s="0" t="inlineStr">
        <is>
          <t xml:space="preserve">other</t>
        </is>
      </c>
      <c r="G578" s="0" t="inlineStr">
        <is>
          <t xml:space="preserve">334290</t>
        </is>
      </c>
      <c r="H578" s="0" t="inlineStr">
        <is>
          <t xml:space="preserve">5825</t>
        </is>
      </c>
      <c r="I578" s="0" t="inlineStr">
        <is>
          <t xml:space="preserve">Shine Micro Vessel Tracking Receivers</t>
        </is>
      </c>
      <c r="J578" s="0" t="inlineStr">
        <is>
          <t xml:space="preserve">6913G626Q300031</t>
        </is>
      </c>
    </row>
    <row r="579">
      <c r="B579" s="0" t="inlineStr">
        <is>
          <t xml:space="preserve">9a156c07eb14471d9448cf2fd85ce95d</t>
        </is>
      </c>
      <c r="C579" s="0" t="inlineStr">
        <is>
          <t xml:space="preserve">Combined Synopsis/Solicitation</t>
        </is>
      </c>
      <c r="D579" s="0" t="inlineStr">
        <is>
          <t xml:space="preserve">2026-06-05</t>
        </is>
      </c>
      <c r="E579" s="0" t="inlineStr">
        <is>
          <t xml:space="preserve">Civil/Other</t>
        </is>
      </c>
      <c r="F579" s="0" t="inlineStr">
        <is>
          <t xml:space="preserve">other</t>
        </is>
      </c>
      <c r="G579" s="0" t="inlineStr">
        <is>
          <t xml:space="preserve">336411</t>
        </is>
      </c>
      <c r="H579" s="0" t="inlineStr">
        <is>
          <t xml:space="preserve">1550</t>
        </is>
      </c>
      <c r="I579" s="0" t="inlineStr">
        <is>
          <t xml:space="preserve">Outdoor Small Uncrewed Aircraft System</t>
        </is>
      </c>
      <c r="J579" s="0" t="inlineStr">
        <is>
          <t xml:space="preserve">NB671000-26-01304</t>
        </is>
      </c>
    </row>
    <row r="580">
      <c r="B580" s="0" t="inlineStr">
        <is>
          <t xml:space="preserve">2307555b368e4967a21caf7a803e7da3</t>
        </is>
      </c>
      <c r="C580" s="0" t="inlineStr">
        <is>
          <t xml:space="preserve">Combined Synopsis/Solicitation</t>
        </is>
      </c>
      <c r="D580" s="0" t="inlineStr">
        <is>
          <t xml:space="preserve">2026-06-02</t>
        </is>
      </c>
      <c r="E580" s="0" t="inlineStr">
        <is>
          <t xml:space="preserve">Army</t>
        </is>
      </c>
      <c r="F580" s="0" t="inlineStr">
        <is>
          <t xml:space="preserve">marine_components_parts</t>
        </is>
      </c>
      <c r="G580" s="0" t="inlineStr">
        <is>
          <t xml:space="preserve">332510</t>
        </is>
      </c>
      <c r="H580" s="0" t="inlineStr">
        <is>
          <t xml:space="preserve">2040</t>
        </is>
      </c>
      <c r="I580" s="0" t="inlineStr">
        <is>
          <t xml:space="preserve">Boat Mounts</t>
        </is>
      </c>
      <c r="J580" s="0" t="inlineStr">
        <is>
          <t xml:space="preserve">W911S226U3124</t>
        </is>
      </c>
    </row>
    <row r="581">
      <c r="B581" s="0" t="inlineStr">
        <is>
          <t xml:space="preserve">e2596f338ecd48cab8c9c8686147565f</t>
        </is>
      </c>
      <c r="C581" s="0" t="inlineStr">
        <is>
          <t xml:space="preserve">Sources Sought</t>
        </is>
      </c>
      <c r="D581" s="0" t="inlineStr">
        <is>
          <t xml:space="preserve">2026-05-11</t>
        </is>
      </c>
      <c r="E581" s="0" t="inlineStr">
        <is>
          <t xml:space="preserve">Civil/Other</t>
        </is>
      </c>
      <c r="F581" s="0" t="inlineStr">
        <is>
          <t xml:space="preserve">ship_repair_maintenance</t>
        </is>
      </c>
      <c r="G581" s="0" t="inlineStr">
        <is>
          <t xml:space="preserve">561621</t>
        </is>
      </c>
      <c r="H581" s="0" t="inlineStr">
        <is>
          <t xml:space="preserve">J059</t>
        </is>
      </c>
      <c r="I581" s="0" t="inlineStr">
        <is>
          <t xml:space="preserve">HUBZone vendors for Puerto Rico and USVI Security Systems Maintenance</t>
        </is>
      </c>
      <c r="J581" s="0" t="inlineStr">
        <is>
          <t xml:space="preserve">20158159</t>
        </is>
      </c>
    </row>
    <row r="582">
      <c r="B582" s="0" t="inlineStr">
        <is>
          <t xml:space="preserve">b22ebb0faf104e9299445de64f1764dd</t>
        </is>
      </c>
      <c r="C582" s="0" t="inlineStr">
        <is>
          <t xml:space="preserve">Sources Sought</t>
        </is>
      </c>
      <c r="D582" s="0" t="inlineStr">
        <is>
          <t xml:space="preserve">2026-05-27</t>
        </is>
      </c>
      <c r="E582" s="0" t="inlineStr">
        <is>
          <t xml:space="preserve">Civil/Other</t>
        </is>
      </c>
      <c r="F582" s="0" t="inlineStr">
        <is>
          <t xml:space="preserve">other</t>
        </is>
      </c>
      <c r="G582" s="0" t="inlineStr">
        <is>
          <t xml:space="preserve">333310</t>
        </is>
      </c>
      <c r="H582" s="0" t="inlineStr">
        <is>
          <t xml:space="preserve">4610</t>
        </is>
      </c>
      <c r="I582" s="0" t="inlineStr">
        <is>
          <t xml:space="preserve">46--YDP REVERSE OSMOSIS PRESSURE VESSELS</t>
        </is>
      </c>
      <c r="J582" s="0" t="inlineStr">
        <is>
          <t xml:space="preserve">140R3026Q0091</t>
        </is>
      </c>
    </row>
    <row r="583">
      <c r="B583" s="0" t="inlineStr">
        <is>
          <t xml:space="preserve">8e6c9833f8e34187960308c7eda0e0e1</t>
        </is>
      </c>
      <c r="C583" s="0" t="inlineStr">
        <is>
          <t xml:space="preserve">Solicitation</t>
        </is>
      </c>
      <c r="D583" s="0" t="inlineStr">
        <is>
          <t xml:space="preserve">2026-05-27</t>
        </is>
      </c>
      <c r="E583" s="0" t="inlineStr">
        <is>
          <t xml:space="preserve">Navy/USMC</t>
        </is>
      </c>
      <c r="F583" s="0" t="inlineStr">
        <is>
          <t xml:space="preserve">ship_repair_maintenance</t>
        </is>
      </c>
      <c r="G583" s="0" t="inlineStr">
        <is>
          <t xml:space="preserve">811310</t>
        </is>
      </c>
      <c r="H583" s="0" t="inlineStr">
        <is>
          <t xml:space="preserve">J066</t>
        </is>
      </c>
      <c r="I583" s="0" t="inlineStr">
        <is>
          <t xml:space="preserve">OEM Belfort Windspeed Measuring System Certification Aboard T-AKE Class Vessel</t>
        </is>
      </c>
      <c r="J583" s="0" t="inlineStr">
        <is>
          <t xml:space="preserve">N0040626Q0095</t>
        </is>
      </c>
    </row>
    <row r="584">
      <c r="B584" s="0" t="inlineStr">
        <is>
          <t xml:space="preserve">19d5ef7f96b940239e21e479d64638fa</t>
        </is>
      </c>
      <c r="C584" s="0" t="inlineStr">
        <is>
          <t xml:space="preserve">Solicitation</t>
        </is>
      </c>
      <c r="D584" s="0" t="inlineStr">
        <is>
          <t xml:space="preserve">2026-06-08</t>
        </is>
      </c>
      <c r="E584" s="0" t="inlineStr">
        <is>
          <t xml:space="preserve">Coast Guard</t>
        </is>
      </c>
      <c r="F584" s="0" t="inlineStr">
        <is>
          <t xml:space="preserve">other</t>
        </is>
      </c>
      <c r="G584" s="0" t="inlineStr">
        <is>
          <t xml:space="preserve">561910</t>
        </is>
      </c>
      <c r="H584" s="0" t="inlineStr">
        <is>
          <t xml:space="preserve">8135</t>
        </is>
      </c>
      <c r="I584" s="0" t="inlineStr">
        <is>
          <t xml:space="preserve">Shrink Wrapping Services for 87' Coast Guard Patrol Boat</t>
        </is>
      </c>
      <c r="J584" s="0" t="inlineStr">
        <is>
          <t xml:space="preserve">70Z04026Q60323</t>
        </is>
      </c>
    </row>
    <row r="585">
      <c r="B585" s="0" t="inlineStr">
        <is>
          <t xml:space="preserve">80b2bae4a25c4139804b166c6674eb6a</t>
        </is>
      </c>
      <c r="C585" s="0" t="inlineStr">
        <is>
          <t xml:space="preserve">Combined Synopsis/Solicitation</t>
        </is>
      </c>
      <c r="D585" s="0" t="inlineStr">
        <is>
          <t xml:space="preserve">2026-05-28</t>
        </is>
      </c>
      <c r="E585" s="0" t="inlineStr">
        <is>
          <t xml:space="preserve">Civil/Other</t>
        </is>
      </c>
      <c r="F585" s="0" t="inlineStr">
        <is>
          <t xml:space="preserve">other</t>
        </is>
      </c>
      <c r="G585" s="0" t="inlineStr">
        <is>
          <t xml:space="preserve">488390</t>
        </is>
      </c>
      <c r="H585" s="0" t="inlineStr">
        <is>
          <t xml:space="preserve">N093</t>
        </is>
      </c>
      <c r="I585" s="0" t="inlineStr">
        <is>
          <t xml:space="preserve">Barge/vessel and crane services Corpus Christi, TX</t>
        </is>
      </c>
      <c r="J585" s="0" t="inlineStr">
        <is>
          <t xml:space="preserve">1305M226Q0140</t>
        </is>
      </c>
    </row>
    <row r="586">
      <c r="B586" s="0" t="inlineStr">
        <is>
          <t xml:space="preserve">8ef3c117cf9946db816c91de28cabd32</t>
        </is>
      </c>
      <c r="C586" s="0" t="inlineStr">
        <is>
          <t xml:space="preserve">Combined Synopsis/Solicitation</t>
        </is>
      </c>
      <c r="D586" s="0" t="inlineStr">
        <is>
          <t xml:space="preserve">2026-06-01</t>
        </is>
      </c>
      <c r="E586" s="0" t="inlineStr">
        <is>
          <t xml:space="preserve">Other DoD</t>
        </is>
      </c>
      <c r="F586" s="0" t="inlineStr">
        <is>
          <t xml:space="preserve">marine_components_parts</t>
        </is>
      </c>
      <c r="G586" s="0" t="inlineStr">
        <is>
          <t xml:space="preserve">114119</t>
        </is>
      </c>
      <c r="H586" s="0" t="inlineStr">
        <is>
          <t xml:space="preserve">20</t>
        </is>
      </c>
      <c r="I586" s="0" t="inlineStr">
        <is>
          <t xml:space="preserve">20--BLADDER,BOAT</t>
        </is>
      </c>
      <c r="J586" s="0" t="inlineStr">
        <is>
          <t xml:space="preserve">SPE7M426T149G</t>
        </is>
      </c>
    </row>
    <row r="587">
      <c r="B587" s="0" t="inlineStr">
        <is>
          <t xml:space="preserve">4bebb45f34b84184b6efe0b74198e579</t>
        </is>
      </c>
      <c r="C587" s="0" t="inlineStr">
        <is>
          <t xml:space="preserve">Presolicitation</t>
        </is>
      </c>
      <c r="D587" s="0" t="inlineStr">
        <is>
          <t xml:space="preserve">2026-06-05</t>
        </is>
      </c>
      <c r="E587" s="0" t="inlineStr">
        <is>
          <t xml:space="preserve">Civil/Other</t>
        </is>
      </c>
      <c r="F587" s="0" t="inlineStr">
        <is>
          <t xml:space="preserve">usv_autonomy</t>
        </is>
      </c>
      <c r="G587" s="0" t="inlineStr">
        <is>
          <t xml:space="preserve">333310</t>
        </is>
      </c>
      <c r="H587" s="0" t="inlineStr">
        <is>
          <t xml:space="preserve">7910</t>
        </is>
      </c>
      <c r="I587" s="0" t="inlineStr">
        <is>
          <t xml:space="preserve">7910--Autonomous Robotic Floor Scrubbing Machine  VA Prescott</t>
        </is>
      </c>
      <c r="J587" s="0" t="inlineStr">
        <is>
          <t xml:space="preserve">36C26226Q0920</t>
        </is>
      </c>
    </row>
    <row r="588">
      <c r="B588" s="0" t="inlineStr">
        <is>
          <t xml:space="preserve">561587249bfc441386d7e139c2f99263</t>
        </is>
      </c>
      <c r="C588" s="0" t="inlineStr">
        <is>
          <t xml:space="preserve">Solicitation</t>
        </is>
      </c>
      <c r="D588" s="0" t="inlineStr">
        <is>
          <t xml:space="preserve">2026-06-05</t>
        </is>
      </c>
      <c r="E588" s="0" t="inlineStr">
        <is>
          <t xml:space="preserve">Civil/Other</t>
        </is>
      </c>
      <c r="F588" s="0" t="inlineStr">
        <is>
          <t xml:space="preserve">marine_components_parts</t>
        </is>
      </c>
      <c r="G588" s="0" t="inlineStr">
        <is>
          <t xml:space="preserve">333618</t>
        </is>
      </c>
      <c r="H588" s="0" t="inlineStr">
        <is>
          <t xml:space="preserve">2010</t>
        </is>
      </c>
      <c r="I588" s="0" t="inlineStr">
        <is>
          <t xml:space="preserve">LMG REQUEST FOR NEW BOAT MOTOR</t>
        </is>
      </c>
      <c r="J588" s="0" t="inlineStr">
        <is>
          <t xml:space="preserve">140G0126Q0155</t>
        </is>
      </c>
    </row>
    <row r="589">
      <c r="B589" s="0" t="inlineStr">
        <is>
          <t xml:space="preserve">9dd64c815db74fa98c4501ece74cea4e</t>
        </is>
      </c>
      <c r="C589" s="0" t="inlineStr">
        <is>
          <t xml:space="preserve">Combined Synopsis/Solicitation</t>
        </is>
      </c>
      <c r="D589" s="0" t="inlineStr">
        <is>
          <t xml:space="preserve">2026-06-05</t>
        </is>
      </c>
      <c r="E589" s="0" t="inlineStr">
        <is>
          <t xml:space="preserve">Navy/USMC</t>
        </is>
      </c>
      <c r="F589" s="0" t="inlineStr">
        <is>
          <t xml:space="preserve">ship_repair_maintenance</t>
        </is>
      </c>
      <c r="G589" s="0" t="inlineStr">
        <is>
          <t xml:space="preserve">333912</t>
        </is>
      </c>
      <c r="H589" s="0" t="inlineStr">
        <is>
          <t xml:space="preserve">J999</t>
        </is>
      </c>
      <c r="I589" s="0" t="inlineStr">
        <is>
          <t xml:space="preserve">Original Equipment Manufacturer (OEM) Curtiss-Wright High Pressure Air Compressors (HPACs) Overhaul and Upgrade for a T-AO Class Vessel</t>
        </is>
      </c>
      <c r="J589" s="0" t="inlineStr">
        <is>
          <t xml:space="preserve">N0040626Q0142</t>
        </is>
      </c>
    </row>
    <row r="590">
      <c r="B590" s="0" t="inlineStr">
        <is>
          <t xml:space="preserve">48615def69054473a06650c25b192ea4</t>
        </is>
      </c>
      <c r="C590" s="0" t="inlineStr">
        <is>
          <t xml:space="preserve">Combined Synopsis/Solicitation</t>
        </is>
      </c>
      <c r="D590" s="0" t="inlineStr">
        <is>
          <t xml:space="preserve">2026-06-09</t>
        </is>
      </c>
      <c r="E590" s="0" t="inlineStr">
        <is>
          <t xml:space="preserve">Navy/USMC</t>
        </is>
      </c>
      <c r="F590" s="0" t="inlineStr">
        <is>
          <t xml:space="preserve">other</t>
        </is>
      </c>
      <c r="G590" s="0" t="inlineStr">
        <is>
          <t xml:space="preserve">532411</t>
        </is>
      </c>
      <c r="H590" s="0" t="inlineStr">
        <is>
          <t xml:space="preserve">W020</t>
        </is>
      </c>
      <c r="I590" s="0" t="inlineStr">
        <is>
          <t xml:space="preserve">Sole source Boat Rental</t>
        </is>
      </c>
      <c r="J590" s="0" t="inlineStr">
        <is>
          <t xml:space="preserve">N0016426Q0173</t>
        </is>
      </c>
    </row>
    <row r="591">
      <c r="B591" s="0" t="inlineStr">
        <is>
          <t xml:space="preserve">0add3c788a7a4a16b221d6bce8cccc4c</t>
        </is>
      </c>
      <c r="C591" s="0" t="inlineStr">
        <is>
          <t xml:space="preserve">Solicitation</t>
        </is>
      </c>
      <c r="D591" s="0" t="inlineStr">
        <is>
          <t xml:space="preserve">2026-06-09</t>
        </is>
      </c>
      <c r="E591" s="0" t="inlineStr">
        <is>
          <t xml:space="preserve">Navy/USMC</t>
        </is>
      </c>
      <c r="F591" s="0" t="inlineStr">
        <is>
          <t xml:space="preserve">other</t>
        </is>
      </c>
      <c r="G591" s="0" t="inlineStr">
        <is>
          <t xml:space="preserve">332722</t>
        </is>
      </c>
      <c r="H591" s="0" t="inlineStr">
        <is>
          <t xml:space="preserve">5305</t>
        </is>
      </c>
      <c r="I591" s="0" t="inlineStr">
        <is>
          <t xml:space="preserve">BRAND NAME OEM L3 HARRIS MARITIME POWER &amp; ENERGY dba SPD Electrical Systems CIRCUIT BREAKER RACKING PARTS</t>
        </is>
      </c>
      <c r="J591" s="0" t="inlineStr">
        <is>
          <t xml:space="preserve">N0040626Q0195</t>
        </is>
      </c>
    </row>
    <row r="592">
      <c r="B592" s="0" t="inlineStr">
        <is>
          <t xml:space="preserve">dd0b522006284844be180bb3a312b228</t>
        </is>
      </c>
      <c r="C592" s="0" t="inlineStr">
        <is>
          <t xml:space="preserve">Presolicitation</t>
        </is>
      </c>
      <c r="D592" s="0" t="inlineStr">
        <is>
          <t xml:space="preserve">2026-05-21</t>
        </is>
      </c>
      <c r="E592" s="0" t="inlineStr">
        <is>
          <t xml:space="preserve">Civil/Other</t>
        </is>
      </c>
      <c r="F592" s="0" t="inlineStr">
        <is>
          <t xml:space="preserve">usv_autonomy</t>
        </is>
      </c>
      <c r="G592" s="0" t="inlineStr">
        <is>
          <t xml:space="preserve">333310</t>
        </is>
      </c>
      <c r="H592" s="0" t="inlineStr">
        <is>
          <t xml:space="preserve">6515</t>
        </is>
      </c>
      <c r="I592" s="0" t="inlineStr">
        <is>
          <t xml:space="preserve">6515--ME | 36C25526Q0399 | Autonomous Floor Scrubber | CO</t>
        </is>
      </c>
      <c r="J592" s="0" t="inlineStr">
        <is>
          <t xml:space="preserve">36C25526Q0399-1</t>
        </is>
      </c>
    </row>
    <row r="593">
      <c r="B593" s="0" t="inlineStr">
        <is>
          <t xml:space="preserve">c55c5f9d39aa432f8990b60267949724</t>
        </is>
      </c>
      <c r="C593" s="0" t="inlineStr">
        <is>
          <t xml:space="preserve">Combined Synopsis/Solicitation</t>
        </is>
      </c>
      <c r="D593" s="0" t="inlineStr">
        <is>
          <t xml:space="preserve">2026-06-01</t>
        </is>
      </c>
      <c r="E593" s="0" t="inlineStr">
        <is>
          <t xml:space="preserve">Army</t>
        </is>
      </c>
      <c r="F593" s="0" t="inlineStr">
        <is>
          <t xml:space="preserve">usv_autonomy</t>
        </is>
      </c>
      <c r="G593" s="0" t="inlineStr">
        <is>
          <t xml:space="preserve">333310</t>
        </is>
      </c>
      <c r="H593" s="0" t="inlineStr">
        <is>
          <t xml:space="preserve">7910</t>
        </is>
      </c>
      <c r="I593" s="0" t="inlineStr">
        <is>
          <t xml:space="preserve">FLOOR SCRUBBER AND AUTONOMOUS DOCKING STATION</t>
        </is>
      </c>
      <c r="J593" s="0" t="inlineStr">
        <is>
          <t xml:space="preserve">W911S226U3341</t>
        </is>
      </c>
    </row>
    <row r="594">
      <c r="B594" s="0" t="inlineStr">
        <is>
          <t xml:space="preserve">eb01a44b6506490390ada91379cbea7d</t>
        </is>
      </c>
      <c r="C594" s="0" t="inlineStr">
        <is>
          <t xml:space="preserve">Solicitation</t>
        </is>
      </c>
      <c r="D594" s="0" t="inlineStr">
        <is>
          <t xml:space="preserve">2026-06-08</t>
        </is>
      </c>
      <c r="E594" s="0" t="inlineStr">
        <is>
          <t xml:space="preserve">Navy/USMC</t>
        </is>
      </c>
      <c r="F594" s="0" t="inlineStr">
        <is>
          <t xml:space="preserve">ship_repair_maintenance</t>
        </is>
      </c>
      <c r="G594" s="0" t="inlineStr">
        <is>
          <t xml:space="preserve">811490</t>
        </is>
      </c>
      <c r="H594" s="0" t="inlineStr">
        <is>
          <t xml:space="preserve">J019</t>
        </is>
      </c>
      <c r="I594" s="0" t="inlineStr">
        <is>
          <t xml:space="preserve">MCRDPI Boat Maintenance Contract</t>
        </is>
      </c>
      <c r="J594" s="0" t="inlineStr">
        <is>
          <t xml:space="preserve">M0026326QD018</t>
        </is>
      </c>
    </row>
    <row r="595">
      <c r="B595" s="0" t="inlineStr">
        <is>
          <t xml:space="preserve">178846c28cac4a73bae8b5d3dd973954</t>
        </is>
      </c>
      <c r="C595" s="0" t="inlineStr">
        <is>
          <t xml:space="preserve">Sources Sought</t>
        </is>
      </c>
      <c r="D595" s="0" t="inlineStr">
        <is>
          <t xml:space="preserve">2026-05-27</t>
        </is>
      </c>
      <c r="E595" s="0" t="inlineStr">
        <is>
          <t xml:space="preserve">Navy/USMC</t>
        </is>
      </c>
      <c r="F595" s="0" t="inlineStr">
        <is>
          <t xml:space="preserve">other</t>
        </is>
      </c>
      <c r="G595" s="0" t="inlineStr">
        <is>
          <t xml:space="preserve">333923</t>
        </is>
      </c>
      <c r="H595" s="0" t="inlineStr">
        <is>
          <t xml:space="preserve">3950</t>
        </is>
      </c>
      <c r="I595" s="0" t="inlineStr">
        <is>
          <t xml:space="preserve">ONE 150 METRIC TON MOBILE BOAT HOIST &amp; ONE 300 METRIC TON MOBILE BOAT HOIST</t>
        </is>
      </c>
      <c r="J595" s="0" t="inlineStr">
        <is>
          <t xml:space="preserve">N3258A26R0001</t>
        </is>
      </c>
    </row>
    <row r="596">
      <c r="B596" s="0" t="inlineStr">
        <is>
          <t xml:space="preserve">2c45c479e05d431bac50030963b77f1d</t>
        </is>
      </c>
      <c r="C596" s="0" t="inlineStr">
        <is>
          <t xml:space="preserve">Combined Synopsis/Solicitation</t>
        </is>
      </c>
      <c r="D596" s="0" t="inlineStr">
        <is>
          <t xml:space="preserve">2026-06-09</t>
        </is>
      </c>
      <c r="E596" s="0" t="inlineStr">
        <is>
          <t xml:space="preserve">Army</t>
        </is>
      </c>
      <c r="F596" s="0" t="inlineStr">
        <is>
          <t xml:space="preserve">other</t>
        </is>
      </c>
      <c r="G596" s="0" t="inlineStr">
        <is>
          <t xml:space="preserve">336310</t>
        </is>
      </c>
      <c r="H596" s="0" t="inlineStr">
        <is>
          <t xml:space="preserve">2805</t>
        </is>
      </c>
      <c r="I596" s="0" t="inlineStr">
        <is>
          <t xml:space="preserve">55HP Outboard Boat Engine</t>
        </is>
      </c>
      <c r="J596" s="0" t="inlineStr">
        <is>
          <t xml:space="preserve">W911S226U3398</t>
        </is>
      </c>
    </row>
    <row r="597">
      <c r="B597" s="0" t="inlineStr">
        <is>
          <t xml:space="preserve">171884ce03bf440f9c1beef1a5904e2f</t>
        </is>
      </c>
      <c r="C597" s="0" t="inlineStr">
        <is>
          <t xml:space="preserve">Sources Sought</t>
        </is>
      </c>
      <c r="D597" s="0" t="inlineStr">
        <is>
          <t xml:space="preserve">2026-06-09</t>
        </is>
      </c>
      <c r="E597" s="0" t="inlineStr">
        <is>
          <t xml:space="preserve">Civil/Other</t>
        </is>
      </c>
      <c r="F597" s="0" t="inlineStr">
        <is>
          <t xml:space="preserve">other</t>
        </is>
      </c>
      <c r="G597" s="0" t="inlineStr">
        <is>
          <t xml:space="preserve">334511</t>
        </is>
      </c>
      <c r="H597" s="0" t="inlineStr">
        <is>
          <t xml:space="preserve">5841</t>
        </is>
      </c>
      <c r="I597" s="0" t="inlineStr">
        <is>
          <t xml:space="preserve">Counter-Unmanned Aircraft Systems (C-UAS) Defensive Equipment Solution</t>
        </is>
      </c>
      <c r="J597" s="0" t="inlineStr">
        <is>
          <t xml:space="preserve">19AQMM26R0289</t>
        </is>
      </c>
    </row>
    <row r="598">
      <c r="B598" s="0" t="inlineStr">
        <is>
          <t xml:space="preserve">075fa9551f454aba8b0738430a802a05</t>
        </is>
      </c>
      <c r="C598" s="0" t="inlineStr">
        <is>
          <t xml:space="preserve">Solicitation</t>
        </is>
      </c>
      <c r="D598" s="0" t="inlineStr">
        <is>
          <t xml:space="preserve">2026-06-12</t>
        </is>
      </c>
      <c r="E598" s="0" t="inlineStr">
        <is>
          <t xml:space="preserve">Army</t>
        </is>
      </c>
      <c r="F598" s="0" t="inlineStr">
        <is>
          <t xml:space="preserve">usv_autonomy</t>
        </is>
      </c>
      <c r="G598" s="0" t="inlineStr">
        <is>
          <t xml:space="preserve">336110</t>
        </is>
      </c>
      <c r="H598" s="0" t="inlineStr">
        <is>
          <t xml:space="preserve">5999</t>
        </is>
      </c>
      <c r="I598" s="0" t="inlineStr">
        <is>
          <t xml:space="preserve">Autonomous Transport Vehicle System (ATV-S)</t>
        </is>
      </c>
      <c r="J598" s="0" t="inlineStr">
        <is>
          <t xml:space="preserve">W912CH26R0022</t>
        </is>
      </c>
    </row>
    <row r="599">
      <c r="B599" s="0" t="inlineStr">
        <is>
          <t xml:space="preserve">db602a17a6c44f72a46943f351b1febd</t>
        </is>
      </c>
      <c r="C599" s="0" t="inlineStr">
        <is>
          <t xml:space="preserve">Solicitation</t>
        </is>
      </c>
      <c r="D599" s="0" t="inlineStr">
        <is>
          <t xml:space="preserve">2026-06-11</t>
        </is>
      </c>
      <c r="E599" s="0" t="inlineStr">
        <is>
          <t xml:space="preserve">Civil/Other</t>
        </is>
      </c>
      <c r="F599" s="0" t="inlineStr">
        <is>
          <t xml:space="preserve">other</t>
        </is>
      </c>
      <c r="G599" s="0" t="inlineStr">
        <is>
          <t xml:space="preserve">334511</t>
        </is>
      </c>
      <c r="H599" s="0" t="inlineStr">
        <is>
          <t xml:space="preserve">1550</t>
        </is>
      </c>
      <c r="I599" s="0" t="inlineStr">
        <is>
          <t xml:space="preserve">NDAA-compliant blue list compatible UAS (Unmanned Aircraft System)</t>
        </is>
      </c>
      <c r="J599" s="0" t="inlineStr">
        <is>
          <t xml:space="preserve">1232SA26Q0577</t>
        </is>
      </c>
    </row>
    <row r="600">
      <c r="B600" s="0" t="inlineStr">
        <is>
          <t xml:space="preserve">a30b0412cbe74130a323001cd0ee6784</t>
        </is>
      </c>
      <c r="C600" s="0" t="inlineStr">
        <is>
          <t xml:space="preserve">Sources Sought</t>
        </is>
      </c>
      <c r="D600" s="0" t="inlineStr">
        <is>
          <t xml:space="preserve">2026-06-11</t>
        </is>
      </c>
      <c r="E600" s="0" t="inlineStr">
        <is>
          <t xml:space="preserve">Navy/USMC</t>
        </is>
      </c>
      <c r="F600" s="0" t="inlineStr">
        <is>
          <t xml:space="preserve">ship_repair_maintenance</t>
        </is>
      </c>
      <c r="G600" s="0" t="inlineStr">
        <is>
          <t xml:space="preserve">483111</t>
        </is>
      </c>
      <c r="H600" s="0" t="inlineStr">
        <is>
          <t xml:space="preserve">V124</t>
        </is>
      </c>
      <c r="I600" s="0" t="inlineStr">
        <is>
          <t xml:space="preserve">Operation &amp; Maintenance for T-ATS NAVAJO Class Vessels</t>
        </is>
      </c>
      <c r="J600" s="0" t="inlineStr">
        <is>
          <t xml:space="preserve">N32205-SS-N105B-24-001</t>
        </is>
      </c>
    </row>
    <row r="601">
      <c r="B601" s="0" t="inlineStr">
        <is>
          <t xml:space="preserve">cb9bdc8fcee14c6b9e43a9658fe5b5fe</t>
        </is>
      </c>
      <c r="C601" s="0" t="inlineStr">
        <is>
          <t xml:space="preserve">Special Notice</t>
        </is>
      </c>
      <c r="D601" s="0" t="inlineStr">
        <is>
          <t xml:space="preserve">2026-05-27</t>
        </is>
      </c>
      <c r="E601" s="0" t="inlineStr">
        <is>
          <t xml:space="preserve">Army</t>
        </is>
      </c>
      <c r="F601" s="0" t="inlineStr">
        <is>
          <t xml:space="preserve">usv_autonomy</t>
        </is>
      </c>
      <c r="G601" s="0" t="inlineStr">
        <is>
          <t xml:space="preserve">541330</t>
        </is>
      </c>
      <c r="H601" s="0" t="inlineStr">
        <is>
          <t xml:space="preserve">J095</t>
        </is>
      </c>
      <c r="I601" s="0" t="inlineStr">
        <is>
          <t xml:space="preserve">Special Notice - Portfolio Acquisition Executive (PAE) Air Maneuver AM, Capability Program Executive (CPE) Mission Autonomy, Program Manager (PM) Autonomous Robotic Capabilities (ARC), Robotic Logistic Support Center (RLSC)</t>
        </is>
      </c>
    </row>
    <row r="602">
      <c r="B602" s="0" t="inlineStr">
        <is>
          <t xml:space="preserve">b998b40284394027b49c341d14a3c4bb</t>
        </is>
      </c>
      <c r="C602" s="0" t="inlineStr">
        <is>
          <t xml:space="preserve">Sources Sought</t>
        </is>
      </c>
      <c r="D602" s="0" t="inlineStr">
        <is>
          <t xml:space="preserve">2026-06-04</t>
        </is>
      </c>
      <c r="E602" s="0" t="inlineStr">
        <is>
          <t xml:space="preserve">Coast Guard</t>
        </is>
      </c>
      <c r="F602" s="0" t="inlineStr">
        <is>
          <t xml:space="preserve">other</t>
        </is>
      </c>
      <c r="G602" s="0" t="inlineStr">
        <is>
          <t xml:space="preserve">541690</t>
        </is>
      </c>
      <c r="H602" s="0" t="inlineStr">
        <is>
          <t xml:space="preserve">V124</t>
        </is>
      </c>
      <c r="I602" s="0" t="inlineStr">
        <is>
          <t xml:space="preserve">Marine Vessel Support Services for Search and Rescue (SAR) Field Exercises</t>
        </is>
      </c>
      <c r="J602" s="0" t="inlineStr">
        <is>
          <t xml:space="preserve">RDCFY2602</t>
        </is>
      </c>
    </row>
    <row r="603">
      <c r="B603" s="0" t="inlineStr">
        <is>
          <t xml:space="preserve">b2b0cdca7fce4515ba61f7b959f5a8ed</t>
        </is>
      </c>
      <c r="C603" s="0" t="inlineStr">
        <is>
          <t xml:space="preserve">Special Notice</t>
        </is>
      </c>
      <c r="D603" s="0" t="inlineStr">
        <is>
          <t xml:space="preserve">2026-06-04</t>
        </is>
      </c>
      <c r="E603" s="0" t="inlineStr">
        <is>
          <t xml:space="preserve">Civil/Other</t>
        </is>
      </c>
      <c r="F603" s="0" t="inlineStr">
        <is>
          <t xml:space="preserve">usv_autonomy</t>
        </is>
      </c>
      <c r="H603" s="0" t="inlineStr">
        <is>
          <t xml:space="preserve">6625</t>
        </is>
      </c>
      <c r="I603" s="0" t="inlineStr">
        <is>
          <t xml:space="preserve">SEAGLIDER SGX AUTONOMOUS UNDERWATER VEHICLES (AUV), SENSORS, AND SUPPLIES</t>
        </is>
      </c>
      <c r="J603" s="0" t="inlineStr">
        <is>
          <t xml:space="preserve">REQUIREMENTS-25-3825</t>
        </is>
      </c>
    </row>
    <row r="604">
      <c r="B604" s="0" t="inlineStr">
        <is>
          <t xml:space="preserve">c610518203e64becad392a4d018d7a97</t>
        </is>
      </c>
      <c r="C604" s="0" t="inlineStr">
        <is>
          <t xml:space="preserve">Combined Synopsis/Solicitation</t>
        </is>
      </c>
      <c r="D604" s="0" t="inlineStr">
        <is>
          <t xml:space="preserve">2026-06-10</t>
        </is>
      </c>
      <c r="E604" s="0" t="inlineStr">
        <is>
          <t xml:space="preserve">Navy/USMC</t>
        </is>
      </c>
      <c r="F604" s="0" t="inlineStr">
        <is>
          <t xml:space="preserve">other</t>
        </is>
      </c>
      <c r="G604" s="0" t="inlineStr">
        <is>
          <t xml:space="preserve">332420</t>
        </is>
      </c>
      <c r="H604" s="0" t="inlineStr">
        <is>
          <t xml:space="preserve">5430</t>
        </is>
      </c>
      <c r="I604" s="0" t="inlineStr">
        <is>
          <t xml:space="preserve">Pressure Vessel and Bulkhead</t>
        </is>
      </c>
      <c r="J604" s="0" t="inlineStr">
        <is>
          <t xml:space="preserve">N66604-26-Q-0302</t>
        </is>
      </c>
    </row>
    <row r="605">
      <c r="B605" s="0" t="inlineStr">
        <is>
          <t xml:space="preserve">5decfc1c438246c48f7870b36a77a9b2</t>
        </is>
      </c>
      <c r="C605" s="0" t="inlineStr">
        <is>
          <t xml:space="preserve">Special Notice</t>
        </is>
      </c>
      <c r="D605" s="0" t="inlineStr">
        <is>
          <t xml:space="preserve">2026-05-26</t>
        </is>
      </c>
      <c r="E605" s="0" t="inlineStr">
        <is>
          <t xml:space="preserve">Other DoD</t>
        </is>
      </c>
      <c r="F605" s="0" t="inlineStr">
        <is>
          <t xml:space="preserve">usv_autonomy</t>
        </is>
      </c>
      <c r="I605" s="0" t="inlineStr">
        <is>
          <t xml:space="preserve">J2 Integrated Survey Program (ISP) Autonomous Solutions Assessment Event (AE)</t>
        </is>
      </c>
      <c r="J605" s="0" t="inlineStr">
        <is>
          <t xml:space="preserve">J2_ISP_AE</t>
        </is>
      </c>
    </row>
    <row r="606">
      <c r="B606" s="0" t="inlineStr">
        <is>
          <t xml:space="preserve">eb67b4e97ed049c9acc1bf7b7b1b8ddf</t>
        </is>
      </c>
      <c r="C606" s="0" t="inlineStr">
        <is>
          <t xml:space="preserve">Presolicitation</t>
        </is>
      </c>
      <c r="D606" s="0" t="inlineStr">
        <is>
          <t xml:space="preserve">2026-06-04</t>
        </is>
      </c>
      <c r="E606" s="0" t="inlineStr">
        <is>
          <t xml:space="preserve">Other DoD</t>
        </is>
      </c>
      <c r="F606" s="0" t="inlineStr">
        <is>
          <t xml:space="preserve">usv_autonomy</t>
        </is>
      </c>
      <c r="G606" s="0" t="inlineStr">
        <is>
          <t xml:space="preserve">541715</t>
        </is>
      </c>
      <c r="H606" s="0" t="inlineStr">
        <is>
          <t xml:space="preserve">AN13</t>
        </is>
      </c>
      <c r="I606" s="0" t="inlineStr">
        <is>
          <t xml:space="preserve">MTEC Pre-Announcement: Autonomous Closed Loop Control Mechanical Ventilation (ACLCMV)</t>
        </is>
      </c>
      <c r="J606" s="0" t="inlineStr">
        <is>
          <t xml:space="preserve">MTEC-26-Ventilator</t>
        </is>
      </c>
    </row>
    <row r="607">
      <c r="B607" s="0" t="inlineStr">
        <is>
          <t xml:space="preserve">66a7a339e60d4a39a43630064a56dab4</t>
        </is>
      </c>
      <c r="C607" s="0" t="inlineStr">
        <is>
          <t xml:space="preserve">Combined Synopsis/Solicitation</t>
        </is>
      </c>
      <c r="D607" s="0" t="inlineStr">
        <is>
          <t xml:space="preserve">2026-06-10</t>
        </is>
      </c>
      <c r="E607" s="0" t="inlineStr">
        <is>
          <t xml:space="preserve">Other DoD</t>
        </is>
      </c>
      <c r="F607" s="0" t="inlineStr">
        <is>
          <t xml:space="preserve">other</t>
        </is>
      </c>
      <c r="G607" s="0" t="inlineStr">
        <is>
          <t xml:space="preserve">333310</t>
        </is>
      </c>
      <c r="H607" s="0" t="inlineStr">
        <is>
          <t xml:space="preserve">46</t>
        </is>
      </c>
      <c r="I607" s="0" t="inlineStr">
        <is>
          <t xml:space="preserve">46--VESSEL ASSEMBLY,REV</t>
        </is>
      </c>
      <c r="J607" s="0" t="inlineStr">
        <is>
          <t xml:space="preserve">SPE8E826T4292</t>
        </is>
      </c>
    </row>
    <row r="608">
      <c r="B608" s="0" t="inlineStr">
        <is>
          <t xml:space="preserve">49deb0dc549a4703be35b743ada158e2</t>
        </is>
      </c>
      <c r="C608" s="0" t="inlineStr">
        <is>
          <t xml:space="preserve">Solicitation</t>
        </is>
      </c>
      <c r="D608" s="0" t="inlineStr">
        <is>
          <t xml:space="preserve">2026-06-11</t>
        </is>
      </c>
      <c r="E608" s="0" t="inlineStr">
        <is>
          <t xml:space="preserve">Coast Guard</t>
        </is>
      </c>
      <c r="F608" s="0" t="inlineStr">
        <is>
          <t xml:space="preserve">marine_components_parts</t>
        </is>
      </c>
      <c r="G608" s="0" t="inlineStr">
        <is>
          <t xml:space="preserve">314994</t>
        </is>
      </c>
      <c r="H608" s="0" t="inlineStr">
        <is>
          <t xml:space="preserve">2090</t>
        </is>
      </c>
      <c r="I608" s="0" t="inlineStr">
        <is>
          <t xml:space="preserve">BOAT CAPTURE NET</t>
        </is>
      </c>
      <c r="J608" s="0" t="inlineStr">
        <is>
          <t xml:space="preserve">70Z08526Q30087B00</t>
        </is>
      </c>
    </row>
    <row r="609">
      <c r="B609" s="0" t="inlineStr">
        <is>
          <t xml:space="preserve">7f03740dfd794f7b8098e326b3044ddc</t>
        </is>
      </c>
      <c r="C609" s="0" t="inlineStr">
        <is>
          <t xml:space="preserve">Sources Sought</t>
        </is>
      </c>
      <c r="D609" s="0" t="inlineStr">
        <is>
          <t xml:space="preserve">2026-06-04</t>
        </is>
      </c>
      <c r="E609" s="0" t="inlineStr">
        <is>
          <t xml:space="preserve">Civil/Other</t>
        </is>
      </c>
      <c r="F609" s="0" t="inlineStr">
        <is>
          <t xml:space="preserve">usv_autonomy</t>
        </is>
      </c>
      <c r="G609" s="0" t="inlineStr">
        <is>
          <t xml:space="preserve">541330</t>
        </is>
      </c>
      <c r="I609" s="0" t="inlineStr">
        <is>
          <t xml:space="preserve">RFI - OCAS Sovereign Robotics &amp; Autonomous Systems Warehouse</t>
        </is>
      </c>
      <c r="J609" s="0" t="inlineStr">
        <is>
          <t xml:space="preserve">OCAS-ASRA-2026-001</t>
        </is>
      </c>
    </row>
    <row r="610">
      <c r="B610" s="0" t="inlineStr">
        <is>
          <t xml:space="preserve">67455134475348c1ba7387f6273121e3</t>
        </is>
      </c>
      <c r="C610" s="0" t="inlineStr">
        <is>
          <t xml:space="preserve">Solicitation</t>
        </is>
      </c>
      <c r="D610" s="0" t="inlineStr">
        <is>
          <t xml:space="preserve">2026-06-05</t>
        </is>
      </c>
      <c r="E610" s="0" t="inlineStr">
        <is>
          <t xml:space="preserve">Civil/Other</t>
        </is>
      </c>
      <c r="F610" s="0" t="inlineStr">
        <is>
          <t xml:space="preserve">marine_components_parts</t>
        </is>
      </c>
      <c r="G610" s="0" t="inlineStr">
        <is>
          <t xml:space="preserve">332911</t>
        </is>
      </c>
      <c r="H610" s="0" t="inlineStr">
        <is>
          <t xml:space="preserve">4820</t>
        </is>
      </c>
      <c r="I610" s="0" t="inlineStr">
        <is>
          <t xml:space="preserve">PRESSURE VESSEL RECERTIFICATION</t>
        </is>
      </c>
      <c r="J610" s="0" t="inlineStr">
        <is>
          <t xml:space="preserve">140R3026Q0005</t>
        </is>
      </c>
    </row>
    <row r="611">
      <c r="B611" s="0" t="inlineStr">
        <is>
          <t xml:space="preserve">e650557cecb0468dbd9737aaac3254ed</t>
        </is>
      </c>
      <c r="C611" s="0" t="inlineStr">
        <is>
          <t xml:space="preserve">Solicitation</t>
        </is>
      </c>
      <c r="D611" s="0" t="inlineStr">
        <is>
          <t xml:space="preserve">2026-04-27</t>
        </is>
      </c>
      <c r="E611" s="0" t="inlineStr">
        <is>
          <t xml:space="preserve">Other DoD</t>
        </is>
      </c>
      <c r="F611" s="0" t="inlineStr">
        <is>
          <t xml:space="preserve">marine_components_parts</t>
        </is>
      </c>
      <c r="G611" s="0" t="inlineStr">
        <is>
          <t xml:space="preserve">334412</t>
        </is>
      </c>
      <c r="H611" s="0" t="inlineStr">
        <is>
          <t xml:space="preserve">5998</t>
        </is>
      </c>
      <c r="I611" s="0" t="inlineStr">
        <is>
          <t xml:space="preserve">DLA Maritime, NSN-5998-01-705-0456</t>
        </is>
      </c>
      <c r="J611" s="0" t="inlineStr">
        <is>
          <t xml:space="preserve">SPRMM1-26-Q-HB94</t>
        </is>
      </c>
    </row>
    <row r="612">
      <c r="B612" s="0" t="inlineStr">
        <is>
          <t xml:space="preserve">5e8c0c4a7ed84df1b15583776bd68b21</t>
        </is>
      </c>
      <c r="C612" s="0" t="inlineStr">
        <is>
          <t xml:space="preserve">Special Notice</t>
        </is>
      </c>
      <c r="D612" s="0" t="inlineStr">
        <is>
          <t xml:space="preserve">2026-05-20</t>
        </is>
      </c>
      <c r="E612" s="0" t="inlineStr">
        <is>
          <t xml:space="preserve">Other DoD</t>
        </is>
      </c>
      <c r="F612" s="0" t="inlineStr">
        <is>
          <t xml:space="preserve">usv_autonomy</t>
        </is>
      </c>
      <c r="I612" s="0" t="inlineStr">
        <is>
          <t xml:space="preserve">JATF Autonomous Warfare Proving Ground</t>
        </is>
      </c>
      <c r="J612" s="0" t="inlineStr">
        <is>
          <t xml:space="preserve">JATF_Autonomous_Warfare_Proving_Ground_CE</t>
        </is>
      </c>
    </row>
    <row r="613">
      <c r="B613" s="0" t="inlineStr">
        <is>
          <t xml:space="preserve">88df7077c59440e09d46b812fd41c5a9</t>
        </is>
      </c>
      <c r="C613" s="0" t="inlineStr">
        <is>
          <t xml:space="preserve">Presolicitation</t>
        </is>
      </c>
      <c r="D613" s="0" t="inlineStr">
        <is>
          <t xml:space="preserve">2026-06-03</t>
        </is>
      </c>
      <c r="E613" s="0" t="inlineStr">
        <is>
          <t xml:space="preserve">Civil/Other</t>
        </is>
      </c>
      <c r="F613" s="0" t="inlineStr">
        <is>
          <t xml:space="preserve">usv_autonomy</t>
        </is>
      </c>
      <c r="G613" s="0" t="inlineStr">
        <is>
          <t xml:space="preserve">334511</t>
        </is>
      </c>
      <c r="H613" s="0" t="inlineStr">
        <is>
          <t xml:space="preserve">6640</t>
        </is>
      </c>
      <c r="I613" s="0" t="inlineStr">
        <is>
          <t xml:space="preserve">DHS/CBP Commercial Solutions Opening - DRAFT Solicitation Release -AUTONOMOUS GROUND SURVEILLANCE VEHICLES (AGSV) - CSOP-BP-GS-26-0002</t>
        </is>
      </c>
      <c r="J613" s="0" t="inlineStr">
        <is>
          <t xml:space="preserve">DRAFT-CSOP-BP-GS-26-0002</t>
        </is>
      </c>
    </row>
    <row r="614">
      <c r="B614" s="0" t="inlineStr">
        <is>
          <t xml:space="preserve">df7c9a9913ce4931b72ff48ca85b6d04</t>
        </is>
      </c>
      <c r="C614" s="0" t="inlineStr">
        <is>
          <t xml:space="preserve">Solicitation</t>
        </is>
      </c>
      <c r="D614" s="0" t="inlineStr">
        <is>
          <t xml:space="preserve">2026-06-08</t>
        </is>
      </c>
      <c r="E614" s="0" t="inlineStr">
        <is>
          <t xml:space="preserve">Civil/Other</t>
        </is>
      </c>
      <c r="F614" s="0" t="inlineStr">
        <is>
          <t xml:space="preserve">usv_autonomy</t>
        </is>
      </c>
      <c r="G614" s="0" t="inlineStr">
        <is>
          <t xml:space="preserve">334511</t>
        </is>
      </c>
      <c r="H614" s="0" t="inlineStr">
        <is>
          <t xml:space="preserve">6640</t>
        </is>
      </c>
      <c r="I614" s="0" t="inlineStr">
        <is>
          <t xml:space="preserve">DHS/CBP Commercial Solutions Opening - FINAL Solicitation Release -AUTONOMOUS GROUND SURVEILLANCE VEHICLES (AGSV) - CSOP-BP-GS-26-0002</t>
        </is>
      </c>
      <c r="J614" s="0" t="inlineStr">
        <is>
          <t xml:space="preserve">CSOP-BP-GS-26-0002</t>
        </is>
      </c>
    </row>
    <row r="615">
      <c r="B615" s="0" t="inlineStr">
        <is>
          <t xml:space="preserve">3e66d960c0a14d51b236bbcf712d34cf</t>
        </is>
      </c>
      <c r="C615" s="0" t="inlineStr">
        <is>
          <t xml:space="preserve">Solicitation</t>
        </is>
      </c>
      <c r="D615" s="0" t="inlineStr">
        <is>
          <t xml:space="preserve">2026-04-21</t>
        </is>
      </c>
      <c r="E615" s="0" t="inlineStr">
        <is>
          <t xml:space="preserve">Other DoD</t>
        </is>
      </c>
      <c r="F615" s="0" t="inlineStr">
        <is>
          <t xml:space="preserve">usv_autonomy</t>
        </is>
      </c>
      <c r="G615" s="0" t="inlineStr">
        <is>
          <t xml:space="preserve">541714</t>
        </is>
      </c>
      <c r="H615" s="0" t="inlineStr">
        <is>
          <t xml:space="preserve">AC12</t>
        </is>
      </c>
      <c r="I615" s="0" t="inlineStr">
        <is>
          <t xml:space="preserve">Virtual-Integrated Twin for Autonomous Lifesaving (VITAL)</t>
        </is>
      </c>
      <c r="J615" s="0" t="inlineStr">
        <is>
          <t xml:space="preserve">DARPA-PS-26-26</t>
        </is>
      </c>
    </row>
    <row r="616">
      <c r="B616" s="0" t="inlineStr">
        <is>
          <t xml:space="preserve">fc32f4cf10114737bb7b8ec767599777</t>
        </is>
      </c>
      <c r="C616" s="0" t="inlineStr">
        <is>
          <t xml:space="preserve">Sources Sought</t>
        </is>
      </c>
      <c r="D616" s="0" t="inlineStr">
        <is>
          <t xml:space="preserve">2026-05-29</t>
        </is>
      </c>
      <c r="E616" s="0" t="inlineStr">
        <is>
          <t xml:space="preserve">Navy/USMC</t>
        </is>
      </c>
      <c r="F616" s="0" t="inlineStr">
        <is>
          <t xml:space="preserve">services_rdte</t>
        </is>
      </c>
      <c r="G616" s="0" t="inlineStr">
        <is>
          <t xml:space="preserve">541715</t>
        </is>
      </c>
      <c r="H616" s="0" t="inlineStr">
        <is>
          <t xml:space="preserve">AC13</t>
        </is>
      </c>
      <c r="I616" s="0" t="inlineStr">
        <is>
          <t xml:space="preserve">Request for Information (RFI) for a Tactical Resupply Unmanned Aircraft System (TRUAS) Solution</t>
        </is>
      </c>
      <c r="J616" s="0" t="inlineStr">
        <is>
          <t xml:space="preserve">N0001926RFPREQWPM2630125</t>
        </is>
      </c>
    </row>
    <row r="617">
      <c r="B617" s="0" t="inlineStr">
        <is>
          <t xml:space="preserve">5ed228cfe1f14d3f8629ec5ea4a15e89</t>
        </is>
      </c>
      <c r="C617" s="0" t="inlineStr">
        <is>
          <t xml:space="preserve">Solicitation</t>
        </is>
      </c>
      <c r="D617" s="0" t="inlineStr">
        <is>
          <t xml:space="preserve">2026-05-29</t>
        </is>
      </c>
      <c r="E617" s="0" t="inlineStr">
        <is>
          <t xml:space="preserve">Civil/Other</t>
        </is>
      </c>
      <c r="F617" s="0" t="inlineStr">
        <is>
          <t xml:space="preserve">other</t>
        </is>
      </c>
      <c r="G617" s="0" t="inlineStr">
        <is>
          <t xml:space="preserve">237990</t>
        </is>
      </c>
      <c r="H617" s="0" t="inlineStr">
        <is>
          <t xml:space="preserve">Z2PZ</t>
        </is>
      </c>
      <c r="I617" s="0" t="inlineStr">
        <is>
          <t xml:space="preserve">Z--Riverside Vessel Barrier Replacement at Hoover Dam</t>
        </is>
      </c>
      <c r="J617" s="0" t="inlineStr">
        <is>
          <t xml:space="preserve">140R3026Q0066</t>
        </is>
      </c>
    </row>
    <row r="618">
      <c r="B618" s="0" t="inlineStr">
        <is>
          <t xml:space="preserve">f40bd9dd67f6456d8c76dcb79fafa687</t>
        </is>
      </c>
      <c r="C618" s="0" t="inlineStr">
        <is>
          <t xml:space="preserve">Special Notice</t>
        </is>
      </c>
      <c r="D618" s="0" t="inlineStr">
        <is>
          <t xml:space="preserve">2026-06-10</t>
        </is>
      </c>
      <c r="E618" s="0" t="inlineStr">
        <is>
          <t xml:space="preserve">Navy/USMC</t>
        </is>
      </c>
      <c r="F618" s="0" t="inlineStr">
        <is>
          <t xml:space="preserve">other</t>
        </is>
      </c>
      <c r="H618" s="0" t="inlineStr">
        <is>
          <t xml:space="preserve">Y1JZ</t>
        </is>
      </c>
      <c r="I618" s="0" t="inlineStr">
        <is>
          <t xml:space="preserve">P836 SOF Maritime Assault Training Facility Naval Station Air Station Oceana, VA Beach, VA</t>
        </is>
      </c>
    </row>
    <row r="619">
      <c r="B619" s="0" t="inlineStr">
        <is>
          <t xml:space="preserve">9ac4fbd155754df390845833fa605d6e</t>
        </is>
      </c>
      <c r="C619" s="0" t="inlineStr">
        <is>
          <t xml:space="preserve">Special Notice</t>
        </is>
      </c>
      <c r="D619" s="0" t="inlineStr">
        <is>
          <t xml:space="preserve">2026-06-10</t>
        </is>
      </c>
      <c r="E619" s="0" t="inlineStr">
        <is>
          <t xml:space="preserve">Navy/USMC</t>
        </is>
      </c>
      <c r="F619" s="0" t="inlineStr">
        <is>
          <t xml:space="preserve">other</t>
        </is>
      </c>
      <c r="H619" s="0" t="inlineStr">
        <is>
          <t xml:space="preserve">Y1JZ</t>
        </is>
      </c>
      <c r="I619" s="0" t="inlineStr">
        <is>
          <t xml:space="preserve">P836 SOF Maritime Assault Training Facility Naval Station Air Station Oceana, VA Beach, VA</t>
        </is>
      </c>
    </row>
    <row r="620">
      <c r="B620" s="0" t="inlineStr">
        <is>
          <t xml:space="preserve">85f5848326594e0997fdb43472385390</t>
        </is>
      </c>
      <c r="C620" s="0" t="inlineStr">
        <is>
          <t xml:space="preserve">Special Notice</t>
        </is>
      </c>
      <c r="D620" s="0" t="inlineStr">
        <is>
          <t xml:space="preserve">2026-06-10</t>
        </is>
      </c>
      <c r="E620" s="0" t="inlineStr">
        <is>
          <t xml:space="preserve">Navy/USMC</t>
        </is>
      </c>
      <c r="F620" s="0" t="inlineStr">
        <is>
          <t xml:space="preserve">other</t>
        </is>
      </c>
      <c r="H620" s="0" t="inlineStr">
        <is>
          <t xml:space="preserve">Y1JZ</t>
        </is>
      </c>
      <c r="I620" s="0" t="inlineStr">
        <is>
          <t xml:space="preserve">P836 SOF Maritime Assault Training Facility Naval Station Air Station Oceana, VA Beach, VA</t>
        </is>
      </c>
    </row>
    <row r="621">
      <c r="B621" s="0" t="inlineStr">
        <is>
          <t xml:space="preserve">2f6d68d5096e498286392c3a68a6dc77</t>
        </is>
      </c>
      <c r="C621" s="0" t="inlineStr">
        <is>
          <t xml:space="preserve">Special Notice</t>
        </is>
      </c>
      <c r="D621" s="0" t="inlineStr">
        <is>
          <t xml:space="preserve">2026-06-10</t>
        </is>
      </c>
      <c r="E621" s="0" t="inlineStr">
        <is>
          <t xml:space="preserve">Navy/USMC</t>
        </is>
      </c>
      <c r="F621" s="0" t="inlineStr">
        <is>
          <t xml:space="preserve">other</t>
        </is>
      </c>
      <c r="H621" s="0" t="inlineStr">
        <is>
          <t xml:space="preserve">Y1JZ</t>
        </is>
      </c>
      <c r="I621" s="0" t="inlineStr">
        <is>
          <t xml:space="preserve">P836 SOF Maritime Assault Training Facility Naval Station Air Station Oceana, VA Beach, VA</t>
        </is>
      </c>
    </row>
    <row r="622">
      <c r="B622" s="0" t="inlineStr">
        <is>
          <t xml:space="preserve">24913a44c61347709762a073f6c8f4db</t>
        </is>
      </c>
      <c r="C622" s="0" t="inlineStr">
        <is>
          <t xml:space="preserve">Special Notice</t>
        </is>
      </c>
      <c r="D622" s="0" t="inlineStr">
        <is>
          <t xml:space="preserve">2026-06-10</t>
        </is>
      </c>
      <c r="E622" s="0" t="inlineStr">
        <is>
          <t xml:space="preserve">Navy/USMC</t>
        </is>
      </c>
      <c r="F622" s="0" t="inlineStr">
        <is>
          <t xml:space="preserve">other</t>
        </is>
      </c>
      <c r="H622" s="0" t="inlineStr">
        <is>
          <t xml:space="preserve">Y1JZ</t>
        </is>
      </c>
      <c r="I622" s="0" t="inlineStr">
        <is>
          <t xml:space="preserve">P836 SOF Maritime Assault Training Facility Naval Station Air Station Oceana, VA Beach, VA</t>
        </is>
      </c>
    </row>
    <row r="623">
      <c r="B623" s="0" t="inlineStr">
        <is>
          <t xml:space="preserve">94694bdd989b457db253895cb66f3540</t>
        </is>
      </c>
      <c r="C623" s="0" t="inlineStr">
        <is>
          <t xml:space="preserve">Sources Sought</t>
        </is>
      </c>
      <c r="D623" s="0" t="inlineStr">
        <is>
          <t xml:space="preserve">2026-05-21</t>
        </is>
      </c>
      <c r="E623" s="0" t="inlineStr">
        <is>
          <t xml:space="preserve">Army</t>
        </is>
      </c>
      <c r="F623" s="0" t="inlineStr">
        <is>
          <t xml:space="preserve">usv_autonomy</t>
        </is>
      </c>
      <c r="G623" s="0" t="inlineStr">
        <is>
          <t xml:space="preserve">236220</t>
        </is>
      </c>
      <c r="H623" s="0" t="inlineStr">
        <is>
          <t xml:space="preserve">Y1FZ</t>
        </is>
      </c>
      <c r="I623" s="0" t="inlineStr">
        <is>
          <t xml:space="preserve">Sources Sought - Design-Build to Budget (DB2B) Construction of Tactical Unmanned Aerial Vehicle Hangar</t>
        </is>
      </c>
      <c r="J623" s="0" t="inlineStr">
        <is>
          <t xml:space="preserve">W912PL26S0031</t>
        </is>
      </c>
    </row>
    <row r="624">
      <c r="B624" s="0" t="inlineStr">
        <is>
          <t xml:space="preserve">21169f3d84b14d3eab90dba3ca4330e1</t>
        </is>
      </c>
      <c r="C624" s="0" t="inlineStr">
        <is>
          <t xml:space="preserve">Combined Synopsis/Solicitation</t>
        </is>
      </c>
      <c r="D624" s="0" t="inlineStr">
        <is>
          <t xml:space="preserve">2026-06-08</t>
        </is>
      </c>
      <c r="E624" s="0" t="inlineStr">
        <is>
          <t xml:space="preserve">Civil/Other</t>
        </is>
      </c>
      <c r="F624" s="0" t="inlineStr">
        <is>
          <t xml:space="preserve">services_rdte</t>
        </is>
      </c>
      <c r="G624" s="0" t="inlineStr">
        <is>
          <t xml:space="preserve">541330</t>
        </is>
      </c>
      <c r="H624" s="0" t="inlineStr">
        <is>
          <t xml:space="preserve">R425</t>
        </is>
      </c>
      <c r="I624" s="0" t="inlineStr">
        <is>
          <t xml:space="preserve">MARAD - Vessel Inspection Services for RRF Vessels - Third Party</t>
        </is>
      </c>
      <c r="J624" s="0" t="inlineStr">
        <is>
          <t xml:space="preserve">693JF726R000014</t>
        </is>
      </c>
    </row>
    <row r="625">
      <c r="B625" s="0" t="inlineStr">
        <is>
          <t xml:space="preserve">888ad808b4e340a1a6e744ddeea0362e</t>
        </is>
      </c>
      <c r="C625" s="0" t="inlineStr">
        <is>
          <t xml:space="preserve">Sources Sought</t>
        </is>
      </c>
      <c r="D625" s="0" t="inlineStr">
        <is>
          <t xml:space="preserve">2026-06-09</t>
        </is>
      </c>
      <c r="E625" s="0" t="inlineStr">
        <is>
          <t xml:space="preserve">Navy/USMC</t>
        </is>
      </c>
      <c r="F625" s="0" t="inlineStr">
        <is>
          <t xml:space="preserve">other</t>
        </is>
      </c>
      <c r="G625" s="0" t="inlineStr">
        <is>
          <t xml:space="preserve">483111</t>
        </is>
      </c>
      <c r="H625" s="0" t="inlineStr">
        <is>
          <t xml:space="preserve">V124</t>
        </is>
      </c>
      <c r="I625" s="0" t="inlineStr">
        <is>
          <t xml:space="preserve">USAF Prepo Vessel Time Charter</t>
        </is>
      </c>
      <c r="J625" s="0" t="inlineStr">
        <is>
          <t xml:space="preserve">SS-26-123</t>
        </is>
      </c>
    </row>
    <row r="626">
      <c r="B626" s="0" t="inlineStr">
        <is>
          <t xml:space="preserve">46db7eb23efa4efdb17db2138d21b03e</t>
        </is>
      </c>
      <c r="C626" s="0" t="inlineStr">
        <is>
          <t xml:space="preserve">Combined Synopsis/Solicitation</t>
        </is>
      </c>
      <c r="D626" s="0" t="inlineStr">
        <is>
          <t xml:space="preserve">2026-06-10</t>
        </is>
      </c>
      <c r="E626" s="0" t="inlineStr">
        <is>
          <t xml:space="preserve">Civil/Other</t>
        </is>
      </c>
      <c r="F626" s="0" t="inlineStr">
        <is>
          <t xml:space="preserve">other</t>
        </is>
      </c>
      <c r="G626" s="0" t="inlineStr">
        <is>
          <t xml:space="preserve">333618</t>
        </is>
      </c>
      <c r="H626" s="0" t="inlineStr">
        <is>
          <t xml:space="preserve">2805</t>
        </is>
      </c>
      <c r="I626" s="0" t="inlineStr">
        <is>
          <t xml:space="preserve">Brand Name or Equal Mercury BOAT MOTOR</t>
        </is>
      </c>
      <c r="J626" s="0" t="inlineStr">
        <is>
          <t xml:space="preserve">140G0226Q0062</t>
        </is>
      </c>
    </row>
    <row r="627">
      <c r="B627" s="0" t="inlineStr">
        <is>
          <t xml:space="preserve">acf425a73b3a4773be7fd58feaa673c6</t>
        </is>
      </c>
      <c r="C627" s="0" t="inlineStr">
        <is>
          <t xml:space="preserve">Presolicitation</t>
        </is>
      </c>
      <c r="D627" s="0" t="inlineStr">
        <is>
          <t xml:space="preserve">2026-06-11</t>
        </is>
      </c>
      <c r="E627" s="0" t="inlineStr">
        <is>
          <t xml:space="preserve">Civil/Other</t>
        </is>
      </c>
      <c r="F627" s="0" t="inlineStr">
        <is>
          <t xml:space="preserve">ship_repair_maintenance</t>
        </is>
      </c>
      <c r="G627" s="0" t="inlineStr">
        <is>
          <t xml:space="preserve">541620</t>
        </is>
      </c>
      <c r="H627" s="0" t="inlineStr">
        <is>
          <t xml:space="preserve">R499</t>
        </is>
      </c>
      <c r="I627" s="0" t="inlineStr">
        <is>
          <t xml:space="preserve">CONSULTANT SERVICES FOR TOMALES BAY VESSEL MANAGEMENT PLAN, MOORING PROGRAM AND EELGRASS MONITORING AND RESTORATION PROJECT; NON-PERSONAL SERVICES</t>
        </is>
      </c>
      <c r="J627" s="0" t="inlineStr">
        <is>
          <t xml:space="preserve">141014-26-0078</t>
        </is>
      </c>
    </row>
    <row r="628">
      <c r="B628" s="0" t="inlineStr">
        <is>
          <t xml:space="preserve">a56f4b5cba184404ad06d3e07db78512</t>
        </is>
      </c>
      <c r="C628" s="0" t="inlineStr">
        <is>
          <t xml:space="preserve">Presolicitation</t>
        </is>
      </c>
      <c r="D628" s="0" t="inlineStr">
        <is>
          <t xml:space="preserve">2026-06-07</t>
        </is>
      </c>
      <c r="E628" s="0" t="inlineStr">
        <is>
          <t xml:space="preserve">Navy/USMC</t>
        </is>
      </c>
      <c r="F628" s="0" t="inlineStr">
        <is>
          <t xml:space="preserve">other</t>
        </is>
      </c>
      <c r="G628" s="0" t="inlineStr">
        <is>
          <t xml:space="preserve">236220</t>
        </is>
      </c>
      <c r="H628" s="0" t="inlineStr">
        <is>
          <t xml:space="preserve">Y1JZ</t>
        </is>
      </c>
      <c r="I628" s="0" t="inlineStr">
        <is>
          <t xml:space="preserve">Design-Build Senegal Marine Special Forces Small Boat Storage Shelter</t>
        </is>
      </c>
      <c r="J628" s="0" t="inlineStr">
        <is>
          <t xml:space="preserve">n3319126r0027</t>
        </is>
      </c>
    </row>
    <row r="629">
      <c r="B629" s="0" t="inlineStr">
        <is>
          <t xml:space="preserve">c5c65331ad7c42eabfc62a0abcac6ecf</t>
        </is>
      </c>
      <c r="C629" s="0" t="inlineStr">
        <is>
          <t xml:space="preserve">Combined Synopsis/Solicitation</t>
        </is>
      </c>
      <c r="D629" s="0" t="inlineStr">
        <is>
          <t xml:space="preserve">2026-06-08</t>
        </is>
      </c>
      <c r="E629" s="0" t="inlineStr">
        <is>
          <t xml:space="preserve">Civil/Other</t>
        </is>
      </c>
      <c r="F629" s="0" t="inlineStr">
        <is>
          <t xml:space="preserve">other</t>
        </is>
      </c>
      <c r="G629" s="0" t="inlineStr">
        <is>
          <t xml:space="preserve">332420</t>
        </is>
      </c>
      <c r="H629" s="0" t="inlineStr">
        <is>
          <t xml:space="preserve">5430</t>
        </is>
      </c>
      <c r="I629" s="0" t="inlineStr">
        <is>
          <t xml:space="preserve">ASME Certified High-Pressure Storage Vessels for NASA John C. Stennis Space Center</t>
        </is>
      </c>
      <c r="J629" s="0" t="inlineStr">
        <is>
          <t xml:space="preserve">80SSC026Q0003</t>
        </is>
      </c>
    </row>
    <row r="630">
      <c r="B630" s="0" t="inlineStr">
        <is>
          <t xml:space="preserve">92757ddd971f417d9336aafaec12afd1</t>
        </is>
      </c>
      <c r="C630" s="0" t="inlineStr">
        <is>
          <t xml:space="preserve">Solicitation</t>
        </is>
      </c>
      <c r="D630" s="0" t="inlineStr">
        <is>
          <t xml:space="preserve">2026-06-10</t>
        </is>
      </c>
      <c r="E630" s="0" t="inlineStr">
        <is>
          <t xml:space="preserve">Army</t>
        </is>
      </c>
      <c r="F630" s="0" t="inlineStr">
        <is>
          <t xml:space="preserve">usv_autonomy</t>
        </is>
      </c>
      <c r="G630" s="0" t="inlineStr">
        <is>
          <t xml:space="preserve">236220</t>
        </is>
      </c>
      <c r="H630" s="0" t="inlineStr">
        <is>
          <t xml:space="preserve">Y1JZ</t>
        </is>
      </c>
      <c r="I630" s="0" t="inlineStr">
        <is>
          <t xml:space="preserve">Unmanned Fusion Warfare Laboratory at NSWC Crane IN</t>
        </is>
      </c>
      <c r="J630" s="0" t="inlineStr">
        <is>
          <t xml:space="preserve">W912QR26BA017</t>
        </is>
      </c>
    </row>
    <row r="631">
      <c r="B631" s="0" t="inlineStr">
        <is>
          <t xml:space="preserve">6685fd6f88844fc78d75e7a11af0599f</t>
        </is>
      </c>
      <c r="C631" s="0" t="inlineStr">
        <is>
          <t xml:space="preserve">Solicitation</t>
        </is>
      </c>
      <c r="D631" s="0" t="inlineStr">
        <is>
          <t xml:space="preserve">2026-05-01</t>
        </is>
      </c>
      <c r="E631" s="0" t="inlineStr">
        <is>
          <t xml:space="preserve">Other DoD</t>
        </is>
      </c>
      <c r="F631" s="0" t="inlineStr">
        <is>
          <t xml:space="preserve">marine_components_parts</t>
        </is>
      </c>
      <c r="G631" s="0" t="inlineStr">
        <is>
          <t xml:space="preserve">334412</t>
        </is>
      </c>
      <c r="H631" s="0" t="inlineStr">
        <is>
          <t xml:space="preserve">5998</t>
        </is>
      </c>
      <c r="I631" s="0" t="inlineStr">
        <is>
          <t xml:space="preserve">Circuit Card Assembly - NSN 5998-01-321-4634 - (DLA Maritime)</t>
        </is>
      </c>
      <c r="J631" s="0" t="inlineStr">
        <is>
          <t xml:space="preserve">SPRMM1-26-Q-HC12</t>
        </is>
      </c>
    </row>
    <row r="632">
      <c r="B632" s="0" t="inlineStr">
        <is>
          <t xml:space="preserve">bb2e0b0fe64940ebb2f4e35da8b7827e</t>
        </is>
      </c>
      <c r="C632" s="0" t="inlineStr">
        <is>
          <t xml:space="preserve">Special Notice</t>
        </is>
      </c>
      <c r="D632" s="0" t="inlineStr">
        <is>
          <t xml:space="preserve">2026-05-14</t>
        </is>
      </c>
      <c r="E632" s="0" t="inlineStr">
        <is>
          <t xml:space="preserve">Civil/Other</t>
        </is>
      </c>
      <c r="F632" s="0" t="inlineStr">
        <is>
          <t xml:space="preserve">other</t>
        </is>
      </c>
      <c r="G632" s="0" t="inlineStr">
        <is>
          <t xml:space="preserve">541715</t>
        </is>
      </c>
      <c r="H632" s="0" t="inlineStr">
        <is>
          <t xml:space="preserve">4470</t>
        </is>
      </c>
      <c r="I632" s="0" t="inlineStr">
        <is>
          <t xml:space="preserve">Available for Licensing: Composite Vessel-Shield Technology for Transportable Microreactor Systems</t>
        </is>
      </c>
      <c r="J632" s="0" t="inlineStr">
        <is>
          <t xml:space="preserve">BA-1453-2</t>
        </is>
      </c>
    </row>
    <row r="633">
      <c r="B633" s="0" t="inlineStr">
        <is>
          <t xml:space="preserve">7428f3947a5e4aafae4bf87bfe422da5</t>
        </is>
      </c>
      <c r="C633" s="0" t="inlineStr">
        <is>
          <t xml:space="preserve">Combined Synopsis/Solicitation</t>
        </is>
      </c>
      <c r="D633" s="0" t="inlineStr">
        <is>
          <t xml:space="preserve">2026-05-28</t>
        </is>
      </c>
      <c r="E633" s="0" t="inlineStr">
        <is>
          <t xml:space="preserve">Army</t>
        </is>
      </c>
      <c r="F633" s="0" t="inlineStr">
        <is>
          <t xml:space="preserve">ship_repair_maintenance</t>
        </is>
      </c>
      <c r="G633" s="0" t="inlineStr">
        <is>
          <t xml:space="preserve">541990</t>
        </is>
      </c>
      <c r="H633" s="0" t="inlineStr">
        <is>
          <t xml:space="preserve">J019</t>
        </is>
      </c>
      <c r="I633" s="0" t="inlineStr">
        <is>
          <t xml:space="preserve">NAMS/SAMS Vessel Inspection Blanket Purchase Agreement</t>
        </is>
      </c>
      <c r="J633" s="0" t="inlineStr">
        <is>
          <t xml:space="preserve">W912EQ26QA035</t>
        </is>
      </c>
    </row>
    <row r="634">
      <c r="B634" s="0" t="inlineStr">
        <is>
          <t xml:space="preserve">0a04e89ea9fc4edea480f6290259652b</t>
        </is>
      </c>
      <c r="C634" s="0" t="inlineStr">
        <is>
          <t xml:space="preserve">Sources Sought</t>
        </is>
      </c>
      <c r="D634" s="0" t="inlineStr">
        <is>
          <t xml:space="preserve">2026-06-04</t>
        </is>
      </c>
      <c r="E634" s="0" t="inlineStr">
        <is>
          <t xml:space="preserve">Civil/Other</t>
        </is>
      </c>
      <c r="F634" s="0" t="inlineStr">
        <is>
          <t xml:space="preserve">other</t>
        </is>
      </c>
      <c r="G634" s="0" t="inlineStr">
        <is>
          <t xml:space="preserve">532411</t>
        </is>
      </c>
      <c r="H634" s="0" t="inlineStr">
        <is>
          <t xml:space="preserve">W019</t>
        </is>
      </c>
      <c r="I634" s="0" t="inlineStr">
        <is>
          <t xml:space="preserve">Request for Information (RFI) regarding the potential to lease new RO/ROs vessels.</t>
        </is>
      </c>
      <c r="J634" s="0" t="inlineStr">
        <is>
          <t xml:space="preserve">06032026</t>
        </is>
      </c>
    </row>
    <row r="635">
      <c r="B635" s="0" t="inlineStr">
        <is>
          <t xml:space="preserve">316e8cca991845b9a9cb505c5bd7536d</t>
        </is>
      </c>
      <c r="C635" s="0" t="inlineStr">
        <is>
          <t xml:space="preserve">Solicitation</t>
        </is>
      </c>
      <c r="D635" s="0" t="inlineStr">
        <is>
          <t xml:space="preserve">2026-06-10</t>
        </is>
      </c>
      <c r="E635" s="0" t="inlineStr">
        <is>
          <t xml:space="preserve">Civil/Other</t>
        </is>
      </c>
      <c r="F635" s="0" t="inlineStr">
        <is>
          <t xml:space="preserve">other</t>
        </is>
      </c>
      <c r="G635" s="0" t="inlineStr">
        <is>
          <t xml:space="preserve">238110</t>
        </is>
      </c>
      <c r="H635" s="0" t="inlineStr">
        <is>
          <t xml:space="preserve">Z2LZ</t>
        </is>
      </c>
      <c r="I635" s="0" t="inlineStr">
        <is>
          <t xml:space="preserve">Z--GLCA - CEMENT PAD FOR BOAT GARAGE.</t>
        </is>
      </c>
      <c r="J635" s="0" t="inlineStr">
        <is>
          <t xml:space="preserve">140P1526Q0106</t>
        </is>
      </c>
    </row>
    <row r="636">
      <c r="B636" s="0" t="inlineStr">
        <is>
          <t xml:space="preserve">530ac3a7185849f49faf7610d042de3f</t>
        </is>
      </c>
      <c r="C636" s="0" t="inlineStr">
        <is>
          <t xml:space="preserve">Sources Sought</t>
        </is>
      </c>
      <c r="D636" s="0" t="inlineStr">
        <is>
          <t xml:space="preserve">2026-06-07</t>
        </is>
      </c>
      <c r="E636" s="0" t="inlineStr">
        <is>
          <t xml:space="preserve">Civil/Other</t>
        </is>
      </c>
      <c r="F636" s="0" t="inlineStr">
        <is>
          <t xml:space="preserve">other</t>
        </is>
      </c>
      <c r="I636" s="0" t="inlineStr">
        <is>
          <t xml:space="preserve">INL/Bahamas Electronics Marine for SafeBoats</t>
        </is>
      </c>
      <c r="J636" s="0" t="inlineStr">
        <is>
          <t xml:space="preserve">191NLE26N0037</t>
        </is>
      </c>
    </row>
    <row r="637">
      <c r="B637" s="0" t="inlineStr">
        <is>
          <t xml:space="preserve">484a30fde304499a8a86ff4d98702959</t>
        </is>
      </c>
      <c r="C637" s="0" t="inlineStr">
        <is>
          <t xml:space="preserve">Sources Sought</t>
        </is>
      </c>
      <c r="D637" s="0" t="inlineStr">
        <is>
          <t xml:space="preserve">2026-06-08</t>
        </is>
      </c>
      <c r="E637" s="0" t="inlineStr">
        <is>
          <t xml:space="preserve">Army</t>
        </is>
      </c>
      <c r="F637" s="0" t="inlineStr">
        <is>
          <t xml:space="preserve">usv_autonomy</t>
        </is>
      </c>
      <c r="G637" s="0" t="inlineStr">
        <is>
          <t xml:space="preserve">541330</t>
        </is>
      </c>
      <c r="H637" s="0" t="inlineStr">
        <is>
          <t xml:space="preserve">3895</t>
        </is>
      </c>
      <c r="I637" s="0" t="inlineStr">
        <is>
          <t xml:space="preserve">Robotic and Autonomous Construction Equipment (RA-CE)</t>
        </is>
      </c>
      <c r="J637" s="0" t="inlineStr">
        <is>
          <t xml:space="preserve">PANDTA-26-P-0000RA-CE</t>
        </is>
      </c>
    </row>
    <row r="638">
      <c r="B638" s="0" t="inlineStr">
        <is>
          <t xml:space="preserve">7d7320b5e89e42f8abdf6e93b496b369</t>
        </is>
      </c>
      <c r="C638" s="0" t="inlineStr">
        <is>
          <t xml:space="preserve">Solicitation</t>
        </is>
      </c>
      <c r="D638" s="0" t="inlineStr">
        <is>
          <t xml:space="preserve">2026-06-08</t>
        </is>
      </c>
      <c r="E638" s="0" t="inlineStr">
        <is>
          <t xml:space="preserve">Civil/Other</t>
        </is>
      </c>
      <c r="F638" s="0" t="inlineStr">
        <is>
          <t xml:space="preserve">other</t>
        </is>
      </c>
      <c r="G638" s="0" t="inlineStr">
        <is>
          <t xml:space="preserve">237990</t>
        </is>
      </c>
      <c r="H638" s="0" t="inlineStr">
        <is>
          <t xml:space="preserve">Y1PZ</t>
        </is>
      </c>
      <c r="I638" s="0" t="inlineStr">
        <is>
          <t xml:space="preserve">Steamboat Rock State Park Shoreline Stabilization</t>
        </is>
      </c>
      <c r="J638" s="0" t="inlineStr">
        <is>
          <t xml:space="preserve">140R1026B0001</t>
        </is>
      </c>
    </row>
    <row r="639">
      <c r="B639" s="0" t="inlineStr">
        <is>
          <t xml:space="preserve">b571b4301dde4ff49bc7fec6efbca615</t>
        </is>
      </c>
      <c r="C639" s="0" t="inlineStr">
        <is>
          <t xml:space="preserve">Solicitation</t>
        </is>
      </c>
      <c r="D639" s="0" t="inlineStr">
        <is>
          <t xml:space="preserve">2026-06-11</t>
        </is>
      </c>
      <c r="E639" s="0" t="inlineStr">
        <is>
          <t xml:space="preserve">Navy/USMC</t>
        </is>
      </c>
      <c r="F639" s="0" t="inlineStr">
        <is>
          <t xml:space="preserve">ship_repair_maintenance</t>
        </is>
      </c>
      <c r="G639" s="0" t="inlineStr">
        <is>
          <t xml:space="preserve">488390</t>
        </is>
      </c>
      <c r="H639" s="0" t="inlineStr">
        <is>
          <t xml:space="preserve">J019</t>
        </is>
      </c>
      <c r="I639" s="0" t="inlineStr">
        <is>
          <t xml:space="preserve">Operation, Maintenance, and Repair of Motor Vessel Independence (M/V Independence Support)</t>
        </is>
      </c>
      <c r="J639" s="0" t="inlineStr">
        <is>
          <t xml:space="preserve">N3943026R4001</t>
        </is>
      </c>
    </row>
    <row r="640">
      <c r="B640" s="0" t="inlineStr">
        <is>
          <t xml:space="preserve">17e2a18fea594beda178aa720c296b01</t>
        </is>
      </c>
      <c r="C640" s="0" t="inlineStr">
        <is>
          <t xml:space="preserve">Solicitation</t>
        </is>
      </c>
      <c r="D640" s="0" t="inlineStr">
        <is>
          <t xml:space="preserve">2026-06-11</t>
        </is>
      </c>
      <c r="E640" s="0" t="inlineStr">
        <is>
          <t xml:space="preserve">Navy/USMC</t>
        </is>
      </c>
      <c r="F640" s="0" t="inlineStr">
        <is>
          <t xml:space="preserve">ship_repair_maintenance</t>
        </is>
      </c>
      <c r="G640" s="0" t="inlineStr">
        <is>
          <t xml:space="preserve">488390</t>
        </is>
      </c>
      <c r="H640" s="0" t="inlineStr">
        <is>
          <t xml:space="preserve">J019</t>
        </is>
      </c>
      <c r="I640" s="0" t="inlineStr">
        <is>
          <t xml:space="preserve">Operation, Maintenance, and Repair of Motor Vessel Independence (M/V Independence Support)</t>
        </is>
      </c>
      <c r="J640" s="0" t="inlineStr">
        <is>
          <t xml:space="preserve">N3943026R4001-1</t>
        </is>
      </c>
    </row>
    <row r="641">
      <c r="B641" s="0" t="inlineStr">
        <is>
          <t xml:space="preserve">c8098689920342d8b592a48227e22bc2</t>
        </is>
      </c>
      <c r="C641" s="0" t="inlineStr">
        <is>
          <t xml:space="preserve">Solicitation</t>
        </is>
      </c>
      <c r="D641" s="0" t="inlineStr">
        <is>
          <t xml:space="preserve">2026-06-03</t>
        </is>
      </c>
      <c r="E641" s="0" t="inlineStr">
        <is>
          <t xml:space="preserve">Navy/USMC</t>
        </is>
      </c>
      <c r="F641" s="0" t="inlineStr">
        <is>
          <t xml:space="preserve">other</t>
        </is>
      </c>
      <c r="G641" s="0" t="inlineStr">
        <is>
          <t xml:space="preserve">236220</t>
        </is>
      </c>
      <c r="H641" s="0" t="inlineStr">
        <is>
          <t xml:space="preserve">Y1DB</t>
        </is>
      </c>
      <c r="I641" s="0" t="inlineStr">
        <is>
          <t xml:space="preserve">DESIGN-BUILD, P-664 FOREIGN MATERIEL EXPLOITATION LABORATORY, NATIONAL MARITIME INTELLIGENCE CENTER (NMIC), SUITLAND, MD</t>
        </is>
      </c>
      <c r="J641" s="0" t="inlineStr">
        <is>
          <t xml:space="preserve">N4008026R5966</t>
        </is>
      </c>
    </row>
    <row r="642">
      <c r="B642" s="0" t="inlineStr">
        <is>
          <t xml:space="preserve">afcbf25d26dc45a0a3c01f2ed1412721</t>
        </is>
      </c>
      <c r="C642" s="0" t="inlineStr">
        <is>
          <t xml:space="preserve">Solicitation</t>
        </is>
      </c>
      <c r="D642" s="0" t="inlineStr">
        <is>
          <t xml:space="preserve">2026-06-04</t>
        </is>
      </c>
      <c r="E642" s="0" t="inlineStr">
        <is>
          <t xml:space="preserve">Navy/USMC</t>
        </is>
      </c>
      <c r="F642" s="0" t="inlineStr">
        <is>
          <t xml:space="preserve">other</t>
        </is>
      </c>
      <c r="G642" s="0" t="inlineStr">
        <is>
          <t xml:space="preserve">333923</t>
        </is>
      </c>
      <c r="H642" s="0" t="inlineStr">
        <is>
          <t xml:space="preserve">3950</t>
        </is>
      </c>
      <c r="I642" s="0" t="inlineStr">
        <is>
          <t xml:space="preserve">ONE (1) 150 METRIC TON MOBILE BOAT HOIST, NSWCCD, NORFOLK VA</t>
        </is>
      </c>
      <c r="J642" s="0" t="inlineStr">
        <is>
          <t xml:space="preserve">N6247026R0007</t>
        </is>
      </c>
    </row>
    <row r="643">
      <c r="B643" s="0" t="inlineStr">
        <is>
          <t xml:space="preserve">477ae37d692d4f71abe8aa1c65652b49</t>
        </is>
      </c>
      <c r="C643" s="0" t="inlineStr">
        <is>
          <t xml:space="preserve">Combined Synopsis/Solicitation</t>
        </is>
      </c>
      <c r="D643" s="0" t="inlineStr">
        <is>
          <t xml:space="preserve">2025-12-23</t>
        </is>
      </c>
      <c r="E643" s="0" t="inlineStr">
        <is>
          <t xml:space="preserve">Army</t>
        </is>
      </c>
      <c r="F643" s="0" t="inlineStr">
        <is>
          <t xml:space="preserve">services_rdte</t>
        </is>
      </c>
      <c r="G643" s="0" t="inlineStr">
        <is>
          <t xml:space="preserve">541715</t>
        </is>
      </c>
      <c r="H643" s="0" t="inlineStr">
        <is>
          <t xml:space="preserve">AJ12</t>
        </is>
      </c>
      <c r="I643" s="0" t="inlineStr">
        <is>
          <t xml:space="preserve">DevX Autonomy</t>
        </is>
      </c>
      <c r="J643" s="0" t="inlineStr">
        <is>
          <t xml:space="preserve">W911NF26S0040</t>
        </is>
      </c>
    </row>
    <row r="644">
      <c r="B644" s="0" t="inlineStr">
        <is>
          <t xml:space="preserve">5b85b0bfb5b44d1e99073cb8f258efaf</t>
        </is>
      </c>
      <c r="C644" s="0" t="inlineStr">
        <is>
          <t xml:space="preserve">Special Notice</t>
        </is>
      </c>
      <c r="D644" s="0" t="inlineStr">
        <is>
          <t xml:space="preserve">2026-06-09</t>
        </is>
      </c>
      <c r="E644" s="0" t="inlineStr">
        <is>
          <t xml:space="preserve">Civil/Other</t>
        </is>
      </c>
      <c r="F644" s="0" t="inlineStr">
        <is>
          <t xml:space="preserve">other</t>
        </is>
      </c>
      <c r="I644" s="0" t="inlineStr">
        <is>
          <t xml:space="preserve">Philippines: Vessel Traffic Management System</t>
        </is>
      </c>
      <c r="J644" s="0" t="inlineStr">
        <is>
          <t xml:space="preserve">2023-31005A</t>
        </is>
      </c>
    </row>
    <row r="645">
      <c r="B645" s="0" t="inlineStr">
        <is>
          <t xml:space="preserve">32923c9e47ed4f6b828c8bd0531c1286</t>
        </is>
      </c>
      <c r="C645" s="0" t="inlineStr">
        <is>
          <t xml:space="preserve">Solicitation</t>
        </is>
      </c>
      <c r="D645" s="0" t="inlineStr">
        <is>
          <t xml:space="preserve">2026-03-25</t>
        </is>
      </c>
      <c r="E645" s="0" t="inlineStr">
        <is>
          <t xml:space="preserve">Civil/Other</t>
        </is>
      </c>
      <c r="F645" s="0" t="inlineStr">
        <is>
          <t xml:space="preserve">services_rdte</t>
        </is>
      </c>
      <c r="G645" s="0" t="inlineStr">
        <is>
          <t xml:space="preserve">541990</t>
        </is>
      </c>
      <c r="H645" s="0" t="inlineStr">
        <is>
          <t xml:space="preserve">R425</t>
        </is>
      </c>
      <c r="I645" s="0" t="inlineStr">
        <is>
          <t xml:space="preserve">The Department of Homeland Security's (DHS) Maritime Capabilities and Innovation - Commercial Solutions Opening Pilot Program (CSOP) General Solicitation</t>
        </is>
      </c>
      <c r="J645" s="0" t="inlineStr">
        <is>
          <t xml:space="preserve">70RDA125R00000013</t>
        </is>
      </c>
    </row>
    <row r="646">
      <c r="B646" s="0" t="inlineStr">
        <is>
          <t xml:space="preserve">2a66905d8f2844eabaf73729cda6a57a</t>
        </is>
      </c>
      <c r="C646" s="0" t="inlineStr">
        <is>
          <t xml:space="preserve">Sources Sought</t>
        </is>
      </c>
      <c r="D646" s="0" t="inlineStr">
        <is>
          <t xml:space="preserve">2025-12-05</t>
        </is>
      </c>
      <c r="E646" s="0" t="inlineStr">
        <is>
          <t xml:space="preserve">Civil/Other</t>
        </is>
      </c>
      <c r="F646" s="0" t="inlineStr">
        <is>
          <t xml:space="preserve">other</t>
        </is>
      </c>
      <c r="G646" s="0" t="inlineStr">
        <is>
          <t xml:space="preserve">336411</t>
        </is>
      </c>
      <c r="H646" s="0" t="inlineStr">
        <is>
          <t xml:space="preserve">1550</t>
        </is>
      </c>
      <c r="I646" s="0" t="inlineStr">
        <is>
          <t xml:space="preserve">Level III Small Unmanned Aircraft Systems</t>
        </is>
      </c>
      <c r="J646" s="0" t="inlineStr">
        <is>
          <t xml:space="preserve">RFI_Level_III_sUAS_CBP_2026</t>
        </is>
      </c>
    </row>
    <row r="647">
      <c r="B647" s="0" t="inlineStr">
        <is>
          <t xml:space="preserve">8469e11a72a5431abc33990cb3a63e56</t>
        </is>
      </c>
      <c r="C647" s="0" t="inlineStr">
        <is>
          <t xml:space="preserve">Solicitation</t>
        </is>
      </c>
      <c r="D647" s="0" t="inlineStr">
        <is>
          <t xml:space="preserve">2026-01-08</t>
        </is>
      </c>
      <c r="E647" s="0" t="inlineStr">
        <is>
          <t xml:space="preserve">Navy/USMC</t>
        </is>
      </c>
      <c r="F647" s="0" t="inlineStr">
        <is>
          <t xml:space="preserve">other</t>
        </is>
      </c>
      <c r="G647" s="0" t="inlineStr">
        <is>
          <t xml:space="preserve">517410</t>
        </is>
      </c>
      <c r="H647" s="0" t="inlineStr">
        <is>
          <t xml:space="preserve">7A21</t>
        </is>
      </c>
      <c r="I647" s="0" t="inlineStr">
        <is>
          <t xml:space="preserve">Commercial Solutions Opening for Data and Analytics for Maritime Domain Awareness</t>
        </is>
      </c>
      <c r="J647" s="0" t="inlineStr">
        <is>
          <t xml:space="preserve">N6600126SC036</t>
        </is>
      </c>
    </row>
    <row r="648">
      <c r="B648" s="0" t="inlineStr">
        <is>
          <t xml:space="preserve">baf26f7c601741c7880ef475e30b927a</t>
        </is>
      </c>
      <c r="C648" s="0" t="inlineStr">
        <is>
          <t xml:space="preserve">Presolicitation</t>
        </is>
      </c>
      <c r="D648" s="0" t="inlineStr">
        <is>
          <t xml:space="preserve">2026-03-23</t>
        </is>
      </c>
      <c r="E648" s="0" t="inlineStr">
        <is>
          <t xml:space="preserve">Army</t>
        </is>
      </c>
      <c r="F648" s="0" t="inlineStr">
        <is>
          <t xml:space="preserve">other</t>
        </is>
      </c>
      <c r="G648" s="0" t="inlineStr">
        <is>
          <t xml:space="preserve">237990</t>
        </is>
      </c>
      <c r="H648" s="0" t="inlineStr">
        <is>
          <t xml:space="preserve">Y1KF</t>
        </is>
      </c>
      <c r="I648" s="0" t="inlineStr">
        <is>
          <t xml:space="preserve">ATCHAFALAYA RIVER BAY, BAR, AND CREWBOAT CUT CUTTERHEAD DREDGE NOS. 2-2026, OM26060</t>
        </is>
      </c>
      <c r="J648" s="0" t="inlineStr">
        <is>
          <t xml:space="preserve">W912P826BA005</t>
        </is>
      </c>
    </row>
    <row r="649">
      <c r="B649" s="0" t="inlineStr">
        <is>
          <t xml:space="preserve">a53945c0339642239e519c02a9a7fd4b</t>
        </is>
      </c>
      <c r="C649" s="0" t="inlineStr">
        <is>
          <t xml:space="preserve">Presolicitation</t>
        </is>
      </c>
      <c r="D649" s="0" t="inlineStr">
        <is>
          <t xml:space="preserve">2026-03-23</t>
        </is>
      </c>
      <c r="E649" s="0" t="inlineStr">
        <is>
          <t xml:space="preserve">Army</t>
        </is>
      </c>
      <c r="F649" s="0" t="inlineStr">
        <is>
          <t xml:space="preserve">other</t>
        </is>
      </c>
      <c r="G649" s="0" t="inlineStr">
        <is>
          <t xml:space="preserve">237990</t>
        </is>
      </c>
      <c r="H649" s="0" t="inlineStr">
        <is>
          <t xml:space="preserve">Y1KF</t>
        </is>
      </c>
      <c r="I649" s="0" t="inlineStr">
        <is>
          <t xml:space="preserve">ATCHAFALAYA RIVER BAY, BAR, AND CREWBOAT CUT CUTTERHEAD DREDGE NOS. 4-2026, OM26062</t>
        </is>
      </c>
      <c r="J649" s="0" t="inlineStr">
        <is>
          <t xml:space="preserve">W912P826BA007</t>
        </is>
      </c>
    </row>
    <row r="650">
      <c r="B650" s="0" t="inlineStr">
        <is>
          <t xml:space="preserve">91e1c5c2865a410e900f3ca07c7332f4</t>
        </is>
      </c>
      <c r="C650" s="0" t="inlineStr">
        <is>
          <t xml:space="preserve">Presolicitation</t>
        </is>
      </c>
      <c r="D650" s="0" t="inlineStr">
        <is>
          <t xml:space="preserve">2026-03-23</t>
        </is>
      </c>
      <c r="E650" s="0" t="inlineStr">
        <is>
          <t xml:space="preserve">Army</t>
        </is>
      </c>
      <c r="F650" s="0" t="inlineStr">
        <is>
          <t xml:space="preserve">other</t>
        </is>
      </c>
      <c r="G650" s="0" t="inlineStr">
        <is>
          <t xml:space="preserve">237990</t>
        </is>
      </c>
      <c r="H650" s="0" t="inlineStr">
        <is>
          <t xml:space="preserve">Y1KF</t>
        </is>
      </c>
      <c r="I650" s="0" t="inlineStr">
        <is>
          <t xml:space="preserve">ATCHAFALAYA RIVER BAY, BAR, AND CREWBOAT CUT CUTTERHEAD DREDGE NOS. 3-2026, OM26061</t>
        </is>
      </c>
      <c r="J650" s="0" t="inlineStr">
        <is>
          <t xml:space="preserve">W912P826BA006</t>
        </is>
      </c>
    </row>
    <row r="651">
      <c r="B651" s="0" t="inlineStr">
        <is>
          <t xml:space="preserve">2a942d059fe341be8601f109865a179c</t>
        </is>
      </c>
      <c r="C651" s="0" t="inlineStr">
        <is>
          <t xml:space="preserve">Presolicitation</t>
        </is>
      </c>
      <c r="D651" s="0" t="inlineStr">
        <is>
          <t xml:space="preserve">2026-03-23</t>
        </is>
      </c>
      <c r="E651" s="0" t="inlineStr">
        <is>
          <t xml:space="preserve">Army</t>
        </is>
      </c>
      <c r="F651" s="0" t="inlineStr">
        <is>
          <t xml:space="preserve">other</t>
        </is>
      </c>
      <c r="G651" s="0" t="inlineStr">
        <is>
          <t xml:space="preserve">237990</t>
        </is>
      </c>
      <c r="H651" s="0" t="inlineStr">
        <is>
          <t xml:space="preserve">Y1KF</t>
        </is>
      </c>
      <c r="I651" s="0" t="inlineStr">
        <is>
          <t xml:space="preserve">ATCHAFALAYA RIVER BAY, BAR, AND CREWBOAT CUT CUTTERHEAD DREDGE NOS. 1-2026, OM26059</t>
        </is>
      </c>
      <c r="J651" s="0" t="inlineStr">
        <is>
          <t xml:space="preserve">W912P826BA004</t>
        </is>
      </c>
    </row>
    <row r="652">
      <c r="B652" s="0" t="inlineStr">
        <is>
          <t xml:space="preserve">2b32fcbd97224f68bbd4d2649bf6c28f</t>
        </is>
      </c>
      <c r="C652" s="0" t="inlineStr">
        <is>
          <t xml:space="preserve">Sources Sought</t>
        </is>
      </c>
      <c r="D652" s="0" t="inlineStr">
        <is>
          <t xml:space="preserve">2026-02-20</t>
        </is>
      </c>
      <c r="E652" s="0" t="inlineStr">
        <is>
          <t xml:space="preserve">Army</t>
        </is>
      </c>
      <c r="F652" s="0" t="inlineStr">
        <is>
          <t xml:space="preserve">other</t>
        </is>
      </c>
      <c r="G652" s="0" t="inlineStr">
        <is>
          <t xml:space="preserve">336411</t>
        </is>
      </c>
      <c r="H652" s="0" t="inlineStr">
        <is>
          <t xml:space="preserve">1550</t>
        </is>
      </c>
      <c r="I652" s="0" t="inlineStr">
        <is>
          <t xml:space="preserve">USAREUR-AF Small Unmanned Aircraft Systems (sUAS) Blanket Purchase Agreement</t>
        </is>
      </c>
      <c r="J652" s="0" t="inlineStr">
        <is>
          <t xml:space="preserve">W912PB26RA008</t>
        </is>
      </c>
    </row>
    <row r="653">
      <c r="B653" s="0" t="inlineStr">
        <is>
          <t xml:space="preserve">a48d3898b0ad4f78bf0b301f31bada82</t>
        </is>
      </c>
      <c r="C653" s="0" t="inlineStr">
        <is>
          <t xml:space="preserve">Solicitation</t>
        </is>
      </c>
      <c r="D653" s="0" t="inlineStr">
        <is>
          <t xml:space="preserve">2026-04-13</t>
        </is>
      </c>
      <c r="E653" s="0" t="inlineStr">
        <is>
          <t xml:space="preserve">Army</t>
        </is>
      </c>
      <c r="F653" s="0" t="inlineStr">
        <is>
          <t xml:space="preserve">other</t>
        </is>
      </c>
      <c r="G653" s="0" t="inlineStr">
        <is>
          <t xml:space="preserve">336411</t>
        </is>
      </c>
      <c r="H653" s="0" t="inlineStr">
        <is>
          <t xml:space="preserve">1550</t>
        </is>
      </c>
      <c r="I653" s="0" t="inlineStr">
        <is>
          <t xml:space="preserve">Uncrewed Aircraft System Marketplace Commercial Solutions Opening</t>
        </is>
      </c>
      <c r="J653" s="0" t="inlineStr">
        <is>
          <t xml:space="preserve">W58RGZ26SC001</t>
        </is>
      </c>
    </row>
    <row r="654">
      <c r="B654" s="0" t="inlineStr">
        <is>
          <t xml:space="preserve">7ce6a662bcbe40fc91921d0290ee02cc</t>
        </is>
      </c>
      <c r="C654" s="0" t="inlineStr">
        <is>
          <t xml:space="preserve">Presolicitation</t>
        </is>
      </c>
      <c r="D654" s="0" t="inlineStr">
        <is>
          <t xml:space="preserve">2026-04-15</t>
        </is>
      </c>
      <c r="E654" s="0" t="inlineStr">
        <is>
          <t xml:space="preserve">Navy/USMC</t>
        </is>
      </c>
      <c r="F654" s="0" t="inlineStr">
        <is>
          <t xml:space="preserve">ship_repair_maintenance</t>
        </is>
      </c>
      <c r="G654" s="0" t="inlineStr">
        <is>
          <t xml:space="preserve">541330</t>
        </is>
      </c>
      <c r="H654" s="0" t="inlineStr">
        <is>
          <t xml:space="preserve">J069</t>
        </is>
      </c>
      <c r="I654" s="0" t="inlineStr">
        <is>
          <t xml:space="preserve">Maritime COMS Notice of Tentative Acquisition Strategy under FTSS V MAC Lot I</t>
        </is>
      </c>
      <c r="J654" s="0" t="inlineStr">
        <is>
          <t xml:space="preserve">N6134026R1014</t>
        </is>
      </c>
    </row>
    <row r="655">
      <c r="B655" s="0" t="inlineStr">
        <is>
          <t xml:space="preserve">b36be2c41929484491aa870a2bcf1e68</t>
        </is>
      </c>
      <c r="C655" s="0" t="inlineStr">
        <is>
          <t xml:space="preserve">Presolicitation</t>
        </is>
      </c>
      <c r="D655" s="0" t="inlineStr">
        <is>
          <t xml:space="preserve">2026-05-28</t>
        </is>
      </c>
      <c r="E655" s="0" t="inlineStr">
        <is>
          <t xml:space="preserve">Other DoD</t>
        </is>
      </c>
      <c r="F655" s="0" t="inlineStr">
        <is>
          <t xml:space="preserve">services_rdte</t>
        </is>
      </c>
      <c r="G655" s="0" t="inlineStr">
        <is>
          <t xml:space="preserve">541715</t>
        </is>
      </c>
      <c r="H655" s="0" t="inlineStr">
        <is>
          <t xml:space="preserve">AC12</t>
        </is>
      </c>
      <c r="I655" s="0" t="inlineStr">
        <is>
          <t xml:space="preserve">Multi-Domain Force Applications and Traffic Management for Unmanned Aircraft Systems (M-FAT)</t>
        </is>
      </c>
      <c r="J655" s="0" t="inlineStr">
        <is>
          <t xml:space="preserve">FA8750-25-S-7004</t>
        </is>
      </c>
    </row>
    <row r="656">
      <c r="B656" s="0" t="inlineStr">
        <is>
          <t xml:space="preserve">8123e847060a441db6b4dfbf7afc8736</t>
        </is>
      </c>
      <c r="C656" s="0" t="inlineStr">
        <is>
          <t xml:space="preserve">Presolicitation</t>
        </is>
      </c>
      <c r="D656" s="0" t="inlineStr">
        <is>
          <t xml:space="preserve">2026-06-02</t>
        </is>
      </c>
      <c r="E656" s="0" t="inlineStr">
        <is>
          <t xml:space="preserve">Civil/Other</t>
        </is>
      </c>
      <c r="F656" s="0" t="inlineStr">
        <is>
          <t xml:space="preserve">other</t>
        </is>
      </c>
      <c r="G656" s="0" t="inlineStr">
        <is>
          <t xml:space="preserve">237990</t>
        </is>
      </c>
      <c r="H656" s="0" t="inlineStr">
        <is>
          <t xml:space="preserve">Y1LB</t>
        </is>
      </c>
      <c r="I656" s="0" t="inlineStr">
        <is>
          <t xml:space="preserve">Y--GLCA 318878 Hite Small Boat Launch DB</t>
        </is>
      </c>
      <c r="J656" s="0" t="inlineStr">
        <is>
          <t xml:space="preserve">140P2026R0011</t>
        </is>
      </c>
    </row>
    <row r="657">
      <c r="B657" s="0" t="inlineStr">
        <is>
          <t xml:space="preserve">9810178bf4c44edd96087f93e956b535</t>
        </is>
      </c>
      <c r="C657" s="0" t="inlineStr">
        <is>
          <t xml:space="preserve">Presolicitation</t>
        </is>
      </c>
      <c r="D657" s="0" t="inlineStr">
        <is>
          <t xml:space="preserve">2026-06-12</t>
        </is>
      </c>
      <c r="E657" s="0" t="inlineStr">
        <is>
          <t xml:space="preserve">Civil/Other</t>
        </is>
      </c>
      <c r="F657" s="0" t="inlineStr">
        <is>
          <t xml:space="preserve">other</t>
        </is>
      </c>
      <c r="G657" s="0" t="inlineStr">
        <is>
          <t xml:space="preserve">237990</t>
        </is>
      </c>
      <c r="H657" s="0" t="inlineStr">
        <is>
          <t xml:space="preserve">Z1NE</t>
        </is>
      </c>
      <c r="I657" s="0" t="inlineStr">
        <is>
          <t xml:space="preserve">Z--Folsom Dam Vessel Exclusion Barrier and Debris Boom</t>
        </is>
      </c>
      <c r="J657" s="0" t="inlineStr">
        <is>
          <t xml:space="preserve">140R2026B0001</t>
        </is>
      </c>
    </row>
    <row r="658">
      <c r="B658" s="0" t="inlineStr">
        <is>
          <t xml:space="preserve">5ad49dca0e0e4a7eaff657001e13e073</t>
        </is>
      </c>
      <c r="C658" s="0" t="inlineStr">
        <is>
          <t xml:space="preserve">Award Notice</t>
        </is>
      </c>
      <c r="D658" s="0" t="inlineStr">
        <is>
          <t xml:space="preserve">2025-08-26</t>
        </is>
      </c>
      <c r="E658" s="0" t="inlineStr">
        <is>
          <t xml:space="preserve">Army</t>
        </is>
      </c>
      <c r="F658" s="0" t="inlineStr">
        <is>
          <t xml:space="preserve">usv_autonomy</t>
        </is>
      </c>
      <c r="G658" s="0" t="inlineStr">
        <is>
          <t xml:space="preserve">333241</t>
        </is>
      </c>
      <c r="H658" s="0" t="inlineStr">
        <is>
          <t xml:space="preserve">7310</t>
        </is>
      </c>
      <c r="I658" s="0" t="inlineStr">
        <is>
          <t xml:space="preserve">Autonomous Food Production System/Korea</t>
        </is>
      </c>
      <c r="J658" s="0" t="inlineStr">
        <is>
          <t xml:space="preserve">W90VN9</t>
        </is>
      </c>
    </row>
    <row r="659">
      <c r="B659" s="0" t="inlineStr">
        <is>
          <t xml:space="preserve">9b2daee5c39148b3b063b0c4b91086f9</t>
        </is>
      </c>
      <c r="C659" s="0" t="inlineStr">
        <is>
          <t xml:space="preserve">Award Notice</t>
        </is>
      </c>
      <c r="D659" s="0" t="inlineStr">
        <is>
          <t xml:space="preserve">2025-08-26</t>
        </is>
      </c>
      <c r="E659" s="0" t="inlineStr">
        <is>
          <t xml:space="preserve">Navy/USMC</t>
        </is>
      </c>
      <c r="F659" s="0" t="inlineStr">
        <is>
          <t xml:space="preserve">other</t>
        </is>
      </c>
      <c r="G659" s="0" t="inlineStr">
        <is>
          <t xml:space="preserve">236220</t>
        </is>
      </c>
      <c r="H659" s="0" t="inlineStr">
        <is>
          <t xml:space="preserve">Y1PZ</t>
        </is>
      </c>
      <c r="I659" s="0" t="inlineStr">
        <is>
          <t xml:space="preserve">N3319125R6018 D-B NAVTRAC Boat Ramp, Sogakope, Ghana</t>
        </is>
      </c>
      <c r="J659" s="0" t="inlineStr">
        <is>
          <t xml:space="preserve">N3319125R6018</t>
        </is>
      </c>
    </row>
    <row r="660">
      <c r="B660" s="0" t="inlineStr">
        <is>
          <t xml:space="preserve">2adfee6a0a7d41b3874fab6017b9b10b</t>
        </is>
      </c>
      <c r="C660" s="0" t="inlineStr">
        <is>
          <t xml:space="preserve">Award Notice</t>
        </is>
      </c>
      <c r="D660" s="0" t="inlineStr">
        <is>
          <t xml:space="preserve">2025-10-07</t>
        </is>
      </c>
      <c r="E660" s="0" t="inlineStr">
        <is>
          <t xml:space="preserve">Army</t>
        </is>
      </c>
      <c r="F660" s="0" t="inlineStr">
        <is>
          <t xml:space="preserve">other</t>
        </is>
      </c>
      <c r="G660" s="0" t="inlineStr">
        <is>
          <t xml:space="preserve">326211</t>
        </is>
      </c>
      <c r="H660" s="0" t="inlineStr">
        <is>
          <t xml:space="preserve">2610</t>
        </is>
      </c>
      <c r="I660" s="0" t="inlineStr">
        <is>
          <t xml:space="preserve">UNITED STATES MILITARY INFLATABLE RIGID BOAT (USMIRIB) TRAILER TIRES</t>
        </is>
      </c>
      <c r="J660" s="0" t="inlineStr">
        <is>
          <t xml:space="preserve">W912ER25QA001</t>
        </is>
      </c>
    </row>
    <row r="661">
      <c r="B661" s="0" t="inlineStr">
        <is>
          <t xml:space="preserve">2948ccf5396146ca8de9561be945d947</t>
        </is>
      </c>
      <c r="C661" s="0" t="inlineStr">
        <is>
          <t xml:space="preserve">Award Notice</t>
        </is>
      </c>
      <c r="D661" s="0" t="inlineStr">
        <is>
          <t xml:space="preserve">2025-12-16</t>
        </is>
      </c>
      <c r="E661" s="0" t="inlineStr">
        <is>
          <t xml:space="preserve">Other DoD</t>
        </is>
      </c>
      <c r="F661" s="0" t="inlineStr">
        <is>
          <t xml:space="preserve">ship_repair_maintenance</t>
        </is>
      </c>
      <c r="G661" s="0" t="inlineStr">
        <is>
          <t xml:space="preserve">811490</t>
        </is>
      </c>
      <c r="H661" s="0" t="inlineStr">
        <is>
          <t xml:space="preserve">J019</t>
        </is>
      </c>
      <c r="I661" s="0" t="inlineStr">
        <is>
          <t xml:space="preserve">VESSEL REPAIR - STENNIS, MISSISSIPPI</t>
        </is>
      </c>
      <c r="J661" s="0" t="inlineStr">
        <is>
          <t xml:space="preserve">H9224026DE0003</t>
        </is>
      </c>
    </row>
    <row r="662">
      <c r="B662" s="0" t="inlineStr">
        <is>
          <t xml:space="preserve">0e9d421d803f4432a7978ad6c360b619</t>
        </is>
      </c>
      <c r="C662" s="0" t="inlineStr">
        <is>
          <t xml:space="preserve">Award Notice</t>
        </is>
      </c>
      <c r="D662" s="0" t="inlineStr">
        <is>
          <t xml:space="preserve">2026-02-23</t>
        </is>
      </c>
      <c r="E662" s="0" t="inlineStr">
        <is>
          <t xml:space="preserve">Other DoD</t>
        </is>
      </c>
      <c r="F662" s="0" t="inlineStr">
        <is>
          <t xml:space="preserve">services_rdte</t>
        </is>
      </c>
      <c r="G662" s="0" t="inlineStr">
        <is>
          <t xml:space="preserve">541715</t>
        </is>
      </c>
      <c r="H662" s="0" t="inlineStr">
        <is>
          <t xml:space="preserve">AC12</t>
        </is>
      </c>
      <c r="I662" s="0" t="inlineStr">
        <is>
          <t xml:space="preserve">Assessment of Sensing-Autonomy Sensor Exploitation Technologies (ASSET)</t>
        </is>
      </c>
      <c r="J662" s="0" t="inlineStr">
        <is>
          <t xml:space="preserve">FA237725RB003</t>
        </is>
      </c>
    </row>
    <row r="663">
      <c r="B663" s="0" t="inlineStr">
        <is>
          <t xml:space="preserve">d509365901714156a3466ba2ce4f16ef</t>
        </is>
      </c>
      <c r="C663" s="0" t="inlineStr">
        <is>
          <t xml:space="preserve">Award Notice</t>
        </is>
      </c>
      <c r="D663" s="0" t="inlineStr">
        <is>
          <t xml:space="preserve">2026-03-25</t>
        </is>
      </c>
      <c r="E663" s="0" t="inlineStr">
        <is>
          <t xml:space="preserve">Army</t>
        </is>
      </c>
      <c r="F663" s="0" t="inlineStr">
        <is>
          <t xml:space="preserve">other</t>
        </is>
      </c>
      <c r="G663" s="0" t="inlineStr">
        <is>
          <t xml:space="preserve">336411</t>
        </is>
      </c>
      <c r="H663" s="0" t="inlineStr">
        <is>
          <t xml:space="preserve">1550</t>
        </is>
      </c>
      <c r="I663" s="0" t="inlineStr">
        <is>
          <t xml:space="preserve">Master Blanket Purchase Agreement (BPA) For Small Unmanned Aircraft System (sUAS) Ready To Fly And Purpose Built Attritable Systems (PBAS) First-Person View (FPV) Drone Build Kits, Accessories, Spare Parts, And Supplies.</t>
        </is>
      </c>
      <c r="J663" s="0" t="inlineStr">
        <is>
          <t xml:space="preserve">W912PB26AA019</t>
        </is>
      </c>
    </row>
    <row r="664">
      <c r="B664" s="0" t="inlineStr">
        <is>
          <t xml:space="preserve">3db5c4aebe154ca29262ed056de87262</t>
        </is>
      </c>
      <c r="C664" s="0" t="inlineStr">
        <is>
          <t xml:space="preserve">Award Notice</t>
        </is>
      </c>
      <c r="D664" s="0" t="inlineStr">
        <is>
          <t xml:space="preserve">2026-03-25</t>
        </is>
      </c>
      <c r="E664" s="0" t="inlineStr">
        <is>
          <t xml:space="preserve">Army</t>
        </is>
      </c>
      <c r="F664" s="0" t="inlineStr">
        <is>
          <t xml:space="preserve">other</t>
        </is>
      </c>
      <c r="G664" s="0" t="inlineStr">
        <is>
          <t xml:space="preserve">336411</t>
        </is>
      </c>
      <c r="H664" s="0" t="inlineStr">
        <is>
          <t xml:space="preserve">1550</t>
        </is>
      </c>
      <c r="I664" s="0" t="inlineStr">
        <is>
          <t xml:space="preserve">Master Blanket Purchase Agreement (BPA) For Small Unmanned Aircraft System (sUAS) Ready To Fly And Purpose Built Attritable Systems (PBAS) First-Person View (FPV) Drone Build Kits, Accessories, Spare Parts, And Supplies.</t>
        </is>
      </c>
      <c r="J664" s="0" t="inlineStr">
        <is>
          <t xml:space="preserve">W912PB26AA018</t>
        </is>
      </c>
    </row>
    <row r="665">
      <c r="B665" s="0" t="inlineStr">
        <is>
          <t xml:space="preserve">15aa0156c7ba48eba4e7594d7ebd7488</t>
        </is>
      </c>
      <c r="C665" s="0" t="inlineStr">
        <is>
          <t xml:space="preserve">Award Notice</t>
        </is>
      </c>
      <c r="D665" s="0" t="inlineStr">
        <is>
          <t xml:space="preserve">2026-05-12</t>
        </is>
      </c>
      <c r="E665" s="0" t="inlineStr">
        <is>
          <t xml:space="preserve">Civil/Other</t>
        </is>
      </c>
      <c r="F665" s="0" t="inlineStr">
        <is>
          <t xml:space="preserve">services_rdte</t>
        </is>
      </c>
      <c r="G665" s="0" t="inlineStr">
        <is>
          <t xml:space="preserve">333618</t>
        </is>
      </c>
      <c r="H665" s="0" t="inlineStr">
        <is>
          <t xml:space="preserve">H320</t>
        </is>
      </c>
      <c r="I665" s="0" t="inlineStr">
        <is>
          <t xml:space="preserve">H--20-Hour Break-In Service for Patrol Boat 5, NPS-CH</t>
        </is>
      </c>
      <c r="J665" s="0" t="inlineStr">
        <is>
          <t xml:space="preserve">140P8426P0032</t>
        </is>
      </c>
    </row>
    <row r="666">
      <c r="B666" s="0" t="inlineStr">
        <is>
          <t xml:space="preserve">63b24768be484dbf986b11b94c743041</t>
        </is>
      </c>
      <c r="C666" s="0" t="inlineStr">
        <is>
          <t xml:space="preserve">Justification</t>
        </is>
      </c>
      <c r="D666" s="0" t="inlineStr">
        <is>
          <t xml:space="preserve">2026-05-14</t>
        </is>
      </c>
      <c r="E666" s="0" t="inlineStr">
        <is>
          <t xml:space="preserve">Navy/USMC</t>
        </is>
      </c>
      <c r="F666" s="0" t="inlineStr">
        <is>
          <t xml:space="preserve">ship_repair_maintenance</t>
        </is>
      </c>
      <c r="G666" s="0" t="inlineStr">
        <is>
          <t xml:space="preserve">483111</t>
        </is>
      </c>
      <c r="H666" s="0" t="inlineStr">
        <is>
          <t xml:space="preserve">V124</t>
        </is>
      </c>
      <c r="I666" s="0" t="inlineStr">
        <is>
          <t xml:space="preserve">Operation &amp; Maintenance of Expeditionary Transfer Dock Vessels</t>
        </is>
      </c>
      <c r="J666" s="0" t="inlineStr">
        <is>
          <t xml:space="preserve">N3220526C1237</t>
        </is>
      </c>
    </row>
    <row r="667">
      <c r="B667" s="0" t="inlineStr">
        <is>
          <t xml:space="preserve">a9f844b15061479980fead14f21c8948</t>
        </is>
      </c>
      <c r="C667" s="0" t="inlineStr">
        <is>
          <t xml:space="preserve">Justification</t>
        </is>
      </c>
      <c r="D667" s="0" t="inlineStr">
        <is>
          <t xml:space="preserve">2026-05-15</t>
        </is>
      </c>
      <c r="E667" s="0" t="inlineStr">
        <is>
          <t xml:space="preserve">Coast Guard</t>
        </is>
      </c>
      <c r="F667" s="0" t="inlineStr">
        <is>
          <t xml:space="preserve">other</t>
        </is>
      </c>
      <c r="G667" s="0" t="inlineStr">
        <is>
          <t xml:space="preserve">334290</t>
        </is>
      </c>
      <c r="H667" s="0" t="inlineStr">
        <is>
          <t xml:space="preserve">N059</t>
        </is>
      </c>
      <c r="I667" s="0" t="inlineStr">
        <is>
          <t xml:space="preserve">Notice of Award 70Z04426DCMPL0004 - Lockheed Martin Corporation Proprietary Data Rights/Maritime Communication Controller (MCC)</t>
        </is>
      </c>
      <c r="J667" s="0" t="inlineStr">
        <is>
          <t xml:space="preserve">70Z04426DCMPL0004</t>
        </is>
      </c>
    </row>
    <row r="668">
      <c r="B668" s="0" t="inlineStr">
        <is>
          <t xml:space="preserve">ffecf97fbfb94e9fa11ac15cb3aed3ef</t>
        </is>
      </c>
      <c r="C668" s="0" t="inlineStr">
        <is>
          <t xml:space="preserve">Award Notice</t>
        </is>
      </c>
      <c r="D668" s="0" t="inlineStr">
        <is>
          <t xml:space="preserve">2026-05-27</t>
        </is>
      </c>
      <c r="E668" s="0" t="inlineStr">
        <is>
          <t xml:space="preserve">Civil/Other</t>
        </is>
      </c>
      <c r="F668" s="0" t="inlineStr">
        <is>
          <t xml:space="preserve">usv_autonomy</t>
        </is>
      </c>
      <c r="G668" s="0" t="inlineStr">
        <is>
          <t xml:space="preserve">333310</t>
        </is>
      </c>
      <c r="H668" s="0" t="inlineStr">
        <is>
          <t xml:space="preserve">7910</t>
        </is>
      </c>
      <c r="I668" s="0" t="inlineStr">
        <is>
          <t xml:space="preserve">7910--NX EQ  Autonomous Floor Scrubber (VA-26-00008377)</t>
        </is>
      </c>
      <c r="J668" s="0" t="inlineStr">
        <is>
          <t xml:space="preserve">36C10G26R0008</t>
        </is>
      </c>
    </row>
    <row r="669">
      <c r="B669" s="0" t="inlineStr">
        <is>
          <t xml:space="preserve">f14c3c176cb6439f812fe9042d242f53</t>
        </is>
      </c>
      <c r="C669" s="0" t="inlineStr">
        <is>
          <t xml:space="preserve">Award Notice</t>
        </is>
      </c>
      <c r="D669" s="0" t="inlineStr">
        <is>
          <t xml:space="preserve">2026-05-28</t>
        </is>
      </c>
      <c r="E669" s="0" t="inlineStr">
        <is>
          <t xml:space="preserve">Civil/Other</t>
        </is>
      </c>
      <c r="F669" s="0" t="inlineStr">
        <is>
          <t xml:space="preserve">other</t>
        </is>
      </c>
      <c r="G669" s="0" t="inlineStr">
        <is>
          <t xml:space="preserve">333618</t>
        </is>
      </c>
      <c r="H669" s="0" t="inlineStr">
        <is>
          <t xml:space="preserve">2805</t>
        </is>
      </c>
      <c r="I669" s="0" t="inlineStr">
        <is>
          <t xml:space="preserve">Outboard Boat Motor for Ottawa National Forest</t>
        </is>
      </c>
      <c r="J669" s="0" t="inlineStr">
        <is>
          <t xml:space="preserve">12444526P0041</t>
        </is>
      </c>
    </row>
    <row r="670">
      <c r="B670" s="0" t="inlineStr">
        <is>
          <t xml:space="preserve">c1709d7eeb764797b29cb9ebb4ae9bea</t>
        </is>
      </c>
      <c r="C670" s="0" t="inlineStr">
        <is>
          <t xml:space="preserve">Award Notice</t>
        </is>
      </c>
      <c r="D670" s="0" t="inlineStr">
        <is>
          <t xml:space="preserve">2026-06-01</t>
        </is>
      </c>
      <c r="E670" s="0" t="inlineStr">
        <is>
          <t xml:space="preserve">Other DoD</t>
        </is>
      </c>
      <c r="F670" s="0" t="inlineStr">
        <is>
          <t xml:space="preserve">marine_components_parts</t>
        </is>
      </c>
      <c r="G670" s="0" t="inlineStr">
        <is>
          <t xml:space="preserve">326199</t>
        </is>
      </c>
      <c r="H670" s="0" t="inlineStr">
        <is>
          <t xml:space="preserve">20</t>
        </is>
      </c>
      <c r="I670" s="0" t="inlineStr">
        <is>
          <t xml:space="preserve">20--BLADDER,BOAT</t>
        </is>
      </c>
      <c r="J670" s="0" t="inlineStr">
        <is>
          <t xml:space="preserve">SPE7M426T9753</t>
        </is>
      </c>
    </row>
    <row r="671">
      <c r="B671" s="0" t="inlineStr">
        <is>
          <t xml:space="preserve">d9b9a403dc9848c082557f66695485a3</t>
        </is>
      </c>
      <c r="C671" s="0" t="inlineStr">
        <is>
          <t xml:space="preserve">Award Notice</t>
        </is>
      </c>
      <c r="D671" s="0" t="inlineStr">
        <is>
          <t xml:space="preserve">2026-06-02</t>
        </is>
      </c>
      <c r="E671" s="0" t="inlineStr">
        <is>
          <t xml:space="preserve">Other DoD</t>
        </is>
      </c>
      <c r="F671" s="0" t="inlineStr">
        <is>
          <t xml:space="preserve">marine_components_parts</t>
        </is>
      </c>
      <c r="G671" s="0" t="inlineStr">
        <is>
          <t xml:space="preserve">314910</t>
        </is>
      </c>
      <c r="H671" s="0" t="inlineStr">
        <is>
          <t xml:space="preserve">20</t>
        </is>
      </c>
      <c r="I671" s="0" t="inlineStr">
        <is>
          <t xml:space="preserve">20--COVER,BOAT</t>
        </is>
      </c>
      <c r="J671" s="0" t="inlineStr">
        <is>
          <t xml:space="preserve">SPE7M026T6721</t>
        </is>
      </c>
    </row>
    <row r="672">
      <c r="B672" s="0" t="inlineStr">
        <is>
          <t xml:space="preserve">db8a9998fd694de189fd6528ed89a559</t>
        </is>
      </c>
      <c r="C672" s="0" t="inlineStr">
        <is>
          <t xml:space="preserve">Award Notice</t>
        </is>
      </c>
      <c r="D672" s="0" t="inlineStr">
        <is>
          <t xml:space="preserve">2026-06-04</t>
        </is>
      </c>
      <c r="E672" s="0" t="inlineStr">
        <is>
          <t xml:space="preserve">Civil/Other</t>
        </is>
      </c>
      <c r="F672" s="0" t="inlineStr">
        <is>
          <t xml:space="preserve">usv_autonomy</t>
        </is>
      </c>
      <c r="G672" s="0" t="inlineStr">
        <is>
          <t xml:space="preserve">333111</t>
        </is>
      </c>
      <c r="H672" s="0" t="inlineStr">
        <is>
          <t xml:space="preserve">3710</t>
        </is>
      </c>
      <c r="I672" s="0" t="inlineStr">
        <is>
          <t xml:space="preserve">Autonomous Liquid Dairy Manure Applicator</t>
        </is>
      </c>
      <c r="J672" s="0" t="inlineStr">
        <is>
          <t xml:space="preserve">1232SA26Q0522A</t>
        </is>
      </c>
    </row>
    <row r="673">
      <c r="B673" s="0" t="inlineStr">
        <is>
          <t xml:space="preserve">16bfab4bd8f44a19be4b3e70a126adaf</t>
        </is>
      </c>
      <c r="C673" s="0" t="inlineStr">
        <is>
          <t xml:space="preserve">Justification</t>
        </is>
      </c>
      <c r="D673" s="0" t="inlineStr">
        <is>
          <t xml:space="preserve">2026-06-04</t>
        </is>
      </c>
      <c r="E673" s="0" t="inlineStr">
        <is>
          <t xml:space="preserve">Civil/Other</t>
        </is>
      </c>
      <c r="F673" s="0" t="inlineStr">
        <is>
          <t xml:space="preserve">usv_autonomy</t>
        </is>
      </c>
      <c r="G673" s="0" t="inlineStr">
        <is>
          <t xml:space="preserve">541715</t>
        </is>
      </c>
      <c r="H673" s="0" t="inlineStr">
        <is>
          <t xml:space="preserve">DA01</t>
        </is>
      </c>
      <c r="I673" s="0" t="inlineStr">
        <is>
          <t xml:space="preserve">Autonomous Space-Based Situational Awareness Software - Starling Mission Follow-On</t>
        </is>
      </c>
      <c r="J673" s="0" t="inlineStr">
        <is>
          <t xml:space="preserve">80ARC026P0002</t>
        </is>
      </c>
    </row>
    <row r="674">
      <c r="B674" s="0" t="inlineStr">
        <is>
          <t xml:space="preserve">41f1d99e9ab949bcb6582e1f182461cf</t>
        </is>
      </c>
      <c r="C674" s="0" t="inlineStr">
        <is>
          <t xml:space="preserve">Award Notice</t>
        </is>
      </c>
      <c r="D674" s="0" t="inlineStr">
        <is>
          <t xml:space="preserve">2026-06-05</t>
        </is>
      </c>
      <c r="E674" s="0" t="inlineStr">
        <is>
          <t xml:space="preserve">Army</t>
        </is>
      </c>
      <c r="F674" s="0" t="inlineStr">
        <is>
          <t xml:space="preserve">ship_repair_maintenance</t>
        </is>
      </c>
      <c r="G674" s="0" t="inlineStr">
        <is>
          <t xml:space="preserve">333923</t>
        </is>
      </c>
      <c r="H674" s="0" t="inlineStr">
        <is>
          <t xml:space="preserve">J039</t>
        </is>
      </c>
      <c r="I674" s="0" t="inlineStr">
        <is>
          <t xml:space="preserve">CPMT Boatlift Maintenance</t>
        </is>
      </c>
      <c r="J674" s="0" t="inlineStr">
        <is>
          <t xml:space="preserve">W912DS26CA010</t>
        </is>
      </c>
    </row>
    <row r="675">
      <c r="B675" s="0" t="inlineStr">
        <is>
          <t xml:space="preserve">dbdf0266522449b890a56849f539788d</t>
        </is>
      </c>
      <c r="C675" s="0" t="inlineStr">
        <is>
          <t xml:space="preserve">Award Notice</t>
        </is>
      </c>
      <c r="D675" s="0" t="inlineStr">
        <is>
          <t xml:space="preserve">2026-06-09</t>
        </is>
      </c>
      <c r="E675" s="0" t="inlineStr">
        <is>
          <t xml:space="preserve">Other DoD</t>
        </is>
      </c>
      <c r="F675" s="0" t="inlineStr">
        <is>
          <t xml:space="preserve">marine_components_parts</t>
        </is>
      </c>
      <c r="G675" s="0" t="inlineStr">
        <is>
          <t xml:space="preserve">332510</t>
        </is>
      </c>
      <c r="H675" s="0" t="inlineStr">
        <is>
          <t xml:space="preserve">20</t>
        </is>
      </c>
      <c r="I675" s="0" t="inlineStr">
        <is>
          <t xml:space="preserve">20--HOOK,BOAT</t>
        </is>
      </c>
      <c r="J675" s="0" t="inlineStr">
        <is>
          <t xml:space="preserve">SPE7M426U0335</t>
        </is>
      </c>
    </row>
    <row r="676">
      <c r="B676" s="0" t="inlineStr">
        <is>
          <t xml:space="preserve">c994128702af44fcaba9fdf066a30c7a</t>
        </is>
      </c>
      <c r="C676" s="0" t="inlineStr">
        <is>
          <t xml:space="preserve">Award Notice</t>
        </is>
      </c>
      <c r="D676" s="0" t="inlineStr">
        <is>
          <t xml:space="preserve">2026-06-11</t>
        </is>
      </c>
      <c r="E676" s="0" t="inlineStr">
        <is>
          <t xml:space="preserve">Navy/USMC</t>
        </is>
      </c>
      <c r="F676" s="0" t="inlineStr">
        <is>
          <t xml:space="preserve">services_rdte</t>
        </is>
      </c>
      <c r="G676" s="0" t="inlineStr">
        <is>
          <t xml:space="preserve">611699</t>
        </is>
      </c>
      <c r="H676" s="0" t="inlineStr">
        <is>
          <t xml:space="preserve">U099</t>
        </is>
      </c>
      <c r="I676" s="0" t="inlineStr">
        <is>
          <t xml:space="preserve">Emerging Threats in Small Unmanned Aircraft Systems (sUAS) Warfare</t>
        </is>
      </c>
      <c r="J676" s="0" t="inlineStr">
        <is>
          <t xml:space="preserve">N0018926PL164</t>
        </is>
      </c>
    </row>
  </sheetData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7B1F3A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16" customWidth="1"/>
    <col min="3" max="3" width="16" customWidth="1"/>
    <col min="4" max="4" width="12" customWidth="1"/>
    <col min="5" max="5" width="30" customWidth="1"/>
    <col min="6" max="6" width="22" customWidth="1"/>
    <col min="7" max="7" width="14" customWidth="1"/>
    <col min="8" max="8" width="12" customWidth="1"/>
    <col min="9" max="9" width="10" customWidth="1"/>
    <col min="10" max="10" width="16" customWidth="1"/>
    <col min="11" max="11" width="12" customWidth="1"/>
    <col min="12" max="12" width="16" customWidth="1"/>
  </cols>
  <sheetData>
    <row r="1"/>
    <row r="2">
      <c r="B2" s="8" t="inlineStr">
        <is>
          <t xml:space="preserve">Award-Opportunity Match</t>
        </is>
      </c>
      <c r="C2" s="8"/>
      <c r="D2" s="8"/>
      <c r="E2" s="8"/>
      <c r="F2" s="8"/>
      <c r="G2" s="8"/>
      <c r="H2" s="8"/>
      <c r="I2" s="8"/>
      <c r="J2" s="8"/>
      <c r="K2" s="8"/>
      <c r="L2" s="8"/>
    </row>
    <row r="3">
      <c r="B3" s="60" t="inlineStr">
        <is>
          <t xml:space="preserve">Each addressable award and whether a matching notice exists. In Window flags the portal's 12-month posting window; Match Level NONE = dark (no notice).</t>
        </is>
      </c>
    </row>
    <row r="5">
      <c r="B5" s="9" t="inlineStr">
        <is>
          <t xml:space="preserve">§1 - Addressable awards matched to SAM Opportunities notices (incompleteness)</t>
        </is>
      </c>
      <c r="C5" s="9"/>
      <c r="D5" s="9"/>
      <c r="E5" s="9"/>
      <c r="F5" s="9"/>
      <c r="G5" s="9"/>
      <c r="H5" s="9"/>
      <c r="I5" s="9"/>
      <c r="J5" s="9"/>
      <c r="K5" s="9"/>
      <c r="L5" s="9"/>
    </row>
    <row r="7">
      <c r="B7" s="2" t="inlineStr">
        <is>
          <t xml:space="preserve">PIID</t>
        </is>
      </c>
      <c r="C7" s="2" t="inlineStr">
        <is>
          <t xml:space="preserve">Parent IDV</t>
        </is>
      </c>
      <c r="D7" s="2" t="inlineStr">
        <is>
          <t xml:space="preserve">Tier</t>
        </is>
      </c>
      <c r="E7" s="2" t="inlineStr">
        <is>
          <t xml:space="preserve">Recipient</t>
        </is>
      </c>
      <c r="F7" s="2" t="inlineStr">
        <is>
          <t xml:space="preserve">Award Type</t>
        </is>
      </c>
      <c r="G7" s="22" t="inlineStr">
        <is>
          <t xml:space="preserve">Obligation $M</t>
        </is>
      </c>
      <c r="H7" s="2" t="inlineStr">
        <is>
          <t xml:space="preserve">Date Signed</t>
        </is>
      </c>
      <c r="I7" s="2" t="inlineStr">
        <is>
          <t xml:space="preserve">In Window</t>
        </is>
      </c>
      <c r="J7" s="2" t="inlineStr">
        <is>
          <t xml:space="preserve">Solicitation</t>
        </is>
      </c>
      <c r="K7" s="2" t="inlineStr">
        <is>
          <t xml:space="preserve">Match Level</t>
        </is>
      </c>
      <c r="L7" s="2" t="inlineStr">
        <is>
          <t xml:space="preserve">Matched Notice</t>
        </is>
      </c>
    </row>
    <row r="8">
      <c r="B8" s="0" t="inlineStr">
        <is>
          <t xml:space="preserve">N0002419C2210</t>
        </is>
      </c>
      <c r="D8" s="0" t="inlineStr">
        <is>
          <t xml:space="preserve">other_small</t>
        </is>
      </c>
      <c r="E8" s="0" t="inlineStr">
        <is>
          <t xml:space="preserve">BOLLINGER MISSISSIPPI SHIPBUILDING, LLC</t>
        </is>
      </c>
      <c r="F8" s="0" t="inlineStr">
        <is>
          <t xml:space="preserve">D</t>
        </is>
      </c>
      <c r="G8" s="4">
        <v>2019.73835606</v>
      </c>
      <c r="H8" s="0" t="inlineStr">
        <is>
          <t xml:space="preserve">2019-04-23</t>
        </is>
      </c>
      <c r="I8" s="0" t="inlineStr">
        <is>
          <t xml:space="preserve">no</t>
        </is>
      </c>
      <c r="J8" s="0" t="inlineStr">
        <is>
          <t xml:space="preserve">N0002418R2210</t>
        </is>
      </c>
      <c r="K8" s="0" t="inlineStr">
        <is>
          <t xml:space="preserve">NONE</t>
        </is>
      </c>
    </row>
    <row r="9">
      <c r="B9" s="0" t="inlineStr">
        <is>
          <t xml:space="preserve">N0002409C2229</t>
        </is>
      </c>
      <c r="D9" s="0" t="inlineStr">
        <is>
          <t xml:space="preserve">other_small</t>
        </is>
      </c>
      <c r="E9" s="0" t="inlineStr">
        <is>
          <t xml:space="preserve">NATIONAL STEEL AND SHIPBUILDING COMPANY</t>
        </is>
      </c>
      <c r="F9" s="0" t="inlineStr">
        <is>
          <t xml:space="preserve">D</t>
        </is>
      </c>
      <c r="G9" s="4">
        <v>1965.3757021</v>
      </c>
      <c r="H9" s="0" t="inlineStr">
        <is>
          <t xml:space="preserve">2009-02-13</t>
        </is>
      </c>
      <c r="I9" s="0" t="inlineStr">
        <is>
          <t xml:space="preserve">no</t>
        </is>
      </c>
      <c r="J9" s="0" t="inlineStr">
        <is>
          <t xml:space="preserve">N0002408R2270</t>
        </is>
      </c>
      <c r="K9" s="0" t="inlineStr">
        <is>
          <t xml:space="preserve">NONE</t>
        </is>
      </c>
    </row>
    <row r="10">
      <c r="B10" s="0" t="inlineStr">
        <is>
          <t xml:space="preserve">N0002404C2204</t>
        </is>
      </c>
      <c r="D10" s="0" t="inlineStr">
        <is>
          <t xml:space="preserve">small_craft</t>
        </is>
      </c>
      <c r="E10" s="0" t="inlineStr">
        <is>
          <t xml:space="preserve">HUNTINGTON INGALLS INCORPORATED</t>
        </is>
      </c>
      <c r="F10" s="0" t="inlineStr">
        <is>
          <t xml:space="preserve">D</t>
        </is>
      </c>
      <c r="G10" s="4">
        <v>1304.5305683</v>
      </c>
      <c r="H10" s="0" t="inlineStr">
        <is>
          <t xml:space="preserve">2003-11-25</t>
        </is>
      </c>
      <c r="I10" s="0" t="inlineStr">
        <is>
          <t xml:space="preserve">no</t>
        </is>
      </c>
      <c r="K10" s="0" t="inlineStr">
        <is>
          <t xml:space="preserve">NONE</t>
        </is>
      </c>
    </row>
    <row r="11">
      <c r="B11" s="0" t="inlineStr">
        <is>
          <t xml:space="preserve">N0002423C2203</t>
        </is>
      </c>
      <c r="D11" s="0" t="inlineStr">
        <is>
          <t xml:space="preserve">other_small</t>
        </is>
      </c>
      <c r="E11" s="0" t="inlineStr">
        <is>
          <t xml:space="preserve">AUSTAL USA, LLC</t>
        </is>
      </c>
      <c r="F11" s="0" t="inlineStr">
        <is>
          <t xml:space="preserve">D</t>
        </is>
      </c>
      <c r="G11" s="4">
        <v>631.815731</v>
      </c>
      <c r="H11" s="0" t="inlineStr">
        <is>
          <t xml:space="preserve">2023-05-18</t>
        </is>
      </c>
      <c r="I11" s="0" t="inlineStr">
        <is>
          <t xml:space="preserve">no</t>
        </is>
      </c>
      <c r="J11" s="0" t="inlineStr">
        <is>
          <t xml:space="preserve">N0002422R2203</t>
        </is>
      </c>
      <c r="K11" s="0" t="inlineStr">
        <is>
          <t xml:space="preserve">NONE</t>
        </is>
      </c>
    </row>
    <row r="12">
      <c r="B12" s="0" t="inlineStr">
        <is>
          <t xml:space="preserve">N0002418C2207</t>
        </is>
      </c>
      <c r="D12" s="0" t="inlineStr">
        <is>
          <t xml:space="preserve">other_small</t>
        </is>
      </c>
      <c r="E12" s="0" t="inlineStr">
        <is>
          <t xml:space="preserve">BOLLINGER SHIPYARDS LOCKPORT, L.L.C.</t>
        </is>
      </c>
      <c r="F12" s="0" t="inlineStr">
        <is>
          <t xml:space="preserve">D</t>
        </is>
      </c>
      <c r="G12" s="4">
        <v>423.96603665</v>
      </c>
      <c r="H12" s="0" t="inlineStr">
        <is>
          <t xml:space="preserve">2018-03-16</t>
        </is>
      </c>
      <c r="I12" s="0" t="inlineStr">
        <is>
          <t xml:space="preserve">no</t>
        </is>
      </c>
      <c r="J12" s="0" t="inlineStr">
        <is>
          <t xml:space="preserve">N0002417R2207</t>
        </is>
      </c>
      <c r="K12" s="0" t="inlineStr">
        <is>
          <t xml:space="preserve">NONE</t>
        </is>
      </c>
    </row>
    <row r="13">
      <c r="B13" s="0" t="inlineStr">
        <is>
          <t xml:space="preserve">N0002421C2209</t>
        </is>
      </c>
      <c r="D13" s="0" t="inlineStr">
        <is>
          <t xml:space="preserve">other_small</t>
        </is>
      </c>
      <c r="E13" s="0" t="inlineStr">
        <is>
          <t xml:space="preserve">AUSTAL USA, LLC</t>
        </is>
      </c>
      <c r="F13" s="0" t="inlineStr">
        <is>
          <t xml:space="preserve">D</t>
        </is>
      </c>
      <c r="G13" s="4">
        <v>383.61313375</v>
      </c>
      <c r="H13" s="0" t="inlineStr">
        <is>
          <t xml:space="preserve">2021-06-03</t>
        </is>
      </c>
      <c r="I13" s="0" t="inlineStr">
        <is>
          <t xml:space="preserve">no</t>
        </is>
      </c>
      <c r="J13" s="0" t="inlineStr">
        <is>
          <t xml:space="preserve">N0002421R2209</t>
        </is>
      </c>
      <c r="K13" s="0" t="inlineStr">
        <is>
          <t xml:space="preserve">NONE</t>
        </is>
      </c>
    </row>
    <row r="14">
      <c r="B14" s="0" t="inlineStr">
        <is>
          <t xml:space="preserve">N0002419C6402</t>
        </is>
      </c>
      <c r="D14" s="0" t="inlineStr">
        <is>
          <t xml:space="preserve">other_small</t>
        </is>
      </c>
      <c r="E14" s="0" t="inlineStr">
        <is>
          <t xml:space="preserve">TELEDYNE BROWN ENGINEERING, INC.</t>
        </is>
      </c>
      <c r="F14" s="0" t="inlineStr">
        <is>
          <t xml:space="preserve">D</t>
        </is>
      </c>
      <c r="G14" s="4">
        <v>242.75469406</v>
      </c>
      <c r="H14" s="0" t="inlineStr">
        <is>
          <t xml:space="preserve">2019-09-27</t>
        </is>
      </c>
      <c r="I14" s="0" t="inlineStr">
        <is>
          <t xml:space="preserve">no</t>
        </is>
      </c>
      <c r="J14" s="0" t="inlineStr">
        <is>
          <t xml:space="preserve">N0002419R6402</t>
        </is>
      </c>
      <c r="K14" s="0" t="inlineStr">
        <is>
          <t xml:space="preserve">NONE</t>
        </is>
      </c>
    </row>
    <row r="15">
      <c r="B15" s="0" t="inlineStr">
        <is>
          <t xml:space="preserve">N0002409C2256</t>
        </is>
      </c>
      <c r="D15" s="0" t="inlineStr">
        <is>
          <t xml:space="preserve">small_craft</t>
        </is>
      </c>
      <c r="E15" s="0" t="inlineStr">
        <is>
          <t xml:space="preserve">SWIFTSHIPS SHIPBUILDERS, L.L.C.</t>
        </is>
      </c>
      <c r="F15" s="0" t="inlineStr">
        <is>
          <t xml:space="preserve">D</t>
        </is>
      </c>
      <c r="G15" s="4">
        <v>240.11744061000002</v>
      </c>
      <c r="H15" s="0" t="inlineStr">
        <is>
          <t xml:space="preserve">2009-09-25</t>
        </is>
      </c>
      <c r="I15" s="0" t="inlineStr">
        <is>
          <t xml:space="preserve">no</t>
        </is>
      </c>
      <c r="J15" s="0" t="inlineStr">
        <is>
          <t xml:space="preserve">N0002409R2256</t>
        </is>
      </c>
      <c r="K15" s="0" t="inlineStr">
        <is>
          <t xml:space="preserve">NONE</t>
        </is>
      </c>
    </row>
    <row r="16">
      <c r="B16" s="0" t="inlineStr">
        <is>
          <t xml:space="preserve">N0002421C2201</t>
        </is>
      </c>
      <c r="D16" s="0" t="inlineStr">
        <is>
          <t xml:space="preserve">small_craft</t>
        </is>
      </c>
      <c r="E16" s="0" t="inlineStr">
        <is>
          <t xml:space="preserve">SAFE BOATS INTERNATIONAL LLC</t>
        </is>
      </c>
      <c r="F16" s="0" t="inlineStr">
        <is>
          <t xml:space="preserve">D</t>
        </is>
      </c>
      <c r="G16" s="4">
        <v>173.87721466</v>
      </c>
      <c r="H16" s="0" t="inlineStr">
        <is>
          <t xml:space="preserve">2020-12-31</t>
        </is>
      </c>
      <c r="I16" s="0" t="inlineStr">
        <is>
          <t xml:space="preserve">no</t>
        </is>
      </c>
      <c r="J16" s="0" t="inlineStr">
        <is>
          <t xml:space="preserve">N0002421R2200</t>
        </is>
      </c>
      <c r="K16" s="0" t="inlineStr">
        <is>
          <t xml:space="preserve">NONE</t>
        </is>
      </c>
    </row>
    <row r="17">
      <c r="B17" s="0" t="inlineStr">
        <is>
          <t xml:space="preserve">N0002419C2208</t>
        </is>
      </c>
      <c r="D17" s="0" t="inlineStr">
        <is>
          <t xml:space="preserve">other_small</t>
        </is>
      </c>
      <c r="E17" s="0" t="inlineStr">
        <is>
          <t xml:space="preserve">BOLLINGER MISSISSIPPI SHIPBUILDING, LLC</t>
        </is>
      </c>
      <c r="F17" s="0" t="inlineStr">
        <is>
          <t xml:space="preserve">D</t>
        </is>
      </c>
      <c r="G17" s="4">
        <v>166.50347725</v>
      </c>
      <c r="H17" s="0" t="inlineStr">
        <is>
          <t xml:space="preserve">2018-11-16</t>
        </is>
      </c>
      <c r="I17" s="0" t="inlineStr">
        <is>
          <t xml:space="preserve">no</t>
        </is>
      </c>
      <c r="J17" s="0" t="inlineStr">
        <is>
          <t xml:space="preserve">N0002418R2208</t>
        </is>
      </c>
      <c r="K17" s="0" t="inlineStr">
        <is>
          <t xml:space="preserve">NONE</t>
        </is>
      </c>
    </row>
    <row r="18">
      <c r="B18" s="0" t="inlineStr">
        <is>
          <t xml:space="preserve">N0002410C2201</t>
        </is>
      </c>
      <c r="D18" s="0" t="inlineStr">
        <is>
          <t xml:space="preserve">other_small</t>
        </is>
      </c>
      <c r="E18" s="0" t="inlineStr">
        <is>
          <t xml:space="preserve">DAKOTA CREEK INDUSTRIES INC</t>
        </is>
      </c>
      <c r="F18" s="0" t="inlineStr">
        <is>
          <t xml:space="preserve">D</t>
        </is>
      </c>
      <c r="G18" s="4">
        <v>153.64050672</v>
      </c>
      <c r="H18" s="0" t="inlineStr">
        <is>
          <t xml:space="preserve">2010-01-27</t>
        </is>
      </c>
      <c r="I18" s="0" t="inlineStr">
        <is>
          <t xml:space="preserve">no</t>
        </is>
      </c>
      <c r="J18" s="0" t="inlineStr">
        <is>
          <t xml:space="preserve">N0002409R2212</t>
        </is>
      </c>
      <c r="K18" s="0" t="inlineStr">
        <is>
          <t xml:space="preserve">NONE</t>
        </is>
      </c>
    </row>
    <row r="19">
      <c r="B19" s="0" t="inlineStr">
        <is>
          <t xml:space="preserve">N6238715C2502</t>
        </is>
      </c>
      <c r="D19" s="0" t="inlineStr">
        <is>
          <t xml:space="preserve">small_craft</t>
        </is>
      </c>
      <c r="E19" s="0" t="inlineStr">
        <is>
          <t xml:space="preserve">HORNBECK OFFSHORE SERVICES LLC</t>
        </is>
      </c>
      <c r="F19" s="0" t="inlineStr">
        <is>
          <t xml:space="preserve">D</t>
        </is>
      </c>
      <c r="G19" s="4">
        <v>152.0</v>
      </c>
      <c r="H19" s="0" t="inlineStr">
        <is>
          <t xml:space="preserve">2015-02-25</t>
        </is>
      </c>
      <c r="I19" s="0" t="inlineStr">
        <is>
          <t xml:space="preserve">no</t>
        </is>
      </c>
      <c r="K19" s="0" t="inlineStr">
        <is>
          <t xml:space="preserve">NONE</t>
        </is>
      </c>
    </row>
    <row r="20">
      <c r="B20" s="0" t="inlineStr">
        <is>
          <t xml:space="preserve">N0002422C6305</t>
        </is>
      </c>
      <c r="D20" s="0" t="inlineStr">
        <is>
          <t xml:space="preserve">small_craft</t>
        </is>
      </c>
      <c r="E20" s="0" t="inlineStr">
        <is>
          <t xml:space="preserve">BOLLINGER SHIPYARDS LOCKPORT, L.L.C.</t>
        </is>
      </c>
      <c r="F20" s="0" t="inlineStr">
        <is>
          <t xml:space="preserve">D</t>
        </is>
      </c>
      <c r="G20" s="4">
        <v>116.47118083</v>
      </c>
      <c r="H20" s="0" t="inlineStr">
        <is>
          <t xml:space="preserve">2022-04-08</t>
        </is>
      </c>
      <c r="I20" s="0" t="inlineStr">
        <is>
          <t xml:space="preserve">no</t>
        </is>
      </c>
      <c r="J20" s="0" t="inlineStr">
        <is>
          <t xml:space="preserve">N0002421R6300</t>
        </is>
      </c>
      <c r="K20" s="0" t="inlineStr">
        <is>
          <t xml:space="preserve">NONE</t>
        </is>
      </c>
    </row>
    <row r="21">
      <c r="B21" s="0" t="inlineStr">
        <is>
          <t xml:space="preserve">N0002423C6308</t>
        </is>
      </c>
      <c r="D21" s="0" t="inlineStr">
        <is>
          <t xml:space="preserve">small_craft</t>
        </is>
      </c>
      <c r="E21" s="0" t="inlineStr">
        <is>
          <t xml:space="preserve">HII UNMANNED SYSTEMS, INC</t>
        </is>
      </c>
      <c r="F21" s="0" t="inlineStr">
        <is>
          <t xml:space="preserve">D</t>
        </is>
      </c>
      <c r="G21" s="4">
        <v>113.25855329</v>
      </c>
      <c r="H21" s="0" t="inlineStr">
        <is>
          <t xml:space="preserve">2023-09-28</t>
        </is>
      </c>
      <c r="I21" s="0" t="inlineStr">
        <is>
          <t xml:space="preserve">no</t>
        </is>
      </c>
      <c r="J21" s="0" t="inlineStr">
        <is>
          <t xml:space="preserve">N0002423R6308</t>
        </is>
      </c>
      <c r="K21" s="0" t="inlineStr">
        <is>
          <t xml:space="preserve">NONE</t>
        </is>
      </c>
    </row>
    <row r="22">
      <c r="B22" s="0" t="inlineStr">
        <is>
          <t xml:space="preserve">N0002422C2505</t>
        </is>
      </c>
      <c r="D22" s="0" t="inlineStr">
        <is>
          <t xml:space="preserve">other_small</t>
        </is>
      </c>
      <c r="E22" s="0" t="inlineStr">
        <is>
          <t xml:space="preserve">NATIONAL STEEL AND SHIPBUILDING COMPANY</t>
        </is>
      </c>
      <c r="F22" s="0" t="inlineStr">
        <is>
          <t xml:space="preserve">D</t>
        </is>
      </c>
      <c r="G22" s="4">
        <v>98.69787185999999</v>
      </c>
      <c r="H22" s="0" t="inlineStr">
        <is>
          <t xml:space="preserve">2022-04-04</t>
        </is>
      </c>
      <c r="I22" s="0" t="inlineStr">
        <is>
          <t xml:space="preserve">no</t>
        </is>
      </c>
      <c r="J22" s="0" t="inlineStr">
        <is>
          <t xml:space="preserve">N0002421R2504</t>
        </is>
      </c>
      <c r="K22" s="0" t="inlineStr">
        <is>
          <t xml:space="preserve">NONE</t>
        </is>
      </c>
    </row>
    <row r="23">
      <c r="B23" s="0" t="inlineStr">
        <is>
          <t xml:space="preserve">N0002410C2239</t>
        </is>
      </c>
      <c r="D23" s="0" t="inlineStr">
        <is>
          <t xml:space="preserve">other_small</t>
        </is>
      </c>
      <c r="E23" s="0" t="inlineStr">
        <is>
          <t xml:space="preserve">BOLLINGER MISSISSIPPI SHIPBUILDING, LLC</t>
        </is>
      </c>
      <c r="F23" s="0" t="inlineStr">
        <is>
          <t xml:space="preserve">D</t>
        </is>
      </c>
      <c r="G23" s="4">
        <v>97.58790473</v>
      </c>
      <c r="H23" s="0" t="inlineStr">
        <is>
          <t xml:space="preserve">2009-12-22</t>
        </is>
      </c>
      <c r="I23" s="0" t="inlineStr">
        <is>
          <t xml:space="preserve">no</t>
        </is>
      </c>
      <c r="J23" s="0" t="inlineStr">
        <is>
          <t xml:space="preserve">N0002409R2239</t>
        </is>
      </c>
      <c r="K23" s="0" t="inlineStr">
        <is>
          <t xml:space="preserve">NONE</t>
        </is>
      </c>
    </row>
    <row r="24">
      <c r="B24" s="0" t="inlineStr">
        <is>
          <t xml:space="preserve">N0002418C2205</t>
        </is>
      </c>
      <c r="D24" s="0" t="inlineStr">
        <is>
          <t xml:space="preserve">other_small</t>
        </is>
      </c>
      <c r="E24" s="0" t="inlineStr">
        <is>
          <t xml:space="preserve">DAKOTA CREEK INDUSTRIES INC</t>
        </is>
      </c>
      <c r="F24" s="0" t="inlineStr">
        <is>
          <t xml:space="preserve">D</t>
        </is>
      </c>
      <c r="G24" s="4">
        <v>81.84833481999999</v>
      </c>
      <c r="H24" s="0" t="inlineStr">
        <is>
          <t xml:space="preserve">2018-07-13</t>
        </is>
      </c>
      <c r="I24" s="0" t="inlineStr">
        <is>
          <t xml:space="preserve">no</t>
        </is>
      </c>
      <c r="J24" s="0" t="inlineStr">
        <is>
          <t xml:space="preserve">N0002417R2205</t>
        </is>
      </c>
      <c r="K24" s="0" t="inlineStr">
        <is>
          <t xml:space="preserve">NONE</t>
        </is>
      </c>
    </row>
    <row r="25">
      <c r="B25" s="0" t="inlineStr">
        <is>
          <t xml:space="preserve">N0002409C2252</t>
        </is>
      </c>
      <c r="D25" s="0" t="inlineStr">
        <is>
          <t xml:space="preserve">small_craft</t>
        </is>
      </c>
      <c r="E25" s="0" t="inlineStr">
        <is>
          <t xml:space="preserve">UNITED STATES MARINE INC</t>
        </is>
      </c>
      <c r="F25" s="0" t="inlineStr">
        <is>
          <t xml:space="preserve">D</t>
        </is>
      </c>
      <c r="G25" s="4">
        <v>77.27650673999999</v>
      </c>
      <c r="H25" s="0" t="inlineStr">
        <is>
          <t xml:space="preserve">2009-05-26</t>
        </is>
      </c>
      <c r="I25" s="0" t="inlineStr">
        <is>
          <t xml:space="preserve">no</t>
        </is>
      </c>
      <c r="K25" s="0" t="inlineStr">
        <is>
          <t xml:space="preserve">NONE</t>
        </is>
      </c>
    </row>
    <row r="26">
      <c r="B26" s="0" t="inlineStr">
        <is>
          <t xml:space="preserve">N0002407C2236</t>
        </is>
      </c>
      <c r="D26" s="0" t="inlineStr">
        <is>
          <t xml:space="preserve">small_craft</t>
        </is>
      </c>
      <c r="E26" s="0" t="inlineStr">
        <is>
          <t xml:space="preserve">C &amp; G BOAT WORKS, INC.</t>
        </is>
      </c>
      <c r="F26" s="0" t="inlineStr">
        <is>
          <t xml:space="preserve">D</t>
        </is>
      </c>
      <c r="G26" s="4">
        <v>68.28851636</v>
      </c>
      <c r="H26" s="0" t="inlineStr">
        <is>
          <t xml:space="preserve">2007-06-20</t>
        </is>
      </c>
      <c r="I26" s="0" t="inlineStr">
        <is>
          <t xml:space="preserve">no</t>
        </is>
      </c>
      <c r="K26" s="0" t="inlineStr">
        <is>
          <t xml:space="preserve">NONE</t>
        </is>
      </c>
    </row>
    <row r="27">
      <c r="B27" s="0" t="inlineStr">
        <is>
          <t xml:space="preserve">H9240520F0022</t>
        </is>
      </c>
      <c r="C27" s="0" t="inlineStr">
        <is>
          <t xml:space="preserve">H9222211D0080</t>
        </is>
      </c>
      <c r="D27" s="0" t="inlineStr">
        <is>
          <t xml:space="preserve">small_craft</t>
        </is>
      </c>
      <c r="E27" s="0" t="inlineStr">
        <is>
          <t xml:space="preserve">VIGOR WORKS LLC</t>
        </is>
      </c>
      <c r="F27" s="0" t="inlineStr">
        <is>
          <t xml:space="preserve">C</t>
        </is>
      </c>
      <c r="G27" s="4">
        <v>66.87582602</v>
      </c>
      <c r="H27" s="0" t="inlineStr">
        <is>
          <t xml:space="preserve">2020-06-26</t>
        </is>
      </c>
      <c r="I27" s="0" t="inlineStr">
        <is>
          <t xml:space="preserve">no</t>
        </is>
      </c>
      <c r="J27" s="0" t="inlineStr">
        <is>
          <t xml:space="preserve">H9222211R0001</t>
        </is>
      </c>
      <c r="K27" s="0" t="inlineStr">
        <is>
          <t xml:space="preserve">NONE</t>
        </is>
      </c>
    </row>
    <row r="28">
      <c r="B28" s="0" t="inlineStr">
        <is>
          <t xml:space="preserve">N0002414C2230</t>
        </is>
      </c>
      <c r="D28" s="0" t="inlineStr">
        <is>
          <t xml:space="preserve">small_craft</t>
        </is>
      </c>
      <c r="E28" s="0" t="inlineStr">
        <is>
          <t xml:space="preserve">SAFE BOATS INTERNATIONAL LLC</t>
        </is>
      </c>
      <c r="F28" s="0" t="inlineStr">
        <is>
          <t xml:space="preserve">D</t>
        </is>
      </c>
      <c r="G28" s="4">
        <v>58.21942113</v>
      </c>
      <c r="H28" s="0" t="inlineStr">
        <is>
          <t xml:space="preserve">2014-07-02</t>
        </is>
      </c>
      <c r="I28" s="0" t="inlineStr">
        <is>
          <t xml:space="preserve">no</t>
        </is>
      </c>
      <c r="J28" s="0" t="inlineStr">
        <is>
          <t xml:space="preserve">N0002414R2230</t>
        </is>
      </c>
      <c r="K28" s="0" t="inlineStr">
        <is>
          <t xml:space="preserve">NONE</t>
        </is>
      </c>
    </row>
    <row r="29">
      <c r="B29" s="0" t="inlineStr">
        <is>
          <t xml:space="preserve">N3220517C4406</t>
        </is>
      </c>
      <c r="D29" s="0" t="inlineStr">
        <is>
          <t xml:space="preserve">other_small</t>
        </is>
      </c>
      <c r="E29" s="0" t="inlineStr">
        <is>
          <t xml:space="preserve">VIGOR MARINE LLC</t>
        </is>
      </c>
      <c r="F29" s="0" t="inlineStr">
        <is>
          <t xml:space="preserve">D</t>
        </is>
      </c>
      <c r="G29" s="4">
        <v>55.47897259</v>
      </c>
      <c r="H29" s="0" t="inlineStr">
        <is>
          <t xml:space="preserve">2017-02-17</t>
        </is>
      </c>
      <c r="I29" s="0" t="inlineStr">
        <is>
          <t xml:space="preserve">no</t>
        </is>
      </c>
      <c r="J29" s="0" t="inlineStr">
        <is>
          <t xml:space="preserve">N3220516R4406</t>
        </is>
      </c>
      <c r="K29" s="0" t="inlineStr">
        <is>
          <t xml:space="preserve">NONE</t>
        </is>
      </c>
    </row>
    <row r="30">
      <c r="B30" s="0" t="inlineStr">
        <is>
          <t xml:space="preserve">N0002423C2201</t>
        </is>
      </c>
      <c r="D30" s="0" t="inlineStr">
        <is>
          <t xml:space="preserve">small_craft</t>
        </is>
      </c>
      <c r="E30" s="0" t="inlineStr">
        <is>
          <t xml:space="preserve">RECONCRAFT, LLC</t>
        </is>
      </c>
      <c r="F30" s="0" t="inlineStr">
        <is>
          <t xml:space="preserve">D</t>
        </is>
      </c>
      <c r="G30" s="4">
        <v>55.048603</v>
      </c>
      <c r="H30" s="0" t="inlineStr">
        <is>
          <t xml:space="preserve">2023-04-24</t>
        </is>
      </c>
      <c r="I30" s="0" t="inlineStr">
        <is>
          <t xml:space="preserve">no</t>
        </is>
      </c>
      <c r="J30" s="0" t="inlineStr">
        <is>
          <t xml:space="preserve">N0002423R2201</t>
        </is>
      </c>
      <c r="K30" s="0" t="inlineStr">
        <is>
          <t xml:space="preserve">NONE</t>
        </is>
      </c>
    </row>
    <row r="31">
      <c r="B31" s="0" t="inlineStr">
        <is>
          <t xml:space="preserve">N0002418C2223</t>
        </is>
      </c>
      <c r="D31" s="0" t="inlineStr">
        <is>
          <t xml:space="preserve">small_craft</t>
        </is>
      </c>
      <c r="E31" s="0" t="inlineStr">
        <is>
          <t xml:space="preserve">MARINE GROUP BOAT WORKS, LLC</t>
        </is>
      </c>
      <c r="F31" s="0" t="inlineStr">
        <is>
          <t xml:space="preserve">D</t>
        </is>
      </c>
      <c r="G31" s="4">
        <v>53.45682136</v>
      </c>
      <c r="H31" s="0" t="inlineStr">
        <is>
          <t xml:space="preserve">2017-12-15</t>
        </is>
      </c>
      <c r="I31" s="0" t="inlineStr">
        <is>
          <t xml:space="preserve">no</t>
        </is>
      </c>
      <c r="J31" s="0" t="inlineStr">
        <is>
          <t xml:space="preserve">N0002417R2223</t>
        </is>
      </c>
      <c r="K31" s="0" t="inlineStr">
        <is>
          <t xml:space="preserve">NONE</t>
        </is>
      </c>
    </row>
    <row r="32">
      <c r="B32" s="0" t="inlineStr">
        <is>
          <t xml:space="preserve">N0002419F8406</t>
        </is>
      </c>
      <c r="C32" s="0" t="inlineStr">
        <is>
          <t xml:space="preserve">N0002418D6401</t>
        </is>
      </c>
      <c r="D32" s="0" t="inlineStr">
        <is>
          <t xml:space="preserve">usv_core</t>
        </is>
      </c>
      <c r="E32" s="0" t="inlineStr">
        <is>
          <t xml:space="preserve">THE PENNSYLVANIA STATE UNIVERSITY</t>
        </is>
      </c>
      <c r="F32" s="0" t="inlineStr">
        <is>
          <t xml:space="preserve">C</t>
        </is>
      </c>
      <c r="G32" s="4">
        <v>46.438407999999995</v>
      </c>
      <c r="H32" s="0" t="inlineStr">
        <is>
          <t xml:space="preserve">2019-01-04</t>
        </is>
      </c>
      <c r="I32" s="0" t="inlineStr">
        <is>
          <t xml:space="preserve">no</t>
        </is>
      </c>
      <c r="K32" s="0" t="inlineStr">
        <is>
          <t xml:space="preserve">NONE</t>
        </is>
      </c>
    </row>
    <row r="33">
      <c r="B33" s="0" t="inlineStr">
        <is>
          <t xml:space="preserve">N0001418C2006</t>
        </is>
      </c>
      <c r="D33" s="0" t="inlineStr">
        <is>
          <t xml:space="preserve">usv_core</t>
        </is>
      </c>
      <c r="E33" s="0" t="inlineStr">
        <is>
          <t xml:space="preserve">LEIDOS, INC.</t>
        </is>
      </c>
      <c r="F33" s="0" t="inlineStr">
        <is>
          <t xml:space="preserve">D</t>
        </is>
      </c>
      <c r="G33" s="4">
        <v>43.559069</v>
      </c>
      <c r="H33" s="0" t="inlineStr">
        <is>
          <t xml:space="preserve">2017-12-15</t>
        </is>
      </c>
      <c r="I33" s="0" t="inlineStr">
        <is>
          <t xml:space="preserve">no</t>
        </is>
      </c>
      <c r="J33" s="0" t="inlineStr">
        <is>
          <t xml:space="preserve">N0001417SB001</t>
        </is>
      </c>
      <c r="K33" s="0" t="inlineStr">
        <is>
          <t xml:space="preserve">NONE</t>
        </is>
      </c>
    </row>
    <row r="34">
      <c r="B34" s="0" t="inlineStr">
        <is>
          <t xml:space="preserve">N0002412F2223</t>
        </is>
      </c>
      <c r="C34" s="0" t="inlineStr">
        <is>
          <t xml:space="preserve">GS07F0038H</t>
        </is>
      </c>
      <c r="D34" s="0" t="inlineStr">
        <is>
          <t xml:space="preserve">small_craft</t>
        </is>
      </c>
      <c r="E34" s="0" t="inlineStr">
        <is>
          <t xml:space="preserve">SAFE BOATS INTERNATIONAL LLC</t>
        </is>
      </c>
      <c r="F34" s="0" t="inlineStr">
        <is>
          <t xml:space="preserve">C</t>
        </is>
      </c>
      <c r="G34" s="4">
        <v>42.75522093</v>
      </c>
      <c r="H34" s="0" t="inlineStr">
        <is>
          <t xml:space="preserve">2012-05-14</t>
        </is>
      </c>
      <c r="I34" s="0" t="inlineStr">
        <is>
          <t xml:space="preserve">no</t>
        </is>
      </c>
      <c r="K34" s="0" t="inlineStr">
        <is>
          <t xml:space="preserve">NONE</t>
        </is>
      </c>
    </row>
    <row r="35">
      <c r="B35" s="0" t="inlineStr">
        <is>
          <t xml:space="preserve">N0002423F2201</t>
        </is>
      </c>
      <c r="C35" s="0" t="inlineStr">
        <is>
          <t xml:space="preserve">47QSWA18D009G</t>
        </is>
      </c>
      <c r="D35" s="0" t="inlineStr">
        <is>
          <t xml:space="preserve">small_craft</t>
        </is>
      </c>
      <c r="E35" s="0" t="inlineStr">
        <is>
          <t xml:space="preserve">SILVER SHIPS, INC</t>
        </is>
      </c>
      <c r="F35" s="0" t="inlineStr">
        <is>
          <t xml:space="preserve">C</t>
        </is>
      </c>
      <c r="G35" s="4">
        <v>42.345864999999996</v>
      </c>
      <c r="H35" s="0" t="inlineStr">
        <is>
          <t xml:space="preserve">2023-06-01</t>
        </is>
      </c>
      <c r="I35" s="0" t="inlineStr">
        <is>
          <t xml:space="preserve">no</t>
        </is>
      </c>
      <c r="J35" s="0" t="inlineStr">
        <is>
          <t xml:space="preserve">N0002423Q2201</t>
        </is>
      </c>
      <c r="K35" s="0" t="inlineStr">
        <is>
          <t xml:space="preserve">NONE</t>
        </is>
      </c>
    </row>
    <row r="36">
      <c r="B36" s="0" t="inlineStr">
        <is>
          <t xml:space="preserve">N0010424CZA51</t>
        </is>
      </c>
      <c r="D36" s="0" t="inlineStr">
        <is>
          <t xml:space="preserve">small_craft</t>
        </is>
      </c>
      <c r="E36" s="0" t="inlineStr">
        <is>
          <t xml:space="preserve">ERIE FORGE &amp; STEEL INC</t>
        </is>
      </c>
      <c r="F36" s="0" t="inlineStr">
        <is>
          <t xml:space="preserve">D</t>
        </is>
      </c>
      <c r="G36" s="4">
        <v>40.266044</v>
      </c>
      <c r="H36" s="0" t="inlineStr">
        <is>
          <t xml:space="preserve">2024-09-13</t>
        </is>
      </c>
      <c r="I36" s="0" t="inlineStr">
        <is>
          <t xml:space="preserve">no</t>
        </is>
      </c>
      <c r="J36" s="0" t="inlineStr">
        <is>
          <t xml:space="preserve">N0010424RZA83</t>
        </is>
      </c>
      <c r="K36" s="0" t="inlineStr">
        <is>
          <t xml:space="preserve">NONE</t>
        </is>
      </c>
    </row>
    <row r="37">
      <c r="B37" s="0" t="inlineStr">
        <is>
          <t xml:space="preserve">N6133120C0018</t>
        </is>
      </c>
      <c r="D37" s="0" t="inlineStr">
        <is>
          <t xml:space="preserve">other_small</t>
        </is>
      </c>
      <c r="E37" s="0" t="inlineStr">
        <is>
          <t xml:space="preserve">YULISTA SUPPORT SERVICES LLC</t>
        </is>
      </c>
      <c r="F37" s="0" t="inlineStr">
        <is>
          <t xml:space="preserve">D</t>
        </is>
      </c>
      <c r="G37" s="4">
        <v>37.95135626</v>
      </c>
      <c r="H37" s="0" t="inlineStr">
        <is>
          <t xml:space="preserve">2020-09-18</t>
        </is>
      </c>
      <c r="I37" s="0" t="inlineStr">
        <is>
          <t xml:space="preserve">no</t>
        </is>
      </c>
      <c r="J37" s="0" t="inlineStr">
        <is>
          <t xml:space="preserve">N6133120R0004</t>
        </is>
      </c>
      <c r="K37" s="0" t="inlineStr">
        <is>
          <t xml:space="preserve">NONE</t>
        </is>
      </c>
    </row>
    <row r="38">
      <c r="B38" s="0" t="inlineStr">
        <is>
          <t xml:space="preserve">N0002409C2210</t>
        </is>
      </c>
      <c r="D38" s="0" t="inlineStr">
        <is>
          <t xml:space="preserve">small_craft</t>
        </is>
      </c>
      <c r="E38" s="0" t="inlineStr">
        <is>
          <t xml:space="preserve">SWIFTSHIPS SHIPBUILDERS, L.L.C.</t>
        </is>
      </c>
      <c r="F38" s="0" t="inlineStr">
        <is>
          <t xml:space="preserve">D</t>
        </is>
      </c>
      <c r="G38" s="4">
        <v>35.55721549</v>
      </c>
      <c r="H38" s="0" t="inlineStr">
        <is>
          <t xml:space="preserve">2008-11-07</t>
        </is>
      </c>
      <c r="I38" s="0" t="inlineStr">
        <is>
          <t xml:space="preserve">no</t>
        </is>
      </c>
      <c r="J38" s="0" t="inlineStr">
        <is>
          <t xml:space="preserve">N0002409R2210</t>
        </is>
      </c>
      <c r="K38" s="0" t="inlineStr">
        <is>
          <t xml:space="preserve">NONE</t>
        </is>
      </c>
    </row>
    <row r="39">
      <c r="B39" s="0" t="inlineStr">
        <is>
          <t xml:space="preserve">N0002423C2205</t>
        </is>
      </c>
      <c r="D39" s="0" t="inlineStr">
        <is>
          <t xml:space="preserve">small_craft</t>
        </is>
      </c>
      <c r="E39" s="0" t="inlineStr">
        <is>
          <t xml:space="preserve">RECONCRAFT, LLC</t>
        </is>
      </c>
      <c r="F39" s="0" t="inlineStr">
        <is>
          <t xml:space="preserve">D</t>
        </is>
      </c>
      <c r="G39" s="4">
        <v>33.45023698999999</v>
      </c>
      <c r="H39" s="0" t="inlineStr">
        <is>
          <t xml:space="preserve">2023-05-10</t>
        </is>
      </c>
      <c r="I39" s="0" t="inlineStr">
        <is>
          <t xml:space="preserve">no</t>
        </is>
      </c>
      <c r="J39" s="0" t="inlineStr">
        <is>
          <t xml:space="preserve">N0002423R2205</t>
        </is>
      </c>
      <c r="K39" s="0" t="inlineStr">
        <is>
          <t xml:space="preserve">NONE</t>
        </is>
      </c>
    </row>
    <row r="40">
      <c r="B40" s="0" t="inlineStr">
        <is>
          <t xml:space="preserve">N0001421C1009</t>
        </is>
      </c>
      <c r="D40" s="0" t="inlineStr">
        <is>
          <t xml:space="preserve">usv_core</t>
        </is>
      </c>
      <c r="E40" s="0" t="inlineStr">
        <is>
          <t xml:space="preserve">RAYTHEON COMPANY</t>
        </is>
      </c>
      <c r="F40" s="0" t="inlineStr">
        <is>
          <t xml:space="preserve">D</t>
        </is>
      </c>
      <c r="G40" s="4">
        <v>33.140146</v>
      </c>
      <c r="H40" s="0" t="inlineStr">
        <is>
          <t xml:space="preserve">2021-02-26</t>
        </is>
      </c>
      <c r="I40" s="0" t="inlineStr">
        <is>
          <t xml:space="preserve">no</t>
        </is>
      </c>
      <c r="J40" s="0" t="inlineStr">
        <is>
          <t xml:space="preserve">N0001420SB001</t>
        </is>
      </c>
      <c r="K40" s="0" t="inlineStr">
        <is>
          <t xml:space="preserve">NONE</t>
        </is>
      </c>
    </row>
    <row r="41">
      <c r="B41" s="0" t="inlineStr">
        <is>
          <t xml:space="preserve">N6133120F3009</t>
        </is>
      </c>
      <c r="C41" s="0" t="inlineStr">
        <is>
          <t xml:space="preserve">N0017819D7206</t>
        </is>
      </c>
      <c r="D41" s="0" t="inlineStr">
        <is>
          <t xml:space="preserve">usv_core</t>
        </is>
      </c>
      <c r="E41" s="0" t="inlineStr">
        <is>
          <t xml:space="preserve">AVIAN, LLC</t>
        </is>
      </c>
      <c r="F41" s="0" t="inlineStr">
        <is>
          <t xml:space="preserve">C</t>
        </is>
      </c>
      <c r="G41" s="4">
        <v>32.37049559</v>
      </c>
      <c r="H41" s="0" t="inlineStr">
        <is>
          <t xml:space="preserve">2020-08-19</t>
        </is>
      </c>
      <c r="I41" s="0" t="inlineStr">
        <is>
          <t xml:space="preserve">no</t>
        </is>
      </c>
      <c r="J41" s="0" t="inlineStr">
        <is>
          <t xml:space="preserve">N6133119R3500</t>
        </is>
      </c>
      <c r="K41" s="0" t="inlineStr">
        <is>
          <t xml:space="preserve">NONE</t>
        </is>
      </c>
    </row>
    <row r="42">
      <c r="B42" s="0" t="inlineStr">
        <is>
          <t xml:space="preserve">N0002422F8306</t>
        </is>
      </c>
      <c r="C42" s="0" t="inlineStr">
        <is>
          <t xml:space="preserve">N0002418D6401</t>
        </is>
      </c>
      <c r="D42" s="0" t="inlineStr">
        <is>
          <t xml:space="preserve">usv_core</t>
        </is>
      </c>
      <c r="E42" s="0" t="inlineStr">
        <is>
          <t xml:space="preserve">THE PENNSYLVANIA STATE UNIVERSITY</t>
        </is>
      </c>
      <c r="F42" s="0" t="inlineStr">
        <is>
          <t xml:space="preserve">C</t>
        </is>
      </c>
      <c r="G42" s="4">
        <v>30.698104089999998</v>
      </c>
      <c r="H42" s="0" t="inlineStr">
        <is>
          <t xml:space="preserve">2021-12-02</t>
        </is>
      </c>
      <c r="I42" s="0" t="inlineStr">
        <is>
          <t xml:space="preserve">no</t>
        </is>
      </c>
      <c r="K42" s="0" t="inlineStr">
        <is>
          <t xml:space="preserve">NONE</t>
        </is>
      </c>
    </row>
    <row r="43">
      <c r="B43" s="0" t="inlineStr">
        <is>
          <t xml:space="preserve">N0002419F22X1</t>
        </is>
      </c>
      <c r="C43" s="0" t="inlineStr">
        <is>
          <t xml:space="preserve">N0002417D2209</t>
        </is>
      </c>
      <c r="D43" s="0" t="inlineStr">
        <is>
          <t xml:space="preserve">small_craft</t>
        </is>
      </c>
      <c r="E43" s="0" t="inlineStr">
        <is>
          <t xml:space="preserve">GRAVOIS ALUMINUM BOATS LLC</t>
        </is>
      </c>
      <c r="F43" s="0" t="inlineStr">
        <is>
          <t xml:space="preserve">C</t>
        </is>
      </c>
      <c r="G43" s="4">
        <v>30.20474446</v>
      </c>
      <c r="H43" s="0" t="inlineStr">
        <is>
          <t xml:space="preserve">2019-03-07</t>
        </is>
      </c>
      <c r="I43" s="0" t="inlineStr">
        <is>
          <t xml:space="preserve">no</t>
        </is>
      </c>
      <c r="J43" s="0" t="inlineStr">
        <is>
          <t xml:space="preserve">N0002417R2209</t>
        </is>
      </c>
      <c r="K43" s="0" t="inlineStr">
        <is>
          <t xml:space="preserve">NONE</t>
        </is>
      </c>
    </row>
    <row r="44">
      <c r="B44" s="0" t="inlineStr">
        <is>
          <t xml:space="preserve">N0002423C2244</t>
        </is>
      </c>
      <c r="D44" s="0" t="inlineStr">
        <is>
          <t xml:space="preserve">small_craft</t>
        </is>
      </c>
      <c r="E44" s="0" t="inlineStr">
        <is>
          <t xml:space="preserve">STERLING SHIPYARD LP</t>
        </is>
      </c>
      <c r="F44" s="0" t="inlineStr">
        <is>
          <t xml:space="preserve">D</t>
        </is>
      </c>
      <c r="G44" s="4">
        <v>30.0005031</v>
      </c>
      <c r="H44" s="0" t="inlineStr">
        <is>
          <t xml:space="preserve">2023-04-14</t>
        </is>
      </c>
      <c r="I44" s="0" t="inlineStr">
        <is>
          <t xml:space="preserve">no</t>
        </is>
      </c>
      <c r="J44" s="0" t="inlineStr">
        <is>
          <t xml:space="preserve">N0002422R2244</t>
        </is>
      </c>
      <c r="K44" s="0" t="inlineStr">
        <is>
          <t xml:space="preserve">NONE</t>
        </is>
      </c>
    </row>
    <row r="45">
      <c r="B45" s="0" t="inlineStr">
        <is>
          <t xml:space="preserve">N6660418F3022</t>
        </is>
      </c>
      <c r="C45" s="0" t="inlineStr">
        <is>
          <t xml:space="preserve">N0017804D4066</t>
        </is>
      </c>
      <c r="D45" s="0" t="inlineStr">
        <is>
          <t xml:space="preserve">usv_core</t>
        </is>
      </c>
      <c r="E45" s="0" t="inlineStr">
        <is>
          <t xml:space="preserve">SERCO-IPS CORPORATION</t>
        </is>
      </c>
      <c r="F45" s="0" t="inlineStr">
        <is>
          <t xml:space="preserve">C</t>
        </is>
      </c>
      <c r="G45" s="4">
        <v>29.70405303</v>
      </c>
      <c r="H45" s="0" t="inlineStr">
        <is>
          <t xml:space="preserve">2018-09-26</t>
        </is>
      </c>
      <c r="I45" s="0" t="inlineStr">
        <is>
          <t xml:space="preserve">no</t>
        </is>
      </c>
      <c r="J45" s="0" t="inlineStr">
        <is>
          <t xml:space="preserve">N6660417R3067</t>
        </is>
      </c>
      <c r="K45" s="0" t="inlineStr">
        <is>
          <t xml:space="preserve">NONE</t>
        </is>
      </c>
    </row>
    <row r="46">
      <c r="B46" s="0" t="inlineStr">
        <is>
          <t xml:space="preserve">N6133115C0025</t>
        </is>
      </c>
      <c r="D46" s="0" t="inlineStr">
        <is>
          <t xml:space="preserve">other_small</t>
        </is>
      </c>
      <c r="E46" s="0" t="inlineStr">
        <is>
          <t xml:space="preserve">Y-TECH SERVICES, INC.</t>
        </is>
      </c>
      <c r="F46" s="0" t="inlineStr">
        <is>
          <t xml:space="preserve">D</t>
        </is>
      </c>
      <c r="G46" s="4">
        <v>28.289504089999998</v>
      </c>
      <c r="H46" s="0" t="inlineStr">
        <is>
          <t xml:space="preserve">2015-09-16</t>
        </is>
      </c>
      <c r="I46" s="0" t="inlineStr">
        <is>
          <t xml:space="preserve">no</t>
        </is>
      </c>
      <c r="J46" s="0" t="inlineStr">
        <is>
          <t xml:space="preserve">N6133115R0002</t>
        </is>
      </c>
      <c r="K46" s="0" t="inlineStr">
        <is>
          <t xml:space="preserve">NONE</t>
        </is>
      </c>
    </row>
    <row r="47">
      <c r="B47" s="0" t="inlineStr">
        <is>
          <t xml:space="preserve">N0001419C1020</t>
        </is>
      </c>
      <c r="D47" s="0" t="inlineStr">
        <is>
          <t xml:space="preserve">usv_core</t>
        </is>
      </c>
      <c r="E47" s="0" t="inlineStr">
        <is>
          <t xml:space="preserve">LEIDOS, INC.</t>
        </is>
      </c>
      <c r="F47" s="0" t="inlineStr">
        <is>
          <t xml:space="preserve">D</t>
        </is>
      </c>
      <c r="G47" s="4">
        <v>27.57282381</v>
      </c>
      <c r="H47" s="0" t="inlineStr">
        <is>
          <t xml:space="preserve">2019-03-22</t>
        </is>
      </c>
      <c r="I47" s="0" t="inlineStr">
        <is>
          <t xml:space="preserve">no</t>
        </is>
      </c>
      <c r="J47" s="0" t="inlineStr">
        <is>
          <t xml:space="preserve">N0001418SB001</t>
        </is>
      </c>
      <c r="K47" s="0" t="inlineStr">
        <is>
          <t xml:space="preserve">NONE</t>
        </is>
      </c>
    </row>
    <row r="48">
      <c r="B48" s="0" t="inlineStr">
        <is>
          <t xml:space="preserve">N0002422C2201</t>
        </is>
      </c>
      <c r="D48" s="0" t="inlineStr">
        <is>
          <t xml:space="preserve">small_craft</t>
        </is>
      </c>
      <c r="E48" s="0" t="inlineStr">
        <is>
          <t xml:space="preserve">SWIFTSHIPS, LLC</t>
        </is>
      </c>
      <c r="F48" s="0" t="inlineStr">
        <is>
          <t xml:space="preserve">D</t>
        </is>
      </c>
      <c r="G48" s="4">
        <v>26.357027</v>
      </c>
      <c r="H48" s="0" t="inlineStr">
        <is>
          <t xml:space="preserve">2022-04-26</t>
        </is>
      </c>
      <c r="I48" s="0" t="inlineStr">
        <is>
          <t xml:space="preserve">no</t>
        </is>
      </c>
      <c r="J48" s="0" t="inlineStr">
        <is>
          <t xml:space="preserve">N0002422R2201</t>
        </is>
      </c>
      <c r="K48" s="0" t="inlineStr">
        <is>
          <t xml:space="preserve">NONE</t>
        </is>
      </c>
    </row>
    <row r="49">
      <c r="B49" s="0" t="inlineStr">
        <is>
          <t xml:space="preserve">N0002419C2226</t>
        </is>
      </c>
      <c r="D49" s="0" t="inlineStr">
        <is>
          <t xml:space="preserve">small_craft</t>
        </is>
      </c>
      <c r="E49" s="0" t="inlineStr">
        <is>
          <t xml:space="preserve">UNITED STATES MARINE INC</t>
        </is>
      </c>
      <c r="F49" s="0" t="inlineStr">
        <is>
          <t xml:space="preserve">D</t>
        </is>
      </c>
      <c r="G49" s="4">
        <v>23.657005260000002</v>
      </c>
      <c r="H49" s="0" t="inlineStr">
        <is>
          <t xml:space="preserve">2018-11-06</t>
        </is>
      </c>
      <c r="I49" s="0" t="inlineStr">
        <is>
          <t xml:space="preserve">no</t>
        </is>
      </c>
      <c r="J49" s="0" t="inlineStr">
        <is>
          <t xml:space="preserve">N0002418R2226</t>
        </is>
      </c>
      <c r="K49" s="0" t="inlineStr">
        <is>
          <t xml:space="preserve">NONE</t>
        </is>
      </c>
    </row>
    <row r="50">
      <c r="B50" s="0" t="inlineStr">
        <is>
          <t xml:space="preserve">0002</t>
        </is>
      </c>
      <c r="C50" s="0" t="inlineStr">
        <is>
          <t xml:space="preserve">N0002409G2300</t>
        </is>
      </c>
      <c r="D50" s="0" t="inlineStr">
        <is>
          <t xml:space="preserve">other_small</t>
        </is>
      </c>
      <c r="E50" s="0" t="inlineStr">
        <is>
          <t xml:space="preserve">LOCKHEED MARTIN CORPORATION</t>
        </is>
      </c>
      <c r="F50" s="0" t="inlineStr">
        <is>
          <t xml:space="preserve">C</t>
        </is>
      </c>
      <c r="G50" s="4">
        <v>23.458599</v>
      </c>
      <c r="H50" s="0" t="inlineStr">
        <is>
          <t xml:space="preserve">2009-01-21</t>
        </is>
      </c>
      <c r="I50" s="0" t="inlineStr">
        <is>
          <t xml:space="preserve">no</t>
        </is>
      </c>
      <c r="K50" s="0" t="inlineStr">
        <is>
          <t xml:space="preserve">NONE</t>
        </is>
      </c>
    </row>
    <row r="51">
      <c r="B51" s="0" t="inlineStr">
        <is>
          <t xml:space="preserve">N6133121F3008</t>
        </is>
      </c>
      <c r="C51" s="0" t="inlineStr">
        <is>
          <t xml:space="preserve">N0017819D7838</t>
        </is>
      </c>
      <c r="D51" s="0" t="inlineStr">
        <is>
          <t xml:space="preserve">usv_core</t>
        </is>
      </c>
      <c r="E51" s="0" t="inlineStr">
        <is>
          <t xml:space="preserve">INNOVATIVE PROFESSIONAL SOLUTIONS, INC.</t>
        </is>
      </c>
      <c r="F51" s="0" t="inlineStr">
        <is>
          <t xml:space="preserve">C</t>
        </is>
      </c>
      <c r="G51" s="4">
        <v>21.62427421</v>
      </c>
      <c r="H51" s="0" t="inlineStr">
        <is>
          <t xml:space="preserve">2021-07-08</t>
        </is>
      </c>
      <c r="I51" s="0" t="inlineStr">
        <is>
          <t xml:space="preserve">no</t>
        </is>
      </c>
      <c r="J51" s="0" t="inlineStr">
        <is>
          <t xml:space="preserve">N6133120R3009</t>
        </is>
      </c>
      <c r="K51" s="0" t="inlineStr">
        <is>
          <t xml:space="preserve">NONE</t>
        </is>
      </c>
    </row>
    <row r="52">
      <c r="B52" s="0" t="inlineStr">
        <is>
          <t xml:space="preserve">N6600117F0595</t>
        </is>
      </c>
      <c r="C52" s="0" t="inlineStr">
        <is>
          <t xml:space="preserve">N6600115D0180</t>
        </is>
      </c>
      <c r="D52" s="0" t="inlineStr">
        <is>
          <t xml:space="preserve">usv_core</t>
        </is>
      </c>
      <c r="E52" s="0" t="inlineStr">
        <is>
          <t xml:space="preserve">PERATON INC.</t>
        </is>
      </c>
      <c r="F52" s="0" t="inlineStr">
        <is>
          <t xml:space="preserve">C</t>
        </is>
      </c>
      <c r="G52" s="4">
        <v>21.512232039999997</v>
      </c>
      <c r="H52" s="0" t="inlineStr">
        <is>
          <t xml:space="preserve">2017-07-27</t>
        </is>
      </c>
      <c r="I52" s="0" t="inlineStr">
        <is>
          <t xml:space="preserve">no</t>
        </is>
      </c>
      <c r="J52" s="0" t="inlineStr">
        <is>
          <t xml:space="preserve">N6600114R0028</t>
        </is>
      </c>
      <c r="K52" s="0" t="inlineStr">
        <is>
          <t xml:space="preserve">NONE</t>
        </is>
      </c>
    </row>
    <row r="53">
      <c r="B53" s="0" t="inlineStr">
        <is>
          <t xml:space="preserve">N0002425F22A8</t>
        </is>
      </c>
      <c r="C53" s="0" t="inlineStr">
        <is>
          <t xml:space="preserve">N0002424D2275</t>
        </is>
      </c>
      <c r="D53" s="0" t="inlineStr">
        <is>
          <t xml:space="preserve">small_craft</t>
        </is>
      </c>
      <c r="E53" s="0" t="inlineStr">
        <is>
          <t xml:space="preserve">GRAVOIS ALUMINUM BOATS LLC</t>
        </is>
      </c>
      <c r="F53" s="0" t="inlineStr">
        <is>
          <t xml:space="preserve">C</t>
        </is>
      </c>
      <c r="G53" s="4">
        <v>20.93938116</v>
      </c>
      <c r="H53" s="0" t="inlineStr">
        <is>
          <t xml:space="preserve">2025-06-11</t>
        </is>
      </c>
      <c r="I53" s="0" t="inlineStr">
        <is>
          <t xml:space="preserve">no</t>
        </is>
      </c>
      <c r="J53" s="0" t="inlineStr">
        <is>
          <t xml:space="preserve">N0002423R2275</t>
        </is>
      </c>
      <c r="K53" s="0" t="inlineStr">
        <is>
          <t xml:space="preserve">NONE</t>
        </is>
      </c>
    </row>
    <row r="54">
      <c r="B54" s="0" t="inlineStr">
        <is>
          <t xml:space="preserve">N3220517C4400</t>
        </is>
      </c>
      <c r="D54" s="0" t="inlineStr">
        <is>
          <t xml:space="preserve">other_small</t>
        </is>
      </c>
      <c r="E54" s="0" t="inlineStr">
        <is>
          <t xml:space="preserve">BOSTON SHIP REPAIR LLC</t>
        </is>
      </c>
      <c r="F54" s="0" t="inlineStr">
        <is>
          <t xml:space="preserve">D</t>
        </is>
      </c>
      <c r="G54" s="4">
        <v>20.6608344</v>
      </c>
      <c r="H54" s="0" t="inlineStr">
        <is>
          <t xml:space="preserve">2017-01-04</t>
        </is>
      </c>
      <c r="I54" s="0" t="inlineStr">
        <is>
          <t xml:space="preserve">no</t>
        </is>
      </c>
      <c r="J54" s="0" t="inlineStr">
        <is>
          <t xml:space="preserve">N3220517R4400</t>
        </is>
      </c>
      <c r="K54" s="0" t="inlineStr">
        <is>
          <t xml:space="preserve">NONE</t>
        </is>
      </c>
    </row>
    <row r="55">
      <c r="B55" s="0" t="inlineStr">
        <is>
          <t xml:space="preserve">N6931621F8002</t>
        </is>
      </c>
      <c r="C55" s="0" t="inlineStr">
        <is>
          <t xml:space="preserve">N0002417D2209</t>
        </is>
      </c>
      <c r="D55" s="0" t="inlineStr">
        <is>
          <t xml:space="preserve">small_craft</t>
        </is>
      </c>
      <c r="E55" s="0" t="inlineStr">
        <is>
          <t xml:space="preserve">GRAVOIS ALUMINUM BOATS LLC</t>
        </is>
      </c>
      <c r="F55" s="0" t="inlineStr">
        <is>
          <t xml:space="preserve">C</t>
        </is>
      </c>
      <c r="G55" s="4">
        <v>20.574355699999998</v>
      </c>
      <c r="H55" s="0" t="inlineStr">
        <is>
          <t xml:space="preserve">2021-02-26</t>
        </is>
      </c>
      <c r="I55" s="0" t="inlineStr">
        <is>
          <t xml:space="preserve">no</t>
        </is>
      </c>
      <c r="J55" s="0" t="inlineStr">
        <is>
          <t xml:space="preserve">N0002417R2209</t>
        </is>
      </c>
      <c r="K55" s="0" t="inlineStr">
        <is>
          <t xml:space="preserve">NONE</t>
        </is>
      </c>
    </row>
    <row r="56">
      <c r="B56" s="0" t="inlineStr">
        <is>
          <t xml:space="preserve">N0002417F22X1</t>
        </is>
      </c>
      <c r="C56" s="0" t="inlineStr">
        <is>
          <t xml:space="preserve">N0002417D2209</t>
        </is>
      </c>
      <c r="D56" s="0" t="inlineStr">
        <is>
          <t xml:space="preserve">small_craft</t>
        </is>
      </c>
      <c r="E56" s="0" t="inlineStr">
        <is>
          <t xml:space="preserve">GRAVOIS ALUMINUM BOATS LLC</t>
        </is>
      </c>
      <c r="F56" s="0" t="inlineStr">
        <is>
          <t xml:space="preserve">C</t>
        </is>
      </c>
      <c r="G56" s="4">
        <v>20.14814852</v>
      </c>
      <c r="H56" s="0" t="inlineStr">
        <is>
          <t xml:space="preserve">2017-09-29</t>
        </is>
      </c>
      <c r="I56" s="0" t="inlineStr">
        <is>
          <t xml:space="preserve">no</t>
        </is>
      </c>
      <c r="J56" s="0" t="inlineStr">
        <is>
          <t xml:space="preserve">N0002417R2209</t>
        </is>
      </c>
      <c r="K56" s="0" t="inlineStr">
        <is>
          <t xml:space="preserve">NONE</t>
        </is>
      </c>
    </row>
    <row r="57">
      <c r="B57" s="0" t="inlineStr">
        <is>
          <t xml:space="preserve">N0002416C2233</t>
        </is>
      </c>
      <c r="D57" s="0" t="inlineStr">
        <is>
          <t xml:space="preserve">small_craft</t>
        </is>
      </c>
      <c r="E57" s="0" t="inlineStr">
        <is>
          <t xml:space="preserve">SWIFTSHIPS, LLC</t>
        </is>
      </c>
      <c r="F57" s="0" t="inlineStr">
        <is>
          <t xml:space="preserve">D</t>
        </is>
      </c>
      <c r="G57" s="4">
        <v>19.97637</v>
      </c>
      <c r="H57" s="0" t="inlineStr">
        <is>
          <t xml:space="preserve">2016-06-28</t>
        </is>
      </c>
      <c r="I57" s="0" t="inlineStr">
        <is>
          <t xml:space="preserve">no</t>
        </is>
      </c>
      <c r="J57" s="0" t="inlineStr">
        <is>
          <t xml:space="preserve">N0002415R2219</t>
        </is>
      </c>
      <c r="K57" s="0" t="inlineStr">
        <is>
          <t xml:space="preserve">NONE</t>
        </is>
      </c>
    </row>
    <row r="58">
      <c r="B58" s="0" t="inlineStr">
        <is>
          <t xml:space="preserve">N0002425C2218</t>
        </is>
      </c>
      <c r="D58" s="0" t="inlineStr">
        <is>
          <t xml:space="preserve">small_craft</t>
        </is>
      </c>
      <c r="E58" s="0" t="inlineStr">
        <is>
          <t xml:space="preserve">UNITED STATES MARINE INC</t>
        </is>
      </c>
      <c r="F58" s="0" t="inlineStr">
        <is>
          <t xml:space="preserve">D</t>
        </is>
      </c>
      <c r="G58" s="4">
        <v>19.872819269999997</v>
      </c>
      <c r="H58" s="0" t="inlineStr">
        <is>
          <t xml:space="preserve">2025-03-14</t>
        </is>
      </c>
      <c r="I58" s="0" t="inlineStr">
        <is>
          <t xml:space="preserve">no</t>
        </is>
      </c>
      <c r="J58" s="0" t="inlineStr">
        <is>
          <t xml:space="preserve">N0002425R2218</t>
        </is>
      </c>
      <c r="K58" s="0" t="inlineStr">
        <is>
          <t xml:space="preserve">NONE</t>
        </is>
      </c>
    </row>
    <row r="59">
      <c r="B59" s="0" t="inlineStr">
        <is>
          <t xml:space="preserve">N0002417C4103</t>
        </is>
      </c>
      <c r="D59" s="0" t="inlineStr">
        <is>
          <t xml:space="preserve">other_small</t>
        </is>
      </c>
      <c r="E59" s="0" t="inlineStr">
        <is>
          <t xml:space="preserve">HUNTINGTON INGALLS INC</t>
        </is>
      </c>
      <c r="F59" s="0" t="inlineStr">
        <is>
          <t xml:space="preserve">D</t>
        </is>
      </c>
      <c r="G59" s="4">
        <v>19.715664</v>
      </c>
      <c r="H59" s="0" t="inlineStr">
        <is>
          <t xml:space="preserve">2017-03-24</t>
        </is>
      </c>
      <c r="I59" s="0" t="inlineStr">
        <is>
          <t xml:space="preserve">no</t>
        </is>
      </c>
      <c r="J59" s="0" t="inlineStr">
        <is>
          <t xml:space="preserve">N0002417R4103</t>
        </is>
      </c>
      <c r="K59" s="0" t="inlineStr">
        <is>
          <t xml:space="preserve">NONE</t>
        </is>
      </c>
    </row>
    <row r="60">
      <c r="B60" s="0" t="inlineStr">
        <is>
          <t xml:space="preserve">N0002421F8089</t>
        </is>
      </c>
      <c r="C60" s="0" t="inlineStr">
        <is>
          <t xml:space="preserve">N0002413D6400</t>
        </is>
      </c>
      <c r="D60" s="0" t="inlineStr">
        <is>
          <t xml:space="preserve">usv_core</t>
        </is>
      </c>
      <c r="E60" s="0" t="inlineStr">
        <is>
          <t xml:space="preserve">THE JOHNS HOPKINS UNIVERSITY APPLIED PHYSICS LABORATORY LLC</t>
        </is>
      </c>
      <c r="F60" s="0" t="inlineStr">
        <is>
          <t xml:space="preserve">C</t>
        </is>
      </c>
      <c r="G60" s="4">
        <v>19.061381</v>
      </c>
      <c r="H60" s="0" t="inlineStr">
        <is>
          <t xml:space="preserve">2021-06-15</t>
        </is>
      </c>
      <c r="I60" s="0" t="inlineStr">
        <is>
          <t xml:space="preserve">no</t>
        </is>
      </c>
      <c r="K60" s="0" t="inlineStr">
        <is>
          <t xml:space="preserve">NONE</t>
        </is>
      </c>
    </row>
    <row r="61">
      <c r="B61" s="0" t="inlineStr">
        <is>
          <t xml:space="preserve">N0002418F22X1</t>
        </is>
      </c>
      <c r="C61" s="0" t="inlineStr">
        <is>
          <t xml:space="preserve">N0002417D2209</t>
        </is>
      </c>
      <c r="D61" s="0" t="inlineStr">
        <is>
          <t xml:space="preserve">small_craft</t>
        </is>
      </c>
      <c r="E61" s="0" t="inlineStr">
        <is>
          <t xml:space="preserve">GRAVOIS ALUMINUM BOATS LLC</t>
        </is>
      </c>
      <c r="F61" s="0" t="inlineStr">
        <is>
          <t xml:space="preserve">C</t>
        </is>
      </c>
      <c r="G61" s="4">
        <v>19.039911739999997</v>
      </c>
      <c r="H61" s="0" t="inlineStr">
        <is>
          <t xml:space="preserve">2018-07-27</t>
        </is>
      </c>
      <c r="I61" s="0" t="inlineStr">
        <is>
          <t xml:space="preserve">no</t>
        </is>
      </c>
      <c r="J61" s="0" t="inlineStr">
        <is>
          <t xml:space="preserve">N0002417R2209</t>
        </is>
      </c>
      <c r="K61" s="0" t="inlineStr">
        <is>
          <t xml:space="preserve">NONE</t>
        </is>
      </c>
    </row>
    <row r="62">
      <c r="B62" s="0" t="inlineStr">
        <is>
          <t xml:space="preserve">N0002419F2238</t>
        </is>
      </c>
      <c r="C62" s="0" t="inlineStr">
        <is>
          <t xml:space="preserve">47QSWA18D009G</t>
        </is>
      </c>
      <c r="D62" s="0" t="inlineStr">
        <is>
          <t xml:space="preserve">small_craft</t>
        </is>
      </c>
      <c r="E62" s="0" t="inlineStr">
        <is>
          <t xml:space="preserve">SILVER SHIPS, INC</t>
        </is>
      </c>
      <c r="F62" s="0" t="inlineStr">
        <is>
          <t xml:space="preserve">C</t>
        </is>
      </c>
      <c r="G62" s="4">
        <v>18.9408558</v>
      </c>
      <c r="H62" s="0" t="inlineStr">
        <is>
          <t xml:space="preserve">2019-04-15</t>
        </is>
      </c>
      <c r="I62" s="0" t="inlineStr">
        <is>
          <t xml:space="preserve">no</t>
        </is>
      </c>
      <c r="K62" s="0" t="inlineStr">
        <is>
          <t xml:space="preserve">NONE</t>
        </is>
      </c>
    </row>
    <row r="63">
      <c r="B63" s="0" t="inlineStr">
        <is>
          <t xml:space="preserve">N0002423F22C2</t>
        </is>
      </c>
      <c r="C63" s="0" t="inlineStr">
        <is>
          <t xml:space="preserve">N0002421D2205</t>
        </is>
      </c>
      <c r="D63" s="0" t="inlineStr">
        <is>
          <t xml:space="preserve">small_craft</t>
        </is>
      </c>
      <c r="E63" s="0" t="inlineStr">
        <is>
          <t xml:space="preserve">SILVER SHIPS, INC</t>
        </is>
      </c>
      <c r="F63" s="0" t="inlineStr">
        <is>
          <t xml:space="preserve">C</t>
        </is>
      </c>
      <c r="G63" s="4">
        <v>18.827650629999997</v>
      </c>
      <c r="H63" s="0" t="inlineStr">
        <is>
          <t xml:space="preserve">2023-09-20</t>
        </is>
      </c>
      <c r="I63" s="0" t="inlineStr">
        <is>
          <t xml:space="preserve">no</t>
        </is>
      </c>
      <c r="J63" s="0" t="inlineStr">
        <is>
          <t xml:space="preserve">N0002421R2205</t>
        </is>
      </c>
      <c r="K63" s="0" t="inlineStr">
        <is>
          <t xml:space="preserve">NONE</t>
        </is>
      </c>
    </row>
    <row r="64">
      <c r="B64" s="0" t="inlineStr">
        <is>
          <t xml:space="preserve">N0002424C2222</t>
        </is>
      </c>
      <c r="D64" s="0" t="inlineStr">
        <is>
          <t xml:space="preserve">small_craft</t>
        </is>
      </c>
      <c r="E64" s="0" t="inlineStr">
        <is>
          <t xml:space="preserve">SYNERGY PARTNERS LLC</t>
        </is>
      </c>
      <c r="F64" s="0" t="inlineStr">
        <is>
          <t xml:space="preserve">D</t>
        </is>
      </c>
      <c r="G64" s="4">
        <v>17.86272</v>
      </c>
      <c r="H64" s="0" t="inlineStr">
        <is>
          <t xml:space="preserve">2024-09-27</t>
        </is>
      </c>
      <c r="I64" s="0" t="inlineStr">
        <is>
          <t xml:space="preserve">no</t>
        </is>
      </c>
      <c r="J64" s="0" t="inlineStr">
        <is>
          <t xml:space="preserve">N0002424R2222</t>
        </is>
      </c>
      <c r="K64" s="0" t="inlineStr">
        <is>
          <t xml:space="preserve">NONE</t>
        </is>
      </c>
    </row>
    <row r="65">
      <c r="B65" s="0" t="inlineStr">
        <is>
          <t xml:space="preserve">N3220517C4209</t>
        </is>
      </c>
      <c r="D65" s="0" t="inlineStr">
        <is>
          <t xml:space="preserve">other_small</t>
        </is>
      </c>
      <c r="E65" s="0" t="inlineStr">
        <is>
          <t xml:space="preserve">DETYENS SHIPYARDS INC</t>
        </is>
      </c>
      <c r="F65" s="0" t="inlineStr">
        <is>
          <t xml:space="preserve">D</t>
        </is>
      </c>
      <c r="G65" s="4">
        <v>17.74092748</v>
      </c>
      <c r="H65" s="0" t="inlineStr">
        <is>
          <t xml:space="preserve">2017-05-17</t>
        </is>
      </c>
      <c r="I65" s="0" t="inlineStr">
        <is>
          <t xml:space="preserve">no</t>
        </is>
      </c>
      <c r="J65" s="0" t="inlineStr">
        <is>
          <t xml:space="preserve">N3220516R4209</t>
        </is>
      </c>
      <c r="K65" s="0" t="inlineStr">
        <is>
          <t xml:space="preserve">NONE</t>
        </is>
      </c>
    </row>
    <row r="66">
      <c r="B66" s="0" t="inlineStr">
        <is>
          <t xml:space="preserve">N0002414C2246</t>
        </is>
      </c>
      <c r="D66" s="0" t="inlineStr">
        <is>
          <t xml:space="preserve">small_craft</t>
        </is>
      </c>
      <c r="E66" s="0" t="inlineStr">
        <is>
          <t xml:space="preserve">WILLARD MARINE, INC.</t>
        </is>
      </c>
      <c r="F66" s="0" t="inlineStr">
        <is>
          <t xml:space="preserve">D</t>
        </is>
      </c>
      <c r="G66" s="4">
        <v>17.19496932</v>
      </c>
      <c r="H66" s="0" t="inlineStr">
        <is>
          <t xml:space="preserve">2014-09-16</t>
        </is>
      </c>
      <c r="I66" s="0" t="inlineStr">
        <is>
          <t xml:space="preserve">no</t>
        </is>
      </c>
      <c r="J66" s="0" t="inlineStr">
        <is>
          <t xml:space="preserve">N0002414R2208</t>
        </is>
      </c>
      <c r="K66" s="0" t="inlineStr">
        <is>
          <t xml:space="preserve">NONE</t>
        </is>
      </c>
    </row>
    <row r="67">
      <c r="B67" s="0" t="inlineStr">
        <is>
          <t xml:space="preserve">0023</t>
        </is>
      </c>
      <c r="C67" s="0" t="inlineStr">
        <is>
          <t xml:space="preserve">N6600109D0032</t>
        </is>
      </c>
      <c r="D67" s="0" t="inlineStr">
        <is>
          <t xml:space="preserve">usv_core</t>
        </is>
      </c>
      <c r="E67" s="0" t="inlineStr">
        <is>
          <t xml:space="preserve">EDO PROFESSIONAL SERVICES INC.</t>
        </is>
      </c>
      <c r="F67" s="0" t="inlineStr">
        <is>
          <t xml:space="preserve">C</t>
        </is>
      </c>
      <c r="G67" s="4">
        <v>16.8</v>
      </c>
      <c r="H67" s="0" t="inlineStr">
        <is>
          <t xml:space="preserve">2014-07-18</t>
        </is>
      </c>
      <c r="I67" s="0" t="inlineStr">
        <is>
          <t xml:space="preserve">no</t>
        </is>
      </c>
      <c r="J67" s="0" t="inlineStr">
        <is>
          <t xml:space="preserve">N6600109R0032</t>
        </is>
      </c>
      <c r="K67" s="0" t="inlineStr">
        <is>
          <t xml:space="preserve">NONE</t>
        </is>
      </c>
    </row>
    <row r="68">
      <c r="B68" s="0" t="inlineStr">
        <is>
          <t xml:space="preserve">N0002425F22B5</t>
        </is>
      </c>
      <c r="C68" s="0" t="inlineStr">
        <is>
          <t xml:space="preserve">N0002423D2224</t>
        </is>
      </c>
      <c r="D68" s="0" t="inlineStr">
        <is>
          <t xml:space="preserve">small_craft</t>
        </is>
      </c>
      <c r="E68" s="0" t="inlineStr">
        <is>
          <t xml:space="preserve">RIBCRAFT USA, LLC</t>
        </is>
      </c>
      <c r="F68" s="0" t="inlineStr">
        <is>
          <t xml:space="preserve">C</t>
        </is>
      </c>
      <c r="G68" s="4">
        <v>16.59653436</v>
      </c>
      <c r="H68" s="0" t="inlineStr">
        <is>
          <t xml:space="preserve">2025-07-24</t>
        </is>
      </c>
      <c r="I68" s="0" t="inlineStr">
        <is>
          <t xml:space="preserve">yes</t>
        </is>
      </c>
      <c r="J68" s="0" t="inlineStr">
        <is>
          <t xml:space="preserve">N0002422R2224</t>
        </is>
      </c>
      <c r="K68" s="0" t="inlineStr">
        <is>
          <t xml:space="preserve">NONE</t>
        </is>
      </c>
    </row>
    <row r="69">
      <c r="B69" s="0" t="inlineStr">
        <is>
          <t xml:space="preserve">N0010424FZL05</t>
        </is>
      </c>
      <c r="C69" s="0" t="inlineStr">
        <is>
          <t xml:space="preserve">N0010423GZL01</t>
        </is>
      </c>
      <c r="D69" s="0" t="inlineStr">
        <is>
          <t xml:space="preserve">small_craft</t>
        </is>
      </c>
      <c r="E69" s="0" t="inlineStr">
        <is>
          <t xml:space="preserve">DEFENSE MARITIME SOLUTIONS, INC.</t>
        </is>
      </c>
      <c r="F69" s="0" t="inlineStr">
        <is>
          <t xml:space="preserve">C</t>
        </is>
      </c>
      <c r="G69" s="4">
        <v>16.387031999999998</v>
      </c>
      <c r="H69" s="0" t="inlineStr">
        <is>
          <t xml:space="preserve">2024-08-30</t>
        </is>
      </c>
      <c r="I69" s="0" t="inlineStr">
        <is>
          <t xml:space="preserve">no</t>
        </is>
      </c>
      <c r="K69" s="0" t="inlineStr">
        <is>
          <t xml:space="preserve">NONE</t>
        </is>
      </c>
    </row>
    <row r="70">
      <c r="B70" s="0" t="inlineStr">
        <is>
          <t xml:space="preserve">N0002422C2223</t>
        </is>
      </c>
      <c r="D70" s="0" t="inlineStr">
        <is>
          <t xml:space="preserve">small_craft</t>
        </is>
      </c>
      <c r="E70" s="0" t="inlineStr">
        <is>
          <t xml:space="preserve">SILVER SHIPS, INC</t>
        </is>
      </c>
      <c r="F70" s="0" t="inlineStr">
        <is>
          <t xml:space="preserve">D</t>
        </is>
      </c>
      <c r="G70" s="4">
        <v>16.18816006</v>
      </c>
      <c r="H70" s="0" t="inlineStr">
        <is>
          <t xml:space="preserve">2022-08-26</t>
        </is>
      </c>
      <c r="I70" s="0" t="inlineStr">
        <is>
          <t xml:space="preserve">no</t>
        </is>
      </c>
      <c r="J70" s="0" t="inlineStr">
        <is>
          <t xml:space="preserve">N0002422R2223</t>
        </is>
      </c>
      <c r="K70" s="0" t="inlineStr">
        <is>
          <t xml:space="preserve">NONE</t>
        </is>
      </c>
    </row>
    <row r="71">
      <c r="B71" s="0" t="inlineStr">
        <is>
          <t xml:space="preserve">N0002423F23A7</t>
        </is>
      </c>
      <c r="C71" s="0" t="inlineStr">
        <is>
          <t xml:space="preserve">N0002421D2255</t>
        </is>
      </c>
      <c r="D71" s="0" t="inlineStr">
        <is>
          <t xml:space="preserve">small_craft</t>
        </is>
      </c>
      <c r="E71" s="0" t="inlineStr">
        <is>
          <t xml:space="preserve">SNOW &amp; COMPANY, INC.</t>
        </is>
      </c>
      <c r="F71" s="0" t="inlineStr">
        <is>
          <t xml:space="preserve">C</t>
        </is>
      </c>
      <c r="G71" s="4">
        <v>16.03025855</v>
      </c>
      <c r="H71" s="0" t="inlineStr">
        <is>
          <t xml:space="preserve">2023-03-23</t>
        </is>
      </c>
      <c r="I71" s="0" t="inlineStr">
        <is>
          <t xml:space="preserve">no</t>
        </is>
      </c>
      <c r="J71" s="0" t="inlineStr">
        <is>
          <t xml:space="preserve">N0002421R2255</t>
        </is>
      </c>
      <c r="K71" s="0" t="inlineStr">
        <is>
          <t xml:space="preserve">NONE</t>
        </is>
      </c>
    </row>
    <row r="72">
      <c r="B72" s="0" t="inlineStr">
        <is>
          <t xml:space="preserve">N0002424C2204</t>
        </is>
      </c>
      <c r="D72" s="0" t="inlineStr">
        <is>
          <t xml:space="preserve">small_craft</t>
        </is>
      </c>
      <c r="E72" s="0" t="inlineStr">
        <is>
          <t xml:space="preserve">SAAB, INC</t>
        </is>
      </c>
      <c r="F72" s="0" t="inlineStr">
        <is>
          <t xml:space="preserve">D</t>
        </is>
      </c>
      <c r="G72" s="4">
        <v>15.877253999999999</v>
      </c>
      <c r="H72" s="0" t="inlineStr">
        <is>
          <t xml:space="preserve">2023-11-30</t>
        </is>
      </c>
      <c r="I72" s="0" t="inlineStr">
        <is>
          <t xml:space="preserve">no</t>
        </is>
      </c>
      <c r="J72" s="0" t="inlineStr">
        <is>
          <t xml:space="preserve">N0002422R2204</t>
        </is>
      </c>
      <c r="K72" s="0" t="inlineStr">
        <is>
          <t xml:space="preserve">NONE</t>
        </is>
      </c>
    </row>
    <row r="73">
      <c r="B73" s="0" t="inlineStr">
        <is>
          <t xml:space="preserve">N6660424FC844</t>
        </is>
      </c>
      <c r="C73" s="0" t="inlineStr">
        <is>
          <t xml:space="preserve">N6660418DC817</t>
        </is>
      </c>
      <c r="D73" s="0" t="inlineStr">
        <is>
          <t xml:space="preserve">small_craft</t>
        </is>
      </c>
      <c r="E73" s="0" t="inlineStr">
        <is>
          <t xml:space="preserve">NORTHROP GRUMMAN SYSTEMS CORPORATION</t>
        </is>
      </c>
      <c r="F73" s="0" t="inlineStr">
        <is>
          <t xml:space="preserve">C</t>
        </is>
      </c>
      <c r="G73" s="4">
        <v>15.834192</v>
      </c>
      <c r="H73" s="0" t="inlineStr">
        <is>
          <t xml:space="preserve">2023-12-27</t>
        </is>
      </c>
      <c r="I73" s="0" t="inlineStr">
        <is>
          <t xml:space="preserve">no</t>
        </is>
      </c>
      <c r="J73" s="0" t="inlineStr">
        <is>
          <t xml:space="preserve">N6660417R0350</t>
        </is>
      </c>
      <c r="K73" s="0" t="inlineStr">
        <is>
          <t xml:space="preserve">NONE</t>
        </is>
      </c>
    </row>
    <row r="74">
      <c r="B74" s="0" t="inlineStr">
        <is>
          <t xml:space="preserve">N4044210C5000</t>
        </is>
      </c>
      <c r="D74" s="0" t="inlineStr">
        <is>
          <t xml:space="preserve">other_small</t>
        </is>
      </c>
      <c r="E74" s="0" t="inlineStr">
        <is>
          <t xml:space="preserve">BAE SYSTEMS SAN FRANCISCO SHIP REPAIR INC.</t>
        </is>
      </c>
      <c r="F74" s="0" t="inlineStr">
        <is>
          <t xml:space="preserve">D</t>
        </is>
      </c>
      <c r="G74" s="4">
        <v>15.5585952</v>
      </c>
      <c r="H74" s="0" t="inlineStr">
        <is>
          <t xml:space="preserve">2009-12-08</t>
        </is>
      </c>
      <c r="I74" s="0" t="inlineStr">
        <is>
          <t xml:space="preserve">no</t>
        </is>
      </c>
      <c r="J74" s="0" t="inlineStr">
        <is>
          <t xml:space="preserve">N4044209R4014</t>
        </is>
      </c>
      <c r="K74" s="0" t="inlineStr">
        <is>
          <t xml:space="preserve">NONE</t>
        </is>
      </c>
    </row>
    <row r="75">
      <c r="B75" s="0" t="inlineStr">
        <is>
          <t xml:space="preserve">N0017809C2003</t>
        </is>
      </c>
      <c r="D75" s="0" t="inlineStr">
        <is>
          <t xml:space="preserve">other_small</t>
        </is>
      </c>
      <c r="E75" s="0" t="inlineStr">
        <is>
          <t xml:space="preserve">THE BOEING COMPANY</t>
        </is>
      </c>
      <c r="F75" s="0" t="inlineStr">
        <is>
          <t xml:space="preserve">D</t>
        </is>
      </c>
      <c r="G75" s="4">
        <v>15.002562999999999</v>
      </c>
      <c r="H75" s="0" t="inlineStr">
        <is>
          <t xml:space="preserve">2009-08-10</t>
        </is>
      </c>
      <c r="I75" s="0" t="inlineStr">
        <is>
          <t xml:space="preserve">no</t>
        </is>
      </c>
      <c r="J75" s="0" t="inlineStr">
        <is>
          <t xml:space="preserve">N0017809R2003</t>
        </is>
      </c>
      <c r="K75" s="0" t="inlineStr">
        <is>
          <t xml:space="preserve">NONE</t>
        </is>
      </c>
    </row>
    <row r="76">
      <c r="B76" s="0" t="inlineStr">
        <is>
          <t xml:space="preserve">N0002425C2213</t>
        </is>
      </c>
      <c r="D76" s="0" t="inlineStr">
        <is>
          <t xml:space="preserve">small_craft</t>
        </is>
      </c>
      <c r="E76" s="0" t="inlineStr">
        <is>
          <t xml:space="preserve">SAFE BOATS INTERNATIONAL LLC</t>
        </is>
      </c>
      <c r="F76" s="0" t="inlineStr">
        <is>
          <t xml:space="preserve">D</t>
        </is>
      </c>
      <c r="G76" s="4">
        <v>14.872131</v>
      </c>
      <c r="H76" s="0" t="inlineStr">
        <is>
          <t xml:space="preserve">2025-05-22</t>
        </is>
      </c>
      <c r="I76" s="0" t="inlineStr">
        <is>
          <t xml:space="preserve">no</t>
        </is>
      </c>
      <c r="J76" s="0" t="inlineStr">
        <is>
          <t xml:space="preserve">N0002424R2213</t>
        </is>
      </c>
      <c r="K76" s="0" t="inlineStr">
        <is>
          <t xml:space="preserve">NONE</t>
        </is>
      </c>
    </row>
    <row r="77">
      <c r="B77" s="0" t="inlineStr">
        <is>
          <t xml:space="preserve">N0010423CZA25</t>
        </is>
      </c>
      <c r="D77" s="0" t="inlineStr">
        <is>
          <t xml:space="preserve">small_craft</t>
        </is>
      </c>
      <c r="E77" s="0" t="inlineStr">
        <is>
          <t xml:space="preserve">ERIE FORGE &amp; STEEL INC</t>
        </is>
      </c>
      <c r="F77" s="0" t="inlineStr">
        <is>
          <t xml:space="preserve">D</t>
        </is>
      </c>
      <c r="G77" s="4">
        <v>14.715520499999998</v>
      </c>
      <c r="H77" s="0" t="inlineStr">
        <is>
          <t xml:space="preserve">2023-09-13</t>
        </is>
      </c>
      <c r="I77" s="0" t="inlineStr">
        <is>
          <t xml:space="preserve">no</t>
        </is>
      </c>
      <c r="K77" s="0" t="inlineStr">
        <is>
          <t xml:space="preserve">NONE</t>
        </is>
      </c>
    </row>
    <row r="78">
      <c r="B78" s="0" t="inlineStr">
        <is>
          <t xml:space="preserve">N0010424FZL02</t>
        </is>
      </c>
      <c r="C78" s="0" t="inlineStr">
        <is>
          <t xml:space="preserve">N0010423GZL01</t>
        </is>
      </c>
      <c r="D78" s="0" t="inlineStr">
        <is>
          <t xml:space="preserve">small_craft</t>
        </is>
      </c>
      <c r="E78" s="0" t="inlineStr">
        <is>
          <t xml:space="preserve">DEFENSE MARITIME SOLUTIONS, INC.</t>
        </is>
      </c>
      <c r="F78" s="0" t="inlineStr">
        <is>
          <t xml:space="preserve">C</t>
        </is>
      </c>
      <c r="G78" s="4">
        <v>14.699231999999999</v>
      </c>
      <c r="H78" s="0" t="inlineStr">
        <is>
          <t xml:space="preserve">2024-05-31</t>
        </is>
      </c>
      <c r="I78" s="0" t="inlineStr">
        <is>
          <t xml:space="preserve">no</t>
        </is>
      </c>
      <c r="J78" s="0" t="inlineStr">
        <is>
          <t xml:space="preserve">N0010422RNH19</t>
        </is>
      </c>
      <c r="K78" s="0" t="inlineStr">
        <is>
          <t xml:space="preserve">NONE</t>
        </is>
      </c>
    </row>
    <row r="79">
      <c r="B79" s="0" t="inlineStr">
        <is>
          <t xml:space="preserve">N0002416C4112</t>
        </is>
      </c>
      <c r="D79" s="0" t="inlineStr">
        <is>
          <t xml:space="preserve">other_small</t>
        </is>
      </c>
      <c r="E79" s="0" t="inlineStr">
        <is>
          <t xml:space="preserve">HUNTINGTON INGALLS INC</t>
        </is>
      </c>
      <c r="F79" s="0" t="inlineStr">
        <is>
          <t xml:space="preserve">D</t>
        </is>
      </c>
      <c r="G79" s="4">
        <v>14.60292726</v>
      </c>
      <c r="H79" s="0" t="inlineStr">
        <is>
          <t xml:space="preserve">2016-09-29</t>
        </is>
      </c>
      <c r="I79" s="0" t="inlineStr">
        <is>
          <t xml:space="preserve">no</t>
        </is>
      </c>
      <c r="J79" s="0" t="inlineStr">
        <is>
          <t xml:space="preserve">N0002416R4112</t>
        </is>
      </c>
      <c r="K79" s="0" t="inlineStr">
        <is>
          <t xml:space="preserve">NONE</t>
        </is>
      </c>
    </row>
    <row r="80">
      <c r="B80" s="0" t="inlineStr">
        <is>
          <t xml:space="preserve">N0002420F22P3</t>
        </is>
      </c>
      <c r="C80" s="0" t="inlineStr">
        <is>
          <t xml:space="preserve">N0002417D2201</t>
        </is>
      </c>
      <c r="D80" s="0" t="inlineStr">
        <is>
          <t xml:space="preserve">small_craft</t>
        </is>
      </c>
      <c r="E80" s="0" t="inlineStr">
        <is>
          <t xml:space="preserve">GRAVOIS ALUMINUM BOATS LLC</t>
        </is>
      </c>
      <c r="F80" s="0" t="inlineStr">
        <is>
          <t xml:space="preserve">C</t>
        </is>
      </c>
      <c r="G80" s="4">
        <v>14.1</v>
      </c>
      <c r="H80" s="0" t="inlineStr">
        <is>
          <t xml:space="preserve">2020-08-21</t>
        </is>
      </c>
      <c r="I80" s="0" t="inlineStr">
        <is>
          <t xml:space="preserve">no</t>
        </is>
      </c>
      <c r="J80" s="0" t="inlineStr">
        <is>
          <t xml:space="preserve">N0002417R2201</t>
        </is>
      </c>
      <c r="K80" s="0" t="inlineStr">
        <is>
          <t xml:space="preserve">NONE</t>
        </is>
      </c>
    </row>
    <row r="81">
      <c r="B81" s="0" t="inlineStr">
        <is>
          <t xml:space="preserve">N0002414C2245</t>
        </is>
      </c>
      <c r="D81" s="0" t="inlineStr">
        <is>
          <t xml:space="preserve">small_craft</t>
        </is>
      </c>
      <c r="E81" s="0" t="inlineStr">
        <is>
          <t xml:space="preserve">RIBCRAFT USA, LLC</t>
        </is>
      </c>
      <c r="F81" s="0" t="inlineStr">
        <is>
          <t xml:space="preserve">D</t>
        </is>
      </c>
      <c r="G81" s="4">
        <v>13.97297302</v>
      </c>
      <c r="H81" s="0" t="inlineStr">
        <is>
          <t xml:space="preserve">2014-09-16</t>
        </is>
      </c>
      <c r="I81" s="0" t="inlineStr">
        <is>
          <t xml:space="preserve">no</t>
        </is>
      </c>
      <c r="J81" s="0" t="inlineStr">
        <is>
          <t xml:space="preserve">N0002414R2208</t>
        </is>
      </c>
      <c r="K81" s="0" t="inlineStr">
        <is>
          <t xml:space="preserve">NONE</t>
        </is>
      </c>
    </row>
    <row r="82">
      <c r="B82" s="0" t="inlineStr">
        <is>
          <t xml:space="preserve">N0002420F22B1</t>
        </is>
      </c>
      <c r="C82" s="0" t="inlineStr">
        <is>
          <t xml:space="preserve">N0002420D2210</t>
        </is>
      </c>
      <c r="D82" s="0" t="inlineStr">
        <is>
          <t xml:space="preserve">small_craft</t>
        </is>
      </c>
      <c r="E82" s="0" t="inlineStr">
        <is>
          <t xml:space="preserve">RIBCRAFT USA, LLC</t>
        </is>
      </c>
      <c r="F82" s="0" t="inlineStr">
        <is>
          <t xml:space="preserve">C</t>
        </is>
      </c>
      <c r="G82" s="4">
        <v>12.877817839999999</v>
      </c>
      <c r="H82" s="0" t="inlineStr">
        <is>
          <t xml:space="preserve">2020-08-14</t>
        </is>
      </c>
      <c r="I82" s="0" t="inlineStr">
        <is>
          <t xml:space="preserve">no</t>
        </is>
      </c>
      <c r="J82" s="0" t="inlineStr">
        <is>
          <t xml:space="preserve">N0002420R2210</t>
        </is>
      </c>
      <c r="K82" s="0" t="inlineStr">
        <is>
          <t xml:space="preserve">NONE</t>
        </is>
      </c>
    </row>
    <row r="83">
      <c r="B83" s="0" t="inlineStr">
        <is>
          <t xml:space="preserve">N0002421F22Z1</t>
        </is>
      </c>
      <c r="C83" s="0" t="inlineStr">
        <is>
          <t xml:space="preserve">N0002421D2205</t>
        </is>
      </c>
      <c r="D83" s="0" t="inlineStr">
        <is>
          <t xml:space="preserve">small_craft</t>
        </is>
      </c>
      <c r="E83" s="0" t="inlineStr">
        <is>
          <t xml:space="preserve">SILVER SHIPS, INC</t>
        </is>
      </c>
      <c r="F83" s="0" t="inlineStr">
        <is>
          <t xml:space="preserve">C</t>
        </is>
      </c>
      <c r="G83" s="4">
        <v>12.842977999999999</v>
      </c>
      <c r="H83" s="0" t="inlineStr">
        <is>
          <t xml:space="preserve">2021-09-30</t>
        </is>
      </c>
      <c r="I83" s="0" t="inlineStr">
        <is>
          <t xml:space="preserve">no</t>
        </is>
      </c>
      <c r="J83" s="0" t="inlineStr">
        <is>
          <t xml:space="preserve">N0002421R2205</t>
        </is>
      </c>
      <c r="K83" s="0" t="inlineStr">
        <is>
          <t xml:space="preserve">NONE</t>
        </is>
      </c>
    </row>
    <row r="84">
      <c r="B84" s="0" t="inlineStr">
        <is>
          <t xml:space="preserve">N0002419F2239</t>
        </is>
      </c>
      <c r="C84" s="0" t="inlineStr">
        <is>
          <t xml:space="preserve">GS07F0362T</t>
        </is>
      </c>
      <c r="D84" s="0" t="inlineStr">
        <is>
          <t xml:space="preserve">small_craft</t>
        </is>
      </c>
      <c r="E84" s="0" t="inlineStr">
        <is>
          <t xml:space="preserve">GRAVOIS ALUMINUM BOATS LLC</t>
        </is>
      </c>
      <c r="F84" s="0" t="inlineStr">
        <is>
          <t xml:space="preserve">C</t>
        </is>
      </c>
      <c r="G84" s="4">
        <v>12.73448161</v>
      </c>
      <c r="H84" s="0" t="inlineStr">
        <is>
          <t xml:space="preserve">2019-09-23</t>
        </is>
      </c>
      <c r="I84" s="0" t="inlineStr">
        <is>
          <t xml:space="preserve">no</t>
        </is>
      </c>
      <c r="J84" s="0" t="inlineStr">
        <is>
          <t xml:space="preserve">N0002419T2239</t>
        </is>
      </c>
      <c r="K84" s="0" t="inlineStr">
        <is>
          <t xml:space="preserve">NONE</t>
        </is>
      </c>
    </row>
    <row r="85">
      <c r="B85" s="0" t="inlineStr">
        <is>
          <t xml:space="preserve">N0002424F8129</t>
        </is>
      </c>
      <c r="C85" s="0" t="inlineStr">
        <is>
          <t xml:space="preserve">N0002422D6404</t>
        </is>
      </c>
      <c r="D85" s="0" t="inlineStr">
        <is>
          <t xml:space="preserve">usv_core</t>
        </is>
      </c>
      <c r="E85" s="0" t="inlineStr">
        <is>
          <t xml:space="preserve">THE JOHNS HOPKINS UNIVERSITY APPLIED PHYSICS LABORATORY LLC</t>
        </is>
      </c>
      <c r="F85" s="0" t="inlineStr">
        <is>
          <t xml:space="preserve">C</t>
        </is>
      </c>
      <c r="G85" s="4">
        <v>12.589723</v>
      </c>
      <c r="H85" s="0" t="inlineStr">
        <is>
          <t xml:space="preserve">2024-06-06</t>
        </is>
      </c>
      <c r="I85" s="0" t="inlineStr">
        <is>
          <t xml:space="preserve">no</t>
        </is>
      </c>
      <c r="K85" s="0" t="inlineStr">
        <is>
          <t xml:space="preserve">NONE</t>
        </is>
      </c>
    </row>
    <row r="86">
      <c r="B86" s="0" t="inlineStr">
        <is>
          <t xml:space="preserve">N0002419C2205</t>
        </is>
      </c>
      <c r="D86" s="0" t="inlineStr">
        <is>
          <t xml:space="preserve">small_craft</t>
        </is>
      </c>
      <c r="E86" s="0" t="inlineStr">
        <is>
          <t xml:space="preserve">THOMA-SEA MARINE CONSTRUCTORS, L.L.C.</t>
        </is>
      </c>
      <c r="F86" s="0" t="inlineStr">
        <is>
          <t xml:space="preserve">D</t>
        </is>
      </c>
      <c r="G86" s="4">
        <v>12.578793</v>
      </c>
      <c r="H86" s="0" t="inlineStr">
        <is>
          <t xml:space="preserve">2019-05-23</t>
        </is>
      </c>
      <c r="I86" s="0" t="inlineStr">
        <is>
          <t xml:space="preserve">no</t>
        </is>
      </c>
      <c r="J86" s="0" t="inlineStr">
        <is>
          <t xml:space="preserve">N0002419R2205</t>
        </is>
      </c>
      <c r="K86" s="0" t="inlineStr">
        <is>
          <t xml:space="preserve">NONE</t>
        </is>
      </c>
    </row>
    <row r="87">
      <c r="B87" s="0" t="inlineStr">
        <is>
          <t xml:space="preserve">N0002425C2237</t>
        </is>
      </c>
      <c r="D87" s="0" t="inlineStr">
        <is>
          <t xml:space="preserve">small_craft</t>
        </is>
      </c>
      <c r="E87" s="0" t="inlineStr">
        <is>
          <t xml:space="preserve">GRAVOIS ALUMINUM BOATS LLC</t>
        </is>
      </c>
      <c r="F87" s="0" t="inlineStr">
        <is>
          <t xml:space="preserve">D</t>
        </is>
      </c>
      <c r="G87" s="4">
        <v>12.4789958</v>
      </c>
      <c r="H87" s="0" t="inlineStr">
        <is>
          <t xml:space="preserve">2025-01-03</t>
        </is>
      </c>
      <c r="I87" s="0" t="inlineStr">
        <is>
          <t xml:space="preserve">no</t>
        </is>
      </c>
      <c r="J87" s="0" t="inlineStr">
        <is>
          <t xml:space="preserve">N0002423R2237</t>
        </is>
      </c>
      <c r="K87" s="0" t="inlineStr">
        <is>
          <t xml:space="preserve">NONE</t>
        </is>
      </c>
    </row>
    <row r="88">
      <c r="B88" s="0" t="inlineStr">
        <is>
          <t xml:space="preserve">N0002422C2214</t>
        </is>
      </c>
      <c r="D88" s="0" t="inlineStr">
        <is>
          <t xml:space="preserve">small_craft</t>
        </is>
      </c>
      <c r="E88" s="0" t="inlineStr">
        <is>
          <t xml:space="preserve">BVI CORP</t>
        </is>
      </c>
      <c r="F88" s="0" t="inlineStr">
        <is>
          <t xml:space="preserve">D</t>
        </is>
      </c>
      <c r="G88" s="4">
        <v>12.399999999999999</v>
      </c>
      <c r="H88" s="0" t="inlineStr">
        <is>
          <t xml:space="preserve">2022-09-29</t>
        </is>
      </c>
      <c r="I88" s="0" t="inlineStr">
        <is>
          <t xml:space="preserve">no</t>
        </is>
      </c>
      <c r="J88" s="0" t="inlineStr">
        <is>
          <t xml:space="preserve">N0002422R2214</t>
        </is>
      </c>
      <c r="K88" s="0" t="inlineStr">
        <is>
          <t xml:space="preserve">NONE</t>
        </is>
      </c>
    </row>
    <row r="89">
      <c r="B89" s="0" t="inlineStr">
        <is>
          <t xml:space="preserve">N0010420CCA04</t>
        </is>
      </c>
      <c r="D89" s="0" t="inlineStr">
        <is>
          <t xml:space="preserve">small_craft</t>
        </is>
      </c>
      <c r="E89" s="0" t="inlineStr">
        <is>
          <t xml:space="preserve">GE AVIATION SYSTEMS LLC</t>
        </is>
      </c>
      <c r="F89" s="0" t="inlineStr">
        <is>
          <t xml:space="preserve">D</t>
        </is>
      </c>
      <c r="G89" s="4">
        <v>12.296464069999999</v>
      </c>
      <c r="H89" s="0" t="inlineStr">
        <is>
          <t xml:space="preserve">2020-09-16</t>
        </is>
      </c>
      <c r="I89" s="0" t="inlineStr">
        <is>
          <t xml:space="preserve">no</t>
        </is>
      </c>
      <c r="J89" s="0" t="inlineStr">
        <is>
          <t xml:space="preserve">N0010418RCA53</t>
        </is>
      </c>
      <c r="K89" s="0" t="inlineStr">
        <is>
          <t xml:space="preserve">NONE</t>
        </is>
      </c>
    </row>
    <row r="90">
      <c r="B90" s="0" t="inlineStr">
        <is>
          <t xml:space="preserve">N0002425F22A2</t>
        </is>
      </c>
      <c r="C90" s="0" t="inlineStr">
        <is>
          <t xml:space="preserve">N0002421D2220</t>
        </is>
      </c>
      <c r="D90" s="0" t="inlineStr">
        <is>
          <t xml:space="preserve">small_craft</t>
        </is>
      </c>
      <c r="E90" s="0" t="inlineStr">
        <is>
          <t xml:space="preserve">UNITED STATES MARINE INC</t>
        </is>
      </c>
      <c r="F90" s="0" t="inlineStr">
        <is>
          <t xml:space="preserve">C</t>
        </is>
      </c>
      <c r="G90" s="4">
        <v>12.020284</v>
      </c>
      <c r="H90" s="0" t="inlineStr">
        <is>
          <t xml:space="preserve">2025-06-18</t>
        </is>
      </c>
      <c r="I90" s="0" t="inlineStr">
        <is>
          <t xml:space="preserve">no</t>
        </is>
      </c>
      <c r="J90" s="0" t="inlineStr">
        <is>
          <t xml:space="preserve">N0002421R2220</t>
        </is>
      </c>
      <c r="K90" s="0" t="inlineStr">
        <is>
          <t xml:space="preserve">NONE</t>
        </is>
      </c>
    </row>
    <row r="91">
      <c r="B91" s="0" t="inlineStr">
        <is>
          <t xml:space="preserve">N0002423F23A2</t>
        </is>
      </c>
      <c r="C91" s="0" t="inlineStr">
        <is>
          <t xml:space="preserve">N0002423D2224</t>
        </is>
      </c>
      <c r="D91" s="0" t="inlineStr">
        <is>
          <t xml:space="preserve">small_craft</t>
        </is>
      </c>
      <c r="E91" s="0" t="inlineStr">
        <is>
          <t xml:space="preserve">RIBCRAFT USA, LLC</t>
        </is>
      </c>
      <c r="F91" s="0" t="inlineStr">
        <is>
          <t xml:space="preserve">C</t>
        </is>
      </c>
      <c r="G91" s="4">
        <v>11.95304224</v>
      </c>
      <c r="H91" s="0" t="inlineStr">
        <is>
          <t xml:space="preserve">2023-02-09</t>
        </is>
      </c>
      <c r="I91" s="0" t="inlineStr">
        <is>
          <t xml:space="preserve">no</t>
        </is>
      </c>
      <c r="J91" s="0" t="inlineStr">
        <is>
          <t xml:space="preserve">N0002422R2224</t>
        </is>
      </c>
      <c r="K91" s="0" t="inlineStr">
        <is>
          <t xml:space="preserve">NONE</t>
        </is>
      </c>
    </row>
    <row r="92">
      <c r="B92" s="0" t="inlineStr">
        <is>
          <t xml:space="preserve">N0002420C2214</t>
        </is>
      </c>
      <c r="D92" s="0" t="inlineStr">
        <is>
          <t xml:space="preserve">small_craft</t>
        </is>
      </c>
      <c r="E92" s="0" t="inlineStr">
        <is>
          <t xml:space="preserve">LARSEN AND TOUBRO LIMITED</t>
        </is>
      </c>
      <c r="F92" s="0" t="inlineStr">
        <is>
          <t xml:space="preserve">D</t>
        </is>
      </c>
      <c r="G92" s="4">
        <v>11.5</v>
      </c>
      <c r="H92" s="0" t="inlineStr">
        <is>
          <t xml:space="preserve">2020-03-04</t>
        </is>
      </c>
      <c r="I92" s="0" t="inlineStr">
        <is>
          <t xml:space="preserve">no</t>
        </is>
      </c>
      <c r="J92" s="0" t="inlineStr">
        <is>
          <t xml:space="preserve">N0002420R2214</t>
        </is>
      </c>
      <c r="K92" s="0" t="inlineStr">
        <is>
          <t xml:space="preserve">NONE</t>
        </is>
      </c>
    </row>
    <row r="93">
      <c r="B93" s="0" t="inlineStr">
        <is>
          <t xml:space="preserve">N0002419F8201</t>
        </is>
      </c>
      <c r="C93" s="0" t="inlineStr">
        <is>
          <t xml:space="preserve">N0002413D6400</t>
        </is>
      </c>
      <c r="D93" s="0" t="inlineStr">
        <is>
          <t xml:space="preserve">usv_core</t>
        </is>
      </c>
      <c r="E93" s="0" t="inlineStr">
        <is>
          <t xml:space="preserve">THE JOHNS HOPKINS UNIVERSITY APPLIED PHYSICS LABORATORY LLC</t>
        </is>
      </c>
      <c r="F93" s="0" t="inlineStr">
        <is>
          <t xml:space="preserve">C</t>
        </is>
      </c>
      <c r="G93" s="4">
        <v>10.828104999999999</v>
      </c>
      <c r="H93" s="0" t="inlineStr">
        <is>
          <t xml:space="preserve">2019-09-24</t>
        </is>
      </c>
      <c r="I93" s="0" t="inlineStr">
        <is>
          <t xml:space="preserve">no</t>
        </is>
      </c>
      <c r="K93" s="0" t="inlineStr">
        <is>
          <t xml:space="preserve">NONE</t>
        </is>
      </c>
    </row>
    <row r="94">
      <c r="B94" s="0" t="inlineStr">
        <is>
          <t xml:space="preserve">N6600125F0040</t>
        </is>
      </c>
      <c r="C94" s="0" t="inlineStr">
        <is>
          <t xml:space="preserve">N6600125D0008</t>
        </is>
      </c>
      <c r="D94" s="0" t="inlineStr">
        <is>
          <t xml:space="preserve">small_craft</t>
        </is>
      </c>
      <c r="E94" s="0" t="inlineStr">
        <is>
          <t xml:space="preserve">HYDRONALIX INC</t>
        </is>
      </c>
      <c r="F94" s="0" t="inlineStr">
        <is>
          <t xml:space="preserve">C</t>
        </is>
      </c>
      <c r="G94" s="4">
        <v>10.52680182</v>
      </c>
      <c r="H94" s="0" t="inlineStr">
        <is>
          <t xml:space="preserve">2024-11-26</t>
        </is>
      </c>
      <c r="I94" s="0" t="inlineStr">
        <is>
          <t xml:space="preserve">no</t>
        </is>
      </c>
      <c r="K94" s="0" t="inlineStr">
        <is>
          <t xml:space="preserve">NONE</t>
        </is>
      </c>
    </row>
    <row r="95">
      <c r="B95" s="0" t="inlineStr">
        <is>
          <t xml:space="preserve">N0002420F22W2</t>
        </is>
      </c>
      <c r="C95" s="0" t="inlineStr">
        <is>
          <t xml:space="preserve">N0002419D2220</t>
        </is>
      </c>
      <c r="D95" s="0" t="inlineStr">
        <is>
          <t xml:space="preserve">small_craft</t>
        </is>
      </c>
      <c r="E95" s="0" t="inlineStr">
        <is>
          <t xml:space="preserve">RIBCRAFT USA, LLC</t>
        </is>
      </c>
      <c r="F95" s="0" t="inlineStr">
        <is>
          <t xml:space="preserve">C</t>
        </is>
      </c>
      <c r="G95" s="4">
        <v>10.50936699</v>
      </c>
      <c r="H95" s="0" t="inlineStr">
        <is>
          <t xml:space="preserve">2020-02-28</t>
        </is>
      </c>
      <c r="I95" s="0" t="inlineStr">
        <is>
          <t xml:space="preserve">no</t>
        </is>
      </c>
      <c r="J95" s="0" t="inlineStr">
        <is>
          <t xml:space="preserve">N0002418R2220</t>
        </is>
      </c>
      <c r="K95" s="0" t="inlineStr">
        <is>
          <t xml:space="preserve">NONE</t>
        </is>
      </c>
    </row>
    <row r="96">
      <c r="B96" s="0" t="inlineStr">
        <is>
          <t xml:space="preserve">N0002423F23A9</t>
        </is>
      </c>
      <c r="C96" s="0" t="inlineStr">
        <is>
          <t xml:space="preserve">N0002422D2270</t>
        </is>
      </c>
      <c r="D96" s="0" t="inlineStr">
        <is>
          <t xml:space="preserve">small_craft</t>
        </is>
      </c>
      <c r="E96" s="0" t="inlineStr">
        <is>
          <t xml:space="preserve">METALCRAFT MARINE US, INC.</t>
        </is>
      </c>
      <c r="F96" s="0" t="inlineStr">
        <is>
          <t xml:space="preserve">C</t>
        </is>
      </c>
      <c r="G96" s="4">
        <v>10.33632024</v>
      </c>
      <c r="H96" s="0" t="inlineStr">
        <is>
          <t xml:space="preserve">2023-03-29</t>
        </is>
      </c>
      <c r="I96" s="0" t="inlineStr">
        <is>
          <t xml:space="preserve">no</t>
        </is>
      </c>
      <c r="J96" s="0" t="inlineStr">
        <is>
          <t xml:space="preserve">N0002422R2270</t>
        </is>
      </c>
      <c r="K96" s="0" t="inlineStr">
        <is>
          <t xml:space="preserve">NONE</t>
        </is>
      </c>
    </row>
    <row r="97">
      <c r="B97" s="0" t="inlineStr">
        <is>
          <t xml:space="preserve">N0002421C2295</t>
        </is>
      </c>
      <c r="D97" s="0" t="inlineStr">
        <is>
          <t xml:space="preserve">small_craft</t>
        </is>
      </c>
      <c r="E97" s="0" t="inlineStr">
        <is>
          <t xml:space="preserve">GRAVOIS ALUMINUM BOATS LLC</t>
        </is>
      </c>
      <c r="F97" s="0" t="inlineStr">
        <is>
          <t xml:space="preserve">D</t>
        </is>
      </c>
      <c r="G97" s="4">
        <v>10.167872199999998</v>
      </c>
      <c r="H97" s="0" t="inlineStr">
        <is>
          <t xml:space="preserve">2021-08-25</t>
        </is>
      </c>
      <c r="I97" s="0" t="inlineStr">
        <is>
          <t xml:space="preserve">no</t>
        </is>
      </c>
      <c r="J97" s="0" t="inlineStr">
        <is>
          <t xml:space="preserve">N0002421R2295</t>
        </is>
      </c>
      <c r="K97" s="0" t="inlineStr">
        <is>
          <t xml:space="preserve">NONE</t>
        </is>
      </c>
    </row>
    <row r="98">
      <c r="B98" s="0" t="inlineStr">
        <is>
          <t xml:space="preserve">N0002414F2210</t>
        </is>
      </c>
      <c r="C98" s="0" t="inlineStr">
        <is>
          <t xml:space="preserve">GS07F0123H</t>
        </is>
      </c>
      <c r="D98" s="0" t="inlineStr">
        <is>
          <t xml:space="preserve">small_craft</t>
        </is>
      </c>
      <c r="E98" s="0" t="inlineStr">
        <is>
          <t xml:space="preserve">WILLARD MARINE, INC.</t>
        </is>
      </c>
      <c r="F98" s="0" t="inlineStr">
        <is>
          <t xml:space="preserve">C</t>
        </is>
      </c>
      <c r="G98" s="4">
        <v>10.03512</v>
      </c>
      <c r="H98" s="0" t="inlineStr">
        <is>
          <t xml:space="preserve">2014-09-23</t>
        </is>
      </c>
      <c r="I98" s="0" t="inlineStr">
        <is>
          <t xml:space="preserve">no</t>
        </is>
      </c>
      <c r="K98" s="0" t="inlineStr">
        <is>
          <t xml:space="preserve">NONE</t>
        </is>
      </c>
    </row>
    <row r="99">
      <c r="B99" s="0" t="inlineStr">
        <is>
          <t xml:space="preserve">N0002423F8046</t>
        </is>
      </c>
      <c r="C99" s="0" t="inlineStr">
        <is>
          <t xml:space="preserve">N0002422D6404</t>
        </is>
      </c>
      <c r="D99" s="0" t="inlineStr">
        <is>
          <t xml:space="preserve">usv_core</t>
        </is>
      </c>
      <c r="E99" s="0" t="inlineStr">
        <is>
          <t xml:space="preserve">THE JOHNS HOPKINS UNIVERSITY APPLIED PHYSICS LABORATORY LLC</t>
        </is>
      </c>
      <c r="F99" s="0" t="inlineStr">
        <is>
          <t xml:space="preserve">C</t>
        </is>
      </c>
      <c r="G99" s="4">
        <v>9.950248</v>
      </c>
      <c r="H99" s="0" t="inlineStr">
        <is>
          <t xml:space="preserve">2023-01-17</t>
        </is>
      </c>
      <c r="I99" s="0" t="inlineStr">
        <is>
          <t xml:space="preserve">no</t>
        </is>
      </c>
      <c r="K99" s="0" t="inlineStr">
        <is>
          <t xml:space="preserve">NONE</t>
        </is>
      </c>
    </row>
    <row r="100">
      <c r="B100" s="0" t="inlineStr">
        <is>
          <t xml:space="preserve">N6931619F8000</t>
        </is>
      </c>
      <c r="C100" s="0" t="inlineStr">
        <is>
          <t xml:space="preserve">N0002417D2209</t>
        </is>
      </c>
      <c r="D100" s="0" t="inlineStr">
        <is>
          <t xml:space="preserve">small_craft</t>
        </is>
      </c>
      <c r="E100" s="0" t="inlineStr">
        <is>
          <t xml:space="preserve">GRAVOIS ALUMINUM BOATS LLC</t>
        </is>
      </c>
      <c r="F100" s="0" t="inlineStr">
        <is>
          <t xml:space="preserve">C</t>
        </is>
      </c>
      <c r="G100" s="4">
        <v>9.655329039999998</v>
      </c>
      <c r="H100" s="0" t="inlineStr">
        <is>
          <t xml:space="preserve">2019-08-20</t>
        </is>
      </c>
      <c r="I100" s="0" t="inlineStr">
        <is>
          <t xml:space="preserve">no</t>
        </is>
      </c>
      <c r="J100" s="0" t="inlineStr">
        <is>
          <t xml:space="preserve">N0002417R2209</t>
        </is>
      </c>
      <c r="K100" s="0" t="inlineStr">
        <is>
          <t xml:space="preserve">NONE</t>
        </is>
      </c>
    </row>
    <row r="101">
      <c r="B101" s="0" t="inlineStr">
        <is>
          <t xml:space="preserve">N0002417F22V1</t>
        </is>
      </c>
      <c r="C101" s="0" t="inlineStr">
        <is>
          <t xml:space="preserve">N0002417D2217</t>
        </is>
      </c>
      <c r="D101" s="0" t="inlineStr">
        <is>
          <t xml:space="preserve">small_craft</t>
        </is>
      </c>
      <c r="E101" s="0" t="inlineStr">
        <is>
          <t xml:space="preserve">SNOW &amp; COMPANY, INC.</t>
        </is>
      </c>
      <c r="F101" s="0" t="inlineStr">
        <is>
          <t xml:space="preserve">C</t>
        </is>
      </c>
      <c r="G101" s="4">
        <v>9.517002999999999</v>
      </c>
      <c r="H101" s="0" t="inlineStr">
        <is>
          <t xml:space="preserve">2017-09-28</t>
        </is>
      </c>
      <c r="I101" s="0" t="inlineStr">
        <is>
          <t xml:space="preserve">no</t>
        </is>
      </c>
      <c r="J101" s="0" t="inlineStr">
        <is>
          <t xml:space="preserve">N0002417R2217</t>
        </is>
      </c>
      <c r="K101" s="0" t="inlineStr">
        <is>
          <t xml:space="preserve">NONE</t>
        </is>
      </c>
    </row>
    <row r="102">
      <c r="B102" s="0" t="inlineStr">
        <is>
          <t xml:space="preserve">N6931620F8001</t>
        </is>
      </c>
      <c r="C102" s="0" t="inlineStr">
        <is>
          <t xml:space="preserve">N0002417D2209</t>
        </is>
      </c>
      <c r="D102" s="0" t="inlineStr">
        <is>
          <t xml:space="preserve">small_craft</t>
        </is>
      </c>
      <c r="E102" s="0" t="inlineStr">
        <is>
          <t xml:space="preserve">GRAVOIS ALUMINUM BOATS LLC</t>
        </is>
      </c>
      <c r="F102" s="0" t="inlineStr">
        <is>
          <t xml:space="preserve">C</t>
        </is>
      </c>
      <c r="G102" s="4">
        <v>9.515429679999999</v>
      </c>
      <c r="H102" s="0" t="inlineStr">
        <is>
          <t xml:space="preserve">2020-07-08</t>
        </is>
      </c>
      <c r="I102" s="0" t="inlineStr">
        <is>
          <t xml:space="preserve">no</t>
        </is>
      </c>
      <c r="J102" s="0" t="inlineStr">
        <is>
          <t xml:space="preserve">N0002417R2209</t>
        </is>
      </c>
      <c r="K102" s="0" t="inlineStr">
        <is>
          <t xml:space="preserve">NONE</t>
        </is>
      </c>
    </row>
    <row r="103">
      <c r="B103" s="0" t="inlineStr">
        <is>
          <t xml:space="preserve">N4523A05C0001</t>
        </is>
      </c>
      <c r="D103" s="0" t="inlineStr">
        <is>
          <t xml:space="preserve">other_small</t>
        </is>
      </c>
      <c r="E103" s="0" t="inlineStr">
        <is>
          <t xml:space="preserve">VIGOR WORKS LLC</t>
        </is>
      </c>
      <c r="F103" s="0" t="inlineStr">
        <is>
          <t xml:space="preserve">D</t>
        </is>
      </c>
      <c r="G103" s="4">
        <v>9.38372797</v>
      </c>
      <c r="H103" s="0" t="inlineStr">
        <is>
          <t xml:space="preserve">2005-07-27</t>
        </is>
      </c>
      <c r="I103" s="0" t="inlineStr">
        <is>
          <t xml:space="preserve">no</t>
        </is>
      </c>
      <c r="K103" s="0" t="inlineStr">
        <is>
          <t xml:space="preserve">NONE</t>
        </is>
      </c>
    </row>
    <row r="104">
      <c r="B104" s="0" t="inlineStr">
        <is>
          <t xml:space="preserve">N0002414F2202</t>
        </is>
      </c>
      <c r="C104" s="0" t="inlineStr">
        <is>
          <t xml:space="preserve">GS07F0336U</t>
        </is>
      </c>
      <c r="D104" s="0" t="inlineStr">
        <is>
          <t xml:space="preserve">small_craft</t>
        </is>
      </c>
      <c r="E104" s="0" t="inlineStr">
        <is>
          <t xml:space="preserve">MAYBANK INDUSTRIES, LLC</t>
        </is>
      </c>
      <c r="F104" s="0" t="inlineStr">
        <is>
          <t xml:space="preserve">C</t>
        </is>
      </c>
      <c r="G104" s="4">
        <v>9.1236</v>
      </c>
      <c r="H104" s="0" t="inlineStr">
        <is>
          <t xml:space="preserve">2013-11-22</t>
        </is>
      </c>
      <c r="I104" s="0" t="inlineStr">
        <is>
          <t xml:space="preserve">no</t>
        </is>
      </c>
      <c r="J104" s="0" t="inlineStr">
        <is>
          <t xml:space="preserve">N0002413T2202</t>
        </is>
      </c>
      <c r="K104" s="0" t="inlineStr">
        <is>
          <t xml:space="preserve">NONE</t>
        </is>
      </c>
    </row>
    <row r="105">
      <c r="B105" s="0" t="inlineStr">
        <is>
          <t xml:space="preserve">N3220517C4503</t>
        </is>
      </c>
      <c r="D105" s="0" t="inlineStr">
        <is>
          <t xml:space="preserve">other_small</t>
        </is>
      </c>
      <c r="E105" s="0" t="inlineStr">
        <is>
          <t xml:space="preserve">DETYENS SHIPYARDS INC</t>
        </is>
      </c>
      <c r="F105" s="0" t="inlineStr">
        <is>
          <t xml:space="preserve">D</t>
        </is>
      </c>
      <c r="G105" s="4">
        <v>9.119933</v>
      </c>
      <c r="H105" s="0" t="inlineStr">
        <is>
          <t xml:space="preserve">2016-10-18</t>
        </is>
      </c>
      <c r="I105" s="0" t="inlineStr">
        <is>
          <t xml:space="preserve">no</t>
        </is>
      </c>
      <c r="J105" s="0" t="inlineStr">
        <is>
          <t xml:space="preserve">N3220516R4503</t>
        </is>
      </c>
      <c r="K105" s="0" t="inlineStr">
        <is>
          <t xml:space="preserve">NONE</t>
        </is>
      </c>
    </row>
    <row r="106">
      <c r="B106" s="0" t="inlineStr">
        <is>
          <t xml:space="preserve">N0001424C1324</t>
        </is>
      </c>
      <c r="D106" s="0" t="inlineStr">
        <is>
          <t xml:space="preserve">usv_core</t>
        </is>
      </c>
      <c r="E106" s="0" t="inlineStr">
        <is>
          <t xml:space="preserve">UNIVERSITY OF MAINE SYSTEM</t>
        </is>
      </c>
      <c r="F106" s="0" t="inlineStr">
        <is>
          <t xml:space="preserve">D</t>
        </is>
      </c>
      <c r="G106" s="4">
        <v>9.0</v>
      </c>
      <c r="H106" s="0" t="inlineStr">
        <is>
          <t xml:space="preserve">2024-07-12</t>
        </is>
      </c>
      <c r="I106" s="0" t="inlineStr">
        <is>
          <t xml:space="preserve">no</t>
        </is>
      </c>
      <c r="J106" s="0" t="inlineStr">
        <is>
          <t xml:space="preserve">N0001423SB001</t>
        </is>
      </c>
      <c r="K106" s="0" t="inlineStr">
        <is>
          <t xml:space="preserve">NONE</t>
        </is>
      </c>
    </row>
    <row r="107">
      <c r="B107" s="0" t="inlineStr">
        <is>
          <t xml:space="preserve">N0010422CZA28</t>
        </is>
      </c>
      <c r="D107" s="0" t="inlineStr">
        <is>
          <t xml:space="preserve">small_craft</t>
        </is>
      </c>
      <c r="E107" s="0" t="inlineStr">
        <is>
          <t xml:space="preserve">ERIE FORGE &amp; STEEL INC</t>
        </is>
      </c>
      <c r="F107" s="0" t="inlineStr">
        <is>
          <t xml:space="preserve">D</t>
        </is>
      </c>
      <c r="G107" s="4">
        <v>8.725247999999999</v>
      </c>
      <c r="H107" s="0" t="inlineStr">
        <is>
          <t xml:space="preserve">2022-09-26</t>
        </is>
      </c>
      <c r="I107" s="0" t="inlineStr">
        <is>
          <t xml:space="preserve">no</t>
        </is>
      </c>
      <c r="J107" s="0" t="inlineStr">
        <is>
          <t xml:space="preserve">N0010422RZA26</t>
        </is>
      </c>
      <c r="K107" s="0" t="inlineStr">
        <is>
          <t xml:space="preserve">NONE</t>
        </is>
      </c>
    </row>
    <row r="108">
      <c r="B108" s="0" t="inlineStr">
        <is>
          <t xml:space="preserve">N0002422C2230</t>
        </is>
      </c>
      <c r="D108" s="0" t="inlineStr">
        <is>
          <t xml:space="preserve">small_craft</t>
        </is>
      </c>
      <c r="E108" s="0" t="inlineStr">
        <is>
          <t xml:space="preserve">SAFE BOATS INTERNATIONAL LLC</t>
        </is>
      </c>
      <c r="F108" s="0" t="inlineStr">
        <is>
          <t xml:space="preserve">D</t>
        </is>
      </c>
      <c r="G108" s="4">
        <v>8.61300114</v>
      </c>
      <c r="H108" s="0" t="inlineStr">
        <is>
          <t xml:space="preserve">2022-07-05</t>
        </is>
      </c>
      <c r="I108" s="0" t="inlineStr">
        <is>
          <t xml:space="preserve">no</t>
        </is>
      </c>
      <c r="J108" s="0" t="inlineStr">
        <is>
          <t xml:space="preserve">N0002421R2230</t>
        </is>
      </c>
      <c r="K108" s="0" t="inlineStr">
        <is>
          <t xml:space="preserve">NONE</t>
        </is>
      </c>
    </row>
    <row r="109">
      <c r="B109" s="0" t="inlineStr">
        <is>
          <t xml:space="preserve">0001</t>
        </is>
      </c>
      <c r="C109" s="0" t="inlineStr">
        <is>
          <t xml:space="preserve">N0002416D2211</t>
        </is>
      </c>
      <c r="D109" s="0" t="inlineStr">
        <is>
          <t xml:space="preserve">small_craft</t>
        </is>
      </c>
      <c r="E109" s="0" t="inlineStr">
        <is>
          <t xml:space="preserve">MODUTECH MARINE, INC.</t>
        </is>
      </c>
      <c r="F109" s="0" t="inlineStr">
        <is>
          <t xml:space="preserve">C</t>
        </is>
      </c>
      <c r="G109" s="4">
        <v>8.5897195</v>
      </c>
      <c r="H109" s="0" t="inlineStr">
        <is>
          <t xml:space="preserve">2016-08-31</t>
        </is>
      </c>
      <c r="I109" s="0" t="inlineStr">
        <is>
          <t xml:space="preserve">no</t>
        </is>
      </c>
      <c r="J109" s="0" t="inlineStr">
        <is>
          <t xml:space="preserve">N0002416R2211</t>
        </is>
      </c>
      <c r="K109" s="0" t="inlineStr">
        <is>
          <t xml:space="preserve">NONE</t>
        </is>
      </c>
    </row>
    <row r="110">
      <c r="B110" s="0" t="inlineStr">
        <is>
          <t xml:space="preserve">N0002424F22A6</t>
        </is>
      </c>
      <c r="C110" s="0" t="inlineStr">
        <is>
          <t xml:space="preserve">N0002424D2275</t>
        </is>
      </c>
      <c r="D110" s="0" t="inlineStr">
        <is>
          <t xml:space="preserve">small_craft</t>
        </is>
      </c>
      <c r="E110" s="0" t="inlineStr">
        <is>
          <t xml:space="preserve">GRAVOIS ALUMINUM BOATS LLC</t>
        </is>
      </c>
      <c r="F110" s="0" t="inlineStr">
        <is>
          <t xml:space="preserve">C</t>
        </is>
      </c>
      <c r="G110" s="4">
        <v>8.486336</v>
      </c>
      <c r="H110" s="0" t="inlineStr">
        <is>
          <t xml:space="preserve">2024-05-16</t>
        </is>
      </c>
      <c r="I110" s="0" t="inlineStr">
        <is>
          <t xml:space="preserve">no</t>
        </is>
      </c>
      <c r="J110" s="0" t="inlineStr">
        <is>
          <t xml:space="preserve">N0002423R2275</t>
        </is>
      </c>
      <c r="K110" s="0" t="inlineStr">
        <is>
          <t xml:space="preserve">NONE</t>
        </is>
      </c>
    </row>
    <row r="111">
      <c r="B111" s="0" t="inlineStr">
        <is>
          <t xml:space="preserve">N0002422F22A6</t>
        </is>
      </c>
      <c r="C111" s="0" t="inlineStr">
        <is>
          <t xml:space="preserve">N0002420D2210</t>
        </is>
      </c>
      <c r="D111" s="0" t="inlineStr">
        <is>
          <t xml:space="preserve">small_craft</t>
        </is>
      </c>
      <c r="E111" s="0" t="inlineStr">
        <is>
          <t xml:space="preserve">RIBCRAFT USA, LLC</t>
        </is>
      </c>
      <c r="F111" s="0" t="inlineStr">
        <is>
          <t xml:space="preserve">C</t>
        </is>
      </c>
      <c r="G111" s="4">
        <v>8.31045426</v>
      </c>
      <c r="H111" s="0" t="inlineStr">
        <is>
          <t xml:space="preserve">2022-03-31</t>
        </is>
      </c>
      <c r="I111" s="0" t="inlineStr">
        <is>
          <t xml:space="preserve">no</t>
        </is>
      </c>
      <c r="J111" s="0" t="inlineStr">
        <is>
          <t xml:space="preserve">N0002420R2210</t>
        </is>
      </c>
      <c r="K111" s="0" t="inlineStr">
        <is>
          <t xml:space="preserve">NONE</t>
        </is>
      </c>
    </row>
    <row r="112">
      <c r="B112" s="0" t="inlineStr">
        <is>
          <t xml:space="preserve">N0002425F22A4</t>
        </is>
      </c>
      <c r="C112" s="0" t="inlineStr">
        <is>
          <t xml:space="preserve">N0002422D2270</t>
        </is>
      </c>
      <c r="D112" s="0" t="inlineStr">
        <is>
          <t xml:space="preserve">small_craft</t>
        </is>
      </c>
      <c r="E112" s="0" t="inlineStr">
        <is>
          <t xml:space="preserve">METALCRAFT MARINE US, INC.</t>
        </is>
      </c>
      <c r="F112" s="0" t="inlineStr">
        <is>
          <t xml:space="preserve">C</t>
        </is>
      </c>
      <c r="G112" s="4">
        <v>8.2461342</v>
      </c>
      <c r="H112" s="0" t="inlineStr">
        <is>
          <t xml:space="preserve">2024-11-18</t>
        </is>
      </c>
      <c r="I112" s="0" t="inlineStr">
        <is>
          <t xml:space="preserve">no</t>
        </is>
      </c>
      <c r="J112" s="0" t="inlineStr">
        <is>
          <t xml:space="preserve">N0002422R2270</t>
        </is>
      </c>
      <c r="K112" s="0" t="inlineStr">
        <is>
          <t xml:space="preserve">NONE</t>
        </is>
      </c>
    </row>
    <row r="113">
      <c r="B113" s="0" t="inlineStr">
        <is>
          <t xml:space="preserve">N0002422C2210</t>
        </is>
      </c>
      <c r="D113" s="0" t="inlineStr">
        <is>
          <t xml:space="preserve">small_craft</t>
        </is>
      </c>
      <c r="E113" s="0" t="inlineStr">
        <is>
          <t xml:space="preserve">WILLARD MARINE, INC.</t>
        </is>
      </c>
      <c r="F113" s="0" t="inlineStr">
        <is>
          <t xml:space="preserve">D</t>
        </is>
      </c>
      <c r="G113" s="4">
        <v>8.19952359</v>
      </c>
      <c r="H113" s="0" t="inlineStr">
        <is>
          <t xml:space="preserve">2022-09-26</t>
        </is>
      </c>
      <c r="I113" s="0" t="inlineStr">
        <is>
          <t xml:space="preserve">no</t>
        </is>
      </c>
      <c r="J113" s="0" t="inlineStr">
        <is>
          <t xml:space="preserve">N0002422R2210</t>
        </is>
      </c>
      <c r="K113" s="0" t="inlineStr">
        <is>
          <t xml:space="preserve">NONE</t>
        </is>
      </c>
    </row>
    <row r="114">
      <c r="B114" s="0" t="inlineStr">
        <is>
          <t xml:space="preserve">N0002422F22A8</t>
        </is>
      </c>
      <c r="C114" s="0" t="inlineStr">
        <is>
          <t xml:space="preserve">N0002417D2201</t>
        </is>
      </c>
      <c r="D114" s="0" t="inlineStr">
        <is>
          <t xml:space="preserve">small_craft</t>
        </is>
      </c>
      <c r="E114" s="0" t="inlineStr">
        <is>
          <t xml:space="preserve">GRAVOIS ALUMINUM BOATS LLC</t>
        </is>
      </c>
      <c r="F114" s="0" t="inlineStr">
        <is>
          <t xml:space="preserve">C</t>
        </is>
      </c>
      <c r="G114" s="4">
        <v>8.03486652</v>
      </c>
      <c r="H114" s="0" t="inlineStr">
        <is>
          <t xml:space="preserve">2022-09-29</t>
        </is>
      </c>
      <c r="I114" s="0" t="inlineStr">
        <is>
          <t xml:space="preserve">no</t>
        </is>
      </c>
      <c r="J114" s="0" t="inlineStr">
        <is>
          <t xml:space="preserve">N0002417R2201</t>
        </is>
      </c>
      <c r="K114" s="0" t="inlineStr">
        <is>
          <t xml:space="preserve">NONE</t>
        </is>
      </c>
    </row>
    <row r="115">
      <c r="B115" s="0" t="inlineStr">
        <is>
          <t xml:space="preserve">N0010421CFA50</t>
        </is>
      </c>
      <c r="D115" s="0" t="inlineStr">
        <is>
          <t xml:space="preserve">small_craft</t>
        </is>
      </c>
      <c r="E115" s="0" t="inlineStr">
        <is>
          <t xml:space="preserve">ERIE FORGE &amp; STEEL INC</t>
        </is>
      </c>
      <c r="F115" s="0" t="inlineStr">
        <is>
          <t xml:space="preserve">D</t>
        </is>
      </c>
      <c r="G115" s="4">
        <v>8.010375999999999</v>
      </c>
      <c r="H115" s="0" t="inlineStr">
        <is>
          <t xml:space="preserve">2021-09-23</t>
        </is>
      </c>
      <c r="I115" s="0" t="inlineStr">
        <is>
          <t xml:space="preserve">no</t>
        </is>
      </c>
      <c r="K115" s="0" t="inlineStr">
        <is>
          <t xml:space="preserve">NONE</t>
        </is>
      </c>
    </row>
    <row r="116">
      <c r="B116" s="0" t="inlineStr">
        <is>
          <t xml:space="preserve">N0002423F23A5</t>
        </is>
      </c>
      <c r="C116" s="0" t="inlineStr">
        <is>
          <t xml:space="preserve">N0002417D2201</t>
        </is>
      </c>
      <c r="D116" s="0" t="inlineStr">
        <is>
          <t xml:space="preserve">small_craft</t>
        </is>
      </c>
      <c r="E116" s="0" t="inlineStr">
        <is>
          <t xml:space="preserve">GRAVOIS ALUMINUM BOATS LLC</t>
        </is>
      </c>
      <c r="F116" s="0" t="inlineStr">
        <is>
          <t xml:space="preserve">C</t>
        </is>
      </c>
      <c r="G116" s="4">
        <v>7.95897007</v>
      </c>
      <c r="H116" s="0" t="inlineStr">
        <is>
          <t xml:space="preserve">2023-05-26</t>
        </is>
      </c>
      <c r="I116" s="0" t="inlineStr">
        <is>
          <t xml:space="preserve">no</t>
        </is>
      </c>
      <c r="J116" s="0" t="inlineStr">
        <is>
          <t xml:space="preserve">N0002417R2201</t>
        </is>
      </c>
      <c r="K116" s="0" t="inlineStr">
        <is>
          <t xml:space="preserve">NONE</t>
        </is>
      </c>
    </row>
    <row r="117">
      <c r="B117" s="0" t="inlineStr">
        <is>
          <t xml:space="preserve">N0002424F22A7</t>
        </is>
      </c>
      <c r="C117" s="0" t="inlineStr">
        <is>
          <t xml:space="preserve">N0002424D2276</t>
        </is>
      </c>
      <c r="D117" s="0" t="inlineStr">
        <is>
          <t xml:space="preserve">small_craft</t>
        </is>
      </c>
      <c r="E117" s="0" t="inlineStr">
        <is>
          <t xml:space="preserve">RECONCRAFT, LLC</t>
        </is>
      </c>
      <c r="F117" s="0" t="inlineStr">
        <is>
          <t xml:space="preserve">C</t>
        </is>
      </c>
      <c r="G117" s="4">
        <v>7.7375359999999995</v>
      </c>
      <c r="H117" s="0" t="inlineStr">
        <is>
          <t xml:space="preserve">2024-05-16</t>
        </is>
      </c>
      <c r="I117" s="0" t="inlineStr">
        <is>
          <t xml:space="preserve">no</t>
        </is>
      </c>
      <c r="J117" s="0" t="inlineStr">
        <is>
          <t xml:space="preserve">N0002423R2275</t>
        </is>
      </c>
      <c r="K117" s="0" t="inlineStr">
        <is>
          <t xml:space="preserve">NONE</t>
        </is>
      </c>
    </row>
    <row r="118">
      <c r="B118" s="0" t="inlineStr">
        <is>
          <t xml:space="preserve">M6785423F1047</t>
        </is>
      </c>
      <c r="C118" s="0" t="inlineStr">
        <is>
          <t xml:space="preserve">M6785421D1801</t>
        </is>
      </c>
      <c r="D118" s="0" t="inlineStr">
        <is>
          <t xml:space="preserve">small_craft</t>
        </is>
      </c>
      <c r="E118" s="0" t="inlineStr">
        <is>
          <t xml:space="preserve">WING INFLATABLES INC</t>
        </is>
      </c>
      <c r="F118" s="0" t="inlineStr">
        <is>
          <t xml:space="preserve">C</t>
        </is>
      </c>
      <c r="G118" s="4">
        <v>7.7307</v>
      </c>
      <c r="H118" s="0" t="inlineStr">
        <is>
          <t xml:space="preserve">2023-08-16</t>
        </is>
      </c>
      <c r="I118" s="0" t="inlineStr">
        <is>
          <t xml:space="preserve">no</t>
        </is>
      </c>
      <c r="J118" s="0" t="inlineStr">
        <is>
          <t xml:space="preserve">M6785421R1801</t>
        </is>
      </c>
      <c r="K118" s="0" t="inlineStr">
        <is>
          <t xml:space="preserve">NONE</t>
        </is>
      </c>
    </row>
    <row r="119">
      <c r="B119" s="0" t="inlineStr">
        <is>
          <t xml:space="preserve">N0002420F22J2</t>
        </is>
      </c>
      <c r="C119" s="0" t="inlineStr">
        <is>
          <t xml:space="preserve">N0002416D2215</t>
        </is>
      </c>
      <c r="D119" s="0" t="inlineStr">
        <is>
          <t xml:space="preserve">small_craft</t>
        </is>
      </c>
      <c r="E119" s="0" t="inlineStr">
        <is>
          <t xml:space="preserve">UNITED STATES MARINE INC</t>
        </is>
      </c>
      <c r="F119" s="0" t="inlineStr">
        <is>
          <t xml:space="preserve">C</t>
        </is>
      </c>
      <c r="G119" s="4">
        <v>7.572363809999999</v>
      </c>
      <c r="H119" s="0" t="inlineStr">
        <is>
          <t xml:space="preserve">2020-08-04</t>
        </is>
      </c>
      <c r="I119" s="0" t="inlineStr">
        <is>
          <t xml:space="preserve">no</t>
        </is>
      </c>
      <c r="J119" s="0" t="inlineStr">
        <is>
          <t xml:space="preserve">N0002416R2215</t>
        </is>
      </c>
      <c r="K119" s="0" t="inlineStr">
        <is>
          <t xml:space="preserve">NONE</t>
        </is>
      </c>
    </row>
    <row r="120">
      <c r="B120" s="0" t="inlineStr">
        <is>
          <t xml:space="preserve">N6893624P0258</t>
        </is>
      </c>
      <c r="D120" s="0" t="inlineStr">
        <is>
          <t xml:space="preserve">small_craft</t>
        </is>
      </c>
      <c r="E120" s="0" t="inlineStr">
        <is>
          <t xml:space="preserve">GRAVOIS ALUMINUM BOATS LLC</t>
        </is>
      </c>
      <c r="F120" s="0" t="inlineStr">
        <is>
          <t xml:space="preserve">B</t>
        </is>
      </c>
      <c r="G120" s="4">
        <v>7.54407917</v>
      </c>
      <c r="H120" s="0" t="inlineStr">
        <is>
          <t xml:space="preserve">2024-07-15</t>
        </is>
      </c>
      <c r="I120" s="0" t="inlineStr">
        <is>
          <t xml:space="preserve">no</t>
        </is>
      </c>
      <c r="J120" s="0" t="inlineStr">
        <is>
          <t xml:space="preserve">N6893623Q0184</t>
        </is>
      </c>
      <c r="K120" s="0" t="inlineStr">
        <is>
          <t xml:space="preserve">NONE</t>
        </is>
      </c>
    </row>
    <row r="121">
      <c r="B121" s="0" t="inlineStr">
        <is>
          <t xml:space="preserve">N0002422F22A7</t>
        </is>
      </c>
      <c r="C121" s="0" t="inlineStr">
        <is>
          <t xml:space="preserve">N0002417D2201</t>
        </is>
      </c>
      <c r="D121" s="0" t="inlineStr">
        <is>
          <t xml:space="preserve">small_craft</t>
        </is>
      </c>
      <c r="E121" s="0" t="inlineStr">
        <is>
          <t xml:space="preserve">GRAVOIS ALUMINUM BOATS LLC</t>
        </is>
      </c>
      <c r="F121" s="0" t="inlineStr">
        <is>
          <t xml:space="preserve">C</t>
        </is>
      </c>
      <c r="G121" s="4">
        <v>7.508695759999999</v>
      </c>
      <c r="H121" s="0" t="inlineStr">
        <is>
          <t xml:space="preserve">2022-09-29</t>
        </is>
      </c>
      <c r="I121" s="0" t="inlineStr">
        <is>
          <t xml:space="preserve">no</t>
        </is>
      </c>
      <c r="J121" s="0" t="inlineStr">
        <is>
          <t xml:space="preserve">N0002417R2201</t>
        </is>
      </c>
      <c r="K121" s="0" t="inlineStr">
        <is>
          <t xml:space="preserve">NONE</t>
        </is>
      </c>
    </row>
    <row r="122">
      <c r="B122" s="0" t="inlineStr">
        <is>
          <t xml:space="preserve">N0002425F22B4</t>
        </is>
      </c>
      <c r="C122" s="0" t="inlineStr">
        <is>
          <t xml:space="preserve">N0002421D2205</t>
        </is>
      </c>
      <c r="D122" s="0" t="inlineStr">
        <is>
          <t xml:space="preserve">small_craft</t>
        </is>
      </c>
      <c r="E122" s="0" t="inlineStr">
        <is>
          <t xml:space="preserve">SILVER SHIPS, INC</t>
        </is>
      </c>
      <c r="F122" s="0" t="inlineStr">
        <is>
          <t xml:space="preserve">C</t>
        </is>
      </c>
      <c r="G122" s="4">
        <v>7.50710377</v>
      </c>
      <c r="H122" s="0" t="inlineStr">
        <is>
          <t xml:space="preserve">2025-09-29</t>
        </is>
      </c>
      <c r="I122" s="0" t="inlineStr">
        <is>
          <t xml:space="preserve">yes</t>
        </is>
      </c>
      <c r="J122" s="0" t="inlineStr">
        <is>
          <t xml:space="preserve">N0002421R2205</t>
        </is>
      </c>
      <c r="K122" s="0" t="inlineStr">
        <is>
          <t xml:space="preserve">NONE</t>
        </is>
      </c>
    </row>
    <row r="123">
      <c r="B123" s="0" t="inlineStr">
        <is>
          <t xml:space="preserve">N0002418F22X2</t>
        </is>
      </c>
      <c r="C123" s="0" t="inlineStr">
        <is>
          <t xml:space="preserve">N0002417D2209</t>
        </is>
      </c>
      <c r="D123" s="0" t="inlineStr">
        <is>
          <t xml:space="preserve">small_craft</t>
        </is>
      </c>
      <c r="E123" s="0" t="inlineStr">
        <is>
          <t xml:space="preserve">GRAVOIS ALUMINUM BOATS LLC</t>
        </is>
      </c>
      <c r="F123" s="0" t="inlineStr">
        <is>
          <t xml:space="preserve">C</t>
        </is>
      </c>
      <c r="G123" s="4">
        <v>7.4511261399999995</v>
      </c>
      <c r="H123" s="0" t="inlineStr">
        <is>
          <t xml:space="preserve">2018-09-13</t>
        </is>
      </c>
      <c r="I123" s="0" t="inlineStr">
        <is>
          <t xml:space="preserve">no</t>
        </is>
      </c>
      <c r="J123" s="0" t="inlineStr">
        <is>
          <t xml:space="preserve">N0002417R2209</t>
        </is>
      </c>
      <c r="K123" s="0" t="inlineStr">
        <is>
          <t xml:space="preserve">NONE</t>
        </is>
      </c>
    </row>
    <row r="124">
      <c r="B124" s="0" t="inlineStr">
        <is>
          <t xml:space="preserve">N0002419F22W1</t>
        </is>
      </c>
      <c r="C124" s="0" t="inlineStr">
        <is>
          <t xml:space="preserve">N0002419D2220</t>
        </is>
      </c>
      <c r="D124" s="0" t="inlineStr">
        <is>
          <t xml:space="preserve">small_craft</t>
        </is>
      </c>
      <c r="E124" s="0" t="inlineStr">
        <is>
          <t xml:space="preserve">RIBCRAFT USA, LLC</t>
        </is>
      </c>
      <c r="F124" s="0" t="inlineStr">
        <is>
          <t xml:space="preserve">C</t>
        </is>
      </c>
      <c r="G124" s="4">
        <v>7.43656792</v>
      </c>
      <c r="H124" s="0" t="inlineStr">
        <is>
          <t xml:space="preserve">2019-04-04</t>
        </is>
      </c>
      <c r="I124" s="0" t="inlineStr">
        <is>
          <t xml:space="preserve">no</t>
        </is>
      </c>
      <c r="J124" s="0" t="inlineStr">
        <is>
          <t xml:space="preserve">N0002418R2220</t>
        </is>
      </c>
      <c r="K124" s="0" t="inlineStr">
        <is>
          <t xml:space="preserve">NONE</t>
        </is>
      </c>
    </row>
    <row r="125">
      <c r="B125" s="0" t="inlineStr">
        <is>
          <t xml:space="preserve">N0002424F22A8</t>
        </is>
      </c>
      <c r="C125" s="0" t="inlineStr">
        <is>
          <t xml:space="preserve">N0002416D2215</t>
        </is>
      </c>
      <c r="D125" s="0" t="inlineStr">
        <is>
          <t xml:space="preserve">small_craft</t>
        </is>
      </c>
      <c r="E125" s="0" t="inlineStr">
        <is>
          <t xml:space="preserve">UNITED STATES MARINE INC</t>
        </is>
      </c>
      <c r="F125" s="0" t="inlineStr">
        <is>
          <t xml:space="preserve">C</t>
        </is>
      </c>
      <c r="G125" s="4">
        <v>7.300380849999999</v>
      </c>
      <c r="H125" s="0" t="inlineStr">
        <is>
          <t xml:space="preserve">2024-07-22</t>
        </is>
      </c>
      <c r="I125" s="0" t="inlineStr">
        <is>
          <t xml:space="preserve">no</t>
        </is>
      </c>
      <c r="J125" s="0" t="inlineStr">
        <is>
          <t xml:space="preserve">N0002416R2215</t>
        </is>
      </c>
      <c r="K125" s="0" t="inlineStr">
        <is>
          <t xml:space="preserve">NONE</t>
        </is>
      </c>
    </row>
    <row r="126">
      <c r="B126" s="0" t="inlineStr">
        <is>
          <t xml:space="preserve">N0002423F23B4</t>
        </is>
      </c>
      <c r="C126" s="0" t="inlineStr">
        <is>
          <t xml:space="preserve">N0002416D2215</t>
        </is>
      </c>
      <c r="D126" s="0" t="inlineStr">
        <is>
          <t xml:space="preserve">small_craft</t>
        </is>
      </c>
      <c r="E126" s="0" t="inlineStr">
        <is>
          <t xml:space="preserve">UNITED STATES MARINE INC</t>
        </is>
      </c>
      <c r="F126" s="0" t="inlineStr">
        <is>
          <t xml:space="preserve">C</t>
        </is>
      </c>
      <c r="G126" s="4">
        <v>7.2065233</v>
      </c>
      <c r="H126" s="0" t="inlineStr">
        <is>
          <t xml:space="preserve">2023-06-29</t>
        </is>
      </c>
      <c r="I126" s="0" t="inlineStr">
        <is>
          <t xml:space="preserve">no</t>
        </is>
      </c>
      <c r="J126" s="0" t="inlineStr">
        <is>
          <t xml:space="preserve">N0002416R2215</t>
        </is>
      </c>
      <c r="K126" s="0" t="inlineStr">
        <is>
          <t xml:space="preserve">NONE</t>
        </is>
      </c>
    </row>
    <row r="127">
      <c r="B127" s="0" t="inlineStr">
        <is>
          <t xml:space="preserve">N0001423C1052</t>
        </is>
      </c>
      <c r="D127" s="0" t="inlineStr">
        <is>
          <t xml:space="preserve">usv_core</t>
        </is>
      </c>
      <c r="E127" s="0" t="inlineStr">
        <is>
          <t xml:space="preserve">UNIVERSITY OF SOUTH CAROLINA</t>
        </is>
      </c>
      <c r="F127" s="0" t="inlineStr">
        <is>
          <t xml:space="preserve">D</t>
        </is>
      </c>
      <c r="G127" s="4">
        <v>7.14</v>
      </c>
      <c r="H127" s="0" t="inlineStr">
        <is>
          <t xml:space="preserve">2023-08-09</t>
        </is>
      </c>
      <c r="I127" s="0" t="inlineStr">
        <is>
          <t xml:space="preserve">no</t>
        </is>
      </c>
      <c r="J127" s="0" t="inlineStr">
        <is>
          <t xml:space="preserve">N0001422SB001</t>
        </is>
      </c>
      <c r="K127" s="0" t="inlineStr">
        <is>
          <t xml:space="preserve">NONE</t>
        </is>
      </c>
    </row>
    <row r="128">
      <c r="B128" s="0" t="inlineStr">
        <is>
          <t xml:space="preserve">N0002419F2240</t>
        </is>
      </c>
      <c r="C128" s="0" t="inlineStr">
        <is>
          <t xml:space="preserve">GS07F5488P</t>
        </is>
      </c>
      <c r="D128" s="0" t="inlineStr">
        <is>
          <t xml:space="preserve">small_craft</t>
        </is>
      </c>
      <c r="E128" s="0" t="inlineStr">
        <is>
          <t xml:space="preserve">MODUTECH MARINE, INC.</t>
        </is>
      </c>
      <c r="F128" s="0" t="inlineStr">
        <is>
          <t xml:space="preserve">C</t>
        </is>
      </c>
      <c r="G128" s="4">
        <v>7.123011249999999</v>
      </c>
      <c r="H128" s="0" t="inlineStr">
        <is>
          <t xml:space="preserve">2019-09-25</t>
        </is>
      </c>
      <c r="I128" s="0" t="inlineStr">
        <is>
          <t xml:space="preserve">no</t>
        </is>
      </c>
      <c r="J128" s="0" t="inlineStr">
        <is>
          <t xml:space="preserve">N0002419T2240</t>
        </is>
      </c>
      <c r="K128" s="0" t="inlineStr">
        <is>
          <t xml:space="preserve">NONE</t>
        </is>
      </c>
    </row>
    <row r="129">
      <c r="B129" s="0" t="inlineStr">
        <is>
          <t xml:space="preserve">N0002422F22A9</t>
        </is>
      </c>
      <c r="C129" s="0" t="inlineStr">
        <is>
          <t xml:space="preserve">N0002417D2201</t>
        </is>
      </c>
      <c r="D129" s="0" t="inlineStr">
        <is>
          <t xml:space="preserve">small_craft</t>
        </is>
      </c>
      <c r="E129" s="0" t="inlineStr">
        <is>
          <t xml:space="preserve">GRAVOIS ALUMINUM BOATS LLC</t>
        </is>
      </c>
      <c r="F129" s="0" t="inlineStr">
        <is>
          <t xml:space="preserve">C</t>
        </is>
      </c>
      <c r="G129" s="4">
        <v>7.12098387</v>
      </c>
      <c r="H129" s="0" t="inlineStr">
        <is>
          <t xml:space="preserve">2022-09-29</t>
        </is>
      </c>
      <c r="I129" s="0" t="inlineStr">
        <is>
          <t xml:space="preserve">no</t>
        </is>
      </c>
      <c r="J129" s="0" t="inlineStr">
        <is>
          <t xml:space="preserve">N0002417R2201</t>
        </is>
      </c>
      <c r="K129" s="0" t="inlineStr">
        <is>
          <t xml:space="preserve">NONE</t>
        </is>
      </c>
    </row>
    <row r="130">
      <c r="B130" s="0" t="inlineStr">
        <is>
          <t xml:space="preserve">N0002413F2254</t>
        </is>
      </c>
      <c r="C130" s="0" t="inlineStr">
        <is>
          <t xml:space="preserve">GS07F0038H</t>
        </is>
      </c>
      <c r="D130" s="0" t="inlineStr">
        <is>
          <t xml:space="preserve">small_craft</t>
        </is>
      </c>
      <c r="E130" s="0" t="inlineStr">
        <is>
          <t xml:space="preserve">SAFE BOATS INTERNATIONAL LLC</t>
        </is>
      </c>
      <c r="F130" s="0" t="inlineStr">
        <is>
          <t xml:space="preserve">C</t>
        </is>
      </c>
      <c r="G130" s="4">
        <v>7.06341028</v>
      </c>
      <c r="H130" s="0" t="inlineStr">
        <is>
          <t xml:space="preserve">2013-07-24</t>
        </is>
      </c>
      <c r="I130" s="0" t="inlineStr">
        <is>
          <t xml:space="preserve">no</t>
        </is>
      </c>
      <c r="J130" s="0" t="inlineStr">
        <is>
          <t xml:space="preserve">N0002413T2254</t>
        </is>
      </c>
      <c r="K130" s="0" t="inlineStr">
        <is>
          <t xml:space="preserve">NONE</t>
        </is>
      </c>
    </row>
    <row r="131">
      <c r="B131" s="0" t="inlineStr">
        <is>
          <t xml:space="preserve">N0002425F22B1</t>
        </is>
      </c>
      <c r="C131" s="0" t="inlineStr">
        <is>
          <t xml:space="preserve">N0002424D2275</t>
        </is>
      </c>
      <c r="D131" s="0" t="inlineStr">
        <is>
          <t xml:space="preserve">small_craft</t>
        </is>
      </c>
      <c r="E131" s="0" t="inlineStr">
        <is>
          <t xml:space="preserve">GRAVOIS ALUMINUM BOATS LLC</t>
        </is>
      </c>
      <c r="F131" s="0" t="inlineStr">
        <is>
          <t xml:space="preserve">C</t>
        </is>
      </c>
      <c r="G131" s="4">
        <v>6.925910539999999</v>
      </c>
      <c r="H131" s="0" t="inlineStr">
        <is>
          <t xml:space="preserve">2025-06-17</t>
        </is>
      </c>
      <c r="I131" s="0" t="inlineStr">
        <is>
          <t xml:space="preserve">no</t>
        </is>
      </c>
      <c r="J131" s="0" t="inlineStr">
        <is>
          <t xml:space="preserve">N0002423R2275</t>
        </is>
      </c>
      <c r="K131" s="0" t="inlineStr">
        <is>
          <t xml:space="preserve">NONE</t>
        </is>
      </c>
    </row>
    <row r="132">
      <c r="B132" s="0" t="inlineStr">
        <is>
          <t xml:space="preserve">0008</t>
        </is>
      </c>
      <c r="C132" s="0" t="inlineStr">
        <is>
          <t xml:space="preserve">N0002409G2300</t>
        </is>
      </c>
      <c r="D132" s="0" t="inlineStr">
        <is>
          <t xml:space="preserve">other_small</t>
        </is>
      </c>
      <c r="E132" s="0" t="inlineStr">
        <is>
          <t xml:space="preserve">LOCKHEED MARTIN CORPORATION</t>
        </is>
      </c>
      <c r="F132" s="0" t="inlineStr">
        <is>
          <t xml:space="preserve">C</t>
        </is>
      </c>
      <c r="G132" s="4">
        <v>6.917803999999999</v>
      </c>
      <c r="H132" s="0" t="inlineStr">
        <is>
          <t xml:space="preserve">2009-03-23</t>
        </is>
      </c>
      <c r="I132" s="0" t="inlineStr">
        <is>
          <t xml:space="preserve">no</t>
        </is>
      </c>
      <c r="K132" s="0" t="inlineStr">
        <is>
          <t xml:space="preserve">NONE</t>
        </is>
      </c>
    </row>
    <row r="133">
      <c r="B133" s="0" t="inlineStr">
        <is>
          <t xml:space="preserve">N0002421F22B1</t>
        </is>
      </c>
      <c r="C133" s="0" t="inlineStr">
        <is>
          <t xml:space="preserve">N0002420D2210</t>
        </is>
      </c>
      <c r="D133" s="0" t="inlineStr">
        <is>
          <t xml:space="preserve">small_craft</t>
        </is>
      </c>
      <c r="E133" s="0" t="inlineStr">
        <is>
          <t xml:space="preserve">RIBCRAFT USA, LLC</t>
        </is>
      </c>
      <c r="F133" s="0" t="inlineStr">
        <is>
          <t xml:space="preserve">C</t>
        </is>
      </c>
      <c r="G133" s="4">
        <v>6.892786769999999</v>
      </c>
      <c r="H133" s="0" t="inlineStr">
        <is>
          <t xml:space="preserve">2021-01-27</t>
        </is>
      </c>
      <c r="I133" s="0" t="inlineStr">
        <is>
          <t xml:space="preserve">no</t>
        </is>
      </c>
      <c r="J133" s="0" t="inlineStr">
        <is>
          <t xml:space="preserve">N0002420R2210</t>
        </is>
      </c>
      <c r="K133" s="0" t="inlineStr">
        <is>
          <t xml:space="preserve">NONE</t>
        </is>
      </c>
    </row>
    <row r="134">
      <c r="B134" s="0" t="inlineStr">
        <is>
          <t xml:space="preserve">N3220517C4700</t>
        </is>
      </c>
      <c r="D134" s="0" t="inlineStr">
        <is>
          <t xml:space="preserve">other_small</t>
        </is>
      </c>
      <c r="E134" s="0" t="inlineStr">
        <is>
          <t xml:space="preserve">DETYENS SHIPYARDS INC</t>
        </is>
      </c>
      <c r="F134" s="0" t="inlineStr">
        <is>
          <t xml:space="preserve">D</t>
        </is>
      </c>
      <c r="G134" s="4">
        <v>6.8443225</v>
      </c>
      <c r="H134" s="0" t="inlineStr">
        <is>
          <t xml:space="preserve">2016-10-14</t>
        </is>
      </c>
      <c r="I134" s="0" t="inlineStr">
        <is>
          <t xml:space="preserve">no</t>
        </is>
      </c>
      <c r="J134" s="0" t="inlineStr">
        <is>
          <t xml:space="preserve">N3220516R4502</t>
        </is>
      </c>
      <c r="K134" s="0" t="inlineStr">
        <is>
          <t xml:space="preserve">NONE</t>
        </is>
      </c>
    </row>
    <row r="135">
      <c r="B135" s="0" t="inlineStr">
        <is>
          <t xml:space="preserve">N0002425F22A1</t>
        </is>
      </c>
      <c r="C135" s="0" t="inlineStr">
        <is>
          <t xml:space="preserve">N0002424D2276</t>
        </is>
      </c>
      <c r="D135" s="0" t="inlineStr">
        <is>
          <t xml:space="preserve">small_craft</t>
        </is>
      </c>
      <c r="E135" s="0" t="inlineStr">
        <is>
          <t xml:space="preserve">RECONCRAFT, LLC</t>
        </is>
      </c>
      <c r="F135" s="0" t="inlineStr">
        <is>
          <t xml:space="preserve">C</t>
        </is>
      </c>
      <c r="G135" s="4">
        <v>6.816885999999999</v>
      </c>
      <c r="H135" s="0" t="inlineStr">
        <is>
          <t xml:space="preserve">2024-12-12</t>
        </is>
      </c>
      <c r="I135" s="0" t="inlineStr">
        <is>
          <t xml:space="preserve">no</t>
        </is>
      </c>
      <c r="J135" s="0" t="inlineStr">
        <is>
          <t xml:space="preserve">N0002423R2275</t>
        </is>
      </c>
      <c r="K135" s="0" t="inlineStr">
        <is>
          <t xml:space="preserve">NONE</t>
        </is>
      </c>
    </row>
    <row r="136">
      <c r="B136" s="0" t="inlineStr">
        <is>
          <t xml:space="preserve">N0002420C2251</t>
        </is>
      </c>
      <c r="D136" s="0" t="inlineStr">
        <is>
          <t xml:space="preserve">small_craft</t>
        </is>
      </c>
      <c r="E136" s="0" t="inlineStr">
        <is>
          <t xml:space="preserve">SILVER SHIPS, INC</t>
        </is>
      </c>
      <c r="F136" s="0" t="inlineStr">
        <is>
          <t xml:space="preserve">D</t>
        </is>
      </c>
      <c r="G136" s="4">
        <v>6.760972</v>
      </c>
      <c r="H136" s="0" t="inlineStr">
        <is>
          <t xml:space="preserve">2020-09-29</t>
        </is>
      </c>
      <c r="I136" s="0" t="inlineStr">
        <is>
          <t xml:space="preserve">no</t>
        </is>
      </c>
      <c r="J136" s="0" t="inlineStr">
        <is>
          <t xml:space="preserve">N0002420R2251</t>
        </is>
      </c>
      <c r="K136" s="0" t="inlineStr">
        <is>
          <t xml:space="preserve">NONE</t>
        </is>
      </c>
    </row>
    <row r="137">
      <c r="B137" s="0" t="inlineStr">
        <is>
          <t xml:space="preserve">0002</t>
        </is>
      </c>
      <c r="C137" s="0" t="inlineStr">
        <is>
          <t xml:space="preserve">N0002414D2205</t>
        </is>
      </c>
      <c r="D137" s="0" t="inlineStr">
        <is>
          <t xml:space="preserve">small_craft</t>
        </is>
      </c>
      <c r="E137" s="0" t="inlineStr">
        <is>
          <t xml:space="preserve">SILVER SHIPS, INC</t>
        </is>
      </c>
      <c r="F137" s="0" t="inlineStr">
        <is>
          <t xml:space="preserve">C</t>
        </is>
      </c>
      <c r="G137" s="4">
        <v>6.720902</v>
      </c>
      <c r="H137" s="0" t="inlineStr">
        <is>
          <t xml:space="preserve">2014-09-11</t>
        </is>
      </c>
      <c r="I137" s="0" t="inlineStr">
        <is>
          <t xml:space="preserve">no</t>
        </is>
      </c>
      <c r="J137" s="0" t="inlineStr">
        <is>
          <t xml:space="preserve">N0002413R2205</t>
        </is>
      </c>
      <c r="K137" s="0" t="inlineStr">
        <is>
          <t xml:space="preserve">NONE</t>
        </is>
      </c>
    </row>
    <row r="138">
      <c r="B138" s="0" t="inlineStr">
        <is>
          <t xml:space="preserve">HR12</t>
        </is>
      </c>
      <c r="C138" s="0" t="inlineStr">
        <is>
          <t xml:space="preserve">N0017804D4068</t>
        </is>
      </c>
      <c r="D138" s="0" t="inlineStr">
        <is>
          <t xml:space="preserve">usv_core</t>
        </is>
      </c>
      <c r="E138" s="0" t="inlineStr">
        <is>
          <t xml:space="preserve">INNOVATIVE PROFESSIONAL SOLUTIONS, INC.</t>
        </is>
      </c>
      <c r="F138" s="0" t="inlineStr">
        <is>
          <t xml:space="preserve">C</t>
        </is>
      </c>
      <c r="G138" s="4">
        <v>6.703340799999999</v>
      </c>
      <c r="H138" s="0" t="inlineStr">
        <is>
          <t xml:space="preserve">2016-05-02</t>
        </is>
      </c>
      <c r="I138" s="0" t="inlineStr">
        <is>
          <t xml:space="preserve">no</t>
        </is>
      </c>
      <c r="J138" s="0" t="inlineStr">
        <is>
          <t xml:space="preserve">N0002415R3375</t>
        </is>
      </c>
      <c r="K138" s="0" t="inlineStr">
        <is>
          <t xml:space="preserve">NONE</t>
        </is>
      </c>
    </row>
    <row r="139">
      <c r="B139" s="0" t="inlineStr">
        <is>
          <t xml:space="preserve">HR06</t>
        </is>
      </c>
      <c r="C139" s="0" t="inlineStr">
        <is>
          <t xml:space="preserve">N0017804D4068</t>
        </is>
      </c>
      <c r="D139" s="0" t="inlineStr">
        <is>
          <t xml:space="preserve">usv_core</t>
        </is>
      </c>
      <c r="E139" s="0" t="inlineStr">
        <is>
          <t xml:space="preserve">INNOVATIVE PROFESSIONAL SOLUTIONS, INC.</t>
        </is>
      </c>
      <c r="F139" s="0" t="inlineStr">
        <is>
          <t xml:space="preserve">C</t>
        </is>
      </c>
      <c r="G139" s="4">
        <v>6.686191539999999</v>
      </c>
      <c r="H139" s="0" t="inlineStr">
        <is>
          <t xml:space="preserve">2013-01-09</t>
        </is>
      </c>
      <c r="I139" s="0" t="inlineStr">
        <is>
          <t xml:space="preserve">no</t>
        </is>
      </c>
      <c r="J139" s="0" t="inlineStr">
        <is>
          <t xml:space="preserve">N0002412R3197</t>
        </is>
      </c>
      <c r="K139" s="0" t="inlineStr">
        <is>
          <t xml:space="preserve">NONE</t>
        </is>
      </c>
    </row>
    <row r="140">
      <c r="B140" s="0" t="inlineStr">
        <is>
          <t xml:space="preserve">N0002423C2220</t>
        </is>
      </c>
      <c r="D140" s="0" t="inlineStr">
        <is>
          <t xml:space="preserve">small_craft</t>
        </is>
      </c>
      <c r="E140" s="0" t="inlineStr">
        <is>
          <t xml:space="preserve">MARINE GROUP BOAT WORKS, LLC</t>
        </is>
      </c>
      <c r="F140" s="0" t="inlineStr">
        <is>
          <t xml:space="preserve">D</t>
        </is>
      </c>
      <c r="G140" s="4">
        <v>6.667018</v>
      </c>
      <c r="H140" s="0" t="inlineStr">
        <is>
          <t xml:space="preserve">2023-04-05</t>
        </is>
      </c>
      <c r="I140" s="0" t="inlineStr">
        <is>
          <t xml:space="preserve">no</t>
        </is>
      </c>
      <c r="J140" s="0" t="inlineStr">
        <is>
          <t xml:space="preserve">N0002423R2220</t>
        </is>
      </c>
      <c r="K140" s="0" t="inlineStr">
        <is>
          <t xml:space="preserve">NONE</t>
        </is>
      </c>
    </row>
    <row r="141">
      <c r="B141" s="0" t="inlineStr">
        <is>
          <t xml:space="preserve">N3220515C4000</t>
        </is>
      </c>
      <c r="D141" s="0" t="inlineStr">
        <is>
          <t xml:space="preserve">other_small</t>
        </is>
      </c>
      <c r="E141" s="0" t="inlineStr">
        <is>
          <t xml:space="preserve">VIGOR MARINE LLC</t>
        </is>
      </c>
      <c r="F141" s="0" t="inlineStr">
        <is>
          <t xml:space="preserve">D</t>
        </is>
      </c>
      <c r="G141" s="4">
        <v>6.621688</v>
      </c>
      <c r="H141" s="0" t="inlineStr">
        <is>
          <t xml:space="preserve">2014-11-24</t>
        </is>
      </c>
      <c r="I141" s="0" t="inlineStr">
        <is>
          <t xml:space="preserve">no</t>
        </is>
      </c>
      <c r="J141" s="0" t="inlineStr">
        <is>
          <t xml:space="preserve">N3220514R4000</t>
        </is>
      </c>
      <c r="K141" s="0" t="inlineStr">
        <is>
          <t xml:space="preserve">NONE</t>
        </is>
      </c>
    </row>
    <row r="142">
      <c r="B142" s="0" t="inlineStr">
        <is>
          <t xml:space="preserve">N0002419C2214</t>
        </is>
      </c>
      <c r="D142" s="0" t="inlineStr">
        <is>
          <t xml:space="preserve">small_craft</t>
        </is>
      </c>
      <c r="E142" s="0" t="inlineStr">
        <is>
          <t xml:space="preserve">VETERANS' GROUP LLC</t>
        </is>
      </c>
      <c r="F142" s="0" t="inlineStr">
        <is>
          <t xml:space="preserve">D</t>
        </is>
      </c>
      <c r="G142" s="4">
        <v>6.60235619</v>
      </c>
      <c r="H142" s="0" t="inlineStr">
        <is>
          <t xml:space="preserve">2019-09-25</t>
        </is>
      </c>
      <c r="I142" s="0" t="inlineStr">
        <is>
          <t xml:space="preserve">no</t>
        </is>
      </c>
      <c r="J142" s="0" t="inlineStr">
        <is>
          <t xml:space="preserve">N0002419R2214</t>
        </is>
      </c>
      <c r="K142" s="0" t="inlineStr">
        <is>
          <t xml:space="preserve">NONE</t>
        </is>
      </c>
    </row>
    <row r="143">
      <c r="B143" s="0" t="inlineStr">
        <is>
          <t xml:space="preserve">N0002422C2504</t>
        </is>
      </c>
      <c r="D143" s="0" t="inlineStr">
        <is>
          <t xml:space="preserve">other_small</t>
        </is>
      </c>
      <c r="E143" s="0" t="inlineStr">
        <is>
          <t xml:space="preserve">L3 TECHNOLOGIES, INC.</t>
        </is>
      </c>
      <c r="F143" s="0" t="inlineStr">
        <is>
          <t xml:space="preserve">D</t>
        </is>
      </c>
      <c r="G143" s="4">
        <v>6.44862192</v>
      </c>
      <c r="H143" s="0" t="inlineStr">
        <is>
          <t xml:space="preserve">2022-04-04</t>
        </is>
      </c>
      <c r="I143" s="0" t="inlineStr">
        <is>
          <t xml:space="preserve">no</t>
        </is>
      </c>
      <c r="J143" s="0" t="inlineStr">
        <is>
          <t xml:space="preserve">N0002421R2504</t>
        </is>
      </c>
      <c r="K143" s="0" t="inlineStr">
        <is>
          <t xml:space="preserve">NONE</t>
        </is>
      </c>
    </row>
    <row r="144">
      <c r="B144" s="0" t="inlineStr">
        <is>
          <t xml:space="preserve">N0002420F22W1</t>
        </is>
      </c>
      <c r="C144" s="0" t="inlineStr">
        <is>
          <t xml:space="preserve">N0002420D2222</t>
        </is>
      </c>
      <c r="D144" s="0" t="inlineStr">
        <is>
          <t xml:space="preserve">small_craft</t>
        </is>
      </c>
      <c r="E144" s="0" t="inlineStr">
        <is>
          <t xml:space="preserve">LAKE ASSAULT BOATS, LLC</t>
        </is>
      </c>
      <c r="F144" s="0" t="inlineStr">
        <is>
          <t xml:space="preserve">C</t>
        </is>
      </c>
      <c r="G144" s="4">
        <v>6.39559304</v>
      </c>
      <c r="H144" s="0" t="inlineStr">
        <is>
          <t xml:space="preserve">2020-01-28</t>
        </is>
      </c>
      <c r="I144" s="0" t="inlineStr">
        <is>
          <t xml:space="preserve">no</t>
        </is>
      </c>
      <c r="J144" s="0" t="inlineStr">
        <is>
          <t xml:space="preserve">N0002419R2222</t>
        </is>
      </c>
      <c r="K144" s="0" t="inlineStr">
        <is>
          <t xml:space="preserve">NONE</t>
        </is>
      </c>
    </row>
    <row r="145">
      <c r="B145" s="0" t="inlineStr">
        <is>
          <t xml:space="preserve">N0002423F22C1</t>
        </is>
      </c>
      <c r="C145" s="0" t="inlineStr">
        <is>
          <t xml:space="preserve">N0002423D2260</t>
        </is>
      </c>
      <c r="D145" s="0" t="inlineStr">
        <is>
          <t xml:space="preserve">small_craft</t>
        </is>
      </c>
      <c r="E145" s="0" t="inlineStr">
        <is>
          <t xml:space="preserve">METALCRAFT MARINE US, INC.</t>
        </is>
      </c>
      <c r="F145" s="0" t="inlineStr">
        <is>
          <t xml:space="preserve">C</t>
        </is>
      </c>
      <c r="G145" s="4">
        <v>6.39444709</v>
      </c>
      <c r="H145" s="0" t="inlineStr">
        <is>
          <t xml:space="preserve">2023-08-31</t>
        </is>
      </c>
      <c r="I145" s="0" t="inlineStr">
        <is>
          <t xml:space="preserve">no</t>
        </is>
      </c>
      <c r="J145" s="0" t="inlineStr">
        <is>
          <t xml:space="preserve">N0002423R2260</t>
        </is>
      </c>
      <c r="K145" s="0" t="inlineStr">
        <is>
          <t xml:space="preserve">NONE</t>
        </is>
      </c>
    </row>
    <row r="146">
      <c r="B146" s="0" t="inlineStr">
        <is>
          <t xml:space="preserve">N0002422C2506</t>
        </is>
      </c>
      <c r="D146" s="0" t="inlineStr">
        <is>
          <t xml:space="preserve">other_small</t>
        </is>
      </c>
      <c r="E146" s="0" t="inlineStr">
        <is>
          <t xml:space="preserve">HUNTINGTON INGALLS INCORPORATED</t>
        </is>
      </c>
      <c r="F146" s="0" t="inlineStr">
        <is>
          <t xml:space="preserve">D</t>
        </is>
      </c>
      <c r="G146" s="4">
        <v>6.3936855</v>
      </c>
      <c r="H146" s="0" t="inlineStr">
        <is>
          <t xml:space="preserve">2022-04-04</t>
        </is>
      </c>
      <c r="I146" s="0" t="inlineStr">
        <is>
          <t xml:space="preserve">no</t>
        </is>
      </c>
      <c r="J146" s="0" t="inlineStr">
        <is>
          <t xml:space="preserve">N0002421R2504</t>
        </is>
      </c>
      <c r="K146" s="0" t="inlineStr">
        <is>
          <t xml:space="preserve">NONE</t>
        </is>
      </c>
    </row>
    <row r="147">
      <c r="B147" s="0" t="inlineStr">
        <is>
          <t xml:space="preserve">N0002425F8142</t>
        </is>
      </c>
      <c r="C147" s="0" t="inlineStr">
        <is>
          <t xml:space="preserve">N0002422D6404</t>
        </is>
      </c>
      <c r="D147" s="0" t="inlineStr">
        <is>
          <t xml:space="preserve">usv_core</t>
        </is>
      </c>
      <c r="E147" s="0" t="inlineStr">
        <is>
          <t xml:space="preserve">THE JOHNS HOPKINS UNIVERSITY APPLIED PHYSICS LABORATORY LLC</t>
        </is>
      </c>
      <c r="F147" s="0" t="inlineStr">
        <is>
          <t xml:space="preserve">C</t>
        </is>
      </c>
      <c r="G147" s="4">
        <v>6.342229</v>
      </c>
      <c r="H147" s="0" t="inlineStr">
        <is>
          <t xml:space="preserve">2025-07-28</t>
        </is>
      </c>
      <c r="I147" s="0" t="inlineStr">
        <is>
          <t xml:space="preserve">yes</t>
        </is>
      </c>
      <c r="K147" s="0" t="inlineStr">
        <is>
          <t xml:space="preserve">NONE</t>
        </is>
      </c>
    </row>
    <row r="148">
      <c r="B148" s="0" t="inlineStr">
        <is>
          <t xml:space="preserve">N0002423F23B3</t>
        </is>
      </c>
      <c r="C148" s="0" t="inlineStr">
        <is>
          <t xml:space="preserve">N0002421D2220</t>
        </is>
      </c>
      <c r="D148" s="0" t="inlineStr">
        <is>
          <t xml:space="preserve">small_craft</t>
        </is>
      </c>
      <c r="E148" s="0" t="inlineStr">
        <is>
          <t xml:space="preserve">UNITED STATES MARINE INC</t>
        </is>
      </c>
      <c r="F148" s="0" t="inlineStr">
        <is>
          <t xml:space="preserve">C</t>
        </is>
      </c>
      <c r="G148" s="4">
        <v>6.33191055</v>
      </c>
      <c r="H148" s="0" t="inlineStr">
        <is>
          <t xml:space="preserve">2023-08-04</t>
        </is>
      </c>
      <c r="I148" s="0" t="inlineStr">
        <is>
          <t xml:space="preserve">no</t>
        </is>
      </c>
      <c r="J148" s="0" t="inlineStr">
        <is>
          <t xml:space="preserve">N0002421R2220</t>
        </is>
      </c>
      <c r="K148" s="0" t="inlineStr">
        <is>
          <t xml:space="preserve">NONE</t>
        </is>
      </c>
    </row>
    <row r="149">
      <c r="B149" s="0" t="inlineStr">
        <is>
          <t xml:space="preserve">N0002423F8184</t>
        </is>
      </c>
      <c r="C149" s="0" t="inlineStr">
        <is>
          <t xml:space="preserve">N0002422D6404</t>
        </is>
      </c>
      <c r="D149" s="0" t="inlineStr">
        <is>
          <t xml:space="preserve">usv_core</t>
        </is>
      </c>
      <c r="E149" s="0" t="inlineStr">
        <is>
          <t xml:space="preserve">THE JOHNS HOPKINS UNIVERSITY APPLIED PHYSICS LABORATORY LLC</t>
        </is>
      </c>
      <c r="F149" s="0" t="inlineStr">
        <is>
          <t xml:space="preserve">C</t>
        </is>
      </c>
      <c r="G149" s="4">
        <v>6.316460999999999</v>
      </c>
      <c r="H149" s="0" t="inlineStr">
        <is>
          <t xml:space="preserve">2023-08-01</t>
        </is>
      </c>
      <c r="I149" s="0" t="inlineStr">
        <is>
          <t xml:space="preserve">no</t>
        </is>
      </c>
      <c r="K149" s="0" t="inlineStr">
        <is>
          <t xml:space="preserve">NONE</t>
        </is>
      </c>
    </row>
    <row r="150">
      <c r="B150" s="0" t="inlineStr">
        <is>
          <t xml:space="preserve">N0002420F22P2</t>
        </is>
      </c>
      <c r="C150" s="0" t="inlineStr">
        <is>
          <t xml:space="preserve">N0002417D2201</t>
        </is>
      </c>
      <c r="D150" s="0" t="inlineStr">
        <is>
          <t xml:space="preserve">small_craft</t>
        </is>
      </c>
      <c r="E150" s="0" t="inlineStr">
        <is>
          <t xml:space="preserve">GRAVOIS ALUMINUM BOATS LLC</t>
        </is>
      </c>
      <c r="F150" s="0" t="inlineStr">
        <is>
          <t xml:space="preserve">C</t>
        </is>
      </c>
      <c r="G150" s="4">
        <v>6.27065713</v>
      </c>
      <c r="H150" s="0" t="inlineStr">
        <is>
          <t xml:space="preserve">2020-05-29</t>
        </is>
      </c>
      <c r="I150" s="0" t="inlineStr">
        <is>
          <t xml:space="preserve">no</t>
        </is>
      </c>
      <c r="J150" s="0" t="inlineStr">
        <is>
          <t xml:space="preserve">N0002417R2201</t>
        </is>
      </c>
      <c r="K150" s="0" t="inlineStr">
        <is>
          <t xml:space="preserve">NONE</t>
        </is>
      </c>
    </row>
    <row r="151">
      <c r="B151" s="0" t="inlineStr">
        <is>
          <t xml:space="preserve">N0002425F22B2</t>
        </is>
      </c>
      <c r="C151" s="0" t="inlineStr">
        <is>
          <t xml:space="preserve">N0002422D2270</t>
        </is>
      </c>
      <c r="D151" s="0" t="inlineStr">
        <is>
          <t xml:space="preserve">small_craft</t>
        </is>
      </c>
      <c r="E151" s="0" t="inlineStr">
        <is>
          <t xml:space="preserve">METALCRAFT MARINE US, INC.</t>
        </is>
      </c>
      <c r="F151" s="0" t="inlineStr">
        <is>
          <t xml:space="preserve">C</t>
        </is>
      </c>
      <c r="G151" s="4">
        <v>6.245097599999999</v>
      </c>
      <c r="H151" s="0" t="inlineStr">
        <is>
          <t xml:space="preserve">2025-04-22</t>
        </is>
      </c>
      <c r="I151" s="0" t="inlineStr">
        <is>
          <t xml:space="preserve">no</t>
        </is>
      </c>
      <c r="J151" s="0" t="inlineStr">
        <is>
          <t xml:space="preserve">N0002422R2270</t>
        </is>
      </c>
      <c r="K151" s="0" t="inlineStr">
        <is>
          <t xml:space="preserve">NONE</t>
        </is>
      </c>
    </row>
    <row r="152">
      <c r="B152" s="0" t="inlineStr">
        <is>
          <t xml:space="preserve">N0002421F22C1</t>
        </is>
      </c>
      <c r="C152" s="0" t="inlineStr">
        <is>
          <t xml:space="preserve">N0002421D2255</t>
        </is>
      </c>
      <c r="D152" s="0" t="inlineStr">
        <is>
          <t xml:space="preserve">small_craft</t>
        </is>
      </c>
      <c r="E152" s="0" t="inlineStr">
        <is>
          <t xml:space="preserve">SNOW &amp; COMPANY, INC.</t>
        </is>
      </c>
      <c r="F152" s="0" t="inlineStr">
        <is>
          <t xml:space="preserve">C</t>
        </is>
      </c>
      <c r="G152" s="4">
        <v>6.239751299999999</v>
      </c>
      <c r="H152" s="0" t="inlineStr">
        <is>
          <t xml:space="preserve">2021-09-30</t>
        </is>
      </c>
      <c r="I152" s="0" t="inlineStr">
        <is>
          <t xml:space="preserve">no</t>
        </is>
      </c>
      <c r="J152" s="0" t="inlineStr">
        <is>
          <t xml:space="preserve">N0002421R2255</t>
        </is>
      </c>
      <c r="K152" s="0" t="inlineStr">
        <is>
          <t xml:space="preserve">NONE</t>
        </is>
      </c>
    </row>
    <row r="153">
      <c r="B153" s="0" t="inlineStr">
        <is>
          <t xml:space="preserve">N0002420F2205</t>
        </is>
      </c>
      <c r="C153" s="0" t="inlineStr">
        <is>
          <t xml:space="preserve">47QSWA18D009G</t>
        </is>
      </c>
      <c r="D153" s="0" t="inlineStr">
        <is>
          <t xml:space="preserve">small_craft</t>
        </is>
      </c>
      <c r="E153" s="0" t="inlineStr">
        <is>
          <t xml:space="preserve">SILVER SHIPS, INC</t>
        </is>
      </c>
      <c r="F153" s="0" t="inlineStr">
        <is>
          <t xml:space="preserve">C</t>
        </is>
      </c>
      <c r="G153" s="4">
        <v>6.120514</v>
      </c>
      <c r="H153" s="0" t="inlineStr">
        <is>
          <t xml:space="preserve">2020-09-25</t>
        </is>
      </c>
      <c r="I153" s="0" t="inlineStr">
        <is>
          <t xml:space="preserve">no</t>
        </is>
      </c>
      <c r="J153" s="0" t="inlineStr">
        <is>
          <t xml:space="preserve">N0002420R2205</t>
        </is>
      </c>
      <c r="K153" s="0" t="inlineStr">
        <is>
          <t xml:space="preserve">NONE</t>
        </is>
      </c>
    </row>
    <row r="154">
      <c r="B154" s="0" t="inlineStr">
        <is>
          <t xml:space="preserve">N0002421F22A1</t>
        </is>
      </c>
      <c r="C154" s="0" t="inlineStr">
        <is>
          <t xml:space="preserve">N0002421D2220</t>
        </is>
      </c>
      <c r="D154" s="0" t="inlineStr">
        <is>
          <t xml:space="preserve">small_craft</t>
        </is>
      </c>
      <c r="E154" s="0" t="inlineStr">
        <is>
          <t xml:space="preserve">UNITED STATES MARINE INC</t>
        </is>
      </c>
      <c r="F154" s="0" t="inlineStr">
        <is>
          <t xml:space="preserve">C</t>
        </is>
      </c>
      <c r="G154" s="4">
        <v>6.107126999999999</v>
      </c>
      <c r="H154" s="0" t="inlineStr">
        <is>
          <t xml:space="preserve">2021-09-29</t>
        </is>
      </c>
      <c r="I154" s="0" t="inlineStr">
        <is>
          <t xml:space="preserve">no</t>
        </is>
      </c>
      <c r="J154" s="0" t="inlineStr">
        <is>
          <t xml:space="preserve">N0002421R2220</t>
        </is>
      </c>
      <c r="K154" s="0" t="inlineStr">
        <is>
          <t xml:space="preserve">NONE</t>
        </is>
      </c>
    </row>
    <row r="155">
      <c r="B155" s="0" t="inlineStr">
        <is>
          <t xml:space="preserve">N0002414F2204</t>
        </is>
      </c>
      <c r="C155" s="0" t="inlineStr">
        <is>
          <t xml:space="preserve">GS07F6093P</t>
        </is>
      </c>
      <c r="D155" s="0" t="inlineStr">
        <is>
          <t xml:space="preserve">small_craft</t>
        </is>
      </c>
      <c r="E155" s="0" t="inlineStr">
        <is>
          <t xml:space="preserve">MARINE GROUP BOAT WORKS, LLC</t>
        </is>
      </c>
      <c r="F155" s="0" t="inlineStr">
        <is>
          <t xml:space="preserve">C</t>
        </is>
      </c>
      <c r="G155" s="4">
        <v>6.069045839999999</v>
      </c>
      <c r="H155" s="0" t="inlineStr">
        <is>
          <t xml:space="preserve">2014-08-14</t>
        </is>
      </c>
      <c r="I155" s="0" t="inlineStr">
        <is>
          <t xml:space="preserve">no</t>
        </is>
      </c>
      <c r="J155" s="0" t="inlineStr">
        <is>
          <t xml:space="preserve">N0002414T2204</t>
        </is>
      </c>
      <c r="K155" s="0" t="inlineStr">
        <is>
          <t xml:space="preserve">NONE</t>
        </is>
      </c>
    </row>
    <row r="156">
      <c r="B156" s="0" t="inlineStr">
        <is>
          <t xml:space="preserve">N3220517C4701</t>
        </is>
      </c>
      <c r="D156" s="0" t="inlineStr">
        <is>
          <t xml:space="preserve">other_small</t>
        </is>
      </c>
      <c r="E156" s="0" t="inlineStr">
        <is>
          <t xml:space="preserve">DETYENS SHIPYARDS INC</t>
        </is>
      </c>
      <c r="F156" s="0" t="inlineStr">
        <is>
          <t xml:space="preserve">D</t>
        </is>
      </c>
      <c r="G156" s="4">
        <v>6.003445999999999</v>
      </c>
      <c r="H156" s="0" t="inlineStr">
        <is>
          <t xml:space="preserve">2017-03-10</t>
        </is>
      </c>
      <c r="I156" s="0" t="inlineStr">
        <is>
          <t xml:space="preserve">no</t>
        </is>
      </c>
      <c r="J156" s="0" t="inlineStr">
        <is>
          <t xml:space="preserve">N3220517R4500</t>
        </is>
      </c>
      <c r="K156" s="0" t="inlineStr">
        <is>
          <t xml:space="preserve">NONE</t>
        </is>
      </c>
    </row>
    <row r="157">
      <c r="B157" s="0" t="inlineStr">
        <is>
          <t xml:space="preserve">0001</t>
        </is>
      </c>
      <c r="C157" s="0" t="inlineStr">
        <is>
          <t xml:space="preserve">N0002413D2253</t>
        </is>
      </c>
      <c r="D157" s="0" t="inlineStr">
        <is>
          <t xml:space="preserve">small_craft</t>
        </is>
      </c>
      <c r="E157" s="0" t="inlineStr">
        <is>
          <t xml:space="preserve">GRAVOIS ALUMINUM BOATS LLC</t>
        </is>
      </c>
      <c r="F157" s="0" t="inlineStr">
        <is>
          <t xml:space="preserve">C</t>
        </is>
      </c>
      <c r="G157" s="4">
        <v>5.929398</v>
      </c>
      <c r="H157" s="0" t="inlineStr">
        <is>
          <t xml:space="preserve">2013-06-13</t>
        </is>
      </c>
      <c r="I157" s="0" t="inlineStr">
        <is>
          <t xml:space="preserve">no</t>
        </is>
      </c>
      <c r="J157" s="0" t="inlineStr">
        <is>
          <t xml:space="preserve">N0002412R2253</t>
        </is>
      </c>
      <c r="K157" s="0" t="inlineStr">
        <is>
          <t xml:space="preserve">NONE</t>
        </is>
      </c>
    </row>
    <row r="158">
      <c r="B158" s="0" t="inlineStr">
        <is>
          <t xml:space="preserve">N0010426CJA04</t>
        </is>
      </c>
      <c r="D158" s="0" t="inlineStr">
        <is>
          <t xml:space="preserve">small_craft</t>
        </is>
      </c>
      <c r="E158" s="0" t="inlineStr">
        <is>
          <t xml:space="preserve">GE AVIATION SYSTEMS LLC</t>
        </is>
      </c>
      <c r="F158" s="0" t="inlineStr">
        <is>
          <t xml:space="preserve">D</t>
        </is>
      </c>
      <c r="G158" s="4">
        <v>5.880178559999999</v>
      </c>
      <c r="H158" s="0" t="inlineStr">
        <is>
          <t xml:space="preserve">2026-01-26</t>
        </is>
      </c>
      <c r="I158" s="0" t="inlineStr">
        <is>
          <t xml:space="preserve">yes</t>
        </is>
      </c>
      <c r="J158" s="0" t="inlineStr">
        <is>
          <t xml:space="preserve">N0010421RCB12</t>
        </is>
      </c>
      <c r="K158" s="0" t="inlineStr">
        <is>
          <t xml:space="preserve">NONE</t>
        </is>
      </c>
    </row>
    <row r="159">
      <c r="B159" s="0" t="inlineStr">
        <is>
          <t xml:space="preserve">N0002425F22B8</t>
        </is>
      </c>
      <c r="C159" s="0" t="inlineStr">
        <is>
          <t xml:space="preserve">N0002417D2201</t>
        </is>
      </c>
      <c r="D159" s="0" t="inlineStr">
        <is>
          <t xml:space="preserve">small_craft</t>
        </is>
      </c>
      <c r="E159" s="0" t="inlineStr">
        <is>
          <t xml:space="preserve">GRAVOIS ALUMINUM BOATS LLC</t>
        </is>
      </c>
      <c r="F159" s="0" t="inlineStr">
        <is>
          <t xml:space="preserve">C</t>
        </is>
      </c>
      <c r="G159" s="4">
        <v>5.763532</v>
      </c>
      <c r="H159" s="0" t="inlineStr">
        <is>
          <t xml:space="preserve">2025-09-03</t>
        </is>
      </c>
      <c r="I159" s="0" t="inlineStr">
        <is>
          <t xml:space="preserve">yes</t>
        </is>
      </c>
      <c r="J159" s="0" t="inlineStr">
        <is>
          <t xml:space="preserve">N0002417R2201</t>
        </is>
      </c>
      <c r="K159" s="0" t="inlineStr">
        <is>
          <t xml:space="preserve">NONE</t>
        </is>
      </c>
    </row>
    <row r="160">
      <c r="B160" s="0" t="inlineStr">
        <is>
          <t xml:space="preserve">N3220517C4403</t>
        </is>
      </c>
      <c r="D160" s="0" t="inlineStr">
        <is>
          <t xml:space="preserve">other_small</t>
        </is>
      </c>
      <c r="E160" s="0" t="inlineStr">
        <is>
          <t xml:space="preserve">COLONNA'S SHIP YARD, INCORPORATED</t>
        </is>
      </c>
      <c r="F160" s="0" t="inlineStr">
        <is>
          <t xml:space="preserve">D</t>
        </is>
      </c>
      <c r="G160" s="4">
        <v>5.65153874</v>
      </c>
      <c r="H160" s="0" t="inlineStr">
        <is>
          <t xml:space="preserve">2016-10-05</t>
        </is>
      </c>
      <c r="I160" s="0" t="inlineStr">
        <is>
          <t xml:space="preserve">no</t>
        </is>
      </c>
      <c r="J160" s="0" t="inlineStr">
        <is>
          <t xml:space="preserve">N3220516R4403</t>
        </is>
      </c>
      <c r="K160" s="0" t="inlineStr">
        <is>
          <t xml:space="preserve">NONE</t>
        </is>
      </c>
    </row>
    <row r="161">
      <c r="B161" s="0" t="inlineStr">
        <is>
          <t xml:space="preserve">N3220522P2191</t>
        </is>
      </c>
      <c r="D161" s="0" t="inlineStr">
        <is>
          <t xml:space="preserve">small_craft</t>
        </is>
      </c>
      <c r="E161" s="0" t="inlineStr">
        <is>
          <t xml:space="preserve">J. W. MARINE EQUIPMENT, INC.</t>
        </is>
      </c>
      <c r="F161" s="0" t="inlineStr">
        <is>
          <t xml:space="preserve">B</t>
        </is>
      </c>
      <c r="G161" s="4">
        <v>5.60854128</v>
      </c>
      <c r="H161" s="0" t="inlineStr">
        <is>
          <t xml:space="preserve">2022-08-01</t>
        </is>
      </c>
      <c r="I161" s="0" t="inlineStr">
        <is>
          <t xml:space="preserve">no</t>
        </is>
      </c>
      <c r="J161" s="0" t="inlineStr">
        <is>
          <t xml:space="preserve">N3220522Q0120</t>
        </is>
      </c>
      <c r="K161" s="0" t="inlineStr">
        <is>
          <t xml:space="preserve">NONE</t>
        </is>
      </c>
    </row>
    <row r="162">
      <c r="B162" s="0" t="inlineStr">
        <is>
          <t xml:space="preserve">N6600121F0994</t>
        </is>
      </c>
      <c r="C162" s="0" t="inlineStr">
        <is>
          <t xml:space="preserve">N6600121D0060</t>
        </is>
      </c>
      <c r="D162" s="0" t="inlineStr">
        <is>
          <t xml:space="preserve">usv_core</t>
        </is>
      </c>
      <c r="E162" s="0" t="inlineStr">
        <is>
          <t xml:space="preserve">PERATON INC.</t>
        </is>
      </c>
      <c r="F162" s="0" t="inlineStr">
        <is>
          <t xml:space="preserve">C</t>
        </is>
      </c>
      <c r="G162" s="4">
        <v>5.55122366</v>
      </c>
      <c r="H162" s="0" t="inlineStr">
        <is>
          <t xml:space="preserve">2021-07-15</t>
        </is>
      </c>
      <c r="I162" s="0" t="inlineStr">
        <is>
          <t xml:space="preserve">no</t>
        </is>
      </c>
      <c r="J162" s="0" t="inlineStr">
        <is>
          <t xml:space="preserve">N6600120R3412</t>
        </is>
      </c>
      <c r="K162" s="0" t="inlineStr">
        <is>
          <t xml:space="preserve">NONE</t>
        </is>
      </c>
    </row>
    <row r="163">
      <c r="B163" s="0" t="inlineStr">
        <is>
          <t xml:space="preserve">N0002425F22B7</t>
        </is>
      </c>
      <c r="C163" s="0" t="inlineStr">
        <is>
          <t xml:space="preserve">N0002421D2220</t>
        </is>
      </c>
      <c r="D163" s="0" t="inlineStr">
        <is>
          <t xml:space="preserve">small_craft</t>
        </is>
      </c>
      <c r="E163" s="0" t="inlineStr">
        <is>
          <t xml:space="preserve">UNITED STATES MARINE INC</t>
        </is>
      </c>
      <c r="F163" s="0" t="inlineStr">
        <is>
          <t xml:space="preserve">C</t>
        </is>
      </c>
      <c r="G163" s="4">
        <v>5.50390821</v>
      </c>
      <c r="H163" s="0" t="inlineStr">
        <is>
          <t xml:space="preserve">2025-09-26</t>
        </is>
      </c>
      <c r="I163" s="0" t="inlineStr">
        <is>
          <t xml:space="preserve">yes</t>
        </is>
      </c>
      <c r="J163" s="0" t="inlineStr">
        <is>
          <t xml:space="preserve">N0002421R2220</t>
        </is>
      </c>
      <c r="K163" s="0" t="inlineStr">
        <is>
          <t xml:space="preserve">NONE</t>
        </is>
      </c>
    </row>
    <row r="164">
      <c r="B164" s="0" t="inlineStr">
        <is>
          <t xml:space="preserve">N0002422F22B1</t>
        </is>
      </c>
      <c r="C164" s="0" t="inlineStr">
        <is>
          <t xml:space="preserve">N0002416D2215</t>
        </is>
      </c>
      <c r="D164" s="0" t="inlineStr">
        <is>
          <t xml:space="preserve">small_craft</t>
        </is>
      </c>
      <c r="E164" s="0" t="inlineStr">
        <is>
          <t xml:space="preserve">UNITED STATES MARINE INC</t>
        </is>
      </c>
      <c r="F164" s="0" t="inlineStr">
        <is>
          <t xml:space="preserve">C</t>
        </is>
      </c>
      <c r="G164" s="4">
        <v>5.49898699</v>
      </c>
      <c r="H164" s="0" t="inlineStr">
        <is>
          <t xml:space="preserve">2022-05-10</t>
        </is>
      </c>
      <c r="I164" s="0" t="inlineStr">
        <is>
          <t xml:space="preserve">no</t>
        </is>
      </c>
      <c r="J164" s="0" t="inlineStr">
        <is>
          <t xml:space="preserve">N0002416R2215</t>
        </is>
      </c>
      <c r="K164" s="0" t="inlineStr">
        <is>
          <t xml:space="preserve">NONE</t>
        </is>
      </c>
    </row>
    <row r="165">
      <c r="B165" s="0" t="inlineStr">
        <is>
          <t xml:space="preserve">M6785424F1012</t>
        </is>
      </c>
      <c r="C165" s="0" t="inlineStr">
        <is>
          <t xml:space="preserve">M6785421D1801</t>
        </is>
      </c>
      <c r="D165" s="0" t="inlineStr">
        <is>
          <t xml:space="preserve">small_craft</t>
        </is>
      </c>
      <c r="E165" s="0" t="inlineStr">
        <is>
          <t xml:space="preserve">WING INFLATABLES INC</t>
        </is>
      </c>
      <c r="F165" s="0" t="inlineStr">
        <is>
          <t xml:space="preserve">C</t>
        </is>
      </c>
      <c r="G165" s="4">
        <v>5.4361999999999995</v>
      </c>
      <c r="H165" s="0" t="inlineStr">
        <is>
          <t xml:space="preserve">2024-02-28</t>
        </is>
      </c>
      <c r="I165" s="0" t="inlineStr">
        <is>
          <t xml:space="preserve">no</t>
        </is>
      </c>
      <c r="J165" s="0" t="inlineStr">
        <is>
          <t xml:space="preserve">M6785421R1801</t>
        </is>
      </c>
      <c r="K165" s="0" t="inlineStr">
        <is>
          <t xml:space="preserve">NONE</t>
        </is>
      </c>
    </row>
    <row r="166">
      <c r="B166" s="0" t="inlineStr">
        <is>
          <t xml:space="preserve">N3220516C4500</t>
        </is>
      </c>
      <c r="D166" s="0" t="inlineStr">
        <is>
          <t xml:space="preserve">other_small</t>
        </is>
      </c>
      <c r="E166" s="0" t="inlineStr">
        <is>
          <t xml:space="preserve">DETYENS SHIPYARDS INC</t>
        </is>
      </c>
      <c r="F166" s="0" t="inlineStr">
        <is>
          <t xml:space="preserve">D</t>
        </is>
      </c>
      <c r="G166" s="4">
        <v>5.4137425</v>
      </c>
      <c r="H166" s="0" t="inlineStr">
        <is>
          <t xml:space="preserve">2015-11-24</t>
        </is>
      </c>
      <c r="I166" s="0" t="inlineStr">
        <is>
          <t xml:space="preserve">no</t>
        </is>
      </c>
      <c r="J166" s="0" t="inlineStr">
        <is>
          <t xml:space="preserve">N3220515R4012</t>
        </is>
      </c>
      <c r="K166" s="0" t="inlineStr">
        <is>
          <t xml:space="preserve">NONE</t>
        </is>
      </c>
    </row>
    <row r="167">
      <c r="B167" s="0" t="inlineStr">
        <is>
          <t xml:space="preserve">N0002417F22K1</t>
        </is>
      </c>
      <c r="C167" s="0" t="inlineStr">
        <is>
          <t xml:space="preserve">N0002417D2200</t>
        </is>
      </c>
      <c r="D167" s="0" t="inlineStr">
        <is>
          <t xml:space="preserve">small_craft</t>
        </is>
      </c>
      <c r="E167" s="0" t="inlineStr">
        <is>
          <t xml:space="preserve">WILLARD MARINE, INC.</t>
        </is>
      </c>
      <c r="F167" s="0" t="inlineStr">
        <is>
          <t xml:space="preserve">C</t>
        </is>
      </c>
      <c r="G167" s="4">
        <v>5.27875115</v>
      </c>
      <c r="H167" s="0" t="inlineStr">
        <is>
          <t xml:space="preserve">2017-04-03</t>
        </is>
      </c>
      <c r="I167" s="0" t="inlineStr">
        <is>
          <t xml:space="preserve">no</t>
        </is>
      </c>
      <c r="J167" s="0" t="inlineStr">
        <is>
          <t xml:space="preserve">N0002416R2200</t>
        </is>
      </c>
      <c r="K167" s="0" t="inlineStr">
        <is>
          <t xml:space="preserve">NONE</t>
        </is>
      </c>
    </row>
    <row r="168">
      <c r="B168" s="0" t="inlineStr">
        <is>
          <t xml:space="preserve">N0010422CZA16</t>
        </is>
      </c>
      <c r="D168" s="0" t="inlineStr">
        <is>
          <t xml:space="preserve">small_craft</t>
        </is>
      </c>
      <c r="E168" s="0" t="inlineStr">
        <is>
          <t xml:space="preserve">ERIE FORGE &amp; STEEL INC</t>
        </is>
      </c>
      <c r="F168" s="0" t="inlineStr">
        <is>
          <t xml:space="preserve">D</t>
        </is>
      </c>
      <c r="G168" s="4">
        <v>5.249033</v>
      </c>
      <c r="H168" s="0" t="inlineStr">
        <is>
          <t xml:space="preserve">2022-08-25</t>
        </is>
      </c>
      <c r="I168" s="0" t="inlineStr">
        <is>
          <t xml:space="preserve">no</t>
        </is>
      </c>
      <c r="K168" s="0" t="inlineStr">
        <is>
          <t xml:space="preserve">NONE</t>
        </is>
      </c>
    </row>
    <row r="169">
      <c r="B169" s="0" t="inlineStr">
        <is>
          <t xml:space="preserve">N3220516C4501</t>
        </is>
      </c>
      <c r="D169" s="0" t="inlineStr">
        <is>
          <t xml:space="preserve">other_small</t>
        </is>
      </c>
      <c r="E169" s="0" t="inlineStr">
        <is>
          <t xml:space="preserve">DETYENS SHIPYARDS INC</t>
        </is>
      </c>
      <c r="F169" s="0" t="inlineStr">
        <is>
          <t xml:space="preserve">D</t>
        </is>
      </c>
      <c r="G169" s="4">
        <v>5.14480904</v>
      </c>
      <c r="H169" s="0" t="inlineStr">
        <is>
          <t xml:space="preserve">2016-08-10</t>
        </is>
      </c>
      <c r="I169" s="0" t="inlineStr">
        <is>
          <t xml:space="preserve">no</t>
        </is>
      </c>
      <c r="J169" s="0" t="inlineStr">
        <is>
          <t xml:space="preserve">N3220516R4500</t>
        </is>
      </c>
      <c r="K169" s="0" t="inlineStr">
        <is>
          <t xml:space="preserve">NONE</t>
        </is>
      </c>
    </row>
    <row r="170">
      <c r="B170" s="0" t="inlineStr">
        <is>
          <t xml:space="preserve">N3220516C4402</t>
        </is>
      </c>
      <c r="D170" s="0" t="inlineStr">
        <is>
          <t xml:space="preserve">other_small</t>
        </is>
      </c>
      <c r="E170" s="0" t="inlineStr">
        <is>
          <t xml:space="preserve">JAG INDUSTRIAL SERVICES, INC</t>
        </is>
      </c>
      <c r="F170" s="0" t="inlineStr">
        <is>
          <t xml:space="preserve">D</t>
        </is>
      </c>
      <c r="G170" s="4">
        <v>5.09974516</v>
      </c>
      <c r="H170" s="0" t="inlineStr">
        <is>
          <t xml:space="preserve">2015-12-29</t>
        </is>
      </c>
      <c r="I170" s="0" t="inlineStr">
        <is>
          <t xml:space="preserve">no</t>
        </is>
      </c>
      <c r="J170" s="0" t="inlineStr">
        <is>
          <t xml:space="preserve">N3220515R4013</t>
        </is>
      </c>
      <c r="K170" s="0" t="inlineStr">
        <is>
          <t xml:space="preserve">NONE</t>
        </is>
      </c>
    </row>
    <row r="171">
      <c r="B171" s="0" t="inlineStr">
        <is>
          <t xml:space="preserve">N3220515C4009</t>
        </is>
      </c>
      <c r="D171" s="0" t="inlineStr">
        <is>
          <t xml:space="preserve">other_small</t>
        </is>
      </c>
      <c r="E171" s="0" t="inlineStr">
        <is>
          <t xml:space="preserve">DETYENS SHIPYARDS INC</t>
        </is>
      </c>
      <c r="F171" s="0" t="inlineStr">
        <is>
          <t xml:space="preserve">D</t>
        </is>
      </c>
      <c r="G171" s="4">
        <v>4.98660366</v>
      </c>
      <c r="H171" s="0" t="inlineStr">
        <is>
          <t xml:space="preserve">2015-09-08</t>
        </is>
      </c>
      <c r="I171" s="0" t="inlineStr">
        <is>
          <t xml:space="preserve">no</t>
        </is>
      </c>
      <c r="J171" s="0" t="inlineStr">
        <is>
          <t xml:space="preserve">N3220515R4006</t>
        </is>
      </c>
      <c r="K171" s="0" t="inlineStr">
        <is>
          <t xml:space="preserve">NONE</t>
        </is>
      </c>
    </row>
    <row r="172">
      <c r="B172" s="0" t="inlineStr">
        <is>
          <t xml:space="preserve">N0002418F22P1</t>
        </is>
      </c>
      <c r="C172" s="0" t="inlineStr">
        <is>
          <t xml:space="preserve">N0002417D2201</t>
        </is>
      </c>
      <c r="D172" s="0" t="inlineStr">
        <is>
          <t xml:space="preserve">small_craft</t>
        </is>
      </c>
      <c r="E172" s="0" t="inlineStr">
        <is>
          <t xml:space="preserve">GRAVOIS ALUMINUM BOATS LLC</t>
        </is>
      </c>
      <c r="F172" s="0" t="inlineStr">
        <is>
          <t xml:space="preserve">C</t>
        </is>
      </c>
      <c r="G172" s="4">
        <v>4.92522772</v>
      </c>
      <c r="H172" s="0" t="inlineStr">
        <is>
          <t xml:space="preserve">2018-02-21</t>
        </is>
      </c>
      <c r="I172" s="0" t="inlineStr">
        <is>
          <t xml:space="preserve">no</t>
        </is>
      </c>
      <c r="J172" s="0" t="inlineStr">
        <is>
          <t xml:space="preserve">N0002417R2201</t>
        </is>
      </c>
      <c r="K172" s="0" t="inlineStr">
        <is>
          <t xml:space="preserve">NONE</t>
        </is>
      </c>
    </row>
    <row r="173">
      <c r="B173" s="0" t="inlineStr">
        <is>
          <t xml:space="preserve">N0002420F22P1</t>
        </is>
      </c>
      <c r="C173" s="0" t="inlineStr">
        <is>
          <t xml:space="preserve">N0002417D2201</t>
        </is>
      </c>
      <c r="D173" s="0" t="inlineStr">
        <is>
          <t xml:space="preserve">small_craft</t>
        </is>
      </c>
      <c r="E173" s="0" t="inlineStr">
        <is>
          <t xml:space="preserve">GRAVOIS ALUMINUM BOATS LLC</t>
        </is>
      </c>
      <c r="F173" s="0" t="inlineStr">
        <is>
          <t xml:space="preserve">C</t>
        </is>
      </c>
      <c r="G173" s="4">
        <v>4.9209665</v>
      </c>
      <c r="H173" s="0" t="inlineStr">
        <is>
          <t xml:space="preserve">2020-03-20</t>
        </is>
      </c>
      <c r="I173" s="0" t="inlineStr">
        <is>
          <t xml:space="preserve">no</t>
        </is>
      </c>
      <c r="J173" s="0" t="inlineStr">
        <is>
          <t xml:space="preserve">N0002417R2201</t>
        </is>
      </c>
      <c r="K173" s="0" t="inlineStr">
        <is>
          <t xml:space="preserve">NONE</t>
        </is>
      </c>
    </row>
    <row r="174">
      <c r="B174" s="0" t="inlineStr">
        <is>
          <t xml:space="preserve">N0002423F23B2</t>
        </is>
      </c>
      <c r="C174" s="0" t="inlineStr">
        <is>
          <t xml:space="preserve">N0002420D2210</t>
        </is>
      </c>
      <c r="D174" s="0" t="inlineStr">
        <is>
          <t xml:space="preserve">small_craft</t>
        </is>
      </c>
      <c r="E174" s="0" t="inlineStr">
        <is>
          <t xml:space="preserve">RIBCRAFT USA, LLC</t>
        </is>
      </c>
      <c r="F174" s="0" t="inlineStr">
        <is>
          <t xml:space="preserve">C</t>
        </is>
      </c>
      <c r="G174" s="4">
        <v>4.9068612599999994</v>
      </c>
      <c r="H174" s="0" t="inlineStr">
        <is>
          <t xml:space="preserve">2023-06-01</t>
        </is>
      </c>
      <c r="I174" s="0" t="inlineStr">
        <is>
          <t xml:space="preserve">no</t>
        </is>
      </c>
      <c r="J174" s="0" t="inlineStr">
        <is>
          <t xml:space="preserve">N0002420R2210</t>
        </is>
      </c>
      <c r="K174" s="0" t="inlineStr">
        <is>
          <t xml:space="preserve">NONE</t>
        </is>
      </c>
    </row>
    <row r="175">
      <c r="B175" s="0" t="inlineStr">
        <is>
          <t xml:space="preserve">N0010423FZL00</t>
        </is>
      </c>
      <c r="C175" s="0" t="inlineStr">
        <is>
          <t xml:space="preserve">N0010423GZL01</t>
        </is>
      </c>
      <c r="D175" s="0" t="inlineStr">
        <is>
          <t xml:space="preserve">small_craft</t>
        </is>
      </c>
      <c r="E175" s="0" t="inlineStr">
        <is>
          <t xml:space="preserve">DEFENSE MARITIME SOLUTIONS, INC.</t>
        </is>
      </c>
      <c r="F175" s="0" t="inlineStr">
        <is>
          <t xml:space="preserve">C</t>
        </is>
      </c>
      <c r="G175" s="4">
        <v>4.88850737</v>
      </c>
      <c r="H175" s="0" t="inlineStr">
        <is>
          <t xml:space="preserve">2023-08-30</t>
        </is>
      </c>
      <c r="I175" s="0" t="inlineStr">
        <is>
          <t xml:space="preserve">no</t>
        </is>
      </c>
      <c r="J175" s="0" t="inlineStr">
        <is>
          <t xml:space="preserve">N0010423RNE75</t>
        </is>
      </c>
      <c r="K175" s="0" t="inlineStr">
        <is>
          <t xml:space="preserve">NONE</t>
        </is>
      </c>
    </row>
    <row r="176">
      <c r="B176" s="0" t="inlineStr">
        <is>
          <t xml:space="preserve">N0002417F22B1</t>
        </is>
      </c>
      <c r="C176" s="0" t="inlineStr">
        <is>
          <t xml:space="preserve">N0002414D2205</t>
        </is>
      </c>
      <c r="D176" s="0" t="inlineStr">
        <is>
          <t xml:space="preserve">small_craft</t>
        </is>
      </c>
      <c r="E176" s="0" t="inlineStr">
        <is>
          <t xml:space="preserve">SILVER SHIPS, INC</t>
        </is>
      </c>
      <c r="F176" s="0" t="inlineStr">
        <is>
          <t xml:space="preserve">C</t>
        </is>
      </c>
      <c r="G176" s="4">
        <v>4.832312</v>
      </c>
      <c r="H176" s="0" t="inlineStr">
        <is>
          <t xml:space="preserve">2017-09-27</t>
        </is>
      </c>
      <c r="I176" s="0" t="inlineStr">
        <is>
          <t xml:space="preserve">no</t>
        </is>
      </c>
      <c r="J176" s="0" t="inlineStr">
        <is>
          <t xml:space="preserve">N0002413R2205</t>
        </is>
      </c>
      <c r="K176" s="0" t="inlineStr">
        <is>
          <t xml:space="preserve">NONE</t>
        </is>
      </c>
    </row>
    <row r="177">
      <c r="B177" s="0" t="inlineStr">
        <is>
          <t xml:space="preserve">0003</t>
        </is>
      </c>
      <c r="C177" s="0" t="inlineStr">
        <is>
          <t xml:space="preserve">N0002414D2207</t>
        </is>
      </c>
      <c r="D177" s="0" t="inlineStr">
        <is>
          <t xml:space="preserve">small_craft</t>
        </is>
      </c>
      <c r="E177" s="0" t="inlineStr">
        <is>
          <t xml:space="preserve">GRAVOIS ALUMINUM BOATS LLC</t>
        </is>
      </c>
      <c r="F177" s="0" t="inlineStr">
        <is>
          <t xml:space="preserve">C</t>
        </is>
      </c>
      <c r="G177" s="4">
        <v>4.8195</v>
      </c>
      <c r="H177" s="0" t="inlineStr">
        <is>
          <t xml:space="preserve">2016-06-01</t>
        </is>
      </c>
      <c r="I177" s="0" t="inlineStr">
        <is>
          <t xml:space="preserve">no</t>
        </is>
      </c>
      <c r="J177" s="0" t="inlineStr">
        <is>
          <t xml:space="preserve">N0002413R2205</t>
        </is>
      </c>
      <c r="K177" s="0" t="inlineStr">
        <is>
          <t xml:space="preserve">NONE</t>
        </is>
      </c>
    </row>
    <row r="178">
      <c r="B178" s="0" t="inlineStr">
        <is>
          <t xml:space="preserve">0001</t>
        </is>
      </c>
      <c r="C178" s="0" t="inlineStr">
        <is>
          <t xml:space="preserve">N0002414D2203</t>
        </is>
      </c>
      <c r="D178" s="0" t="inlineStr">
        <is>
          <t xml:space="preserve">small_craft</t>
        </is>
      </c>
      <c r="E178" s="0" t="inlineStr">
        <is>
          <t xml:space="preserve">UNITED STATES MARINE INC</t>
        </is>
      </c>
      <c r="F178" s="0" t="inlineStr">
        <is>
          <t xml:space="preserve">C</t>
        </is>
      </c>
      <c r="G178" s="4">
        <v>4.81203</v>
      </c>
      <c r="H178" s="0" t="inlineStr">
        <is>
          <t xml:space="preserve">2014-08-16</t>
        </is>
      </c>
      <c r="I178" s="0" t="inlineStr">
        <is>
          <t xml:space="preserve">no</t>
        </is>
      </c>
      <c r="J178" s="0" t="inlineStr">
        <is>
          <t xml:space="preserve">N0002414R2203</t>
        </is>
      </c>
      <c r="K178" s="0" t="inlineStr">
        <is>
          <t xml:space="preserve">NONE</t>
        </is>
      </c>
    </row>
    <row r="179">
      <c r="B179" s="0" t="inlineStr">
        <is>
          <t xml:space="preserve">N6426725P5016</t>
        </is>
      </c>
      <c r="D179" s="0" t="inlineStr">
        <is>
          <t xml:space="preserve">small_craft</t>
        </is>
      </c>
      <c r="E179" s="0" t="inlineStr">
        <is>
          <t xml:space="preserve">ST JOHNS SHIP BUILDING INC</t>
        </is>
      </c>
      <c r="F179" s="0" t="inlineStr">
        <is>
          <t xml:space="preserve">B</t>
        </is>
      </c>
      <c r="G179" s="4">
        <v>4.796688389999999</v>
      </c>
      <c r="H179" s="0" t="inlineStr">
        <is>
          <t xml:space="preserve">2025-05-22</t>
        </is>
      </c>
      <c r="I179" s="0" t="inlineStr">
        <is>
          <t xml:space="preserve">no</t>
        </is>
      </c>
      <c r="J179" s="0" t="inlineStr">
        <is>
          <t xml:space="preserve">N6426725Q5016</t>
        </is>
      </c>
      <c r="K179" s="0" t="inlineStr">
        <is>
          <t xml:space="preserve">NONE</t>
        </is>
      </c>
    </row>
    <row r="180">
      <c r="B180" s="0" t="inlineStr">
        <is>
          <t xml:space="preserve">N0002424F22A3</t>
        </is>
      </c>
      <c r="C180" s="0" t="inlineStr">
        <is>
          <t xml:space="preserve">N0002421D2205</t>
        </is>
      </c>
      <c r="D180" s="0" t="inlineStr">
        <is>
          <t xml:space="preserve">small_craft</t>
        </is>
      </c>
      <c r="E180" s="0" t="inlineStr">
        <is>
          <t xml:space="preserve">SILVER SHIPS, INC</t>
        </is>
      </c>
      <c r="F180" s="0" t="inlineStr">
        <is>
          <t xml:space="preserve">C</t>
        </is>
      </c>
      <c r="G180" s="4">
        <v>4.788651</v>
      </c>
      <c r="H180" s="0" t="inlineStr">
        <is>
          <t xml:space="preserve">2024-04-16</t>
        </is>
      </c>
      <c r="I180" s="0" t="inlineStr">
        <is>
          <t xml:space="preserve">no</t>
        </is>
      </c>
      <c r="J180" s="0" t="inlineStr">
        <is>
          <t xml:space="preserve">N0002421R2205</t>
        </is>
      </c>
      <c r="K180" s="0" t="inlineStr">
        <is>
          <t xml:space="preserve">NONE</t>
        </is>
      </c>
    </row>
    <row r="181">
      <c r="B181" s="0" t="inlineStr">
        <is>
          <t xml:space="preserve">0004</t>
        </is>
      </c>
      <c r="C181" s="0" t="inlineStr">
        <is>
          <t xml:space="preserve">N0002414D2205</t>
        </is>
      </c>
      <c r="D181" s="0" t="inlineStr">
        <is>
          <t xml:space="preserve">small_craft</t>
        </is>
      </c>
      <c r="E181" s="0" t="inlineStr">
        <is>
          <t xml:space="preserve">SILVER SHIPS, INC</t>
        </is>
      </c>
      <c r="F181" s="0" t="inlineStr">
        <is>
          <t xml:space="preserve">C</t>
        </is>
      </c>
      <c r="G181" s="4">
        <v>4.775001</v>
      </c>
      <c r="H181" s="0" t="inlineStr">
        <is>
          <t xml:space="preserve">2016-05-12</t>
        </is>
      </c>
      <c r="I181" s="0" t="inlineStr">
        <is>
          <t xml:space="preserve">no</t>
        </is>
      </c>
      <c r="J181" s="0" t="inlineStr">
        <is>
          <t xml:space="preserve">N0002413R2205</t>
        </is>
      </c>
      <c r="K181" s="0" t="inlineStr">
        <is>
          <t xml:space="preserve">NONE</t>
        </is>
      </c>
    </row>
    <row r="182">
      <c r="B182" s="0" t="inlineStr">
        <is>
          <t xml:space="preserve">N0002422F22A2</t>
        </is>
      </c>
      <c r="C182" s="0" t="inlineStr">
        <is>
          <t xml:space="preserve">N0002417D2217</t>
        </is>
      </c>
      <c r="D182" s="0" t="inlineStr">
        <is>
          <t xml:space="preserve">small_craft</t>
        </is>
      </c>
      <c r="E182" s="0" t="inlineStr">
        <is>
          <t xml:space="preserve">SNOW &amp; COMPANY, INC.</t>
        </is>
      </c>
      <c r="F182" s="0" t="inlineStr">
        <is>
          <t xml:space="preserve">C</t>
        </is>
      </c>
      <c r="G182" s="4">
        <v>4.77487338</v>
      </c>
      <c r="H182" s="0" t="inlineStr">
        <is>
          <t xml:space="preserve">2021-11-05</t>
        </is>
      </c>
      <c r="I182" s="0" t="inlineStr">
        <is>
          <t xml:space="preserve">no</t>
        </is>
      </c>
      <c r="J182" s="0" t="inlineStr">
        <is>
          <t xml:space="preserve">N0002417R2217</t>
        </is>
      </c>
      <c r="K182" s="0" t="inlineStr">
        <is>
          <t xml:space="preserve">NONE</t>
        </is>
      </c>
    </row>
    <row r="183">
      <c r="B183" s="0" t="inlineStr">
        <is>
          <t xml:space="preserve">N0001422C1011</t>
        </is>
      </c>
      <c r="D183" s="0" t="inlineStr">
        <is>
          <t xml:space="preserve">usv_core</t>
        </is>
      </c>
      <c r="E183" s="0" t="inlineStr">
        <is>
          <t xml:space="preserve">UNIVERSITY OF SOUTH CAROLINA</t>
        </is>
      </c>
      <c r="F183" s="0" t="inlineStr">
        <is>
          <t xml:space="preserve">D</t>
        </is>
      </c>
      <c r="G183" s="4">
        <v>4.75</v>
      </c>
      <c r="H183" s="0" t="inlineStr">
        <is>
          <t xml:space="preserve">2021-11-10</t>
        </is>
      </c>
      <c r="I183" s="0" t="inlineStr">
        <is>
          <t xml:space="preserve">no</t>
        </is>
      </c>
      <c r="J183" s="0" t="inlineStr">
        <is>
          <t xml:space="preserve">N0001421SB001</t>
        </is>
      </c>
      <c r="K183" s="0" t="inlineStr">
        <is>
          <t xml:space="preserve">NONE</t>
        </is>
      </c>
    </row>
    <row r="184">
      <c r="B184" s="0" t="inlineStr">
        <is>
          <t xml:space="preserve">N3220516C4200</t>
        </is>
      </c>
      <c r="D184" s="0" t="inlineStr">
        <is>
          <t xml:space="preserve">other_small</t>
        </is>
      </c>
      <c r="E184" s="0" t="inlineStr">
        <is>
          <t xml:space="preserve">DETYENS SHIPYARDS INC</t>
        </is>
      </c>
      <c r="F184" s="0" t="inlineStr">
        <is>
          <t xml:space="preserve">D</t>
        </is>
      </c>
      <c r="G184" s="4">
        <v>4.74843403</v>
      </c>
      <c r="H184" s="0" t="inlineStr">
        <is>
          <t xml:space="preserve">2016-06-02</t>
        </is>
      </c>
      <c r="I184" s="0" t="inlineStr">
        <is>
          <t xml:space="preserve">no</t>
        </is>
      </c>
      <c r="J184" s="0" t="inlineStr">
        <is>
          <t xml:space="preserve">N3220516R4206</t>
        </is>
      </c>
      <c r="K184" s="0" t="inlineStr">
        <is>
          <t xml:space="preserve">NONE</t>
        </is>
      </c>
    </row>
    <row r="185">
      <c r="B185" s="0" t="inlineStr">
        <is>
          <t xml:space="preserve">N0002417F22P1</t>
        </is>
      </c>
      <c r="C185" s="0" t="inlineStr">
        <is>
          <t xml:space="preserve">N0002417D2201</t>
        </is>
      </c>
      <c r="D185" s="0" t="inlineStr">
        <is>
          <t xml:space="preserve">small_craft</t>
        </is>
      </c>
      <c r="E185" s="0" t="inlineStr">
        <is>
          <t xml:space="preserve">GRAVOIS ALUMINUM BOATS LLC</t>
        </is>
      </c>
      <c r="F185" s="0" t="inlineStr">
        <is>
          <t xml:space="preserve">C</t>
        </is>
      </c>
      <c r="G185" s="4">
        <v>4.663880519999999</v>
      </c>
      <c r="H185" s="0" t="inlineStr">
        <is>
          <t xml:space="preserve">2017-06-21</t>
        </is>
      </c>
      <c r="I185" s="0" t="inlineStr">
        <is>
          <t xml:space="preserve">no</t>
        </is>
      </c>
      <c r="J185" s="0" t="inlineStr">
        <is>
          <t xml:space="preserve">N0002417R2201</t>
        </is>
      </c>
      <c r="K185" s="0" t="inlineStr">
        <is>
          <t xml:space="preserve">NONE</t>
        </is>
      </c>
    </row>
    <row r="186">
      <c r="B186" s="0" t="inlineStr">
        <is>
          <t xml:space="preserve">0001</t>
        </is>
      </c>
      <c r="C186" s="0" t="inlineStr">
        <is>
          <t xml:space="preserve">N0002414D4409</t>
        </is>
      </c>
      <c r="D186" s="0" t="inlineStr">
        <is>
          <t xml:space="preserve">small_craft</t>
        </is>
      </c>
      <c r="E186" s="0" t="inlineStr">
        <is>
          <t xml:space="preserve">VIGOR KVICHAK LLC</t>
        </is>
      </c>
      <c r="F186" s="0" t="inlineStr">
        <is>
          <t xml:space="preserve">C</t>
        </is>
      </c>
      <c r="G186" s="4">
        <v>4.6437919999999995</v>
      </c>
      <c r="H186" s="0" t="inlineStr">
        <is>
          <t xml:space="preserve">2014-09-29</t>
        </is>
      </c>
      <c r="I186" s="0" t="inlineStr">
        <is>
          <t xml:space="preserve">no</t>
        </is>
      </c>
      <c r="J186" s="0" t="inlineStr">
        <is>
          <t xml:space="preserve">N0002414R2214</t>
        </is>
      </c>
      <c r="K186" s="0" t="inlineStr">
        <is>
          <t xml:space="preserve">NONE</t>
        </is>
      </c>
    </row>
    <row r="187">
      <c r="B187" s="0" t="inlineStr">
        <is>
          <t xml:space="preserve">N0002418F22P3</t>
        </is>
      </c>
      <c r="C187" s="0" t="inlineStr">
        <is>
          <t xml:space="preserve">N0002417D2201</t>
        </is>
      </c>
      <c r="D187" s="0" t="inlineStr">
        <is>
          <t xml:space="preserve">small_craft</t>
        </is>
      </c>
      <c r="E187" s="0" t="inlineStr">
        <is>
          <t xml:space="preserve">GRAVOIS ALUMINUM BOATS LLC</t>
        </is>
      </c>
      <c r="F187" s="0" t="inlineStr">
        <is>
          <t xml:space="preserve">C</t>
        </is>
      </c>
      <c r="G187" s="4">
        <v>4.61941221</v>
      </c>
      <c r="H187" s="0" t="inlineStr">
        <is>
          <t xml:space="preserve">2018-04-17</t>
        </is>
      </c>
      <c r="I187" s="0" t="inlineStr">
        <is>
          <t xml:space="preserve">no</t>
        </is>
      </c>
      <c r="J187" s="0" t="inlineStr">
        <is>
          <t xml:space="preserve">N0002417R2201</t>
        </is>
      </c>
      <c r="K187" s="0" t="inlineStr">
        <is>
          <t xml:space="preserve">NONE</t>
        </is>
      </c>
    </row>
    <row r="188">
      <c r="B188" s="0" t="inlineStr">
        <is>
          <t xml:space="preserve">N0002421C2213</t>
        </is>
      </c>
      <c r="D188" s="0" t="inlineStr">
        <is>
          <t xml:space="preserve">other_small</t>
        </is>
      </c>
      <c r="E188" s="0" t="inlineStr">
        <is>
          <t xml:space="preserve">HANWHA PHILLY SHIPYARD, INC.</t>
        </is>
      </c>
      <c r="F188" s="0" t="inlineStr">
        <is>
          <t xml:space="preserve">D</t>
        </is>
      </c>
      <c r="G188" s="4">
        <v>4.60680558</v>
      </c>
      <c r="H188" s="0" t="inlineStr">
        <is>
          <t xml:space="preserve">2021-01-15</t>
        </is>
      </c>
      <c r="I188" s="0" t="inlineStr">
        <is>
          <t xml:space="preserve">no</t>
        </is>
      </c>
      <c r="J188" s="0" t="inlineStr">
        <is>
          <t xml:space="preserve">N0002420R2211</t>
        </is>
      </c>
      <c r="K188" s="0" t="inlineStr">
        <is>
          <t xml:space="preserve">NONE</t>
        </is>
      </c>
    </row>
    <row r="189">
      <c r="B189" s="0" t="inlineStr">
        <is>
          <t xml:space="preserve">N0002419F2221</t>
        </is>
      </c>
      <c r="C189" s="0" t="inlineStr">
        <is>
          <t xml:space="preserve">GS07F5488P</t>
        </is>
      </c>
      <c r="D189" s="0" t="inlineStr">
        <is>
          <t xml:space="preserve">small_craft</t>
        </is>
      </c>
      <c r="E189" s="0" t="inlineStr">
        <is>
          <t xml:space="preserve">MODUTECH MARINE, INC.</t>
        </is>
      </c>
      <c r="F189" s="0" t="inlineStr">
        <is>
          <t xml:space="preserve">C</t>
        </is>
      </c>
      <c r="G189" s="4">
        <v>4.57136897</v>
      </c>
      <c r="H189" s="0" t="inlineStr">
        <is>
          <t xml:space="preserve">2019-08-16</t>
        </is>
      </c>
      <c r="I189" s="0" t="inlineStr">
        <is>
          <t xml:space="preserve">no</t>
        </is>
      </c>
      <c r="J189" s="0" t="inlineStr">
        <is>
          <t xml:space="preserve">N0002419R2221</t>
        </is>
      </c>
      <c r="K189" s="0" t="inlineStr">
        <is>
          <t xml:space="preserve">NONE</t>
        </is>
      </c>
    </row>
    <row r="190">
      <c r="B190" s="0" t="inlineStr">
        <is>
          <t xml:space="preserve">N6600120F0254</t>
        </is>
      </c>
      <c r="C190" s="0" t="inlineStr">
        <is>
          <t xml:space="preserve">N6600115D0183</t>
        </is>
      </c>
      <c r="D190" s="0" t="inlineStr">
        <is>
          <t xml:space="preserve">usv_core</t>
        </is>
      </c>
      <c r="E190" s="0" t="inlineStr">
        <is>
          <t xml:space="preserve">OASIS SYSTEMS, LLC</t>
        </is>
      </c>
      <c r="F190" s="0" t="inlineStr">
        <is>
          <t xml:space="preserve">C</t>
        </is>
      </c>
      <c r="G190" s="4">
        <v>4.46578114</v>
      </c>
      <c r="H190" s="0" t="inlineStr">
        <is>
          <t xml:space="preserve">2020-02-12</t>
        </is>
      </c>
      <c r="I190" s="0" t="inlineStr">
        <is>
          <t xml:space="preserve">no</t>
        </is>
      </c>
      <c r="J190" s="0" t="inlineStr">
        <is>
          <t xml:space="preserve">N6600114R0028</t>
        </is>
      </c>
      <c r="K190" s="0" t="inlineStr">
        <is>
          <t xml:space="preserve">NONE</t>
        </is>
      </c>
    </row>
    <row r="191">
      <c r="B191" s="0" t="inlineStr">
        <is>
          <t xml:space="preserve">N0002422F22A4</t>
        </is>
      </c>
      <c r="C191" s="0" t="inlineStr">
        <is>
          <t xml:space="preserve">N0002422D2270</t>
        </is>
      </c>
      <c r="D191" s="0" t="inlineStr">
        <is>
          <t xml:space="preserve">small_craft</t>
        </is>
      </c>
      <c r="E191" s="0" t="inlineStr">
        <is>
          <t xml:space="preserve">METALCRAFT MARINE US, INC.</t>
        </is>
      </c>
      <c r="F191" s="0" t="inlineStr">
        <is>
          <t xml:space="preserve">C</t>
        </is>
      </c>
      <c r="G191" s="4">
        <v>4.460888440000001</v>
      </c>
      <c r="H191" s="0" t="inlineStr">
        <is>
          <t xml:space="preserve">2022-03-09</t>
        </is>
      </c>
      <c r="I191" s="0" t="inlineStr">
        <is>
          <t xml:space="preserve">no</t>
        </is>
      </c>
      <c r="J191" s="0" t="inlineStr">
        <is>
          <t xml:space="preserve">N0002422R2270</t>
        </is>
      </c>
      <c r="K191" s="0" t="inlineStr">
        <is>
          <t xml:space="preserve">NONE</t>
        </is>
      </c>
    </row>
    <row r="192">
      <c r="B192" s="0" t="inlineStr">
        <is>
          <t xml:space="preserve">0003</t>
        </is>
      </c>
      <c r="C192" s="0" t="inlineStr">
        <is>
          <t xml:space="preserve">N0002415D2232</t>
        </is>
      </c>
      <c r="D192" s="0" t="inlineStr">
        <is>
          <t xml:space="preserve">small_craft</t>
        </is>
      </c>
      <c r="E192" s="0" t="inlineStr">
        <is>
          <t xml:space="preserve">MARINE GROUP BOAT WORKS, LLC</t>
        </is>
      </c>
      <c r="F192" s="0" t="inlineStr">
        <is>
          <t xml:space="preserve">C</t>
        </is>
      </c>
      <c r="G192" s="4">
        <v>4.45772248</v>
      </c>
      <c r="H192" s="0" t="inlineStr">
        <is>
          <t xml:space="preserve">2015-10-30</t>
        </is>
      </c>
      <c r="I192" s="0" t="inlineStr">
        <is>
          <t xml:space="preserve">no</t>
        </is>
      </c>
      <c r="J192" s="0" t="inlineStr">
        <is>
          <t xml:space="preserve">N0002414R2232</t>
        </is>
      </c>
      <c r="K192" s="0" t="inlineStr">
        <is>
          <t xml:space="preserve">NONE</t>
        </is>
      </c>
    </row>
    <row r="193">
      <c r="B193" s="0" t="inlineStr">
        <is>
          <t xml:space="preserve">N0002420F22Y2</t>
        </is>
      </c>
      <c r="C193" s="0" t="inlineStr">
        <is>
          <t xml:space="preserve">N0002420D2222</t>
        </is>
      </c>
      <c r="D193" s="0" t="inlineStr">
        <is>
          <t xml:space="preserve">small_craft</t>
        </is>
      </c>
      <c r="E193" s="0" t="inlineStr">
        <is>
          <t xml:space="preserve">LAKE ASSAULT BOATS, LLC</t>
        </is>
      </c>
      <c r="F193" s="0" t="inlineStr">
        <is>
          <t xml:space="preserve">C</t>
        </is>
      </c>
      <c r="G193" s="4">
        <v>4.45587445</v>
      </c>
      <c r="H193" s="0" t="inlineStr">
        <is>
          <t xml:space="preserve">2020-02-28</t>
        </is>
      </c>
      <c r="I193" s="0" t="inlineStr">
        <is>
          <t xml:space="preserve">no</t>
        </is>
      </c>
      <c r="J193" s="0" t="inlineStr">
        <is>
          <t xml:space="preserve">N0002419R2222</t>
        </is>
      </c>
      <c r="K193" s="0" t="inlineStr">
        <is>
          <t xml:space="preserve">NONE</t>
        </is>
      </c>
    </row>
    <row r="194">
      <c r="B194" s="0" t="inlineStr">
        <is>
          <t xml:space="preserve">N0002418F22P2</t>
        </is>
      </c>
      <c r="C194" s="0" t="inlineStr">
        <is>
          <t xml:space="preserve">N0002417D2201</t>
        </is>
      </c>
      <c r="D194" s="0" t="inlineStr">
        <is>
          <t xml:space="preserve">small_craft</t>
        </is>
      </c>
      <c r="E194" s="0" t="inlineStr">
        <is>
          <t xml:space="preserve">GRAVOIS ALUMINUM BOATS LLC</t>
        </is>
      </c>
      <c r="F194" s="0" t="inlineStr">
        <is>
          <t xml:space="preserve">C</t>
        </is>
      </c>
      <c r="G194" s="4">
        <v>4.45543816</v>
      </c>
      <c r="H194" s="0" t="inlineStr">
        <is>
          <t xml:space="preserve">2018-02-22</t>
        </is>
      </c>
      <c r="I194" s="0" t="inlineStr">
        <is>
          <t xml:space="preserve">no</t>
        </is>
      </c>
      <c r="J194" s="0" t="inlineStr">
        <is>
          <t xml:space="preserve">N0002417R2201</t>
        </is>
      </c>
      <c r="K194" s="0" t="inlineStr">
        <is>
          <t xml:space="preserve">NONE</t>
        </is>
      </c>
    </row>
    <row r="195">
      <c r="B195" s="0" t="inlineStr">
        <is>
          <t xml:space="preserve">N0002419F22D1</t>
        </is>
      </c>
      <c r="C195" s="0" t="inlineStr">
        <is>
          <t xml:space="preserve">N0002414D2203</t>
        </is>
      </c>
      <c r="D195" s="0" t="inlineStr">
        <is>
          <t xml:space="preserve">small_craft</t>
        </is>
      </c>
      <c r="E195" s="0" t="inlineStr">
        <is>
          <t xml:space="preserve">UNITED STATES MARINE INC</t>
        </is>
      </c>
      <c r="F195" s="0" t="inlineStr">
        <is>
          <t xml:space="preserve">C</t>
        </is>
      </c>
      <c r="G195" s="4">
        <v>4.449625</v>
      </c>
      <c r="H195" s="0" t="inlineStr">
        <is>
          <t xml:space="preserve">2019-02-21</t>
        </is>
      </c>
      <c r="I195" s="0" t="inlineStr">
        <is>
          <t xml:space="preserve">no</t>
        </is>
      </c>
      <c r="J195" s="0" t="inlineStr">
        <is>
          <t xml:space="preserve">N0002414R2203</t>
        </is>
      </c>
      <c r="K195" s="0" t="inlineStr">
        <is>
          <t xml:space="preserve">NONE</t>
        </is>
      </c>
    </row>
    <row r="196">
      <c r="B196" s="0" t="inlineStr">
        <is>
          <t xml:space="preserve">N6426723P5017</t>
        </is>
      </c>
      <c r="D196" s="0" t="inlineStr">
        <is>
          <t xml:space="preserve">small_craft</t>
        </is>
      </c>
      <c r="E196" s="0" t="inlineStr">
        <is>
          <t xml:space="preserve">FRASER SHIPYARDS LLC</t>
        </is>
      </c>
      <c r="F196" s="0" t="inlineStr">
        <is>
          <t xml:space="preserve">B</t>
        </is>
      </c>
      <c r="G196" s="4">
        <v>4.409799</v>
      </c>
      <c r="H196" s="0" t="inlineStr">
        <is>
          <t xml:space="preserve">2023-06-15</t>
        </is>
      </c>
      <c r="I196" s="0" t="inlineStr">
        <is>
          <t xml:space="preserve">no</t>
        </is>
      </c>
      <c r="J196" s="0" t="inlineStr">
        <is>
          <t xml:space="preserve">N6426723Q5017</t>
        </is>
      </c>
      <c r="K196" s="0" t="inlineStr">
        <is>
          <t xml:space="preserve">NONE</t>
        </is>
      </c>
    </row>
    <row r="197">
      <c r="B197" s="0" t="inlineStr">
        <is>
          <t xml:space="preserve">N0002421F22V1</t>
        </is>
      </c>
      <c r="C197" s="0" t="inlineStr">
        <is>
          <t xml:space="preserve">N0002417D2217</t>
        </is>
      </c>
      <c r="D197" s="0" t="inlineStr">
        <is>
          <t xml:space="preserve">small_craft</t>
        </is>
      </c>
      <c r="E197" s="0" t="inlineStr">
        <is>
          <t xml:space="preserve">SNOW &amp; COMPANY, INC.</t>
        </is>
      </c>
      <c r="F197" s="0" t="inlineStr">
        <is>
          <t xml:space="preserve">C</t>
        </is>
      </c>
      <c r="G197" s="4">
        <v>4.40270052</v>
      </c>
      <c r="H197" s="0" t="inlineStr">
        <is>
          <t xml:space="preserve">2020-10-21</t>
        </is>
      </c>
      <c r="I197" s="0" t="inlineStr">
        <is>
          <t xml:space="preserve">no</t>
        </is>
      </c>
      <c r="J197" s="0" t="inlineStr">
        <is>
          <t xml:space="preserve">N0002417R2217</t>
        </is>
      </c>
      <c r="K197" s="0" t="inlineStr">
        <is>
          <t xml:space="preserve">NONE</t>
        </is>
      </c>
    </row>
    <row r="198">
      <c r="B198" s="0" t="inlineStr">
        <is>
          <t xml:space="preserve">N0010422CNA10</t>
        </is>
      </c>
      <c r="D198" s="0" t="inlineStr">
        <is>
          <t xml:space="preserve">small_craft</t>
        </is>
      </c>
      <c r="E198" s="0" t="inlineStr">
        <is>
          <t xml:space="preserve">DEFENSE MARITIME SOLUTIONS, INC.</t>
        </is>
      </c>
      <c r="F198" s="0" t="inlineStr">
        <is>
          <t xml:space="preserve">D</t>
        </is>
      </c>
      <c r="G198" s="4">
        <v>4.38903744</v>
      </c>
      <c r="H198" s="0" t="inlineStr">
        <is>
          <t xml:space="preserve">2022-08-30</t>
        </is>
      </c>
      <c r="I198" s="0" t="inlineStr">
        <is>
          <t xml:space="preserve">no</t>
        </is>
      </c>
      <c r="J198" s="0" t="inlineStr">
        <is>
          <t xml:space="preserve">N0010422RNC48</t>
        </is>
      </c>
      <c r="K198" s="0" t="inlineStr">
        <is>
          <t xml:space="preserve">NONE</t>
        </is>
      </c>
    </row>
    <row r="199">
      <c r="B199" s="0" t="inlineStr">
        <is>
          <t xml:space="preserve">N0002419F22H1</t>
        </is>
      </c>
      <c r="C199" s="0" t="inlineStr">
        <is>
          <t xml:space="preserve">N0002415D2232</t>
        </is>
      </c>
      <c r="D199" s="0" t="inlineStr">
        <is>
          <t xml:space="preserve">small_craft</t>
        </is>
      </c>
      <c r="E199" s="0" t="inlineStr">
        <is>
          <t xml:space="preserve">MARINE GROUP BOAT WORKS, LLC</t>
        </is>
      </c>
      <c r="F199" s="0" t="inlineStr">
        <is>
          <t xml:space="preserve">C</t>
        </is>
      </c>
      <c r="G199" s="4">
        <v>4.376781019999999</v>
      </c>
      <c r="H199" s="0" t="inlineStr">
        <is>
          <t xml:space="preserve">2019-03-29</t>
        </is>
      </c>
      <c r="I199" s="0" t="inlineStr">
        <is>
          <t xml:space="preserve">no</t>
        </is>
      </c>
      <c r="J199" s="0" t="inlineStr">
        <is>
          <t xml:space="preserve">N0002414R2232</t>
        </is>
      </c>
      <c r="K199" s="0" t="inlineStr">
        <is>
          <t xml:space="preserve">NONE</t>
        </is>
      </c>
    </row>
    <row r="200">
      <c r="B200" s="0" t="inlineStr">
        <is>
          <t xml:space="preserve">N0002416C2220</t>
        </is>
      </c>
      <c r="D200" s="0" t="inlineStr">
        <is>
          <t xml:space="preserve">small_craft</t>
        </is>
      </c>
      <c r="E200" s="0" t="inlineStr">
        <is>
          <t xml:space="preserve">UNITED STATES MARINE INC</t>
        </is>
      </c>
      <c r="F200" s="0" t="inlineStr">
        <is>
          <t xml:space="preserve">D</t>
        </is>
      </c>
      <c r="G200" s="4">
        <v>4.31878574</v>
      </c>
      <c r="H200" s="0" t="inlineStr">
        <is>
          <t xml:space="preserve">2015-10-19</t>
        </is>
      </c>
      <c r="I200" s="0" t="inlineStr">
        <is>
          <t xml:space="preserve">no</t>
        </is>
      </c>
      <c r="J200" s="0" t="inlineStr">
        <is>
          <t xml:space="preserve">N0002415R2220</t>
        </is>
      </c>
      <c r="K200" s="0" t="inlineStr">
        <is>
          <t xml:space="preserve">NONE</t>
        </is>
      </c>
    </row>
    <row r="201">
      <c r="B201" s="0" t="inlineStr">
        <is>
          <t xml:space="preserve">N0003314C2002</t>
        </is>
      </c>
      <c r="D201" s="0" t="inlineStr">
        <is>
          <t xml:space="preserve">other_small</t>
        </is>
      </c>
      <c r="E201" s="0" t="inlineStr">
        <is>
          <t xml:space="preserve">HAWAII RESOURCE GROUP LLC</t>
        </is>
      </c>
      <c r="F201" s="0" t="inlineStr">
        <is>
          <t xml:space="preserve">D</t>
        </is>
      </c>
      <c r="G201" s="4">
        <v>4.276731099999999</v>
      </c>
      <c r="H201" s="0" t="inlineStr">
        <is>
          <t xml:space="preserve">2013-10-24</t>
        </is>
      </c>
      <c r="I201" s="0" t="inlineStr">
        <is>
          <t xml:space="preserve">no</t>
        </is>
      </c>
      <c r="K201" s="0" t="inlineStr">
        <is>
          <t xml:space="preserve">NONE</t>
        </is>
      </c>
    </row>
    <row r="202">
      <c r="B202" s="0" t="inlineStr">
        <is>
          <t xml:space="preserve">N0002421C2212</t>
        </is>
      </c>
      <c r="D202" s="0" t="inlineStr">
        <is>
          <t xml:space="preserve">other_small</t>
        </is>
      </c>
      <c r="E202" s="0" t="inlineStr">
        <is>
          <t xml:space="preserve">NATIONAL STEEL AND SHIPBUILDING COMPANY</t>
        </is>
      </c>
      <c r="F202" s="0" t="inlineStr">
        <is>
          <t xml:space="preserve">D</t>
        </is>
      </c>
      <c r="G202" s="4">
        <v>4.207437</v>
      </c>
      <c r="H202" s="0" t="inlineStr">
        <is>
          <t xml:space="preserve">2021-01-15</t>
        </is>
      </c>
      <c r="I202" s="0" t="inlineStr">
        <is>
          <t xml:space="preserve">no</t>
        </is>
      </c>
      <c r="J202" s="0" t="inlineStr">
        <is>
          <t xml:space="preserve">N0002420R2211</t>
        </is>
      </c>
      <c r="K202" s="0" t="inlineStr">
        <is>
          <t xml:space="preserve">NONE</t>
        </is>
      </c>
    </row>
    <row r="203">
      <c r="B203" s="0" t="inlineStr">
        <is>
          <t xml:space="preserve">N0002425F22A7</t>
        </is>
      </c>
      <c r="C203" s="0" t="inlineStr">
        <is>
          <t xml:space="preserve">N0002417D2217</t>
        </is>
      </c>
      <c r="D203" s="0" t="inlineStr">
        <is>
          <t xml:space="preserve">small_craft</t>
        </is>
      </c>
      <c r="E203" s="0" t="inlineStr">
        <is>
          <t xml:space="preserve">SNOW &amp; COMPANY, INC.</t>
        </is>
      </c>
      <c r="F203" s="0" t="inlineStr">
        <is>
          <t xml:space="preserve">C</t>
        </is>
      </c>
      <c r="G203" s="4">
        <v>4.18624895</v>
      </c>
      <c r="H203" s="0" t="inlineStr">
        <is>
          <t xml:space="preserve">2025-02-24</t>
        </is>
      </c>
      <c r="I203" s="0" t="inlineStr">
        <is>
          <t xml:space="preserve">no</t>
        </is>
      </c>
      <c r="J203" s="0" t="inlineStr">
        <is>
          <t xml:space="preserve">N0002417R2217</t>
        </is>
      </c>
      <c r="K203" s="0" t="inlineStr">
        <is>
          <t xml:space="preserve">NONE</t>
        </is>
      </c>
    </row>
    <row r="204">
      <c r="B204" s="0" t="inlineStr">
        <is>
          <t xml:space="preserve">N0002423F4123</t>
        </is>
      </c>
      <c r="C204" s="0" t="inlineStr">
        <is>
          <t xml:space="preserve">N0002421A4105</t>
        </is>
      </c>
      <c r="D204" s="0" t="inlineStr">
        <is>
          <t xml:space="preserve">small_craft</t>
        </is>
      </c>
      <c r="E204" s="0" t="inlineStr">
        <is>
          <t xml:space="preserve">ROLLS-ROYCE SOLUTIONS AMERICA INC</t>
        </is>
      </c>
      <c r="F204" s="0" t="inlineStr">
        <is>
          <t xml:space="preserve">A</t>
        </is>
      </c>
      <c r="G204" s="4">
        <v>4.18550531</v>
      </c>
      <c r="H204" s="0" t="inlineStr">
        <is>
          <t xml:space="preserve">2023-08-04</t>
        </is>
      </c>
      <c r="I204" s="0" t="inlineStr">
        <is>
          <t xml:space="preserve">no</t>
        </is>
      </c>
      <c r="J204" s="0" t="inlineStr">
        <is>
          <t xml:space="preserve">N0002423R4123</t>
        </is>
      </c>
      <c r="K204" s="0" t="inlineStr">
        <is>
          <t xml:space="preserve">NONE</t>
        </is>
      </c>
    </row>
    <row r="205">
      <c r="B205" s="0" t="inlineStr">
        <is>
          <t xml:space="preserve">N6426724P5020</t>
        </is>
      </c>
      <c r="D205" s="0" t="inlineStr">
        <is>
          <t xml:space="preserve">small_craft</t>
        </is>
      </c>
      <c r="E205" s="0" t="inlineStr">
        <is>
          <t xml:space="preserve">PLATYPUS MARINE INC</t>
        </is>
      </c>
      <c r="F205" s="0" t="inlineStr">
        <is>
          <t xml:space="preserve">B</t>
        </is>
      </c>
      <c r="G205" s="4">
        <v>4.1847550899999995</v>
      </c>
      <c r="H205" s="0" t="inlineStr">
        <is>
          <t xml:space="preserve">2024-05-31</t>
        </is>
      </c>
      <c r="I205" s="0" t="inlineStr">
        <is>
          <t xml:space="preserve">no</t>
        </is>
      </c>
      <c r="J205" s="0" t="inlineStr">
        <is>
          <t xml:space="preserve">N6426724Q5020</t>
        </is>
      </c>
      <c r="K205" s="0" t="inlineStr">
        <is>
          <t xml:space="preserve">NONE</t>
        </is>
      </c>
    </row>
    <row r="206">
      <c r="B206" s="0" t="inlineStr">
        <is>
          <t xml:space="preserve">N0002420F22H1</t>
        </is>
      </c>
      <c r="C206" s="0" t="inlineStr">
        <is>
          <t xml:space="preserve">N0002415D2232</t>
        </is>
      </c>
      <c r="D206" s="0" t="inlineStr">
        <is>
          <t xml:space="preserve">small_craft</t>
        </is>
      </c>
      <c r="E206" s="0" t="inlineStr">
        <is>
          <t xml:space="preserve">MARINE GROUP BOAT WORKS, LLC</t>
        </is>
      </c>
      <c r="F206" s="0" t="inlineStr">
        <is>
          <t xml:space="preserve">C</t>
        </is>
      </c>
      <c r="G206" s="4">
        <v>4.1559525399999995</v>
      </c>
      <c r="H206" s="0" t="inlineStr">
        <is>
          <t xml:space="preserve">2019-10-15</t>
        </is>
      </c>
      <c r="I206" s="0" t="inlineStr">
        <is>
          <t xml:space="preserve">no</t>
        </is>
      </c>
      <c r="J206" s="0" t="inlineStr">
        <is>
          <t xml:space="preserve">N0002414R2232</t>
        </is>
      </c>
      <c r="K206" s="0" t="inlineStr">
        <is>
          <t xml:space="preserve">NONE</t>
        </is>
      </c>
    </row>
    <row r="207">
      <c r="B207" s="0" t="inlineStr">
        <is>
          <t xml:space="preserve">N0002426C2210</t>
        </is>
      </c>
      <c r="D207" s="0" t="inlineStr">
        <is>
          <t xml:space="preserve">small_craft</t>
        </is>
      </c>
      <c r="E207" s="0" t="inlineStr">
        <is>
          <t xml:space="preserve">DOCK HIGH, LLC</t>
        </is>
      </c>
      <c r="F207" s="0" t="inlineStr">
        <is>
          <t xml:space="preserve">D</t>
        </is>
      </c>
      <c r="G207" s="4">
        <v>4.116549</v>
      </c>
      <c r="H207" s="0" t="inlineStr">
        <is>
          <t xml:space="preserve">2025-11-19</t>
        </is>
      </c>
      <c r="I207" s="0" t="inlineStr">
        <is>
          <t xml:space="preserve">yes</t>
        </is>
      </c>
      <c r="J207" s="0" t="inlineStr">
        <is>
          <t xml:space="preserve">N0002425R2212</t>
        </is>
      </c>
      <c r="K207" s="0" t="inlineStr">
        <is>
          <t xml:space="preserve">NONE</t>
        </is>
      </c>
    </row>
    <row r="208">
      <c r="B208" s="0" t="inlineStr">
        <is>
          <t xml:space="preserve">N0002426F22A1</t>
        </is>
      </c>
      <c r="C208" s="0" t="inlineStr">
        <is>
          <t xml:space="preserve">N0002421D2205</t>
        </is>
      </c>
      <c r="D208" s="0" t="inlineStr">
        <is>
          <t xml:space="preserve">small_craft</t>
        </is>
      </c>
      <c r="E208" s="0" t="inlineStr">
        <is>
          <t xml:space="preserve">SILVER SHIPS, INC</t>
        </is>
      </c>
      <c r="F208" s="0" t="inlineStr">
        <is>
          <t xml:space="preserve">C</t>
        </is>
      </c>
      <c r="G208" s="4">
        <v>4.10818</v>
      </c>
      <c r="H208" s="0" t="inlineStr">
        <is>
          <t xml:space="preserve">2026-01-23</t>
        </is>
      </c>
      <c r="I208" s="0" t="inlineStr">
        <is>
          <t xml:space="preserve">yes</t>
        </is>
      </c>
      <c r="J208" s="0" t="inlineStr">
        <is>
          <t xml:space="preserve">N0002421R2205</t>
        </is>
      </c>
      <c r="K208" s="0" t="inlineStr">
        <is>
          <t xml:space="preserve">NONE</t>
        </is>
      </c>
    </row>
    <row r="209">
      <c r="B209" s="0" t="inlineStr">
        <is>
          <t xml:space="preserve">0005</t>
        </is>
      </c>
      <c r="C209" s="0" t="inlineStr">
        <is>
          <t xml:space="preserve">N0002414D2205</t>
        </is>
      </c>
      <c r="D209" s="0" t="inlineStr">
        <is>
          <t xml:space="preserve">small_craft</t>
        </is>
      </c>
      <c r="E209" s="0" t="inlineStr">
        <is>
          <t xml:space="preserve">SILVER SHIPS, INC</t>
        </is>
      </c>
      <c r="F209" s="0" t="inlineStr">
        <is>
          <t xml:space="preserve">C</t>
        </is>
      </c>
      <c r="G209" s="4">
        <v>4.096592</v>
      </c>
      <c r="H209" s="0" t="inlineStr">
        <is>
          <t xml:space="preserve">2017-04-28</t>
        </is>
      </c>
      <c r="I209" s="0" t="inlineStr">
        <is>
          <t xml:space="preserve">no</t>
        </is>
      </c>
      <c r="J209" s="0" t="inlineStr">
        <is>
          <t xml:space="preserve">N0002413R2205</t>
        </is>
      </c>
      <c r="K209" s="0" t="inlineStr">
        <is>
          <t xml:space="preserve">NONE</t>
        </is>
      </c>
    </row>
    <row r="210">
      <c r="B210" s="0" t="inlineStr">
        <is>
          <t xml:space="preserve">N0002423C2213</t>
        </is>
      </c>
      <c r="D210" s="0" t="inlineStr">
        <is>
          <t xml:space="preserve">small_craft</t>
        </is>
      </c>
      <c r="E210" s="0" t="inlineStr">
        <is>
          <t xml:space="preserve">ZODIAC OF NORTH AMERICA, INC.</t>
        </is>
      </c>
      <c r="F210" s="0" t="inlineStr">
        <is>
          <t xml:space="preserve">D</t>
        </is>
      </c>
      <c r="G210" s="4">
        <v>4.09097357</v>
      </c>
      <c r="H210" s="0" t="inlineStr">
        <is>
          <t xml:space="preserve">2023-06-30</t>
        </is>
      </c>
      <c r="I210" s="0" t="inlineStr">
        <is>
          <t xml:space="preserve">no</t>
        </is>
      </c>
      <c r="J210" s="0" t="inlineStr">
        <is>
          <t xml:space="preserve">N0002422R2213</t>
        </is>
      </c>
      <c r="K210" s="0" t="inlineStr">
        <is>
          <t xml:space="preserve">NONE</t>
        </is>
      </c>
    </row>
    <row r="211">
      <c r="B211" s="0" t="inlineStr">
        <is>
          <t xml:space="preserve">N0002424F22B1</t>
        </is>
      </c>
      <c r="C211" s="0" t="inlineStr">
        <is>
          <t xml:space="preserve">N0002420D2210</t>
        </is>
      </c>
      <c r="D211" s="0" t="inlineStr">
        <is>
          <t xml:space="preserve">small_craft</t>
        </is>
      </c>
      <c r="E211" s="0" t="inlineStr">
        <is>
          <t xml:space="preserve">RIBCRAFT USA, LLC</t>
        </is>
      </c>
      <c r="F211" s="0" t="inlineStr">
        <is>
          <t xml:space="preserve">C</t>
        </is>
      </c>
      <c r="G211" s="4">
        <v>4.03806999</v>
      </c>
      <c r="H211" s="0" t="inlineStr">
        <is>
          <t xml:space="preserve">2024-08-08</t>
        </is>
      </c>
      <c r="I211" s="0" t="inlineStr">
        <is>
          <t xml:space="preserve">no</t>
        </is>
      </c>
      <c r="J211" s="0" t="inlineStr">
        <is>
          <t xml:space="preserve">N0002420R2210</t>
        </is>
      </c>
      <c r="K211" s="0" t="inlineStr">
        <is>
          <t xml:space="preserve">NONE</t>
        </is>
      </c>
    </row>
    <row r="212">
      <c r="B212" s="0" t="inlineStr">
        <is>
          <t xml:space="preserve">N3220516C4504</t>
        </is>
      </c>
      <c r="D212" s="0" t="inlineStr">
        <is>
          <t xml:space="preserve">other_small</t>
        </is>
      </c>
      <c r="E212" s="0" t="inlineStr">
        <is>
          <t xml:space="preserve">DETYENS SHIPYARDS INC</t>
        </is>
      </c>
      <c r="F212" s="0" t="inlineStr">
        <is>
          <t xml:space="preserve">D</t>
        </is>
      </c>
      <c r="G212" s="4">
        <v>4.012125</v>
      </c>
      <c r="H212" s="0" t="inlineStr">
        <is>
          <t xml:space="preserve">2016-07-01</t>
        </is>
      </c>
      <c r="I212" s="0" t="inlineStr">
        <is>
          <t xml:space="preserve">no</t>
        </is>
      </c>
      <c r="J212" s="0" t="inlineStr">
        <is>
          <t xml:space="preserve">N3220516R4506</t>
        </is>
      </c>
      <c r="K212" s="0" t="inlineStr">
        <is>
          <t xml:space="preserve">NONE</t>
        </is>
      </c>
    </row>
    <row r="213">
      <c r="B213" s="0" t="inlineStr">
        <is>
          <t xml:space="preserve">N0002422F22B6</t>
        </is>
      </c>
      <c r="C213" s="0" t="inlineStr">
        <is>
          <t xml:space="preserve">N0002419D2220</t>
        </is>
      </c>
      <c r="D213" s="0" t="inlineStr">
        <is>
          <t xml:space="preserve">small_craft</t>
        </is>
      </c>
      <c r="E213" s="0" t="inlineStr">
        <is>
          <t xml:space="preserve">RIBCRAFT USA, LLC</t>
        </is>
      </c>
      <c r="F213" s="0" t="inlineStr">
        <is>
          <t xml:space="preserve">C</t>
        </is>
      </c>
      <c r="G213" s="4">
        <v>4.00251588</v>
      </c>
      <c r="H213" s="0" t="inlineStr">
        <is>
          <t xml:space="preserve">2022-06-30</t>
        </is>
      </c>
      <c r="I213" s="0" t="inlineStr">
        <is>
          <t xml:space="preserve">no</t>
        </is>
      </c>
      <c r="J213" s="0" t="inlineStr">
        <is>
          <t xml:space="preserve">N0002418R2220</t>
        </is>
      </c>
      <c r="K213" s="0" t="inlineStr">
        <is>
          <t xml:space="preserve">NONE</t>
        </is>
      </c>
    </row>
    <row r="214">
      <c r="B214" s="0" t="inlineStr">
        <is>
          <t xml:space="preserve">0002</t>
        </is>
      </c>
      <c r="C214" s="0" t="inlineStr">
        <is>
          <t xml:space="preserve">N0002413D2253</t>
        </is>
      </c>
      <c r="D214" s="0" t="inlineStr">
        <is>
          <t xml:space="preserve">small_craft</t>
        </is>
      </c>
      <c r="E214" s="0" t="inlineStr">
        <is>
          <t xml:space="preserve">GRAVOIS ALUMINUM BOATS LLC</t>
        </is>
      </c>
      <c r="F214" s="0" t="inlineStr">
        <is>
          <t xml:space="preserve">C</t>
        </is>
      </c>
      <c r="G214" s="4">
        <v>3.9995459999999996</v>
      </c>
      <c r="H214" s="0" t="inlineStr">
        <is>
          <t xml:space="preserve">2014-03-19</t>
        </is>
      </c>
      <c r="I214" s="0" t="inlineStr">
        <is>
          <t xml:space="preserve">no</t>
        </is>
      </c>
      <c r="J214" s="0" t="inlineStr">
        <is>
          <t xml:space="preserve">N0002412R2253</t>
        </is>
      </c>
      <c r="K214" s="0" t="inlineStr">
        <is>
          <t xml:space="preserve">NONE</t>
        </is>
      </c>
    </row>
    <row r="215">
      <c r="B215" s="0" t="inlineStr">
        <is>
          <t xml:space="preserve">N0002414F2201</t>
        </is>
      </c>
      <c r="C215" s="0" t="inlineStr">
        <is>
          <t xml:space="preserve">GS07F6093P</t>
        </is>
      </c>
      <c r="D215" s="0" t="inlineStr">
        <is>
          <t xml:space="preserve">small_craft</t>
        </is>
      </c>
      <c r="E215" s="0" t="inlineStr">
        <is>
          <t xml:space="preserve">MARINE GROUP BOAT WORKS, LLC</t>
        </is>
      </c>
      <c r="F215" s="0" t="inlineStr">
        <is>
          <t xml:space="preserve">C</t>
        </is>
      </c>
      <c r="G215" s="4">
        <v>3.9949999999999997</v>
      </c>
      <c r="H215" s="0" t="inlineStr">
        <is>
          <t xml:space="preserve">2014-07-11</t>
        </is>
      </c>
      <c r="I215" s="0" t="inlineStr">
        <is>
          <t xml:space="preserve">no</t>
        </is>
      </c>
      <c r="J215" s="0" t="inlineStr">
        <is>
          <t xml:space="preserve">N0002414T2201</t>
        </is>
      </c>
      <c r="K215" s="0" t="inlineStr">
        <is>
          <t xml:space="preserve">NONE</t>
        </is>
      </c>
    </row>
    <row r="216">
      <c r="B216" s="0" t="inlineStr">
        <is>
          <t xml:space="preserve">0002</t>
        </is>
      </c>
      <c r="C216" s="0" t="inlineStr">
        <is>
          <t xml:space="preserve">N0002415D2232</t>
        </is>
      </c>
      <c r="D216" s="0" t="inlineStr">
        <is>
          <t xml:space="preserve">small_craft</t>
        </is>
      </c>
      <c r="E216" s="0" t="inlineStr">
        <is>
          <t xml:space="preserve">MARINE GROUP BOAT WORKS, LLC</t>
        </is>
      </c>
      <c r="F216" s="0" t="inlineStr">
        <is>
          <t xml:space="preserve">C</t>
        </is>
      </c>
      <c r="G216" s="4">
        <v>3.97667857</v>
      </c>
      <c r="H216" s="0" t="inlineStr">
        <is>
          <t xml:space="preserve">2014-11-03</t>
        </is>
      </c>
      <c r="I216" s="0" t="inlineStr">
        <is>
          <t xml:space="preserve">no</t>
        </is>
      </c>
      <c r="J216" s="0" t="inlineStr">
        <is>
          <t xml:space="preserve">N0002414R2232</t>
        </is>
      </c>
      <c r="K216" s="0" t="inlineStr">
        <is>
          <t xml:space="preserve">NONE</t>
        </is>
      </c>
    </row>
    <row r="217">
      <c r="B217" s="0" t="inlineStr">
        <is>
          <t xml:space="preserve">N0002425F22A6</t>
        </is>
      </c>
      <c r="C217" s="0" t="inlineStr">
        <is>
          <t xml:space="preserve">N0002421D2205</t>
        </is>
      </c>
      <c r="D217" s="0" t="inlineStr">
        <is>
          <t xml:space="preserve">small_craft</t>
        </is>
      </c>
      <c r="E217" s="0" t="inlineStr">
        <is>
          <t xml:space="preserve">SILVER SHIPS, INC</t>
        </is>
      </c>
      <c r="F217" s="0" t="inlineStr">
        <is>
          <t xml:space="preserve">C</t>
        </is>
      </c>
      <c r="G217" s="4">
        <v>3.97382</v>
      </c>
      <c r="H217" s="0" t="inlineStr">
        <is>
          <t xml:space="preserve">2025-02-04</t>
        </is>
      </c>
      <c r="I217" s="0" t="inlineStr">
        <is>
          <t xml:space="preserve">no</t>
        </is>
      </c>
      <c r="J217" s="0" t="inlineStr">
        <is>
          <t xml:space="preserve">N0002421R2205</t>
        </is>
      </c>
      <c r="K217" s="0" t="inlineStr">
        <is>
          <t xml:space="preserve">NONE</t>
        </is>
      </c>
    </row>
    <row r="218">
      <c r="B218" s="0" t="inlineStr">
        <is>
          <t xml:space="preserve">N3220515C4006</t>
        </is>
      </c>
      <c r="D218" s="0" t="inlineStr">
        <is>
          <t xml:space="preserve">other_small</t>
        </is>
      </c>
      <c r="E218" s="0" t="inlineStr">
        <is>
          <t xml:space="preserve">DETYENS SHIPYARDS INC</t>
        </is>
      </c>
      <c r="F218" s="0" t="inlineStr">
        <is>
          <t xml:space="preserve">D</t>
        </is>
      </c>
      <c r="G218" s="4">
        <v>3.9500078899999997</v>
      </c>
      <c r="H218" s="0" t="inlineStr">
        <is>
          <t xml:space="preserve">2015-05-14</t>
        </is>
      </c>
      <c r="I218" s="0" t="inlineStr">
        <is>
          <t xml:space="preserve">no</t>
        </is>
      </c>
      <c r="J218" s="0" t="inlineStr">
        <is>
          <t xml:space="preserve">N3220515R4000</t>
        </is>
      </c>
      <c r="K218" s="0" t="inlineStr">
        <is>
          <t xml:space="preserve">NONE</t>
        </is>
      </c>
    </row>
    <row r="219">
      <c r="B219" s="0" t="inlineStr">
        <is>
          <t xml:space="preserve">N0002421C2250</t>
        </is>
      </c>
      <c r="D219" s="0" t="inlineStr">
        <is>
          <t xml:space="preserve">small_craft</t>
        </is>
      </c>
      <c r="E219" s="0" t="inlineStr">
        <is>
          <t xml:space="preserve">FRASER SHIPYARDS LLC</t>
        </is>
      </c>
      <c r="F219" s="0" t="inlineStr">
        <is>
          <t xml:space="preserve">D</t>
        </is>
      </c>
      <c r="G219" s="4">
        <v>3.882914</v>
      </c>
      <c r="H219" s="0" t="inlineStr">
        <is>
          <t xml:space="preserve">2021-07-22</t>
        </is>
      </c>
      <c r="I219" s="0" t="inlineStr">
        <is>
          <t xml:space="preserve">no</t>
        </is>
      </c>
      <c r="J219" s="0" t="inlineStr">
        <is>
          <t xml:space="preserve">N0002421R2250</t>
        </is>
      </c>
      <c r="K219" s="0" t="inlineStr">
        <is>
          <t xml:space="preserve">NONE</t>
        </is>
      </c>
    </row>
    <row r="220">
      <c r="B220" s="0" t="inlineStr">
        <is>
          <t xml:space="preserve">N0002420F22V2</t>
        </is>
      </c>
      <c r="C220" s="0" t="inlineStr">
        <is>
          <t xml:space="preserve">N0002417D2217</t>
        </is>
      </c>
      <c r="D220" s="0" t="inlineStr">
        <is>
          <t xml:space="preserve">small_craft</t>
        </is>
      </c>
      <c r="E220" s="0" t="inlineStr">
        <is>
          <t xml:space="preserve">SNOW &amp; COMPANY, INC.</t>
        </is>
      </c>
      <c r="F220" s="0" t="inlineStr">
        <is>
          <t xml:space="preserve">C</t>
        </is>
      </c>
      <c r="G220" s="4">
        <v>3.7916317999999998</v>
      </c>
      <c r="H220" s="0" t="inlineStr">
        <is>
          <t xml:space="preserve">2020-05-13</t>
        </is>
      </c>
      <c r="I220" s="0" t="inlineStr">
        <is>
          <t xml:space="preserve">no</t>
        </is>
      </c>
      <c r="J220" s="0" t="inlineStr">
        <is>
          <t xml:space="preserve">N0002417R2217</t>
        </is>
      </c>
      <c r="K220" s="0" t="inlineStr">
        <is>
          <t xml:space="preserve">NONE</t>
        </is>
      </c>
    </row>
    <row r="221">
      <c r="B221" s="0" t="inlineStr">
        <is>
          <t xml:space="preserve">N0002424F8567</t>
        </is>
      </c>
      <c r="C221" s="0" t="inlineStr">
        <is>
          <t xml:space="preserve">N0002417D6421</t>
        </is>
      </c>
      <c r="D221" s="0" t="inlineStr">
        <is>
          <t xml:space="preserve">usv_core</t>
        </is>
      </c>
      <c r="E221" s="0" t="inlineStr">
        <is>
          <t xml:space="preserve">UNIVERSITY OF TEXAS AT AUSTIN</t>
        </is>
      </c>
      <c r="F221" s="0" t="inlineStr">
        <is>
          <t xml:space="preserve">C</t>
        </is>
      </c>
      <c r="G221" s="4">
        <v>3.7851079999999997</v>
      </c>
      <c r="H221" s="0" t="inlineStr">
        <is>
          <t xml:space="preserve">2024-08-20</t>
        </is>
      </c>
      <c r="I221" s="0" t="inlineStr">
        <is>
          <t xml:space="preserve">no</t>
        </is>
      </c>
      <c r="K221" s="0" t="inlineStr">
        <is>
          <t xml:space="preserve">NONE</t>
        </is>
      </c>
    </row>
    <row r="222">
      <c r="B222" s="0" t="inlineStr">
        <is>
          <t xml:space="preserve">N0002422C2225</t>
        </is>
      </c>
      <c r="D222" s="0" t="inlineStr">
        <is>
          <t xml:space="preserve">small_craft</t>
        </is>
      </c>
      <c r="E222" s="0" t="inlineStr">
        <is>
          <t xml:space="preserve">SAFE BOATS INTERNATIONAL LLC</t>
        </is>
      </c>
      <c r="F222" s="0" t="inlineStr">
        <is>
          <t xml:space="preserve">D</t>
        </is>
      </c>
      <c r="G222" s="4">
        <v>3.7838429999999996</v>
      </c>
      <c r="H222" s="0" t="inlineStr">
        <is>
          <t xml:space="preserve">2022-07-12</t>
        </is>
      </c>
      <c r="I222" s="0" t="inlineStr">
        <is>
          <t xml:space="preserve">no</t>
        </is>
      </c>
      <c r="J222" s="0" t="inlineStr">
        <is>
          <t xml:space="preserve">N0002421R2225</t>
        </is>
      </c>
      <c r="K222" s="0" t="inlineStr">
        <is>
          <t xml:space="preserve">NONE</t>
        </is>
      </c>
    </row>
    <row r="223">
      <c r="B223" s="0" t="inlineStr">
        <is>
          <t xml:space="preserve">0004</t>
        </is>
      </c>
      <c r="C223" s="0" t="inlineStr">
        <is>
          <t xml:space="preserve">N0002414D2207</t>
        </is>
      </c>
      <c r="D223" s="0" t="inlineStr">
        <is>
          <t xml:space="preserve">small_craft</t>
        </is>
      </c>
      <c r="E223" s="0" t="inlineStr">
        <is>
          <t xml:space="preserve">GRAVOIS ALUMINUM BOATS LLC</t>
        </is>
      </c>
      <c r="F223" s="0" t="inlineStr">
        <is>
          <t xml:space="preserve">C</t>
        </is>
      </c>
      <c r="G223" s="4">
        <v>3.7274</v>
      </c>
      <c r="H223" s="0" t="inlineStr">
        <is>
          <t xml:space="preserve">2017-05-01</t>
        </is>
      </c>
      <c r="I223" s="0" t="inlineStr">
        <is>
          <t xml:space="preserve">no</t>
        </is>
      </c>
      <c r="J223" s="0" t="inlineStr">
        <is>
          <t xml:space="preserve">N0002413R2205</t>
        </is>
      </c>
      <c r="K223" s="0" t="inlineStr">
        <is>
          <t xml:space="preserve">NONE</t>
        </is>
      </c>
    </row>
    <row r="224">
      <c r="B224" s="0" t="inlineStr">
        <is>
          <t xml:space="preserve">N0002421C2457</t>
        </is>
      </c>
      <c r="D224" s="0" t="inlineStr">
        <is>
          <t xml:space="preserve">small_craft</t>
        </is>
      </c>
      <c r="E224" s="0" t="inlineStr">
        <is>
          <t xml:space="preserve">AUSTAL USA, LLC</t>
        </is>
      </c>
      <c r="F224" s="0" t="inlineStr">
        <is>
          <t xml:space="preserve">D</t>
        </is>
      </c>
      <c r="G224" s="4">
        <v>3.668811</v>
      </c>
      <c r="H224" s="0" t="inlineStr">
        <is>
          <t xml:space="preserve">2021-06-14</t>
        </is>
      </c>
      <c r="I224" s="0" t="inlineStr">
        <is>
          <t xml:space="preserve">no</t>
        </is>
      </c>
      <c r="J224" s="0" t="inlineStr">
        <is>
          <t xml:space="preserve">N0002421R2450</t>
        </is>
      </c>
      <c r="K224" s="0" t="inlineStr">
        <is>
          <t xml:space="preserve">NONE</t>
        </is>
      </c>
    </row>
    <row r="225">
      <c r="B225" s="0" t="inlineStr">
        <is>
          <t xml:space="preserve">N0002414C2226</t>
        </is>
      </c>
      <c r="D225" s="0" t="inlineStr">
        <is>
          <t xml:space="preserve">small_craft</t>
        </is>
      </c>
      <c r="E225" s="0" t="inlineStr">
        <is>
          <t xml:space="preserve">UNITED STATES MARINE INC</t>
        </is>
      </c>
      <c r="F225" s="0" t="inlineStr">
        <is>
          <t xml:space="preserve">D</t>
        </is>
      </c>
      <c r="G225" s="4">
        <v>3.6553717999999997</v>
      </c>
      <c r="H225" s="0" t="inlineStr">
        <is>
          <t xml:space="preserve">2014-05-15</t>
        </is>
      </c>
      <c r="I225" s="0" t="inlineStr">
        <is>
          <t xml:space="preserve">no</t>
        </is>
      </c>
      <c r="J225" s="0" t="inlineStr">
        <is>
          <t xml:space="preserve">N0002414R2226</t>
        </is>
      </c>
      <c r="K225" s="0" t="inlineStr">
        <is>
          <t xml:space="preserve">NONE</t>
        </is>
      </c>
    </row>
    <row r="226">
      <c r="B226" s="0" t="inlineStr">
        <is>
          <t xml:space="preserve">N0002416C2206</t>
        </is>
      </c>
      <c r="D226" s="0" t="inlineStr">
        <is>
          <t xml:space="preserve">small_craft</t>
        </is>
      </c>
      <c r="E226" s="0" t="inlineStr">
        <is>
          <t xml:space="preserve">BRUNSWICK COMMERCIAL &amp; GOVERNMENT PRODUCTS, INC.</t>
        </is>
      </c>
      <c r="F226" s="0" t="inlineStr">
        <is>
          <t xml:space="preserve">D</t>
        </is>
      </c>
      <c r="G226" s="4">
        <v>3.587782</v>
      </c>
      <c r="H226" s="0" t="inlineStr">
        <is>
          <t xml:space="preserve">2016-08-10</t>
        </is>
      </c>
      <c r="I226" s="0" t="inlineStr">
        <is>
          <t xml:space="preserve">no</t>
        </is>
      </c>
      <c r="J226" s="0" t="inlineStr">
        <is>
          <t xml:space="preserve">N0002416R2206</t>
        </is>
      </c>
      <c r="K226" s="0" t="inlineStr">
        <is>
          <t xml:space="preserve">NONE</t>
        </is>
      </c>
    </row>
    <row r="227">
      <c r="B227" s="0" t="inlineStr">
        <is>
          <t xml:space="preserve">N0002422C2209</t>
        </is>
      </c>
      <c r="D227" s="0" t="inlineStr">
        <is>
          <t xml:space="preserve">other_small</t>
        </is>
      </c>
      <c r="E227" s="0" t="inlineStr">
        <is>
          <t xml:space="preserve">AUSTAL USA, LLC</t>
        </is>
      </c>
      <c r="F227" s="0" t="inlineStr">
        <is>
          <t xml:space="preserve">D</t>
        </is>
      </c>
      <c r="G227" s="4">
        <v>3.5578352499999997</v>
      </c>
      <c r="H227" s="0" t="inlineStr">
        <is>
          <t xml:space="preserve">2021-12-17</t>
        </is>
      </c>
      <c r="I227" s="0" t="inlineStr">
        <is>
          <t xml:space="preserve">no</t>
        </is>
      </c>
      <c r="K227" s="0" t="inlineStr">
        <is>
          <t xml:space="preserve">NONE</t>
        </is>
      </c>
    </row>
    <row r="228">
      <c r="B228" s="0" t="inlineStr">
        <is>
          <t xml:space="preserve">N0003925F1019</t>
        </is>
      </c>
      <c r="C228" s="0" t="inlineStr">
        <is>
          <t xml:space="preserve">N0003921D6001</t>
        </is>
      </c>
      <c r="D228" s="0" t="inlineStr">
        <is>
          <t xml:space="preserve">small_craft</t>
        </is>
      </c>
      <c r="E228" s="0" t="inlineStr">
        <is>
          <t xml:space="preserve">TELEDYNE BROWN ENGINEERING, INC.</t>
        </is>
      </c>
      <c r="F228" s="0" t="inlineStr">
        <is>
          <t xml:space="preserve">C</t>
        </is>
      </c>
      <c r="G228" s="4">
        <v>3.5407409999999997</v>
      </c>
      <c r="H228" s="0" t="inlineStr">
        <is>
          <t xml:space="preserve">2025-05-01</t>
        </is>
      </c>
      <c r="I228" s="0" t="inlineStr">
        <is>
          <t xml:space="preserve">no</t>
        </is>
      </c>
      <c r="J228" s="0" t="inlineStr">
        <is>
          <t xml:space="preserve">N0003921R1000</t>
        </is>
      </c>
      <c r="K228" s="0" t="inlineStr">
        <is>
          <t xml:space="preserve">NONE</t>
        </is>
      </c>
    </row>
    <row r="229">
      <c r="B229" s="0" t="inlineStr">
        <is>
          <t xml:space="preserve">N6600121P6004</t>
        </is>
      </c>
      <c r="D229" s="0" t="inlineStr">
        <is>
          <t xml:space="preserve">other_small</t>
        </is>
      </c>
      <c r="E229" s="0" t="inlineStr">
        <is>
          <t xml:space="preserve">LIQUID ROBOTICS, INC.</t>
        </is>
      </c>
      <c r="F229" s="0" t="inlineStr">
        <is>
          <t xml:space="preserve">B</t>
        </is>
      </c>
      <c r="G229" s="4">
        <v>3.5352099999999997</v>
      </c>
      <c r="H229" s="0" t="inlineStr">
        <is>
          <t xml:space="preserve">2020-12-01</t>
        </is>
      </c>
      <c r="I229" s="0" t="inlineStr">
        <is>
          <t xml:space="preserve">no</t>
        </is>
      </c>
      <c r="J229" s="0" t="inlineStr">
        <is>
          <t xml:space="preserve">N6600121Q6004</t>
        </is>
      </c>
      <c r="K229" s="0" t="inlineStr">
        <is>
          <t xml:space="preserve">NONE</t>
        </is>
      </c>
    </row>
    <row r="230">
      <c r="B230" s="0" t="inlineStr">
        <is>
          <t xml:space="preserve">N0002420F22E1</t>
        </is>
      </c>
      <c r="C230" s="0" t="inlineStr">
        <is>
          <t xml:space="preserve">N0002414D2215</t>
        </is>
      </c>
      <c r="D230" s="0" t="inlineStr">
        <is>
          <t xml:space="preserve">small_craft</t>
        </is>
      </c>
      <c r="E230" s="0" t="inlineStr">
        <is>
          <t xml:space="preserve">SILVER SHIPS, INC</t>
        </is>
      </c>
      <c r="F230" s="0" t="inlineStr">
        <is>
          <t xml:space="preserve">C</t>
        </is>
      </c>
      <c r="G230" s="4">
        <v>3.51098039</v>
      </c>
      <c r="H230" s="0" t="inlineStr">
        <is>
          <t xml:space="preserve">2020-09-24</t>
        </is>
      </c>
      <c r="I230" s="0" t="inlineStr">
        <is>
          <t xml:space="preserve">no</t>
        </is>
      </c>
      <c r="J230" s="0" t="inlineStr">
        <is>
          <t xml:space="preserve">N0002413R2215</t>
        </is>
      </c>
      <c r="K230" s="0" t="inlineStr">
        <is>
          <t xml:space="preserve">NONE</t>
        </is>
      </c>
    </row>
    <row r="231">
      <c r="B231" s="0" t="inlineStr">
        <is>
          <t xml:space="preserve">N0002421C2454</t>
        </is>
      </c>
      <c r="D231" s="0" t="inlineStr">
        <is>
          <t xml:space="preserve">small_craft</t>
        </is>
      </c>
      <c r="E231" s="0" t="inlineStr">
        <is>
          <t xml:space="preserve">MARINETTE MARINE CORPORATION</t>
        </is>
      </c>
      <c r="F231" s="0" t="inlineStr">
        <is>
          <t xml:space="preserve">D</t>
        </is>
      </c>
      <c r="G231" s="4">
        <v>3.507201</v>
      </c>
      <c r="H231" s="0" t="inlineStr">
        <is>
          <t xml:space="preserve">2021-06-14</t>
        </is>
      </c>
      <c r="I231" s="0" t="inlineStr">
        <is>
          <t xml:space="preserve">no</t>
        </is>
      </c>
      <c r="J231" s="0" t="inlineStr">
        <is>
          <t xml:space="preserve">N0002421R2450</t>
        </is>
      </c>
      <c r="K231" s="0" t="inlineStr">
        <is>
          <t xml:space="preserve">NONE</t>
        </is>
      </c>
    </row>
    <row r="232">
      <c r="B232" s="0" t="inlineStr">
        <is>
          <t xml:space="preserve">N0003921F2173</t>
        </is>
      </c>
      <c r="C232" s="0" t="inlineStr">
        <is>
          <t xml:space="preserve">N0003921D6001</t>
        </is>
      </c>
      <c r="D232" s="0" t="inlineStr">
        <is>
          <t xml:space="preserve">small_craft</t>
        </is>
      </c>
      <c r="E232" s="0" t="inlineStr">
        <is>
          <t xml:space="preserve">TELEDYNE BROWN ENGINEERING, INC.</t>
        </is>
      </c>
      <c r="F232" s="0" t="inlineStr">
        <is>
          <t xml:space="preserve">C</t>
        </is>
      </c>
      <c r="G232" s="4">
        <v>3.4901412799999996</v>
      </c>
      <c r="H232" s="0" t="inlineStr">
        <is>
          <t xml:space="preserve">2021-07-01</t>
        </is>
      </c>
      <c r="I232" s="0" t="inlineStr">
        <is>
          <t xml:space="preserve">no</t>
        </is>
      </c>
      <c r="J232" s="0" t="inlineStr">
        <is>
          <t xml:space="preserve">N0003921R1000</t>
        </is>
      </c>
      <c r="K232" s="0" t="inlineStr">
        <is>
          <t xml:space="preserve">NONE</t>
        </is>
      </c>
    </row>
    <row r="233">
      <c r="B233" s="0" t="inlineStr">
        <is>
          <t xml:space="preserve">N0002421C2455</t>
        </is>
      </c>
      <c r="D233" s="0" t="inlineStr">
        <is>
          <t xml:space="preserve">small_craft</t>
        </is>
      </c>
      <c r="E233" s="0" t="inlineStr">
        <is>
          <t xml:space="preserve">BOLLINGER SHIPYARDS LOCKPORT, L.L.C.</t>
        </is>
      </c>
      <c r="F233" s="0" t="inlineStr">
        <is>
          <t xml:space="preserve">D</t>
        </is>
      </c>
      <c r="G233" s="4">
        <v>3.436734</v>
      </c>
      <c r="H233" s="0" t="inlineStr">
        <is>
          <t xml:space="preserve">2021-06-14</t>
        </is>
      </c>
      <c r="I233" s="0" t="inlineStr">
        <is>
          <t xml:space="preserve">no</t>
        </is>
      </c>
      <c r="J233" s="0" t="inlineStr">
        <is>
          <t xml:space="preserve">N0002421R2450</t>
        </is>
      </c>
      <c r="K233" s="0" t="inlineStr">
        <is>
          <t xml:space="preserve">NONE</t>
        </is>
      </c>
    </row>
    <row r="234">
      <c r="B234" s="0" t="inlineStr">
        <is>
          <t xml:space="preserve">N3220519P6520</t>
        </is>
      </c>
      <c r="D234" s="0" t="inlineStr">
        <is>
          <t xml:space="preserve">small_craft</t>
        </is>
      </c>
      <c r="E234" s="0" t="inlineStr">
        <is>
          <t xml:space="preserve">J. W. MARINE EQUIPMENT, INC.</t>
        </is>
      </c>
      <c r="F234" s="0" t="inlineStr">
        <is>
          <t xml:space="preserve">B</t>
        </is>
      </c>
      <c r="G234" s="4">
        <v>3.42757</v>
      </c>
      <c r="H234" s="0" t="inlineStr">
        <is>
          <t xml:space="preserve">2018-12-04</t>
        </is>
      </c>
      <c r="I234" s="0" t="inlineStr">
        <is>
          <t xml:space="preserve">no</t>
        </is>
      </c>
      <c r="J234" s="0" t="inlineStr">
        <is>
          <t xml:space="preserve">N3220518Q4679</t>
        </is>
      </c>
      <c r="K234" s="0" t="inlineStr">
        <is>
          <t xml:space="preserve">NONE</t>
        </is>
      </c>
    </row>
    <row r="235">
      <c r="B235" s="0" t="inlineStr">
        <is>
          <t xml:space="preserve">0006</t>
        </is>
      </c>
      <c r="C235" s="0" t="inlineStr">
        <is>
          <t xml:space="preserve">N0002413D2253</t>
        </is>
      </c>
      <c r="D235" s="0" t="inlineStr">
        <is>
          <t xml:space="preserve">small_craft</t>
        </is>
      </c>
      <c r="E235" s="0" t="inlineStr">
        <is>
          <t xml:space="preserve">GRAVOIS ALUMINUM BOATS LLC</t>
        </is>
      </c>
      <c r="F235" s="0" t="inlineStr">
        <is>
          <t xml:space="preserve">C</t>
        </is>
      </c>
      <c r="G235" s="4">
        <v>3.40865741</v>
      </c>
      <c r="H235" s="0" t="inlineStr">
        <is>
          <t xml:space="preserve">2016-03-30</t>
        </is>
      </c>
      <c r="I235" s="0" t="inlineStr">
        <is>
          <t xml:space="preserve">no</t>
        </is>
      </c>
      <c r="J235" s="0" t="inlineStr">
        <is>
          <t xml:space="preserve">N0002412R2253</t>
        </is>
      </c>
      <c r="K235" s="0" t="inlineStr">
        <is>
          <t xml:space="preserve">NONE</t>
        </is>
      </c>
    </row>
    <row r="236">
      <c r="B236" s="0" t="inlineStr">
        <is>
          <t xml:space="preserve">N0002421C2456</t>
        </is>
      </c>
      <c r="D236" s="0" t="inlineStr">
        <is>
          <t xml:space="preserve">small_craft</t>
        </is>
      </c>
      <c r="E236" s="0" t="inlineStr">
        <is>
          <t xml:space="preserve">TAI ENGINEERS, LLC</t>
        </is>
      </c>
      <c r="F236" s="0" t="inlineStr">
        <is>
          <t xml:space="preserve">D</t>
        </is>
      </c>
      <c r="G236" s="4">
        <v>3.405995</v>
      </c>
      <c r="H236" s="0" t="inlineStr">
        <is>
          <t xml:space="preserve">2021-06-14</t>
        </is>
      </c>
      <c r="I236" s="0" t="inlineStr">
        <is>
          <t xml:space="preserve">no</t>
        </is>
      </c>
      <c r="J236" s="0" t="inlineStr">
        <is>
          <t xml:space="preserve">N0002421R2450</t>
        </is>
      </c>
      <c r="K236" s="0" t="inlineStr">
        <is>
          <t xml:space="preserve">NONE</t>
        </is>
      </c>
    </row>
    <row r="237">
      <c r="B237" s="0" t="inlineStr">
        <is>
          <t xml:space="preserve">N0003924F1013</t>
        </is>
      </c>
      <c r="C237" s="0" t="inlineStr">
        <is>
          <t xml:space="preserve">N0003921D6001</t>
        </is>
      </c>
      <c r="D237" s="0" t="inlineStr">
        <is>
          <t xml:space="preserve">small_craft</t>
        </is>
      </c>
      <c r="E237" s="0" t="inlineStr">
        <is>
          <t xml:space="preserve">TELEDYNE BROWN ENGINEERING, INC.</t>
        </is>
      </c>
      <c r="F237" s="0" t="inlineStr">
        <is>
          <t xml:space="preserve">C</t>
        </is>
      </c>
      <c r="G237" s="4">
        <v>3.4049502</v>
      </c>
      <c r="H237" s="0" t="inlineStr">
        <is>
          <t xml:space="preserve">2024-03-07</t>
        </is>
      </c>
      <c r="I237" s="0" t="inlineStr">
        <is>
          <t xml:space="preserve">no</t>
        </is>
      </c>
      <c r="J237" s="0" t="inlineStr">
        <is>
          <t xml:space="preserve">N0003921R1000</t>
        </is>
      </c>
      <c r="K237" s="0" t="inlineStr">
        <is>
          <t xml:space="preserve">NONE</t>
        </is>
      </c>
    </row>
    <row r="238">
      <c r="B238" s="0" t="inlineStr">
        <is>
          <t xml:space="preserve">N6600118P0369</t>
        </is>
      </c>
      <c r="D238" s="0" t="inlineStr">
        <is>
          <t xml:space="preserve">small_craft</t>
        </is>
      </c>
      <c r="E238" s="0" t="inlineStr">
        <is>
          <t xml:space="preserve">LIQUID ROBOTICS, INC.</t>
        </is>
      </c>
      <c r="F238" s="0" t="inlineStr">
        <is>
          <t xml:space="preserve">B</t>
        </is>
      </c>
      <c r="G238" s="4">
        <v>3.3512619999999997</v>
      </c>
      <c r="H238" s="0" t="inlineStr">
        <is>
          <t xml:space="preserve">2018-09-21</t>
        </is>
      </c>
      <c r="I238" s="0" t="inlineStr">
        <is>
          <t xml:space="preserve">no</t>
        </is>
      </c>
      <c r="J238" s="0" t="inlineStr">
        <is>
          <t xml:space="preserve">N6600118Q0369</t>
        </is>
      </c>
      <c r="K238" s="0" t="inlineStr">
        <is>
          <t xml:space="preserve">NONE</t>
        </is>
      </c>
    </row>
    <row r="239">
      <c r="B239" s="0" t="inlineStr">
        <is>
          <t xml:space="preserve">N0002424F22A2</t>
        </is>
      </c>
      <c r="C239" s="0" t="inlineStr">
        <is>
          <t xml:space="preserve">N0002421D2220</t>
        </is>
      </c>
      <c r="D239" s="0" t="inlineStr">
        <is>
          <t xml:space="preserve">small_craft</t>
        </is>
      </c>
      <c r="E239" s="0" t="inlineStr">
        <is>
          <t xml:space="preserve">UNITED STATES MARINE INC</t>
        </is>
      </c>
      <c r="F239" s="0" t="inlineStr">
        <is>
          <t xml:space="preserve">C</t>
        </is>
      </c>
      <c r="G239" s="4">
        <v>3.2750310099999997</v>
      </c>
      <c r="H239" s="0" t="inlineStr">
        <is>
          <t xml:space="preserve">2024-02-20</t>
        </is>
      </c>
      <c r="I239" s="0" t="inlineStr">
        <is>
          <t xml:space="preserve">no</t>
        </is>
      </c>
      <c r="J239" s="0" t="inlineStr">
        <is>
          <t xml:space="preserve">N0002421R2220</t>
        </is>
      </c>
      <c r="K239" s="0" t="inlineStr">
        <is>
          <t xml:space="preserve">NONE</t>
        </is>
      </c>
    </row>
    <row r="240">
      <c r="B240" s="0" t="inlineStr">
        <is>
          <t xml:space="preserve">N0010425CZA14</t>
        </is>
      </c>
      <c r="D240" s="0" t="inlineStr">
        <is>
          <t xml:space="preserve">small_craft</t>
        </is>
      </c>
      <c r="E240" s="0" t="inlineStr">
        <is>
          <t xml:space="preserve">DERBYSHIRE MACHINE &amp; TOOL CO</t>
        </is>
      </c>
      <c r="F240" s="0" t="inlineStr">
        <is>
          <t xml:space="preserve">D</t>
        </is>
      </c>
      <c r="G240" s="4">
        <v>3.220944</v>
      </c>
      <c r="H240" s="0" t="inlineStr">
        <is>
          <t xml:space="preserve">2025-05-21</t>
        </is>
      </c>
      <c r="I240" s="0" t="inlineStr">
        <is>
          <t xml:space="preserve">no</t>
        </is>
      </c>
      <c r="J240" s="0" t="inlineStr">
        <is>
          <t xml:space="preserve">N0010425RZB38</t>
        </is>
      </c>
      <c r="K240" s="0" t="inlineStr">
        <is>
          <t xml:space="preserve">NONE</t>
        </is>
      </c>
    </row>
    <row r="241">
      <c r="B241" s="0" t="inlineStr">
        <is>
          <t xml:space="preserve">N0003312C7503</t>
        </is>
      </c>
      <c r="D241" s="0" t="inlineStr">
        <is>
          <t xml:space="preserve">small_craft</t>
        </is>
      </c>
      <c r="E241" s="0" t="inlineStr">
        <is>
          <t xml:space="preserve">J. W. MARINE EQUIPMENT, INC.</t>
        </is>
      </c>
      <c r="F241" s="0" t="inlineStr">
        <is>
          <t xml:space="preserve">D</t>
        </is>
      </c>
      <c r="G241" s="4">
        <v>3.20833429</v>
      </c>
      <c r="H241" s="0" t="inlineStr">
        <is>
          <t xml:space="preserve">2012-07-30</t>
        </is>
      </c>
      <c r="I241" s="0" t="inlineStr">
        <is>
          <t xml:space="preserve">no</t>
        </is>
      </c>
      <c r="J241" s="0" t="inlineStr">
        <is>
          <t xml:space="preserve">N0003312R7503</t>
        </is>
      </c>
      <c r="K241" s="0" t="inlineStr">
        <is>
          <t xml:space="preserve">NONE</t>
        </is>
      </c>
    </row>
    <row r="242">
      <c r="B242" s="0" t="inlineStr">
        <is>
          <t xml:space="preserve">N0002418F22D2</t>
        </is>
      </c>
      <c r="C242" s="0" t="inlineStr">
        <is>
          <t xml:space="preserve">N0002414D2203</t>
        </is>
      </c>
      <c r="D242" s="0" t="inlineStr">
        <is>
          <t xml:space="preserve">small_craft</t>
        </is>
      </c>
      <c r="E242" s="0" t="inlineStr">
        <is>
          <t xml:space="preserve">UNITED STATES MARINE INC</t>
        </is>
      </c>
      <c r="F242" s="0" t="inlineStr">
        <is>
          <t xml:space="preserve">C</t>
        </is>
      </c>
      <c r="G242" s="4">
        <v>3.2029597499999998</v>
      </c>
      <c r="H242" s="0" t="inlineStr">
        <is>
          <t xml:space="preserve">2018-02-08</t>
        </is>
      </c>
      <c r="I242" s="0" t="inlineStr">
        <is>
          <t xml:space="preserve">no</t>
        </is>
      </c>
      <c r="J242" s="0" t="inlineStr">
        <is>
          <t xml:space="preserve">N0002414R2203</t>
        </is>
      </c>
      <c r="K242" s="0" t="inlineStr">
        <is>
          <t xml:space="preserve">NONE</t>
        </is>
      </c>
    </row>
    <row r="243">
      <c r="B243" s="0" t="inlineStr">
        <is>
          <t xml:space="preserve">N0002421C2453</t>
        </is>
      </c>
      <c r="D243" s="0" t="inlineStr">
        <is>
          <t xml:space="preserve">small_craft</t>
        </is>
      </c>
      <c r="E243" s="0" t="inlineStr">
        <is>
          <t xml:space="preserve">BOLLINGER MISSISSIPPI SHIPBUILDING, LLC</t>
        </is>
      </c>
      <c r="F243" s="0" t="inlineStr">
        <is>
          <t xml:space="preserve">D</t>
        </is>
      </c>
      <c r="G243" s="4">
        <v>3.184377</v>
      </c>
      <c r="H243" s="0" t="inlineStr">
        <is>
          <t xml:space="preserve">2021-06-14</t>
        </is>
      </c>
      <c r="I243" s="0" t="inlineStr">
        <is>
          <t xml:space="preserve">no</t>
        </is>
      </c>
      <c r="J243" s="0" t="inlineStr">
        <is>
          <t xml:space="preserve">N0002421R2450</t>
        </is>
      </c>
      <c r="K243" s="0" t="inlineStr">
        <is>
          <t xml:space="preserve">NONE</t>
        </is>
      </c>
    </row>
    <row r="244">
      <c r="B244" s="0" t="inlineStr">
        <is>
          <t xml:space="preserve">N0002417C2235</t>
        </is>
      </c>
      <c r="D244" s="0" t="inlineStr">
        <is>
          <t xml:space="preserve">other_small</t>
        </is>
      </c>
      <c r="E244" s="0" t="inlineStr">
        <is>
          <t xml:space="preserve">P &amp; R WATER TAXI LLC</t>
        </is>
      </c>
      <c r="F244" s="0" t="inlineStr">
        <is>
          <t xml:space="preserve">D</t>
        </is>
      </c>
      <c r="G244" s="4">
        <v>3.1801209999999998</v>
      </c>
      <c r="H244" s="0" t="inlineStr">
        <is>
          <t xml:space="preserve">2017-09-26</t>
        </is>
      </c>
      <c r="I244" s="0" t="inlineStr">
        <is>
          <t xml:space="preserve">no</t>
        </is>
      </c>
      <c r="K244" s="0" t="inlineStr">
        <is>
          <t xml:space="preserve">NONE</t>
        </is>
      </c>
    </row>
    <row r="245">
      <c r="B245" s="0" t="inlineStr">
        <is>
          <t xml:space="preserve">N0010423CNA07</t>
        </is>
      </c>
      <c r="D245" s="0" t="inlineStr">
        <is>
          <t xml:space="preserve">small_craft</t>
        </is>
      </c>
      <c r="E245" s="0" t="inlineStr">
        <is>
          <t xml:space="preserve">MOOG INC.</t>
        </is>
      </c>
      <c r="F245" s="0" t="inlineStr">
        <is>
          <t xml:space="preserve">D</t>
        </is>
      </c>
      <c r="G245" s="4">
        <v>3.1715999999999998</v>
      </c>
      <c r="H245" s="0" t="inlineStr">
        <is>
          <t xml:space="preserve">2023-03-31</t>
        </is>
      </c>
      <c r="I245" s="0" t="inlineStr">
        <is>
          <t xml:space="preserve">no</t>
        </is>
      </c>
      <c r="J245" s="0" t="inlineStr">
        <is>
          <t xml:space="preserve">N0010422RNG22</t>
        </is>
      </c>
      <c r="K245" s="0" t="inlineStr">
        <is>
          <t xml:space="preserve">NONE</t>
        </is>
      </c>
    </row>
    <row r="246">
      <c r="B246" s="0" t="inlineStr">
        <is>
          <t xml:space="preserve">N0002415C2210</t>
        </is>
      </c>
      <c r="D246" s="0" t="inlineStr">
        <is>
          <t xml:space="preserve">small_craft</t>
        </is>
      </c>
      <c r="E246" s="0" t="inlineStr">
        <is>
          <t xml:space="preserve">BRUNSWICK COMMERCIAL &amp; GOVERNMENT PRODUCTS, INC.</t>
        </is>
      </c>
      <c r="F246" s="0" t="inlineStr">
        <is>
          <t xml:space="preserve">D</t>
        </is>
      </c>
      <c r="G246" s="4">
        <v>3.16805897</v>
      </c>
      <c r="H246" s="0" t="inlineStr">
        <is>
          <t xml:space="preserve">2015-04-06</t>
        </is>
      </c>
      <c r="I246" s="0" t="inlineStr">
        <is>
          <t xml:space="preserve">no</t>
        </is>
      </c>
      <c r="J246" s="0" t="inlineStr">
        <is>
          <t xml:space="preserve">N0002415R2210</t>
        </is>
      </c>
      <c r="K246" s="0" t="inlineStr">
        <is>
          <t xml:space="preserve">NONE</t>
        </is>
      </c>
    </row>
    <row r="247">
      <c r="B247" s="0" t="inlineStr">
        <is>
          <t xml:space="preserve">N0002421C2211</t>
        </is>
      </c>
      <c r="D247" s="0" t="inlineStr">
        <is>
          <t xml:space="preserve">other_small</t>
        </is>
      </c>
      <c r="E247" s="0" t="inlineStr">
        <is>
          <t xml:space="preserve">BMT DESIGNERS &amp; PLANNERS, INC.</t>
        </is>
      </c>
      <c r="F247" s="0" t="inlineStr">
        <is>
          <t xml:space="preserve">D</t>
        </is>
      </c>
      <c r="G247" s="4">
        <v>3.11204431</v>
      </c>
      <c r="H247" s="0" t="inlineStr">
        <is>
          <t xml:space="preserve">2021-01-15</t>
        </is>
      </c>
      <c r="I247" s="0" t="inlineStr">
        <is>
          <t xml:space="preserve">no</t>
        </is>
      </c>
      <c r="J247" s="0" t="inlineStr">
        <is>
          <t xml:space="preserve">N0002420R2211</t>
        </is>
      </c>
      <c r="K247" s="0" t="inlineStr">
        <is>
          <t xml:space="preserve">NONE</t>
        </is>
      </c>
    </row>
    <row r="248">
      <c r="B248" s="0" t="inlineStr">
        <is>
          <t xml:space="preserve">M6785421F1937</t>
        </is>
      </c>
      <c r="C248" s="0" t="inlineStr">
        <is>
          <t xml:space="preserve">M6785421D1801</t>
        </is>
      </c>
      <c r="D248" s="0" t="inlineStr">
        <is>
          <t xml:space="preserve">small_craft</t>
        </is>
      </c>
      <c r="E248" s="0" t="inlineStr">
        <is>
          <t xml:space="preserve">WING INFLATABLES INC</t>
        </is>
      </c>
      <c r="F248" s="0" t="inlineStr">
        <is>
          <t xml:space="preserve">C</t>
        </is>
      </c>
      <c r="G248" s="4">
        <v>3.0711</v>
      </c>
      <c r="H248" s="0" t="inlineStr">
        <is>
          <t xml:space="preserve">2021-08-31</t>
        </is>
      </c>
      <c r="I248" s="0" t="inlineStr">
        <is>
          <t xml:space="preserve">no</t>
        </is>
      </c>
      <c r="J248" s="0" t="inlineStr">
        <is>
          <t xml:space="preserve">M6785421R1801</t>
        </is>
      </c>
      <c r="K248" s="0" t="inlineStr">
        <is>
          <t xml:space="preserve">NONE</t>
        </is>
      </c>
    </row>
    <row r="249">
      <c r="B249" s="0" t="inlineStr">
        <is>
          <t xml:space="preserve">N0001417C2036</t>
        </is>
      </c>
      <c r="D249" s="0" t="inlineStr">
        <is>
          <t xml:space="preserve">usv_core</t>
        </is>
      </c>
      <c r="E249" s="0" t="inlineStr">
        <is>
          <t xml:space="preserve">GEORGIA TECH APPLIED RESEARCH CORP</t>
        </is>
      </c>
      <c r="F249" s="0" t="inlineStr">
        <is>
          <t xml:space="preserve">D</t>
        </is>
      </c>
      <c r="G249" s="4">
        <v>3.05282131</v>
      </c>
      <c r="H249" s="0" t="inlineStr">
        <is>
          <t xml:space="preserve">2017-09-25</t>
        </is>
      </c>
      <c r="I249" s="0" t="inlineStr">
        <is>
          <t xml:space="preserve">no</t>
        </is>
      </c>
      <c r="J249" s="0" t="inlineStr">
        <is>
          <t xml:space="preserve">N0001417SB001</t>
        </is>
      </c>
      <c r="K249" s="0" t="inlineStr">
        <is>
          <t xml:space="preserve">NONE</t>
        </is>
      </c>
    </row>
    <row r="250">
      <c r="B250" s="0" t="inlineStr">
        <is>
          <t xml:space="preserve">N6600124P6022</t>
        </is>
      </c>
      <c r="D250" s="0" t="inlineStr">
        <is>
          <t xml:space="preserve">other_small</t>
        </is>
      </c>
      <c r="E250" s="0" t="inlineStr">
        <is>
          <t xml:space="preserve">HYDRONALIX INC</t>
        </is>
      </c>
      <c r="F250" s="0" t="inlineStr">
        <is>
          <t xml:space="preserve">B</t>
        </is>
      </c>
      <c r="G250" s="4">
        <v>3.04270498</v>
      </c>
      <c r="H250" s="0" t="inlineStr">
        <is>
          <t xml:space="preserve">2023-12-14</t>
        </is>
      </c>
      <c r="I250" s="0" t="inlineStr">
        <is>
          <t xml:space="preserve">no</t>
        </is>
      </c>
      <c r="J250" s="0" t="inlineStr">
        <is>
          <t xml:space="preserve">N6600124Q6022</t>
        </is>
      </c>
      <c r="K250" s="0" t="inlineStr">
        <is>
          <t xml:space="preserve">NONE</t>
        </is>
      </c>
    </row>
    <row r="251">
      <c r="B251" s="0" t="inlineStr">
        <is>
          <t xml:space="preserve">N0002422C2208</t>
        </is>
      </c>
      <c r="D251" s="0" t="inlineStr">
        <is>
          <t xml:space="preserve">other_small</t>
        </is>
      </c>
      <c r="E251" s="0" t="inlineStr">
        <is>
          <t xml:space="preserve">BOLLINGER SHIPYARDS LOCKPORT, L.L.C.</t>
        </is>
      </c>
      <c r="F251" s="0" t="inlineStr">
        <is>
          <t xml:space="preserve">D</t>
        </is>
      </c>
      <c r="G251" s="4">
        <v>3.0195810899999995</v>
      </c>
      <c r="H251" s="0" t="inlineStr">
        <is>
          <t xml:space="preserve">2021-12-17</t>
        </is>
      </c>
      <c r="I251" s="0" t="inlineStr">
        <is>
          <t xml:space="preserve">no</t>
        </is>
      </c>
      <c r="K251" s="0" t="inlineStr">
        <is>
          <t xml:space="preserve">NONE</t>
        </is>
      </c>
    </row>
    <row r="252">
      <c r="B252" s="0" t="inlineStr">
        <is>
          <t xml:space="preserve">N0002421F22W1</t>
        </is>
      </c>
      <c r="C252" s="0" t="inlineStr">
        <is>
          <t xml:space="preserve">N0002419D2220</t>
        </is>
      </c>
      <c r="D252" s="0" t="inlineStr">
        <is>
          <t xml:space="preserve">small_craft</t>
        </is>
      </c>
      <c r="E252" s="0" t="inlineStr">
        <is>
          <t xml:space="preserve">RIBCRAFT USA, LLC</t>
        </is>
      </c>
      <c r="F252" s="0" t="inlineStr">
        <is>
          <t xml:space="preserve">C</t>
        </is>
      </c>
      <c r="G252" s="4">
        <v>3.0004446099999997</v>
      </c>
      <c r="H252" s="0" t="inlineStr">
        <is>
          <t xml:space="preserve">2021-04-01</t>
        </is>
      </c>
      <c r="I252" s="0" t="inlineStr">
        <is>
          <t xml:space="preserve">no</t>
        </is>
      </c>
      <c r="J252" s="0" t="inlineStr">
        <is>
          <t xml:space="preserve">N0002418R2220</t>
        </is>
      </c>
      <c r="K252" s="0" t="inlineStr">
        <is>
          <t xml:space="preserve">NONE</t>
        </is>
      </c>
    </row>
    <row r="253">
      <c r="B253" s="0" t="inlineStr">
        <is>
          <t xml:space="preserve">N0002420F22Q1</t>
        </is>
      </c>
      <c r="C253" s="0" t="inlineStr">
        <is>
          <t xml:space="preserve">N0002416D2211</t>
        </is>
      </c>
      <c r="D253" s="0" t="inlineStr">
        <is>
          <t xml:space="preserve">small_craft</t>
        </is>
      </c>
      <c r="E253" s="0" t="inlineStr">
        <is>
          <t xml:space="preserve">MODUTECH MARINE, INC.</t>
        </is>
      </c>
      <c r="F253" s="0" t="inlineStr">
        <is>
          <t xml:space="preserve">C</t>
        </is>
      </c>
      <c r="G253" s="4">
        <v>2.9970045599999997</v>
      </c>
      <c r="H253" s="0" t="inlineStr">
        <is>
          <t xml:space="preserve">2019-10-24</t>
        </is>
      </c>
      <c r="I253" s="0" t="inlineStr">
        <is>
          <t xml:space="preserve">no</t>
        </is>
      </c>
      <c r="J253" s="0" t="inlineStr">
        <is>
          <t xml:space="preserve">N0002416R2211</t>
        </is>
      </c>
      <c r="K253" s="0" t="inlineStr">
        <is>
          <t xml:space="preserve">NONE</t>
        </is>
      </c>
    </row>
    <row r="254">
      <c r="B254" s="0" t="inlineStr">
        <is>
          <t xml:space="preserve">N0003923F1001</t>
        </is>
      </c>
      <c r="C254" s="0" t="inlineStr">
        <is>
          <t xml:space="preserve">N0003921D6001</t>
        </is>
      </c>
      <c r="D254" s="0" t="inlineStr">
        <is>
          <t xml:space="preserve">small_craft</t>
        </is>
      </c>
      <c r="E254" s="0" t="inlineStr">
        <is>
          <t xml:space="preserve">TELEDYNE BROWN ENGINEERING, INC.</t>
        </is>
      </c>
      <c r="F254" s="0" t="inlineStr">
        <is>
          <t xml:space="preserve">C</t>
        </is>
      </c>
      <c r="G254" s="4">
        <v>2.9894742799999996</v>
      </c>
      <c r="H254" s="0" t="inlineStr">
        <is>
          <t xml:space="preserve">2022-11-07</t>
        </is>
      </c>
      <c r="I254" s="0" t="inlineStr">
        <is>
          <t xml:space="preserve">no</t>
        </is>
      </c>
      <c r="J254" s="0" t="inlineStr">
        <is>
          <t xml:space="preserve">N0003921R1000</t>
        </is>
      </c>
      <c r="K254" s="0" t="inlineStr">
        <is>
          <t xml:space="preserve">NONE</t>
        </is>
      </c>
    </row>
    <row r="255">
      <c r="B255" s="0" t="inlineStr">
        <is>
          <t xml:space="preserve">0001</t>
        </is>
      </c>
      <c r="C255" s="0" t="inlineStr">
        <is>
          <t xml:space="preserve">N0002416D2215</t>
        </is>
      </c>
      <c r="D255" s="0" t="inlineStr">
        <is>
          <t xml:space="preserve">small_craft</t>
        </is>
      </c>
      <c r="E255" s="0" t="inlineStr">
        <is>
          <t xml:space="preserve">UNITED STATES MARINE INC</t>
        </is>
      </c>
      <c r="F255" s="0" t="inlineStr">
        <is>
          <t xml:space="preserve">C</t>
        </is>
      </c>
      <c r="G255" s="4">
        <v>2.9849521099999996</v>
      </c>
      <c r="H255" s="0" t="inlineStr">
        <is>
          <t xml:space="preserve">2016-09-29</t>
        </is>
      </c>
      <c r="I255" s="0" t="inlineStr">
        <is>
          <t xml:space="preserve">no</t>
        </is>
      </c>
      <c r="J255" s="0" t="inlineStr">
        <is>
          <t xml:space="preserve">N0002416R2215</t>
        </is>
      </c>
      <c r="K255" s="0" t="inlineStr">
        <is>
          <t xml:space="preserve">NONE</t>
        </is>
      </c>
    </row>
    <row r="256">
      <c r="B256" s="0" t="inlineStr">
        <is>
          <t xml:space="preserve">N0010426FF501</t>
        </is>
      </c>
      <c r="C256" s="0" t="inlineStr">
        <is>
          <t xml:space="preserve">N0010424GCQ01</t>
        </is>
      </c>
      <c r="D256" s="0" t="inlineStr">
        <is>
          <t xml:space="preserve">small_craft</t>
        </is>
      </c>
      <c r="E256" s="0" t="inlineStr">
        <is>
          <t xml:space="preserve">BIRD-JOHNSON PROPELLER COMPANY, LLC</t>
        </is>
      </c>
      <c r="F256" s="0" t="inlineStr">
        <is>
          <t xml:space="preserve">C</t>
        </is>
      </c>
      <c r="G256" s="4">
        <v>2.9754255</v>
      </c>
      <c r="H256" s="0" t="inlineStr">
        <is>
          <t xml:space="preserve">2026-03-05</t>
        </is>
      </c>
      <c r="I256" s="0" t="inlineStr">
        <is>
          <t xml:space="preserve">yes</t>
        </is>
      </c>
      <c r="K256" s="0" t="inlineStr">
        <is>
          <t xml:space="preserve">NONE</t>
        </is>
      </c>
    </row>
    <row r="257">
      <c r="B257" s="0" t="inlineStr">
        <is>
          <t xml:space="preserve">N0002422F22B2</t>
        </is>
      </c>
      <c r="C257" s="0" t="inlineStr">
        <is>
          <t xml:space="preserve">N0002416D2215</t>
        </is>
      </c>
      <c r="D257" s="0" t="inlineStr">
        <is>
          <t xml:space="preserve">small_craft</t>
        </is>
      </c>
      <c r="E257" s="0" t="inlineStr">
        <is>
          <t xml:space="preserve">UNITED STATES MARINE INC</t>
        </is>
      </c>
      <c r="F257" s="0" t="inlineStr">
        <is>
          <t xml:space="preserve">C</t>
        </is>
      </c>
      <c r="G257" s="4">
        <v>2.94182703</v>
      </c>
      <c r="H257" s="0" t="inlineStr">
        <is>
          <t xml:space="preserve">2022-07-27</t>
        </is>
      </c>
      <c r="I257" s="0" t="inlineStr">
        <is>
          <t xml:space="preserve">no</t>
        </is>
      </c>
      <c r="J257" s="0" t="inlineStr">
        <is>
          <t xml:space="preserve">N0002416R2215</t>
        </is>
      </c>
      <c r="K257" s="0" t="inlineStr">
        <is>
          <t xml:space="preserve">NONE</t>
        </is>
      </c>
    </row>
    <row r="258">
      <c r="B258" s="0" t="inlineStr">
        <is>
          <t xml:space="preserve">N0002422F22A3</t>
        </is>
      </c>
      <c r="C258" s="0" t="inlineStr">
        <is>
          <t xml:space="preserve">N0002421D2220</t>
        </is>
      </c>
      <c r="D258" s="0" t="inlineStr">
        <is>
          <t xml:space="preserve">small_craft</t>
        </is>
      </c>
      <c r="E258" s="0" t="inlineStr">
        <is>
          <t xml:space="preserve">UNITED STATES MARINE INC</t>
        </is>
      </c>
      <c r="F258" s="0" t="inlineStr">
        <is>
          <t xml:space="preserve">C</t>
        </is>
      </c>
      <c r="G258" s="4">
        <v>2.9390379799999997</v>
      </c>
      <c r="H258" s="0" t="inlineStr">
        <is>
          <t xml:space="preserve">2022-06-09</t>
        </is>
      </c>
      <c r="I258" s="0" t="inlineStr">
        <is>
          <t xml:space="preserve">no</t>
        </is>
      </c>
      <c r="J258" s="0" t="inlineStr">
        <is>
          <t xml:space="preserve">N0002421R2220</t>
        </is>
      </c>
      <c r="K258" s="0" t="inlineStr">
        <is>
          <t xml:space="preserve">NONE</t>
        </is>
      </c>
    </row>
    <row r="259">
      <c r="B259" s="0" t="inlineStr">
        <is>
          <t xml:space="preserve">N0002423F23A8</t>
        </is>
      </c>
      <c r="C259" s="0" t="inlineStr">
        <is>
          <t xml:space="preserve">N0002417D2217</t>
        </is>
      </c>
      <c r="D259" s="0" t="inlineStr">
        <is>
          <t xml:space="preserve">small_craft</t>
        </is>
      </c>
      <c r="E259" s="0" t="inlineStr">
        <is>
          <t xml:space="preserve">SNOW &amp; COMPANY, INC.</t>
        </is>
      </c>
      <c r="F259" s="0" t="inlineStr">
        <is>
          <t xml:space="preserve">C</t>
        </is>
      </c>
      <c r="G259" s="4">
        <v>2.9336481</v>
      </c>
      <c r="H259" s="0" t="inlineStr">
        <is>
          <t xml:space="preserve">2023-03-29</t>
        </is>
      </c>
      <c r="I259" s="0" t="inlineStr">
        <is>
          <t xml:space="preserve">no</t>
        </is>
      </c>
      <c r="J259" s="0" t="inlineStr">
        <is>
          <t xml:space="preserve">N0002417R2217</t>
        </is>
      </c>
      <c r="K259" s="0" t="inlineStr">
        <is>
          <t xml:space="preserve">NONE</t>
        </is>
      </c>
    </row>
    <row r="260">
      <c r="B260" s="0" t="inlineStr">
        <is>
          <t xml:space="preserve">N3220517P4152</t>
        </is>
      </c>
      <c r="D260" s="0" t="inlineStr">
        <is>
          <t xml:space="preserve">other_small</t>
        </is>
      </c>
      <c r="E260" s="0" t="inlineStr">
        <is>
          <t xml:space="preserve">DEFENSE MARITIME SOLUTIONS, INC.</t>
        </is>
      </c>
      <c r="F260" s="0" t="inlineStr">
        <is>
          <t xml:space="preserve">B</t>
        </is>
      </c>
      <c r="G260" s="4">
        <v>2.93262844</v>
      </c>
      <c r="H260" s="0" t="inlineStr">
        <is>
          <t xml:space="preserve">2017-06-21</t>
        </is>
      </c>
      <c r="I260" s="0" t="inlineStr">
        <is>
          <t xml:space="preserve">no</t>
        </is>
      </c>
      <c r="K260" s="0" t="inlineStr">
        <is>
          <t xml:space="preserve">NONE</t>
        </is>
      </c>
    </row>
    <row r="261">
      <c r="B261" s="0" t="inlineStr">
        <is>
          <t xml:space="preserve">N0002416C2210</t>
        </is>
      </c>
      <c r="D261" s="0" t="inlineStr">
        <is>
          <t xml:space="preserve">small_craft</t>
        </is>
      </c>
      <c r="E261" s="0" t="inlineStr">
        <is>
          <t xml:space="preserve">GRAVOIS ALUMINUM BOATS LLC</t>
        </is>
      </c>
      <c r="F261" s="0" t="inlineStr">
        <is>
          <t xml:space="preserve">D</t>
        </is>
      </c>
      <c r="G261" s="4">
        <v>2.8857055099999998</v>
      </c>
      <c r="H261" s="0" t="inlineStr">
        <is>
          <t xml:space="preserve">2016-01-14</t>
        </is>
      </c>
      <c r="I261" s="0" t="inlineStr">
        <is>
          <t xml:space="preserve">no</t>
        </is>
      </c>
      <c r="J261" s="0" t="inlineStr">
        <is>
          <t xml:space="preserve">N0002415R2201</t>
        </is>
      </c>
      <c r="K261" s="0" t="inlineStr">
        <is>
          <t xml:space="preserve">NONE</t>
        </is>
      </c>
    </row>
    <row r="262">
      <c r="B262" s="0" t="inlineStr">
        <is>
          <t xml:space="preserve">M6785425F1016</t>
        </is>
      </c>
      <c r="C262" s="0" t="inlineStr">
        <is>
          <t xml:space="preserve">M6785421D1801</t>
        </is>
      </c>
      <c r="D262" s="0" t="inlineStr">
        <is>
          <t xml:space="preserve">small_craft</t>
        </is>
      </c>
      <c r="E262" s="0" t="inlineStr">
        <is>
          <t xml:space="preserve">WING INFLATABLES INC</t>
        </is>
      </c>
      <c r="F262" s="0" t="inlineStr">
        <is>
          <t xml:space="preserve">C</t>
        </is>
      </c>
      <c r="G262" s="4">
        <v>2.8592999999999997</v>
      </c>
      <c r="H262" s="0" t="inlineStr">
        <is>
          <t xml:space="preserve">2025-02-20</t>
        </is>
      </c>
      <c r="I262" s="0" t="inlineStr">
        <is>
          <t xml:space="preserve">no</t>
        </is>
      </c>
      <c r="J262" s="0" t="inlineStr">
        <is>
          <t xml:space="preserve">M6785421R1801</t>
        </is>
      </c>
      <c r="K262" s="0" t="inlineStr">
        <is>
          <t xml:space="preserve">NONE</t>
        </is>
      </c>
    </row>
    <row r="263">
      <c r="B263" s="0" t="inlineStr">
        <is>
          <t xml:space="preserve">N0002418F22A2</t>
        </is>
      </c>
      <c r="C263" s="0" t="inlineStr">
        <is>
          <t xml:space="preserve">N0002413D2253</t>
        </is>
      </c>
      <c r="D263" s="0" t="inlineStr">
        <is>
          <t xml:space="preserve">small_craft</t>
        </is>
      </c>
      <c r="E263" s="0" t="inlineStr">
        <is>
          <t xml:space="preserve">GRAVOIS ALUMINUM BOATS LLC</t>
        </is>
      </c>
      <c r="F263" s="0" t="inlineStr">
        <is>
          <t xml:space="preserve">C</t>
        </is>
      </c>
      <c r="G263" s="4">
        <v>2.84492047</v>
      </c>
      <c r="H263" s="0" t="inlineStr">
        <is>
          <t xml:space="preserve">2018-02-15</t>
        </is>
      </c>
      <c r="I263" s="0" t="inlineStr">
        <is>
          <t xml:space="preserve">no</t>
        </is>
      </c>
      <c r="J263" s="0" t="inlineStr">
        <is>
          <t xml:space="preserve">N0002412R2253</t>
        </is>
      </c>
      <c r="K263" s="0" t="inlineStr">
        <is>
          <t xml:space="preserve">NONE</t>
        </is>
      </c>
    </row>
    <row r="264">
      <c r="B264" s="0" t="inlineStr">
        <is>
          <t xml:space="preserve">N0002421F22Q1</t>
        </is>
      </c>
      <c r="C264" s="0" t="inlineStr">
        <is>
          <t xml:space="preserve">N0002416D2211</t>
        </is>
      </c>
      <c r="D264" s="0" t="inlineStr">
        <is>
          <t xml:space="preserve">small_craft</t>
        </is>
      </c>
      <c r="E264" s="0" t="inlineStr">
        <is>
          <t xml:space="preserve">MODUTECH MARINE, INC.</t>
        </is>
      </c>
      <c r="F264" s="0" t="inlineStr">
        <is>
          <t xml:space="preserve">C</t>
        </is>
      </c>
      <c r="G264" s="4">
        <v>2.84299256</v>
      </c>
      <c r="H264" s="0" t="inlineStr">
        <is>
          <t xml:space="preserve">2021-02-09</t>
        </is>
      </c>
      <c r="I264" s="0" t="inlineStr">
        <is>
          <t xml:space="preserve">no</t>
        </is>
      </c>
      <c r="J264" s="0" t="inlineStr">
        <is>
          <t xml:space="preserve">N0002416R2211</t>
        </is>
      </c>
      <c r="K264" s="0" t="inlineStr">
        <is>
          <t xml:space="preserve">NONE</t>
        </is>
      </c>
    </row>
    <row r="265">
      <c r="B265" s="0" t="inlineStr">
        <is>
          <t xml:space="preserve">N0002423F23B1</t>
        </is>
      </c>
      <c r="C265" s="0" t="inlineStr">
        <is>
          <t xml:space="preserve">N0002421D2220</t>
        </is>
      </c>
      <c r="D265" s="0" t="inlineStr">
        <is>
          <t xml:space="preserve">small_craft</t>
        </is>
      </c>
      <c r="E265" s="0" t="inlineStr">
        <is>
          <t xml:space="preserve">UNITED STATES MARINE INC</t>
        </is>
      </c>
      <c r="F265" s="0" t="inlineStr">
        <is>
          <t xml:space="preserve">C</t>
        </is>
      </c>
      <c r="G265" s="4">
        <v>2.835404</v>
      </c>
      <c r="H265" s="0" t="inlineStr">
        <is>
          <t xml:space="preserve">2023-05-11</t>
        </is>
      </c>
      <c r="I265" s="0" t="inlineStr">
        <is>
          <t xml:space="preserve">no</t>
        </is>
      </c>
      <c r="J265" s="0" t="inlineStr">
        <is>
          <t xml:space="preserve">N0002421R2220</t>
        </is>
      </c>
      <c r="K265" s="0" t="inlineStr">
        <is>
          <t xml:space="preserve">NONE</t>
        </is>
      </c>
    </row>
    <row r="266">
      <c r="B266" s="0" t="inlineStr">
        <is>
          <t xml:space="preserve">N0002416F2203</t>
        </is>
      </c>
      <c r="C266" s="0" t="inlineStr">
        <is>
          <t xml:space="preserve">GS07F0362T</t>
        </is>
      </c>
      <c r="D266" s="0" t="inlineStr">
        <is>
          <t xml:space="preserve">small_craft</t>
        </is>
      </c>
      <c r="E266" s="0" t="inlineStr">
        <is>
          <t xml:space="preserve">GRAVOIS ALUMINUM BOATS LLC</t>
        </is>
      </c>
      <c r="F266" s="0" t="inlineStr">
        <is>
          <t xml:space="preserve">C</t>
        </is>
      </c>
      <c r="G266" s="4">
        <v>2.824572</v>
      </c>
      <c r="H266" s="0" t="inlineStr">
        <is>
          <t xml:space="preserve">2016-09-22</t>
        </is>
      </c>
      <c r="I266" s="0" t="inlineStr">
        <is>
          <t xml:space="preserve">no</t>
        </is>
      </c>
      <c r="K266" s="0" t="inlineStr">
        <is>
          <t xml:space="preserve">NONE</t>
        </is>
      </c>
    </row>
    <row r="267">
      <c r="B267" s="0" t="inlineStr">
        <is>
          <t xml:space="preserve">N0001422C1034</t>
        </is>
      </c>
      <c r="D267" s="0" t="inlineStr">
        <is>
          <t xml:space="preserve">usv_core</t>
        </is>
      </c>
      <c r="E267" s="0" t="inlineStr">
        <is>
          <t xml:space="preserve">GENERAL ELECTRIC COMPANY</t>
        </is>
      </c>
      <c r="F267" s="0" t="inlineStr">
        <is>
          <t xml:space="preserve">D</t>
        </is>
      </c>
      <c r="G267" s="4">
        <v>2.7912179999999998</v>
      </c>
      <c r="H267" s="0" t="inlineStr">
        <is>
          <t xml:space="preserve">2022-02-22</t>
        </is>
      </c>
      <c r="I267" s="0" t="inlineStr">
        <is>
          <t xml:space="preserve">no</t>
        </is>
      </c>
      <c r="J267" s="0" t="inlineStr">
        <is>
          <t xml:space="preserve">N0001421SB001</t>
        </is>
      </c>
      <c r="K267" s="0" t="inlineStr">
        <is>
          <t xml:space="preserve">NONE</t>
        </is>
      </c>
    </row>
    <row r="268">
      <c r="B268" s="0" t="inlineStr">
        <is>
          <t xml:space="preserve">N0002425F22B6</t>
        </is>
      </c>
      <c r="C268" s="0" t="inlineStr">
        <is>
          <t xml:space="preserve">N0002420D2210</t>
        </is>
      </c>
      <c r="D268" s="0" t="inlineStr">
        <is>
          <t xml:space="preserve">small_craft</t>
        </is>
      </c>
      <c r="E268" s="0" t="inlineStr">
        <is>
          <t xml:space="preserve">RIBCRAFT USA, LLC</t>
        </is>
      </c>
      <c r="F268" s="0" t="inlineStr">
        <is>
          <t xml:space="preserve">C</t>
        </is>
      </c>
      <c r="G268" s="4">
        <v>2.7809938499999998</v>
      </c>
      <c r="H268" s="0" t="inlineStr">
        <is>
          <t xml:space="preserve">2025-06-18</t>
        </is>
      </c>
      <c r="I268" s="0" t="inlineStr">
        <is>
          <t xml:space="preserve">no</t>
        </is>
      </c>
      <c r="J268" s="0" t="inlineStr">
        <is>
          <t xml:space="preserve">N0002420R2210</t>
        </is>
      </c>
      <c r="K268" s="0" t="inlineStr">
        <is>
          <t xml:space="preserve">NONE</t>
        </is>
      </c>
    </row>
    <row r="269">
      <c r="B269" s="0" t="inlineStr">
        <is>
          <t xml:space="preserve">N0002413C2208</t>
        </is>
      </c>
      <c r="D269" s="0" t="inlineStr">
        <is>
          <t xml:space="preserve">small_craft</t>
        </is>
      </c>
      <c r="E269" s="0" t="inlineStr">
        <is>
          <t xml:space="preserve">WILLARD MARINE, INC.</t>
        </is>
      </c>
      <c r="F269" s="0" t="inlineStr">
        <is>
          <t xml:space="preserve">D</t>
        </is>
      </c>
      <c r="G269" s="4">
        <v>2.7441449700000002</v>
      </c>
      <c r="H269" s="0" t="inlineStr">
        <is>
          <t xml:space="preserve">2013-06-18</t>
        </is>
      </c>
      <c r="I269" s="0" t="inlineStr">
        <is>
          <t xml:space="preserve">no</t>
        </is>
      </c>
      <c r="J269" s="0" t="inlineStr">
        <is>
          <t xml:space="preserve">N0002413R2208</t>
        </is>
      </c>
      <c r="K269" s="0" t="inlineStr">
        <is>
          <t xml:space="preserve">NONE</t>
        </is>
      </c>
    </row>
    <row r="270">
      <c r="B270" s="0" t="inlineStr">
        <is>
          <t xml:space="preserve">7D09</t>
        </is>
      </c>
      <c r="C270" s="0" t="inlineStr">
        <is>
          <t xml:space="preserve">N0002416D4300</t>
        </is>
      </c>
      <c r="D270" s="0" t="inlineStr">
        <is>
          <t xml:space="preserve">other_small</t>
        </is>
      </c>
      <c r="E270" s="0" t="inlineStr">
        <is>
          <t xml:space="preserve">ELECTRIC BOAT CORPORATION</t>
        </is>
      </c>
      <c r="F270" s="0" t="inlineStr">
        <is>
          <t xml:space="preserve">C</t>
        </is>
      </c>
      <c r="G270" s="4">
        <v>2.732291</v>
      </c>
      <c r="H270" s="0" t="inlineStr">
        <is>
          <t xml:space="preserve">2016-12-13</t>
        </is>
      </c>
      <c r="I270" s="0" t="inlineStr">
        <is>
          <t xml:space="preserve">no</t>
        </is>
      </c>
      <c r="K270" s="0" t="inlineStr">
        <is>
          <t xml:space="preserve">NONE</t>
        </is>
      </c>
    </row>
    <row r="271">
      <c r="B271" s="0" t="inlineStr">
        <is>
          <t xml:space="preserve">N0002418F22D1</t>
        </is>
      </c>
      <c r="C271" s="0" t="inlineStr">
        <is>
          <t xml:space="preserve">N0002414D2203</t>
        </is>
      </c>
      <c r="D271" s="0" t="inlineStr">
        <is>
          <t xml:space="preserve">small_craft</t>
        </is>
      </c>
      <c r="E271" s="0" t="inlineStr">
        <is>
          <t xml:space="preserve">UNITED STATES MARINE INC</t>
        </is>
      </c>
      <c r="F271" s="0" t="inlineStr">
        <is>
          <t xml:space="preserve">C</t>
        </is>
      </c>
      <c r="G271" s="4">
        <v>2.7223590699999995</v>
      </c>
      <c r="H271" s="0" t="inlineStr">
        <is>
          <t xml:space="preserve">2018-08-17</t>
        </is>
      </c>
      <c r="I271" s="0" t="inlineStr">
        <is>
          <t xml:space="preserve">no</t>
        </is>
      </c>
      <c r="J271" s="0" t="inlineStr">
        <is>
          <t xml:space="preserve">N0002414R2203</t>
        </is>
      </c>
      <c r="K271" s="0" t="inlineStr">
        <is>
          <t xml:space="preserve">NONE</t>
        </is>
      </c>
    </row>
    <row r="272">
      <c r="B272" s="0" t="inlineStr">
        <is>
          <t xml:space="preserve">N3220515C4004</t>
        </is>
      </c>
      <c r="D272" s="0" t="inlineStr">
        <is>
          <t xml:space="preserve">other_small</t>
        </is>
      </c>
      <c r="E272" s="0" t="inlineStr">
        <is>
          <t xml:space="preserve">DETYENS SHIPYARDS INC</t>
        </is>
      </c>
      <c r="F272" s="0" t="inlineStr">
        <is>
          <t xml:space="preserve">D</t>
        </is>
      </c>
      <c r="G272" s="4">
        <v>2.70959432</v>
      </c>
      <c r="H272" s="0" t="inlineStr">
        <is>
          <t xml:space="preserve">2015-03-09</t>
        </is>
      </c>
      <c r="I272" s="0" t="inlineStr">
        <is>
          <t xml:space="preserve">no</t>
        </is>
      </c>
      <c r="J272" s="0" t="inlineStr">
        <is>
          <t xml:space="preserve">N3220515R4001</t>
        </is>
      </c>
      <c r="K272" s="0" t="inlineStr">
        <is>
          <t xml:space="preserve">NONE</t>
        </is>
      </c>
    </row>
    <row r="273">
      <c r="B273" s="0" t="inlineStr">
        <is>
          <t xml:space="preserve">N0002417F22J1</t>
        </is>
      </c>
      <c r="C273" s="0" t="inlineStr">
        <is>
          <t xml:space="preserve">N0002416D2215</t>
        </is>
      </c>
      <c r="D273" s="0" t="inlineStr">
        <is>
          <t xml:space="preserve">small_craft</t>
        </is>
      </c>
      <c r="E273" s="0" t="inlineStr">
        <is>
          <t xml:space="preserve">UNITED STATES MARINE INC</t>
        </is>
      </c>
      <c r="F273" s="0" t="inlineStr">
        <is>
          <t xml:space="preserve">C</t>
        </is>
      </c>
      <c r="G273" s="4">
        <v>2.67082615</v>
      </c>
      <c r="H273" s="0" t="inlineStr">
        <is>
          <t xml:space="preserve">2017-08-28</t>
        </is>
      </c>
      <c r="I273" s="0" t="inlineStr">
        <is>
          <t xml:space="preserve">no</t>
        </is>
      </c>
      <c r="J273" s="0" t="inlineStr">
        <is>
          <t xml:space="preserve">N0002416R2215</t>
        </is>
      </c>
      <c r="K273" s="0" t="inlineStr">
        <is>
          <t xml:space="preserve">NONE</t>
        </is>
      </c>
    </row>
    <row r="274">
      <c r="B274" s="0" t="inlineStr">
        <is>
          <t xml:space="preserve">N0002418F22V1</t>
        </is>
      </c>
      <c r="C274" s="0" t="inlineStr">
        <is>
          <t xml:space="preserve">N0002417D2217</t>
        </is>
      </c>
      <c r="D274" s="0" t="inlineStr">
        <is>
          <t xml:space="preserve">small_craft</t>
        </is>
      </c>
      <c r="E274" s="0" t="inlineStr">
        <is>
          <t xml:space="preserve">SNOW &amp; COMPANY, INC.</t>
        </is>
      </c>
      <c r="F274" s="0" t="inlineStr">
        <is>
          <t xml:space="preserve">C</t>
        </is>
      </c>
      <c r="G274" s="4">
        <v>2.5866603599999998</v>
      </c>
      <c r="H274" s="0" t="inlineStr">
        <is>
          <t xml:space="preserve">2018-07-16</t>
        </is>
      </c>
      <c r="I274" s="0" t="inlineStr">
        <is>
          <t xml:space="preserve">no</t>
        </is>
      </c>
      <c r="J274" s="0" t="inlineStr">
        <is>
          <t xml:space="preserve">N0002417R2217</t>
        </is>
      </c>
      <c r="K274" s="0" t="inlineStr">
        <is>
          <t xml:space="preserve">NONE</t>
        </is>
      </c>
    </row>
    <row r="275">
      <c r="B275" s="0" t="inlineStr">
        <is>
          <t xml:space="preserve">N0002424C2277</t>
        </is>
      </c>
      <c r="D275" s="0" t="inlineStr">
        <is>
          <t xml:space="preserve">small_craft</t>
        </is>
      </c>
      <c r="E275" s="0" t="inlineStr">
        <is>
          <t xml:space="preserve">RECONCRAFT, LLC</t>
        </is>
      </c>
      <c r="F275" s="0" t="inlineStr">
        <is>
          <t xml:space="preserve">D</t>
        </is>
      </c>
      <c r="G275" s="4">
        <v>2.553333</v>
      </c>
      <c r="H275" s="0" t="inlineStr">
        <is>
          <t xml:space="preserve">2024-09-29</t>
        </is>
      </c>
      <c r="I275" s="0" t="inlineStr">
        <is>
          <t xml:space="preserve">no</t>
        </is>
      </c>
      <c r="K275" s="0" t="inlineStr">
        <is>
          <t xml:space="preserve">NONE</t>
        </is>
      </c>
    </row>
    <row r="276">
      <c r="B276" s="0" t="inlineStr">
        <is>
          <t xml:space="preserve">N0002419F22E2</t>
        </is>
      </c>
      <c r="C276" s="0" t="inlineStr">
        <is>
          <t xml:space="preserve">N0002414D2215</t>
        </is>
      </c>
      <c r="D276" s="0" t="inlineStr">
        <is>
          <t xml:space="preserve">small_craft</t>
        </is>
      </c>
      <c r="E276" s="0" t="inlineStr">
        <is>
          <t xml:space="preserve">SILVER SHIPS, INC</t>
        </is>
      </c>
      <c r="F276" s="0" t="inlineStr">
        <is>
          <t xml:space="preserve">C</t>
        </is>
      </c>
      <c r="G276" s="4">
        <v>2.53900273</v>
      </c>
      <c r="H276" s="0" t="inlineStr">
        <is>
          <t xml:space="preserve">2019-07-01</t>
        </is>
      </c>
      <c r="I276" s="0" t="inlineStr">
        <is>
          <t xml:space="preserve">no</t>
        </is>
      </c>
      <c r="J276" s="0" t="inlineStr">
        <is>
          <t xml:space="preserve">N0002413R2215</t>
        </is>
      </c>
      <c r="K276" s="0" t="inlineStr">
        <is>
          <t xml:space="preserve">NONE</t>
        </is>
      </c>
    </row>
    <row r="277">
      <c r="B277" s="0" t="inlineStr">
        <is>
          <t xml:space="preserve">0001</t>
        </is>
      </c>
      <c r="C277" s="0" t="inlineStr">
        <is>
          <t xml:space="preserve">N0002416G2214</t>
        </is>
      </c>
      <c r="D277" s="0" t="inlineStr">
        <is>
          <t xml:space="preserve">other_small</t>
        </is>
      </c>
      <c r="E277" s="0" t="inlineStr">
        <is>
          <t xml:space="preserve">NATIONAL STEEL AND SHIPBUILDING COMPANY</t>
        </is>
      </c>
      <c r="F277" s="0" t="inlineStr">
        <is>
          <t xml:space="preserve">C</t>
        </is>
      </c>
      <c r="G277" s="4">
        <v>2.5065779999999998</v>
      </c>
      <c r="H277" s="0" t="inlineStr">
        <is>
          <t xml:space="preserve">2016-09-21</t>
        </is>
      </c>
      <c r="I277" s="0" t="inlineStr">
        <is>
          <t xml:space="preserve">no</t>
        </is>
      </c>
      <c r="K277" s="0" t="inlineStr">
        <is>
          <t xml:space="preserve">NONE</t>
        </is>
      </c>
    </row>
    <row r="278">
      <c r="B278" s="0" t="inlineStr">
        <is>
          <t xml:space="preserve">N0003924F1046</t>
        </is>
      </c>
      <c r="C278" s="0" t="inlineStr">
        <is>
          <t xml:space="preserve">N0003921D6001</t>
        </is>
      </c>
      <c r="D278" s="0" t="inlineStr">
        <is>
          <t xml:space="preserve">small_craft</t>
        </is>
      </c>
      <c r="E278" s="0" t="inlineStr">
        <is>
          <t xml:space="preserve">TELEDYNE BROWN ENGINEERING, INC.</t>
        </is>
      </c>
      <c r="F278" s="0" t="inlineStr">
        <is>
          <t xml:space="preserve">C</t>
        </is>
      </c>
      <c r="G278" s="4">
        <v>2.45091016</v>
      </c>
      <c r="H278" s="0" t="inlineStr">
        <is>
          <t xml:space="preserve">2024-08-08</t>
        </is>
      </c>
      <c r="I278" s="0" t="inlineStr">
        <is>
          <t xml:space="preserve">no</t>
        </is>
      </c>
      <c r="J278" s="0" t="inlineStr">
        <is>
          <t xml:space="preserve">N0003921R1000</t>
        </is>
      </c>
      <c r="K278" s="0" t="inlineStr">
        <is>
          <t xml:space="preserve">NONE</t>
        </is>
      </c>
    </row>
    <row r="279">
      <c r="B279" s="0" t="inlineStr">
        <is>
          <t xml:space="preserve">N0002420C2209</t>
        </is>
      </c>
      <c r="D279" s="0" t="inlineStr">
        <is>
          <t xml:space="preserve">small_craft</t>
        </is>
      </c>
      <c r="E279" s="0" t="inlineStr">
        <is>
          <t xml:space="preserve">MODUTECH MARINE, INC.</t>
        </is>
      </c>
      <c r="F279" s="0" t="inlineStr">
        <is>
          <t xml:space="preserve">D</t>
        </is>
      </c>
      <c r="G279" s="4">
        <v>2.4466801</v>
      </c>
      <c r="H279" s="0" t="inlineStr">
        <is>
          <t xml:space="preserve">2019-12-23</t>
        </is>
      </c>
      <c r="I279" s="0" t="inlineStr">
        <is>
          <t xml:space="preserve">no</t>
        </is>
      </c>
      <c r="J279" s="0" t="inlineStr">
        <is>
          <t xml:space="preserve">N0002418R2209</t>
        </is>
      </c>
      <c r="K279" s="0" t="inlineStr">
        <is>
          <t xml:space="preserve">NONE</t>
        </is>
      </c>
    </row>
    <row r="280">
      <c r="B280" s="0" t="inlineStr">
        <is>
          <t xml:space="preserve">N3220515C4005</t>
        </is>
      </c>
      <c r="D280" s="0" t="inlineStr">
        <is>
          <t xml:space="preserve">other_small</t>
        </is>
      </c>
      <c r="E280" s="0" t="inlineStr">
        <is>
          <t xml:space="preserve">MARE ISLAND DRY DOCK LLC</t>
        </is>
      </c>
      <c r="F280" s="0" t="inlineStr">
        <is>
          <t xml:space="preserve">D</t>
        </is>
      </c>
      <c r="G280" s="4">
        <v>2.409879</v>
      </c>
      <c r="H280" s="0" t="inlineStr">
        <is>
          <t xml:space="preserve">2015-03-25</t>
        </is>
      </c>
      <c r="I280" s="0" t="inlineStr">
        <is>
          <t xml:space="preserve">no</t>
        </is>
      </c>
      <c r="J280" s="0" t="inlineStr">
        <is>
          <t xml:space="preserve">N3220515R4004</t>
        </is>
      </c>
      <c r="K280" s="0" t="inlineStr">
        <is>
          <t xml:space="preserve">NONE</t>
        </is>
      </c>
    </row>
    <row r="281">
      <c r="B281" s="0" t="inlineStr">
        <is>
          <t xml:space="preserve">N0002417F22K2</t>
        </is>
      </c>
      <c r="C281" s="0" t="inlineStr">
        <is>
          <t xml:space="preserve">N0002417D2200</t>
        </is>
      </c>
      <c r="D281" s="0" t="inlineStr">
        <is>
          <t xml:space="preserve">small_craft</t>
        </is>
      </c>
      <c r="E281" s="0" t="inlineStr">
        <is>
          <t xml:space="preserve">WILLARD MARINE, INC.</t>
        </is>
      </c>
      <c r="F281" s="0" t="inlineStr">
        <is>
          <t xml:space="preserve">C</t>
        </is>
      </c>
      <c r="G281" s="4">
        <v>2.35745434</v>
      </c>
      <c r="H281" s="0" t="inlineStr">
        <is>
          <t xml:space="preserve">2017-08-30</t>
        </is>
      </c>
      <c r="I281" s="0" t="inlineStr">
        <is>
          <t xml:space="preserve">no</t>
        </is>
      </c>
      <c r="J281" s="0" t="inlineStr">
        <is>
          <t xml:space="preserve">N0002416R2200</t>
        </is>
      </c>
      <c r="K281" s="0" t="inlineStr">
        <is>
          <t xml:space="preserve">NONE</t>
        </is>
      </c>
    </row>
    <row r="282">
      <c r="B282" s="0" t="inlineStr">
        <is>
          <t xml:space="preserve">N0002422F22A1</t>
        </is>
      </c>
      <c r="C282" s="0" t="inlineStr">
        <is>
          <t xml:space="preserve">N0002420D2222</t>
        </is>
      </c>
      <c r="D282" s="0" t="inlineStr">
        <is>
          <t xml:space="preserve">small_craft</t>
        </is>
      </c>
      <c r="E282" s="0" t="inlineStr">
        <is>
          <t xml:space="preserve">LAKE ASSAULT BOATS, LLC</t>
        </is>
      </c>
      <c r="F282" s="0" t="inlineStr">
        <is>
          <t xml:space="preserve">C</t>
        </is>
      </c>
      <c r="G282" s="4">
        <v>2.3166767200000002</v>
      </c>
      <c r="H282" s="0" t="inlineStr">
        <is>
          <t xml:space="preserve">2021-10-21</t>
        </is>
      </c>
      <c r="I282" s="0" t="inlineStr">
        <is>
          <t xml:space="preserve">no</t>
        </is>
      </c>
      <c r="J282" s="0" t="inlineStr">
        <is>
          <t xml:space="preserve">N0002419R2222</t>
        </is>
      </c>
      <c r="K282" s="0" t="inlineStr">
        <is>
          <t xml:space="preserve">NONE</t>
        </is>
      </c>
    </row>
    <row r="283">
      <c r="B283" s="0" t="inlineStr">
        <is>
          <t xml:space="preserve">0001</t>
        </is>
      </c>
      <c r="C283" s="0" t="inlineStr">
        <is>
          <t xml:space="preserve">N0002415D2232</t>
        </is>
      </c>
      <c r="D283" s="0" t="inlineStr">
        <is>
          <t xml:space="preserve">small_craft</t>
        </is>
      </c>
      <c r="E283" s="0" t="inlineStr">
        <is>
          <t xml:space="preserve">MARINE GROUP BOAT WORKS, LLC</t>
        </is>
      </c>
      <c r="F283" s="0" t="inlineStr">
        <is>
          <t xml:space="preserve">C</t>
        </is>
      </c>
      <c r="G283" s="4">
        <v>2.3093077699999998</v>
      </c>
      <c r="H283" s="0" t="inlineStr">
        <is>
          <t xml:space="preserve">2014-10-21</t>
        </is>
      </c>
      <c r="I283" s="0" t="inlineStr">
        <is>
          <t xml:space="preserve">no</t>
        </is>
      </c>
      <c r="J283" s="0" t="inlineStr">
        <is>
          <t xml:space="preserve">N0002414R2232</t>
        </is>
      </c>
      <c r="K283" s="0" t="inlineStr">
        <is>
          <t xml:space="preserve">NONE</t>
        </is>
      </c>
    </row>
    <row r="284">
      <c r="B284" s="0" t="inlineStr">
        <is>
          <t xml:space="preserve">N0010426CXA01</t>
        </is>
      </c>
      <c r="D284" s="0" t="inlineStr">
        <is>
          <t xml:space="preserve">small_craft</t>
        </is>
      </c>
      <c r="E284" s="0" t="inlineStr">
        <is>
          <t xml:space="preserve">GENERAL DYNAMICS INFORMATION TECHNOLOGY, INC.</t>
        </is>
      </c>
      <c r="F284" s="0" t="inlineStr">
        <is>
          <t xml:space="preserve">D</t>
        </is>
      </c>
      <c r="G284" s="4">
        <v>2.280039</v>
      </c>
      <c r="H284" s="0" t="inlineStr">
        <is>
          <t xml:space="preserve">2025-11-25</t>
        </is>
      </c>
      <c r="I284" s="0" t="inlineStr">
        <is>
          <t xml:space="preserve">yes</t>
        </is>
      </c>
      <c r="K284" s="0" t="inlineStr">
        <is>
          <t xml:space="preserve">NONE</t>
        </is>
      </c>
    </row>
    <row r="285">
      <c r="B285" s="0" t="inlineStr">
        <is>
          <t xml:space="preserve">N3220520F2055</t>
        </is>
      </c>
      <c r="C285" s="0" t="inlineStr">
        <is>
          <t xml:space="preserve">N3220517D4700</t>
        </is>
      </c>
      <c r="D285" s="0" t="inlineStr">
        <is>
          <t xml:space="preserve">other_small</t>
        </is>
      </c>
      <c r="E285" s="0" t="inlineStr">
        <is>
          <t xml:space="preserve">LAKE SHORE SYSTEMS, INC.</t>
        </is>
      </c>
      <c r="F285" s="0" t="inlineStr">
        <is>
          <t xml:space="preserve">C</t>
        </is>
      </c>
      <c r="G285" s="4">
        <v>2.27877264</v>
      </c>
      <c r="H285" s="0" t="inlineStr">
        <is>
          <t xml:space="preserve">2020-06-05</t>
        </is>
      </c>
      <c r="I285" s="0" t="inlineStr">
        <is>
          <t xml:space="preserve">no</t>
        </is>
      </c>
      <c r="K285" s="0" t="inlineStr">
        <is>
          <t xml:space="preserve">NONE</t>
        </is>
      </c>
    </row>
    <row r="286">
      <c r="B286" s="0" t="inlineStr">
        <is>
          <t xml:space="preserve">N0003025F4094</t>
        </is>
      </c>
      <c r="C286" s="0" t="inlineStr">
        <is>
          <t xml:space="preserve">47QSWA24D000G</t>
        </is>
      </c>
      <c r="D286" s="0" t="inlineStr">
        <is>
          <t xml:space="preserve">small_craft</t>
        </is>
      </c>
      <c r="E286" s="0" t="inlineStr">
        <is>
          <t xml:space="preserve">JET DOCK SYSTEMS INC</t>
        </is>
      </c>
      <c r="F286" s="0" t="inlineStr">
        <is>
          <t xml:space="preserve">C</t>
        </is>
      </c>
      <c r="G286" s="4">
        <v>2.245124</v>
      </c>
      <c r="H286" s="0" t="inlineStr">
        <is>
          <t xml:space="preserve">2025-09-05</t>
        </is>
      </c>
      <c r="I286" s="0" t="inlineStr">
        <is>
          <t xml:space="preserve">yes</t>
        </is>
      </c>
      <c r="J286" s="0" t="inlineStr">
        <is>
          <t xml:space="preserve">N0003025Q4093</t>
        </is>
      </c>
      <c r="K286" s="0" t="inlineStr">
        <is>
          <t xml:space="preserve">NONE</t>
        </is>
      </c>
    </row>
    <row r="287">
      <c r="B287" s="0" t="inlineStr">
        <is>
          <t xml:space="preserve">N0002425F22A9</t>
        </is>
      </c>
      <c r="C287" s="0" t="inlineStr">
        <is>
          <t xml:space="preserve">N0002421D2205</t>
        </is>
      </c>
      <c r="D287" s="0" t="inlineStr">
        <is>
          <t xml:space="preserve">small_craft</t>
        </is>
      </c>
      <c r="E287" s="0" t="inlineStr">
        <is>
          <t xml:space="preserve">SILVER SHIPS, INC</t>
        </is>
      </c>
      <c r="F287" s="0" t="inlineStr">
        <is>
          <t xml:space="preserve">C</t>
        </is>
      </c>
      <c r="G287" s="4">
        <v>2.237438</v>
      </c>
      <c r="H287" s="0" t="inlineStr">
        <is>
          <t xml:space="preserve">2025-04-30</t>
        </is>
      </c>
      <c r="I287" s="0" t="inlineStr">
        <is>
          <t xml:space="preserve">no</t>
        </is>
      </c>
      <c r="J287" s="0" t="inlineStr">
        <is>
          <t xml:space="preserve">N0002421R2205</t>
        </is>
      </c>
      <c r="K287" s="0" t="inlineStr">
        <is>
          <t xml:space="preserve">NONE</t>
        </is>
      </c>
    </row>
    <row r="288">
      <c r="B288" s="0" t="inlineStr">
        <is>
          <t xml:space="preserve">N0002418F22Q1</t>
        </is>
      </c>
      <c r="C288" s="0" t="inlineStr">
        <is>
          <t xml:space="preserve">N0002416D2211</t>
        </is>
      </c>
      <c r="D288" s="0" t="inlineStr">
        <is>
          <t xml:space="preserve">small_craft</t>
        </is>
      </c>
      <c r="E288" s="0" t="inlineStr">
        <is>
          <t xml:space="preserve">MODUTECH MARINE, INC.</t>
        </is>
      </c>
      <c r="F288" s="0" t="inlineStr">
        <is>
          <t xml:space="preserve">C</t>
        </is>
      </c>
      <c r="G288" s="4">
        <v>2.21439414</v>
      </c>
      <c r="H288" s="0" t="inlineStr">
        <is>
          <t xml:space="preserve">2018-01-25</t>
        </is>
      </c>
      <c r="I288" s="0" t="inlineStr">
        <is>
          <t xml:space="preserve">no</t>
        </is>
      </c>
      <c r="J288" s="0" t="inlineStr">
        <is>
          <t xml:space="preserve">N0002416R2211</t>
        </is>
      </c>
      <c r="K288" s="0" t="inlineStr">
        <is>
          <t xml:space="preserve">NONE</t>
        </is>
      </c>
    </row>
    <row r="289">
      <c r="B289" s="0" t="inlineStr">
        <is>
          <t xml:space="preserve">N0002417F22C1</t>
        </is>
      </c>
      <c r="C289" s="0" t="inlineStr">
        <is>
          <t xml:space="preserve">N0002414D2207</t>
        </is>
      </c>
      <c r="D289" s="0" t="inlineStr">
        <is>
          <t xml:space="preserve">small_craft</t>
        </is>
      </c>
      <c r="E289" s="0" t="inlineStr">
        <is>
          <t xml:space="preserve">GRAVOIS ALUMINUM BOATS LLC</t>
        </is>
      </c>
      <c r="F289" s="0" t="inlineStr">
        <is>
          <t xml:space="preserve">C</t>
        </is>
      </c>
      <c r="G289" s="4">
        <v>2.2138999999999998</v>
      </c>
      <c r="H289" s="0" t="inlineStr">
        <is>
          <t xml:space="preserve">2017-09-28</t>
        </is>
      </c>
      <c r="I289" s="0" t="inlineStr">
        <is>
          <t xml:space="preserve">no</t>
        </is>
      </c>
      <c r="J289" s="0" t="inlineStr">
        <is>
          <t xml:space="preserve">N0002413R2205</t>
        </is>
      </c>
      <c r="K289" s="0" t="inlineStr">
        <is>
          <t xml:space="preserve">NONE</t>
        </is>
      </c>
    </row>
    <row r="290">
      <c r="B290" s="0" t="inlineStr">
        <is>
          <t xml:space="preserve">0004</t>
        </is>
      </c>
      <c r="C290" s="0" t="inlineStr">
        <is>
          <t xml:space="preserve">N0002415D2232</t>
        </is>
      </c>
      <c r="D290" s="0" t="inlineStr">
        <is>
          <t xml:space="preserve">small_craft</t>
        </is>
      </c>
      <c r="E290" s="0" t="inlineStr">
        <is>
          <t xml:space="preserve">MARINE GROUP BOAT WORKS, LLC</t>
        </is>
      </c>
      <c r="F290" s="0" t="inlineStr">
        <is>
          <t xml:space="preserve">C</t>
        </is>
      </c>
      <c r="G290" s="4">
        <v>2.20261737</v>
      </c>
      <c r="H290" s="0" t="inlineStr">
        <is>
          <t xml:space="preserve">2017-01-12</t>
        </is>
      </c>
      <c r="I290" s="0" t="inlineStr">
        <is>
          <t xml:space="preserve">no</t>
        </is>
      </c>
      <c r="J290" s="0" t="inlineStr">
        <is>
          <t xml:space="preserve">N0002414R2232</t>
        </is>
      </c>
      <c r="K290" s="0" t="inlineStr">
        <is>
          <t xml:space="preserve">NONE</t>
        </is>
      </c>
    </row>
    <row r="291">
      <c r="B291" s="0" t="inlineStr">
        <is>
          <t xml:space="preserve">M6785412F1028</t>
        </is>
      </c>
      <c r="C291" s="0" t="inlineStr">
        <is>
          <t xml:space="preserve">GS07F0298V</t>
        </is>
      </c>
      <c r="D291" s="0" t="inlineStr">
        <is>
          <t xml:space="preserve">small_craft</t>
        </is>
      </c>
      <c r="E291" s="0" t="inlineStr">
        <is>
          <t xml:space="preserve">ZODIAC OF NORTH AMERICA, INC.</t>
        </is>
      </c>
      <c r="F291" s="0" t="inlineStr">
        <is>
          <t xml:space="preserve">C</t>
        </is>
      </c>
      <c r="G291" s="4">
        <v>2.200358</v>
      </c>
      <c r="H291" s="0" t="inlineStr">
        <is>
          <t xml:space="preserve">2012-07-30</t>
        </is>
      </c>
      <c r="I291" s="0" t="inlineStr">
        <is>
          <t xml:space="preserve">no</t>
        </is>
      </c>
      <c r="J291" s="0" t="inlineStr">
        <is>
          <t xml:space="preserve">M6785412R1028</t>
        </is>
      </c>
      <c r="K291" s="0" t="inlineStr">
        <is>
          <t xml:space="preserve">NONE</t>
        </is>
      </c>
    </row>
    <row r="292">
      <c r="B292" s="0" t="inlineStr">
        <is>
          <t xml:space="preserve">N3220515C4008</t>
        </is>
      </c>
      <c r="D292" s="0" t="inlineStr">
        <is>
          <t xml:space="preserve">other_small</t>
        </is>
      </c>
      <c r="E292" s="0" t="inlineStr">
        <is>
          <t xml:space="preserve">MARE ISLAND DRY DOCK LLC</t>
        </is>
      </c>
      <c r="F292" s="0" t="inlineStr">
        <is>
          <t xml:space="preserve">D</t>
        </is>
      </c>
      <c r="G292" s="4">
        <v>2.192678</v>
      </c>
      <c r="H292" s="0" t="inlineStr">
        <is>
          <t xml:space="preserve">2015-06-26</t>
        </is>
      </c>
      <c r="I292" s="0" t="inlineStr">
        <is>
          <t xml:space="preserve">no</t>
        </is>
      </c>
      <c r="J292" s="0" t="inlineStr">
        <is>
          <t xml:space="preserve">N3220515R4002</t>
        </is>
      </c>
      <c r="K292" s="0" t="inlineStr">
        <is>
          <t xml:space="preserve">NONE</t>
        </is>
      </c>
    </row>
    <row r="293">
      <c r="B293" s="0" t="inlineStr">
        <is>
          <t xml:space="preserve">M6785424F1049</t>
        </is>
      </c>
      <c r="C293" s="0" t="inlineStr">
        <is>
          <t xml:space="preserve">M6785421D1801</t>
        </is>
      </c>
      <c r="D293" s="0" t="inlineStr">
        <is>
          <t xml:space="preserve">small_craft</t>
        </is>
      </c>
      <c r="E293" s="0" t="inlineStr">
        <is>
          <t xml:space="preserve">WING INFLATABLES INC</t>
        </is>
      </c>
      <c r="F293" s="0" t="inlineStr">
        <is>
          <t xml:space="preserve">C</t>
        </is>
      </c>
      <c r="G293" s="4">
        <v>2.1886</v>
      </c>
      <c r="H293" s="0" t="inlineStr">
        <is>
          <t xml:space="preserve">2024-08-14</t>
        </is>
      </c>
      <c r="I293" s="0" t="inlineStr">
        <is>
          <t xml:space="preserve">no</t>
        </is>
      </c>
      <c r="J293" s="0" t="inlineStr">
        <is>
          <t xml:space="preserve">M6785421R1801</t>
        </is>
      </c>
      <c r="K293" s="0" t="inlineStr">
        <is>
          <t xml:space="preserve">NONE</t>
        </is>
      </c>
    </row>
    <row r="294">
      <c r="B294" s="0" t="inlineStr">
        <is>
          <t xml:space="preserve">N0010425FCQ02</t>
        </is>
      </c>
      <c r="C294" s="0" t="inlineStr">
        <is>
          <t xml:space="preserve">N0010424GCQ01</t>
        </is>
      </c>
      <c r="D294" s="0" t="inlineStr">
        <is>
          <t xml:space="preserve">small_craft</t>
        </is>
      </c>
      <c r="E294" s="0" t="inlineStr">
        <is>
          <t xml:space="preserve">BIRD-JOHNSON PROPELLER COMPANY, LLC</t>
        </is>
      </c>
      <c r="F294" s="0" t="inlineStr">
        <is>
          <t xml:space="preserve">C</t>
        </is>
      </c>
      <c r="G294" s="4">
        <v>2.177575</v>
      </c>
      <c r="H294" s="0" t="inlineStr">
        <is>
          <t xml:space="preserve">2025-06-06</t>
        </is>
      </c>
      <c r="I294" s="0" t="inlineStr">
        <is>
          <t xml:space="preserve">no</t>
        </is>
      </c>
      <c r="K294" s="0" t="inlineStr">
        <is>
          <t xml:space="preserve">NONE</t>
        </is>
      </c>
    </row>
    <row r="295">
      <c r="B295" s="0" t="inlineStr">
        <is>
          <t xml:space="preserve">N0002418F22H1</t>
        </is>
      </c>
      <c r="C295" s="0" t="inlineStr">
        <is>
          <t xml:space="preserve">N0002415D2232</t>
        </is>
      </c>
      <c r="D295" s="0" t="inlineStr">
        <is>
          <t xml:space="preserve">small_craft</t>
        </is>
      </c>
      <c r="E295" s="0" t="inlineStr">
        <is>
          <t xml:space="preserve">MARINE GROUP BOAT WORKS, LLC</t>
        </is>
      </c>
      <c r="F295" s="0" t="inlineStr">
        <is>
          <t xml:space="preserve">C</t>
        </is>
      </c>
      <c r="G295" s="4">
        <v>2.1446055</v>
      </c>
      <c r="H295" s="0" t="inlineStr">
        <is>
          <t xml:space="preserve">2018-03-05</t>
        </is>
      </c>
      <c r="I295" s="0" t="inlineStr">
        <is>
          <t xml:space="preserve">no</t>
        </is>
      </c>
      <c r="J295" s="0" t="inlineStr">
        <is>
          <t xml:space="preserve">N0002414R2232</t>
        </is>
      </c>
      <c r="K295" s="0" t="inlineStr">
        <is>
          <t xml:space="preserve">NONE</t>
        </is>
      </c>
    </row>
    <row r="296">
      <c r="B296" s="0" t="inlineStr">
        <is>
          <t xml:space="preserve">N0002418F22R2</t>
        </is>
      </c>
      <c r="C296" s="0" t="inlineStr">
        <is>
          <t xml:space="preserve">N0002416G2214</t>
        </is>
      </c>
      <c r="D296" s="0" t="inlineStr">
        <is>
          <t xml:space="preserve">other_small</t>
        </is>
      </c>
      <c r="E296" s="0" t="inlineStr">
        <is>
          <t xml:space="preserve">NATIONAL STEEL AND SHIPBUILDING COMPANY</t>
        </is>
      </c>
      <c r="F296" s="0" t="inlineStr">
        <is>
          <t xml:space="preserve">C</t>
        </is>
      </c>
      <c r="G296" s="4">
        <v>2.141292</v>
      </c>
      <c r="H296" s="0" t="inlineStr">
        <is>
          <t xml:space="preserve">2018-02-05</t>
        </is>
      </c>
      <c r="I296" s="0" t="inlineStr">
        <is>
          <t xml:space="preserve">no</t>
        </is>
      </c>
      <c r="K296" s="0" t="inlineStr">
        <is>
          <t xml:space="preserve">NONE</t>
        </is>
      </c>
    </row>
    <row r="297">
      <c r="B297" s="0" t="inlineStr">
        <is>
          <t xml:space="preserve">N0002425F22A5</t>
        </is>
      </c>
      <c r="C297" s="0" t="inlineStr">
        <is>
          <t xml:space="preserve">N0002423D2260</t>
        </is>
      </c>
      <c r="D297" s="0" t="inlineStr">
        <is>
          <t xml:space="preserve">small_craft</t>
        </is>
      </c>
      <c r="E297" s="0" t="inlineStr">
        <is>
          <t xml:space="preserve">METALCRAFT MARINE US, INC.</t>
        </is>
      </c>
      <c r="F297" s="0" t="inlineStr">
        <is>
          <t xml:space="preserve">C</t>
        </is>
      </c>
      <c r="G297" s="4">
        <v>2.1386168999999997</v>
      </c>
      <c r="H297" s="0" t="inlineStr">
        <is>
          <t xml:space="preserve">2024-12-04</t>
        </is>
      </c>
      <c r="I297" s="0" t="inlineStr">
        <is>
          <t xml:space="preserve">no</t>
        </is>
      </c>
      <c r="J297" s="0" t="inlineStr">
        <is>
          <t xml:space="preserve">N0002423R2260</t>
        </is>
      </c>
      <c r="K297" s="0" t="inlineStr">
        <is>
          <t xml:space="preserve">NONE</t>
        </is>
      </c>
    </row>
    <row r="298">
      <c r="B298" s="0" t="inlineStr">
        <is>
          <t xml:space="preserve">N0002419F22U1</t>
        </is>
      </c>
      <c r="C298" s="0" t="inlineStr">
        <is>
          <t xml:space="preserve">N0002414D4409</t>
        </is>
      </c>
      <c r="D298" s="0" t="inlineStr">
        <is>
          <t xml:space="preserve">small_craft</t>
        </is>
      </c>
      <c r="E298" s="0" t="inlineStr">
        <is>
          <t xml:space="preserve">VIGOR KVICHAK LLC</t>
        </is>
      </c>
      <c r="F298" s="0" t="inlineStr">
        <is>
          <t xml:space="preserve">C</t>
        </is>
      </c>
      <c r="G298" s="4">
        <v>2.1246565499999996</v>
      </c>
      <c r="H298" s="0" t="inlineStr">
        <is>
          <t xml:space="preserve">2019-02-05</t>
        </is>
      </c>
      <c r="I298" s="0" t="inlineStr">
        <is>
          <t xml:space="preserve">no</t>
        </is>
      </c>
      <c r="J298" s="0" t="inlineStr">
        <is>
          <t xml:space="preserve">N0002414R2214</t>
        </is>
      </c>
      <c r="K298" s="0" t="inlineStr">
        <is>
          <t xml:space="preserve">NONE</t>
        </is>
      </c>
    </row>
    <row r="299">
      <c r="B299" s="0" t="inlineStr">
        <is>
          <t xml:space="preserve">N0002423C2233</t>
        </is>
      </c>
      <c r="D299" s="0" t="inlineStr">
        <is>
          <t xml:space="preserve">small_craft</t>
        </is>
      </c>
      <c r="E299" s="0" t="inlineStr">
        <is>
          <t xml:space="preserve">WORKSKIFF, INC.</t>
        </is>
      </c>
      <c r="F299" s="0" t="inlineStr">
        <is>
          <t xml:space="preserve">D</t>
        </is>
      </c>
      <c r="G299" s="4">
        <v>2.11831887</v>
      </c>
      <c r="H299" s="0" t="inlineStr">
        <is>
          <t xml:space="preserve">2023-09-01</t>
        </is>
      </c>
      <c r="I299" s="0" t="inlineStr">
        <is>
          <t xml:space="preserve">no</t>
        </is>
      </c>
      <c r="J299" s="0" t="inlineStr">
        <is>
          <t xml:space="preserve">N0002423R2233</t>
        </is>
      </c>
      <c r="K299" s="0" t="inlineStr">
        <is>
          <t xml:space="preserve">NONE</t>
        </is>
      </c>
    </row>
    <row r="300">
      <c r="B300" s="0" t="inlineStr">
        <is>
          <t xml:space="preserve">N0002417C2213</t>
        </is>
      </c>
      <c r="D300" s="0" t="inlineStr">
        <is>
          <t xml:space="preserve">small_craft</t>
        </is>
      </c>
      <c r="E300" s="0" t="inlineStr">
        <is>
          <t xml:space="preserve">SAFE BOATS INTERNATIONAL LLC</t>
        </is>
      </c>
      <c r="F300" s="0" t="inlineStr">
        <is>
          <t xml:space="preserve">D</t>
        </is>
      </c>
      <c r="G300" s="4">
        <v>2.1131862599999995</v>
      </c>
      <c r="H300" s="0" t="inlineStr">
        <is>
          <t xml:space="preserve">2017-08-09</t>
        </is>
      </c>
      <c r="I300" s="0" t="inlineStr">
        <is>
          <t xml:space="preserve">no</t>
        </is>
      </c>
      <c r="J300" s="0" t="inlineStr">
        <is>
          <t xml:space="preserve">N0002417R2213</t>
        </is>
      </c>
      <c r="K300" s="0" t="inlineStr">
        <is>
          <t xml:space="preserve">NONE</t>
        </is>
      </c>
    </row>
    <row r="301">
      <c r="B301" s="0" t="inlineStr">
        <is>
          <t xml:space="preserve">N0002417F22D1</t>
        </is>
      </c>
      <c r="C301" s="0" t="inlineStr">
        <is>
          <t xml:space="preserve">N0002414D2203</t>
        </is>
      </c>
      <c r="D301" s="0" t="inlineStr">
        <is>
          <t xml:space="preserve">small_craft</t>
        </is>
      </c>
      <c r="E301" s="0" t="inlineStr">
        <is>
          <t xml:space="preserve">UNITED STATES MARINE INC</t>
        </is>
      </c>
      <c r="F301" s="0" t="inlineStr">
        <is>
          <t xml:space="preserve">C</t>
        </is>
      </c>
      <c r="G301" s="4">
        <v>2.10980231</v>
      </c>
      <c r="H301" s="0" t="inlineStr">
        <is>
          <t xml:space="preserve">2017-04-20</t>
        </is>
      </c>
      <c r="I301" s="0" t="inlineStr">
        <is>
          <t xml:space="preserve">no</t>
        </is>
      </c>
      <c r="J301" s="0" t="inlineStr">
        <is>
          <t xml:space="preserve">N0002414R2203</t>
        </is>
      </c>
      <c r="K301" s="0" t="inlineStr">
        <is>
          <t xml:space="preserve">NONE</t>
        </is>
      </c>
    </row>
    <row r="302">
      <c r="B302" s="0" t="inlineStr">
        <is>
          <t xml:space="preserve">N0002426C2432</t>
        </is>
      </c>
      <c r="D302" s="0" t="inlineStr">
        <is>
          <t xml:space="preserve">other_small</t>
        </is>
      </c>
      <c r="E302" s="0" t="inlineStr">
        <is>
          <t xml:space="preserve">VARD MARINE US INC</t>
        </is>
      </c>
      <c r="F302" s="0" t="inlineStr">
        <is>
          <t xml:space="preserve">D</t>
        </is>
      </c>
      <c r="G302" s="4">
        <v>2.0999369999999997</v>
      </c>
      <c r="H302" s="0" t="inlineStr">
        <is>
          <t xml:space="preserve">2026-03-12</t>
        </is>
      </c>
      <c r="I302" s="0" t="inlineStr">
        <is>
          <t xml:space="preserve">yes</t>
        </is>
      </c>
      <c r="J302" s="0" t="inlineStr">
        <is>
          <t xml:space="preserve">N0002425R2231</t>
        </is>
      </c>
      <c r="K302" s="0" t="inlineStr">
        <is>
          <t xml:space="preserve">NONE</t>
        </is>
      </c>
    </row>
    <row r="303">
      <c r="B303" s="0" t="inlineStr">
        <is>
          <t xml:space="preserve">0005</t>
        </is>
      </c>
      <c r="C303" s="0" t="inlineStr">
        <is>
          <t xml:space="preserve">N0002414D2203</t>
        </is>
      </c>
      <c r="D303" s="0" t="inlineStr">
        <is>
          <t xml:space="preserve">small_craft</t>
        </is>
      </c>
      <c r="E303" s="0" t="inlineStr">
        <is>
          <t xml:space="preserve">UNITED STATES MARINE INC</t>
        </is>
      </c>
      <c r="F303" s="0" t="inlineStr">
        <is>
          <t xml:space="preserve">C</t>
        </is>
      </c>
      <c r="G303" s="4">
        <v>2.0889254999999998</v>
      </c>
      <c r="H303" s="0" t="inlineStr">
        <is>
          <t xml:space="preserve">2016-11-10</t>
        </is>
      </c>
      <c r="I303" s="0" t="inlineStr">
        <is>
          <t xml:space="preserve">no</t>
        </is>
      </c>
      <c r="J303" s="0" t="inlineStr">
        <is>
          <t xml:space="preserve">N0002414R2203</t>
        </is>
      </c>
      <c r="K303" s="0" t="inlineStr">
        <is>
          <t xml:space="preserve">NONE</t>
        </is>
      </c>
    </row>
    <row r="304">
      <c r="B304" s="0" t="inlineStr">
        <is>
          <t xml:space="preserve">0003</t>
        </is>
      </c>
      <c r="C304" s="0" t="inlineStr">
        <is>
          <t xml:space="preserve">N0002414D2203</t>
        </is>
      </c>
      <c r="D304" s="0" t="inlineStr">
        <is>
          <t xml:space="preserve">small_craft</t>
        </is>
      </c>
      <c r="E304" s="0" t="inlineStr">
        <is>
          <t xml:space="preserve">UNITED STATES MARINE INC</t>
        </is>
      </c>
      <c r="F304" s="0" t="inlineStr">
        <is>
          <t xml:space="preserve">C</t>
        </is>
      </c>
      <c r="G304" s="4">
        <v>2.08460175</v>
      </c>
      <c r="H304" s="0" t="inlineStr">
        <is>
          <t xml:space="preserve">2015-12-22</t>
        </is>
      </c>
      <c r="I304" s="0" t="inlineStr">
        <is>
          <t xml:space="preserve">no</t>
        </is>
      </c>
      <c r="J304" s="0" t="inlineStr">
        <is>
          <t xml:space="preserve">N0002414R2203</t>
        </is>
      </c>
      <c r="K304" s="0" t="inlineStr">
        <is>
          <t xml:space="preserve">NONE</t>
        </is>
      </c>
    </row>
    <row r="305">
      <c r="B305" s="0" t="inlineStr">
        <is>
          <t xml:space="preserve">N0024406C0027</t>
        </is>
      </c>
      <c r="D305" s="0" t="inlineStr">
        <is>
          <t xml:space="preserve">small_craft</t>
        </is>
      </c>
      <c r="E305" s="0" t="inlineStr">
        <is>
          <t xml:space="preserve">INTEGRATED MARINE SERVICES, INC.</t>
        </is>
      </c>
      <c r="F305" s="0" t="inlineStr">
        <is>
          <t xml:space="preserve">D</t>
        </is>
      </c>
      <c r="G305" s="4">
        <v>2.07632001</v>
      </c>
      <c r="H305" s="0" t="inlineStr">
        <is>
          <t xml:space="preserve">2006-06-29</t>
        </is>
      </c>
      <c r="I305" s="0" t="inlineStr">
        <is>
          <t xml:space="preserve">no</t>
        </is>
      </c>
      <c r="K305" s="0" t="inlineStr">
        <is>
          <t xml:space="preserve">NONE</t>
        </is>
      </c>
    </row>
    <row r="306">
      <c r="B306" s="0" t="inlineStr">
        <is>
          <t xml:space="preserve">0005</t>
        </is>
      </c>
      <c r="C306" s="0" t="inlineStr">
        <is>
          <t xml:space="preserve">N0002413D2202</t>
        </is>
      </c>
      <c r="D306" s="0" t="inlineStr">
        <is>
          <t xml:space="preserve">small_craft</t>
        </is>
      </c>
      <c r="E306" s="0" t="inlineStr">
        <is>
          <t xml:space="preserve">METALCRAFT MARINE US, INC.</t>
        </is>
      </c>
      <c r="F306" s="0" t="inlineStr">
        <is>
          <t xml:space="preserve">C</t>
        </is>
      </c>
      <c r="G306" s="4">
        <v>2.042331</v>
      </c>
      <c r="H306" s="0" t="inlineStr">
        <is>
          <t xml:space="preserve">2016-03-10</t>
        </is>
      </c>
      <c r="I306" s="0" t="inlineStr">
        <is>
          <t xml:space="preserve">no</t>
        </is>
      </c>
      <c r="J306" s="0" t="inlineStr">
        <is>
          <t xml:space="preserve">N0002412R2202</t>
        </is>
      </c>
      <c r="K306" s="0" t="inlineStr">
        <is>
          <t xml:space="preserve">NONE</t>
        </is>
      </c>
    </row>
    <row r="307">
      <c r="B307" s="0" t="inlineStr">
        <is>
          <t xml:space="preserve">N0002426C2431</t>
        </is>
      </c>
      <c r="D307" s="0" t="inlineStr">
        <is>
          <t xml:space="preserve">other_small</t>
        </is>
      </c>
      <c r="E307" s="0" t="inlineStr">
        <is>
          <t xml:space="preserve">NATIONAL STEEL AND SHIPBUILDING COMPANY</t>
        </is>
      </c>
      <c r="F307" s="0" t="inlineStr">
        <is>
          <t xml:space="preserve">D</t>
        </is>
      </c>
      <c r="G307" s="4">
        <v>2.025838</v>
      </c>
      <c r="H307" s="0" t="inlineStr">
        <is>
          <t xml:space="preserve">2026-03-13</t>
        </is>
      </c>
      <c r="I307" s="0" t="inlineStr">
        <is>
          <t xml:space="preserve">yes</t>
        </is>
      </c>
      <c r="J307" s="0" t="inlineStr">
        <is>
          <t xml:space="preserve">N0002425R2231</t>
        </is>
      </c>
      <c r="K307" s="0" t="inlineStr">
        <is>
          <t xml:space="preserve">NONE</t>
        </is>
      </c>
    </row>
    <row r="308">
      <c r="B308" s="0" t="inlineStr">
        <is>
          <t xml:space="preserve">0004</t>
        </is>
      </c>
      <c r="C308" s="0" t="inlineStr">
        <is>
          <t xml:space="preserve">N0002413D2202</t>
        </is>
      </c>
      <c r="D308" s="0" t="inlineStr">
        <is>
          <t xml:space="preserve">small_craft</t>
        </is>
      </c>
      <c r="E308" s="0" t="inlineStr">
        <is>
          <t xml:space="preserve">METALCRAFT MARINE US, INC.</t>
        </is>
      </c>
      <c r="F308" s="0" t="inlineStr">
        <is>
          <t xml:space="preserve">C</t>
        </is>
      </c>
      <c r="G308" s="4">
        <v>2.0148501999999997</v>
      </c>
      <c r="H308" s="0" t="inlineStr">
        <is>
          <t xml:space="preserve">2015-03-17</t>
        </is>
      </c>
      <c r="I308" s="0" t="inlineStr">
        <is>
          <t xml:space="preserve">no</t>
        </is>
      </c>
      <c r="J308" s="0" t="inlineStr">
        <is>
          <t xml:space="preserve">N0002412R2202</t>
        </is>
      </c>
      <c r="K308" s="0" t="inlineStr">
        <is>
          <t xml:space="preserve">NONE</t>
        </is>
      </c>
    </row>
    <row r="309">
      <c r="B309" s="0" t="inlineStr">
        <is>
          <t xml:space="preserve">N6523625FE227</t>
        </is>
      </c>
      <c r="C309" s="0" t="inlineStr">
        <is>
          <t xml:space="preserve">N6523625D1020</t>
        </is>
      </c>
      <c r="D309" s="0" t="inlineStr">
        <is>
          <t xml:space="preserve">usv_core</t>
        </is>
      </c>
      <c r="E309" s="0" t="inlineStr">
        <is>
          <t xml:space="preserve">SEASATELLITES, INC.</t>
        </is>
      </c>
      <c r="F309" s="0" t="inlineStr">
        <is>
          <t xml:space="preserve">C</t>
        </is>
      </c>
      <c r="G309" s="4">
        <v>2.003513</v>
      </c>
      <c r="H309" s="0" t="inlineStr">
        <is>
          <t xml:space="preserve">2025-09-29</t>
        </is>
      </c>
      <c r="I309" s="0" t="inlineStr">
        <is>
          <t xml:space="preserve">yes</t>
        </is>
      </c>
      <c r="K309" s="0" t="inlineStr">
        <is>
          <t xml:space="preserve">NONE</t>
        </is>
      </c>
    </row>
    <row r="310">
      <c r="B310" s="0" t="inlineStr">
        <is>
          <t xml:space="preserve">N0001424C1332</t>
        </is>
      </c>
      <c r="D310" s="0" t="inlineStr">
        <is>
          <t xml:space="preserve">usv_core</t>
        </is>
      </c>
      <c r="E310" s="0" t="inlineStr">
        <is>
          <t xml:space="preserve">SCIX3 LLC</t>
        </is>
      </c>
      <c r="F310" s="0" t="inlineStr">
        <is>
          <t xml:space="preserve">D</t>
        </is>
      </c>
      <c r="G310" s="4">
        <v>1.9997356599999998</v>
      </c>
      <c r="H310" s="0" t="inlineStr">
        <is>
          <t xml:space="preserve">2024-08-28</t>
        </is>
      </c>
      <c r="I310" s="0" t="inlineStr">
        <is>
          <t xml:space="preserve">no</t>
        </is>
      </c>
      <c r="J310" s="0" t="inlineStr">
        <is>
          <t xml:space="preserve">N6893623R0004</t>
        </is>
      </c>
      <c r="K310" s="0" t="inlineStr">
        <is>
          <t xml:space="preserve">NONE</t>
        </is>
      </c>
    </row>
    <row r="311">
      <c r="B311" s="0" t="inlineStr">
        <is>
          <t xml:space="preserve">N0002422C2207</t>
        </is>
      </c>
      <c r="D311" s="0" t="inlineStr">
        <is>
          <t xml:space="preserve">other_small</t>
        </is>
      </c>
      <c r="E311" s="0" t="inlineStr">
        <is>
          <t xml:space="preserve">TAI ENGINEERS, LLC</t>
        </is>
      </c>
      <c r="F311" s="0" t="inlineStr">
        <is>
          <t xml:space="preserve">D</t>
        </is>
      </c>
      <c r="G311" s="4">
        <v>1.995777</v>
      </c>
      <c r="H311" s="0" t="inlineStr">
        <is>
          <t xml:space="preserve">2021-12-17</t>
        </is>
      </c>
      <c r="I311" s="0" t="inlineStr">
        <is>
          <t xml:space="preserve">no</t>
        </is>
      </c>
      <c r="J311" s="0" t="inlineStr">
        <is>
          <t xml:space="preserve">N0002421R2201</t>
        </is>
      </c>
      <c r="K311" s="0" t="inlineStr">
        <is>
          <t xml:space="preserve">NONE</t>
        </is>
      </c>
    </row>
    <row r="312">
      <c r="B312" s="0" t="inlineStr">
        <is>
          <t xml:space="preserve">N0002415F2241</t>
        </is>
      </c>
      <c r="C312" s="0" t="inlineStr">
        <is>
          <t xml:space="preserve">GS07F0063J</t>
        </is>
      </c>
      <c r="D312" s="0" t="inlineStr">
        <is>
          <t xml:space="preserve">small_craft</t>
        </is>
      </c>
      <c r="E312" s="0" t="inlineStr">
        <is>
          <t xml:space="preserve">WORKSKIFF, INC.</t>
        </is>
      </c>
      <c r="F312" s="0" t="inlineStr">
        <is>
          <t xml:space="preserve">C</t>
        </is>
      </c>
      <c r="G312" s="4">
        <v>1.98447527</v>
      </c>
      <c r="H312" s="0" t="inlineStr">
        <is>
          <t xml:space="preserve">2015-01-27</t>
        </is>
      </c>
      <c r="I312" s="0" t="inlineStr">
        <is>
          <t xml:space="preserve">no</t>
        </is>
      </c>
      <c r="J312" s="0" t="inlineStr">
        <is>
          <t xml:space="preserve">N0002414T2241</t>
        </is>
      </c>
      <c r="K312" s="0" t="inlineStr">
        <is>
          <t xml:space="preserve">NONE</t>
        </is>
      </c>
    </row>
    <row r="313">
      <c r="B313" s="0" t="inlineStr">
        <is>
          <t xml:space="preserve">N0002419F22J2</t>
        </is>
      </c>
      <c r="C313" s="0" t="inlineStr">
        <is>
          <t xml:space="preserve">N0002416D2215</t>
        </is>
      </c>
      <c r="D313" s="0" t="inlineStr">
        <is>
          <t xml:space="preserve">small_craft</t>
        </is>
      </c>
      <c r="E313" s="0" t="inlineStr">
        <is>
          <t xml:space="preserve">UNITED STATES MARINE INC</t>
        </is>
      </c>
      <c r="F313" s="0" t="inlineStr">
        <is>
          <t xml:space="preserve">C</t>
        </is>
      </c>
      <c r="G313" s="4">
        <v>1.9833778799999997</v>
      </c>
      <c r="H313" s="0" t="inlineStr">
        <is>
          <t xml:space="preserve">2019-04-17</t>
        </is>
      </c>
      <c r="I313" s="0" t="inlineStr">
        <is>
          <t xml:space="preserve">no</t>
        </is>
      </c>
      <c r="J313" s="0" t="inlineStr">
        <is>
          <t xml:space="preserve">N0002416R2215</t>
        </is>
      </c>
      <c r="K313" s="0" t="inlineStr">
        <is>
          <t xml:space="preserve">NONE</t>
        </is>
      </c>
    </row>
    <row r="314">
      <c r="B314" s="0" t="inlineStr">
        <is>
          <t xml:space="preserve">0002</t>
        </is>
      </c>
      <c r="C314" s="0" t="inlineStr">
        <is>
          <t xml:space="preserve">N0002414D2203</t>
        </is>
      </c>
      <c r="D314" s="0" t="inlineStr">
        <is>
          <t xml:space="preserve">small_craft</t>
        </is>
      </c>
      <c r="E314" s="0" t="inlineStr">
        <is>
          <t xml:space="preserve">UNITED STATES MARINE INC</t>
        </is>
      </c>
      <c r="F314" s="0" t="inlineStr">
        <is>
          <t xml:space="preserve">C</t>
        </is>
      </c>
      <c r="G314" s="4">
        <v>1.9799879999999999</v>
      </c>
      <c r="H314" s="0" t="inlineStr">
        <is>
          <t xml:space="preserve">2015-02-20</t>
        </is>
      </c>
      <c r="I314" s="0" t="inlineStr">
        <is>
          <t xml:space="preserve">no</t>
        </is>
      </c>
      <c r="J314" s="0" t="inlineStr">
        <is>
          <t xml:space="preserve">N0002414R2203</t>
        </is>
      </c>
      <c r="K314" s="0" t="inlineStr">
        <is>
          <t xml:space="preserve">NONE</t>
        </is>
      </c>
    </row>
    <row r="315">
      <c r="B315" s="0" t="inlineStr">
        <is>
          <t xml:space="preserve">1000</t>
        </is>
      </c>
      <c r="C315" s="0" t="inlineStr">
        <is>
          <t xml:space="preserve">N0010416DX004</t>
        </is>
      </c>
      <c r="D315" s="0" t="inlineStr">
        <is>
          <t xml:space="preserve">small_craft</t>
        </is>
      </c>
      <c r="E315" s="0" t="inlineStr">
        <is>
          <t xml:space="preserve">WING INFLATABLES INC</t>
        </is>
      </c>
      <c r="F315" s="0" t="inlineStr">
        <is>
          <t xml:space="preserve">C</t>
        </is>
      </c>
      <c r="G315" s="4">
        <v>1.9713999999999998</v>
      </c>
      <c r="H315" s="0" t="inlineStr">
        <is>
          <t xml:space="preserve">2016-04-27</t>
        </is>
      </c>
      <c r="I315" s="0" t="inlineStr">
        <is>
          <t xml:space="preserve">no</t>
        </is>
      </c>
      <c r="K315" s="0" t="inlineStr">
        <is>
          <t xml:space="preserve">NONE</t>
        </is>
      </c>
    </row>
    <row r="316">
      <c r="B316" s="0" t="inlineStr">
        <is>
          <t xml:space="preserve">N0002421F22G1</t>
        </is>
      </c>
      <c r="C316" s="0" t="inlineStr">
        <is>
          <t xml:space="preserve">N0002415D2214</t>
        </is>
      </c>
      <c r="D316" s="0" t="inlineStr">
        <is>
          <t xml:space="preserve">small_craft</t>
        </is>
      </c>
      <c r="E316" s="0" t="inlineStr">
        <is>
          <t xml:space="preserve">METALCRAFT MARINE US, INC.</t>
        </is>
      </c>
      <c r="F316" s="0" t="inlineStr">
        <is>
          <t xml:space="preserve">C</t>
        </is>
      </c>
      <c r="G316" s="4">
        <v>1.9415471399999997</v>
      </c>
      <c r="H316" s="0" t="inlineStr">
        <is>
          <t xml:space="preserve">2021-02-22</t>
        </is>
      </c>
      <c r="I316" s="0" t="inlineStr">
        <is>
          <t xml:space="preserve">no</t>
        </is>
      </c>
      <c r="J316" s="0" t="inlineStr">
        <is>
          <t xml:space="preserve">N0002415R2214</t>
        </is>
      </c>
      <c r="K316" s="0" t="inlineStr">
        <is>
          <t xml:space="preserve">NONE</t>
        </is>
      </c>
    </row>
    <row r="317">
      <c r="B317" s="0" t="inlineStr">
        <is>
          <t xml:space="preserve">0005</t>
        </is>
      </c>
      <c r="C317" s="0" t="inlineStr">
        <is>
          <t xml:space="preserve">N0002414D2221</t>
        </is>
      </c>
      <c r="D317" s="0" t="inlineStr">
        <is>
          <t xml:space="preserve">small_craft</t>
        </is>
      </c>
      <c r="E317" s="0" t="inlineStr">
        <is>
          <t xml:space="preserve">WORKSKIFF, INC.</t>
        </is>
      </c>
      <c r="F317" s="0" t="inlineStr">
        <is>
          <t xml:space="preserve">C</t>
        </is>
      </c>
      <c r="G317" s="4">
        <v>1.9222522</v>
      </c>
      <c r="H317" s="0" t="inlineStr">
        <is>
          <t xml:space="preserve">2016-12-13</t>
        </is>
      </c>
      <c r="I317" s="0" t="inlineStr">
        <is>
          <t xml:space="preserve">no</t>
        </is>
      </c>
      <c r="J317" s="0" t="inlineStr">
        <is>
          <t xml:space="preserve">N0002414R2221</t>
        </is>
      </c>
      <c r="K317" s="0" t="inlineStr">
        <is>
          <t xml:space="preserve">NONE</t>
        </is>
      </c>
    </row>
    <row r="318">
      <c r="B318" s="0" t="inlineStr">
        <is>
          <t xml:space="preserve">0001</t>
        </is>
      </c>
      <c r="C318" s="0" t="inlineStr">
        <is>
          <t xml:space="preserve">N6893615D0002</t>
        </is>
      </c>
      <c r="D318" s="0" t="inlineStr">
        <is>
          <t xml:space="preserve">small_craft</t>
        </is>
      </c>
      <c r="E318" s="0" t="inlineStr">
        <is>
          <t xml:space="preserve">THE MOLDING COMPANY, INC.</t>
        </is>
      </c>
      <c r="F318" s="0" t="inlineStr">
        <is>
          <t xml:space="preserve">C</t>
        </is>
      </c>
      <c r="G318" s="4">
        <v>1.920912</v>
      </c>
      <c r="H318" s="0" t="inlineStr">
        <is>
          <t xml:space="preserve">2014-10-29</t>
        </is>
      </c>
      <c r="I318" s="0" t="inlineStr">
        <is>
          <t xml:space="preserve">no</t>
        </is>
      </c>
      <c r="J318" s="0" t="inlineStr">
        <is>
          <t xml:space="preserve">N6893614R0112</t>
        </is>
      </c>
      <c r="K318" s="0" t="inlineStr">
        <is>
          <t xml:space="preserve">NONE</t>
        </is>
      </c>
    </row>
    <row r="319">
      <c r="B319" s="0" t="inlineStr">
        <is>
          <t xml:space="preserve">N6660425F3019</t>
        </is>
      </c>
      <c r="C319" s="0" t="inlineStr">
        <is>
          <t xml:space="preserve">N0017819D8498</t>
        </is>
      </c>
      <c r="D319" s="0" t="inlineStr">
        <is>
          <t xml:space="preserve">usv_core</t>
        </is>
      </c>
      <c r="E319" s="0" t="inlineStr">
        <is>
          <t xml:space="preserve">SERCO INC</t>
        </is>
      </c>
      <c r="F319" s="0" t="inlineStr">
        <is>
          <t xml:space="preserve">C</t>
        </is>
      </c>
      <c r="G319" s="4">
        <v>1.9199849999999998</v>
      </c>
      <c r="H319" s="0" t="inlineStr">
        <is>
          <t xml:space="preserve">2025-09-02</t>
        </is>
      </c>
      <c r="I319" s="0" t="inlineStr">
        <is>
          <t xml:space="preserve">yes</t>
        </is>
      </c>
      <c r="J319" s="0" t="inlineStr">
        <is>
          <t xml:space="preserve">N6660424R3011</t>
        </is>
      </c>
      <c r="K319" s="0" t="inlineStr">
        <is>
          <t xml:space="preserve">NONE</t>
        </is>
      </c>
    </row>
    <row r="320">
      <c r="B320" s="0" t="inlineStr">
        <is>
          <t xml:space="preserve">M6890916F7648</t>
        </is>
      </c>
      <c r="C320" s="0" t="inlineStr">
        <is>
          <t xml:space="preserve">GS07F0123H</t>
        </is>
      </c>
      <c r="D320" s="0" t="inlineStr">
        <is>
          <t xml:space="preserve">small_craft</t>
        </is>
      </c>
      <c r="E320" s="0" t="inlineStr">
        <is>
          <t xml:space="preserve">WILLARD MARINE, INC.</t>
        </is>
      </c>
      <c r="F320" s="0" t="inlineStr">
        <is>
          <t xml:space="preserve">C</t>
        </is>
      </c>
      <c r="G320" s="4">
        <v>1.910401</v>
      </c>
      <c r="H320" s="0" t="inlineStr">
        <is>
          <t xml:space="preserve">2016-08-10</t>
        </is>
      </c>
      <c r="I320" s="0" t="inlineStr">
        <is>
          <t xml:space="preserve">no</t>
        </is>
      </c>
      <c r="K320" s="0" t="inlineStr">
        <is>
          <t xml:space="preserve">NONE</t>
        </is>
      </c>
    </row>
    <row r="321">
      <c r="B321" s="0" t="inlineStr">
        <is>
          <t xml:space="preserve">N0010420CCA08</t>
        </is>
      </c>
      <c r="D321" s="0" t="inlineStr">
        <is>
          <t xml:space="preserve">small_craft</t>
        </is>
      </c>
      <c r="E321" s="0" t="inlineStr">
        <is>
          <t xml:space="preserve">GE AVIATION SYSTEMS LLC</t>
        </is>
      </c>
      <c r="F321" s="0" t="inlineStr">
        <is>
          <t xml:space="preserve">D</t>
        </is>
      </c>
      <c r="G321" s="4">
        <v>1.90485862</v>
      </c>
      <c r="H321" s="0" t="inlineStr">
        <is>
          <t xml:space="preserve">2020-07-21</t>
        </is>
      </c>
      <c r="I321" s="0" t="inlineStr">
        <is>
          <t xml:space="preserve">no</t>
        </is>
      </c>
      <c r="J321" s="0" t="inlineStr">
        <is>
          <t xml:space="preserve">N0010420RCE20</t>
        </is>
      </c>
      <c r="K321" s="0" t="inlineStr">
        <is>
          <t xml:space="preserve">NONE</t>
        </is>
      </c>
    </row>
    <row r="322">
      <c r="B322" s="0" t="inlineStr">
        <is>
          <t xml:space="preserve">N0002426F22A7</t>
        </is>
      </c>
      <c r="C322" s="0" t="inlineStr">
        <is>
          <t xml:space="preserve">N0002423D2260</t>
        </is>
      </c>
      <c r="D322" s="0" t="inlineStr">
        <is>
          <t xml:space="preserve">small_craft</t>
        </is>
      </c>
      <c r="E322" s="0" t="inlineStr">
        <is>
          <t xml:space="preserve">METALCRAFT MARINE US, INC.</t>
        </is>
      </c>
      <c r="F322" s="0" t="inlineStr">
        <is>
          <t xml:space="preserve">C</t>
        </is>
      </c>
      <c r="G322" s="4">
        <v>1.8812150699999999</v>
      </c>
      <c r="H322" s="0" t="inlineStr">
        <is>
          <t xml:space="preserve">2026-01-21</t>
        </is>
      </c>
      <c r="I322" s="0" t="inlineStr">
        <is>
          <t xml:space="preserve">yes</t>
        </is>
      </c>
      <c r="J322" s="0" t="inlineStr">
        <is>
          <t xml:space="preserve">N0002423R2260</t>
        </is>
      </c>
      <c r="K322" s="0" t="inlineStr">
        <is>
          <t xml:space="preserve">NONE</t>
        </is>
      </c>
    </row>
    <row r="323">
      <c r="B323" s="0" t="inlineStr">
        <is>
          <t xml:space="preserve">N0010425CFA13</t>
        </is>
      </c>
      <c r="D323" s="0" t="inlineStr">
        <is>
          <t xml:space="preserve">small_craft</t>
        </is>
      </c>
      <c r="E323" s="0" t="inlineStr">
        <is>
          <t xml:space="preserve">L3 TECHNOLOGIES, INC.</t>
        </is>
      </c>
      <c r="F323" s="0" t="inlineStr">
        <is>
          <t xml:space="preserve">D</t>
        </is>
      </c>
      <c r="G323" s="4">
        <v>1.8734619</v>
      </c>
      <c r="H323" s="0" t="inlineStr">
        <is>
          <t xml:space="preserve">2025-04-25</t>
        </is>
      </c>
      <c r="I323" s="0" t="inlineStr">
        <is>
          <t xml:space="preserve">no</t>
        </is>
      </c>
      <c r="J323" s="0" t="inlineStr">
        <is>
          <t xml:space="preserve">N0010422QFC98</t>
        </is>
      </c>
      <c r="K323" s="0" t="inlineStr">
        <is>
          <t xml:space="preserve">NONE</t>
        </is>
      </c>
    </row>
    <row r="324">
      <c r="B324" s="0" t="inlineStr">
        <is>
          <t xml:space="preserve">M6785410C1054</t>
        </is>
      </c>
      <c r="D324" s="0" t="inlineStr">
        <is>
          <t xml:space="preserve">small_craft</t>
        </is>
      </c>
      <c r="E324" s="0" t="inlineStr">
        <is>
          <t xml:space="preserve">SAFE BOATS INTERNATIONAL LLC</t>
        </is>
      </c>
      <c r="F324" s="0" t="inlineStr">
        <is>
          <t xml:space="preserve">D</t>
        </is>
      </c>
      <c r="G324" s="4">
        <v>1.8690171599999998</v>
      </c>
      <c r="H324" s="0" t="inlineStr">
        <is>
          <t xml:space="preserve">2010-06-25</t>
        </is>
      </c>
      <c r="I324" s="0" t="inlineStr">
        <is>
          <t xml:space="preserve">no</t>
        </is>
      </c>
      <c r="J324" s="0" t="inlineStr">
        <is>
          <t xml:space="preserve">M6785410R1054</t>
        </is>
      </c>
      <c r="K324" s="0" t="inlineStr">
        <is>
          <t xml:space="preserve">NONE</t>
        </is>
      </c>
    </row>
    <row r="325">
      <c r="B325" s="0" t="inlineStr">
        <is>
          <t xml:space="preserve">N0010425CQA19</t>
        </is>
      </c>
      <c r="D325" s="0" t="inlineStr">
        <is>
          <t xml:space="preserve">small_craft</t>
        </is>
      </c>
      <c r="E325" s="0" t="inlineStr">
        <is>
          <t xml:space="preserve">UNITED STATES TECHNOLOGIES INC</t>
        </is>
      </c>
      <c r="F325" s="0" t="inlineStr">
        <is>
          <t xml:space="preserve">D</t>
        </is>
      </c>
      <c r="G325" s="4">
        <v>1.8661381</v>
      </c>
      <c r="H325" s="0" t="inlineStr">
        <is>
          <t xml:space="preserve">2025-05-09</t>
        </is>
      </c>
      <c r="I325" s="0" t="inlineStr">
        <is>
          <t xml:space="preserve">no</t>
        </is>
      </c>
      <c r="J325" s="0" t="inlineStr">
        <is>
          <t xml:space="preserve">N0010425RQB19</t>
        </is>
      </c>
      <c r="K325" s="0" t="inlineStr">
        <is>
          <t xml:space="preserve">NONE</t>
        </is>
      </c>
    </row>
    <row r="326">
      <c r="B326" s="0" t="inlineStr">
        <is>
          <t xml:space="preserve">N0002422F22A5</t>
        </is>
      </c>
      <c r="C326" s="0" t="inlineStr">
        <is>
          <t xml:space="preserve">N0002415D2214</t>
        </is>
      </c>
      <c r="D326" s="0" t="inlineStr">
        <is>
          <t xml:space="preserve">small_craft</t>
        </is>
      </c>
      <c r="E326" s="0" t="inlineStr">
        <is>
          <t xml:space="preserve">METALCRAFT MARINE US, INC.</t>
        </is>
      </c>
      <c r="F326" s="0" t="inlineStr">
        <is>
          <t xml:space="preserve">C</t>
        </is>
      </c>
      <c r="G326" s="4">
        <v>1.84271256</v>
      </c>
      <c r="H326" s="0" t="inlineStr">
        <is>
          <t xml:space="preserve">2022-03-30</t>
        </is>
      </c>
      <c r="I326" s="0" t="inlineStr">
        <is>
          <t xml:space="preserve">no</t>
        </is>
      </c>
      <c r="J326" s="0" t="inlineStr">
        <is>
          <t xml:space="preserve">N0002415R2214</t>
        </is>
      </c>
      <c r="K326" s="0" t="inlineStr">
        <is>
          <t xml:space="preserve">NONE</t>
        </is>
      </c>
    </row>
    <row r="327">
      <c r="B327" s="0" t="inlineStr">
        <is>
          <t xml:space="preserve">0002</t>
        </is>
      </c>
      <c r="C327" s="0" t="inlineStr">
        <is>
          <t xml:space="preserve">N0002414D2221</t>
        </is>
      </c>
      <c r="D327" s="0" t="inlineStr">
        <is>
          <t xml:space="preserve">small_craft</t>
        </is>
      </c>
      <c r="E327" s="0" t="inlineStr">
        <is>
          <t xml:space="preserve">WORKSKIFF, INC.</t>
        </is>
      </c>
      <c r="F327" s="0" t="inlineStr">
        <is>
          <t xml:space="preserve">C</t>
        </is>
      </c>
      <c r="G327" s="4">
        <v>1.8204242099999999</v>
      </c>
      <c r="H327" s="0" t="inlineStr">
        <is>
          <t xml:space="preserve">2015-02-27</t>
        </is>
      </c>
      <c r="I327" s="0" t="inlineStr">
        <is>
          <t xml:space="preserve">no</t>
        </is>
      </c>
      <c r="J327" s="0" t="inlineStr">
        <is>
          <t xml:space="preserve">N0002414R2221</t>
        </is>
      </c>
      <c r="K327" s="0" t="inlineStr">
        <is>
          <t xml:space="preserve">NONE</t>
        </is>
      </c>
    </row>
    <row r="328">
      <c r="B328" s="0" t="inlineStr">
        <is>
          <t xml:space="preserve">0001</t>
        </is>
      </c>
      <c r="C328" s="0" t="inlineStr">
        <is>
          <t xml:space="preserve">N0002414D2215</t>
        </is>
      </c>
      <c r="D328" s="0" t="inlineStr">
        <is>
          <t xml:space="preserve">small_craft</t>
        </is>
      </c>
      <c r="E328" s="0" t="inlineStr">
        <is>
          <t xml:space="preserve">SILVER SHIPS, INC</t>
        </is>
      </c>
      <c r="F328" s="0" t="inlineStr">
        <is>
          <t xml:space="preserve">C</t>
        </is>
      </c>
      <c r="G328" s="4">
        <v>1.80901926</v>
      </c>
      <c r="H328" s="0" t="inlineStr">
        <is>
          <t xml:space="preserve">2014-01-13</t>
        </is>
      </c>
      <c r="I328" s="0" t="inlineStr">
        <is>
          <t xml:space="preserve">no</t>
        </is>
      </c>
      <c r="J328" s="0" t="inlineStr">
        <is>
          <t xml:space="preserve">N0002413R2215</t>
        </is>
      </c>
      <c r="K328" s="0" t="inlineStr">
        <is>
          <t xml:space="preserve">NONE</t>
        </is>
      </c>
    </row>
    <row r="329">
      <c r="B329" s="0" t="inlineStr">
        <is>
          <t xml:space="preserve">0003</t>
        </is>
      </c>
      <c r="C329" s="0" t="inlineStr">
        <is>
          <t xml:space="preserve">N0002414D2215</t>
        </is>
      </c>
      <c r="D329" s="0" t="inlineStr">
        <is>
          <t xml:space="preserve">small_craft</t>
        </is>
      </c>
      <c r="E329" s="0" t="inlineStr">
        <is>
          <t xml:space="preserve">SILVER SHIPS, INC</t>
        </is>
      </c>
      <c r="F329" s="0" t="inlineStr">
        <is>
          <t xml:space="preserve">C</t>
        </is>
      </c>
      <c r="G329" s="4">
        <v>1.79552305</v>
      </c>
      <c r="H329" s="0" t="inlineStr">
        <is>
          <t xml:space="preserve">2014-08-28</t>
        </is>
      </c>
      <c r="I329" s="0" t="inlineStr">
        <is>
          <t xml:space="preserve">no</t>
        </is>
      </c>
      <c r="J329" s="0" t="inlineStr">
        <is>
          <t xml:space="preserve">N0002413R2215</t>
        </is>
      </c>
      <c r="K329" s="0" t="inlineStr">
        <is>
          <t xml:space="preserve">NONE</t>
        </is>
      </c>
    </row>
    <row r="330">
      <c r="B330" s="0" t="inlineStr">
        <is>
          <t xml:space="preserve">N0002418F22A3</t>
        </is>
      </c>
      <c r="C330" s="0" t="inlineStr">
        <is>
          <t xml:space="preserve">N0002413D2253</t>
        </is>
      </c>
      <c r="D330" s="0" t="inlineStr">
        <is>
          <t xml:space="preserve">small_craft</t>
        </is>
      </c>
      <c r="E330" s="0" t="inlineStr">
        <is>
          <t xml:space="preserve">GRAVOIS ALUMINUM BOATS LLC</t>
        </is>
      </c>
      <c r="F330" s="0" t="inlineStr">
        <is>
          <t xml:space="preserve">C</t>
        </is>
      </c>
      <c r="G330" s="4">
        <v>1.7723944699999998</v>
      </c>
      <c r="H330" s="0" t="inlineStr">
        <is>
          <t xml:space="preserve">2018-06-11</t>
        </is>
      </c>
      <c r="I330" s="0" t="inlineStr">
        <is>
          <t xml:space="preserve">no</t>
        </is>
      </c>
      <c r="J330" s="0" t="inlineStr">
        <is>
          <t xml:space="preserve">N0002412R2253</t>
        </is>
      </c>
      <c r="K330" s="0" t="inlineStr">
        <is>
          <t xml:space="preserve">NONE</t>
        </is>
      </c>
    </row>
    <row r="331">
      <c r="B331" s="0" t="inlineStr">
        <is>
          <t xml:space="preserve">N0002421F22Y1</t>
        </is>
      </c>
      <c r="C331" s="0" t="inlineStr">
        <is>
          <t xml:space="preserve">N0002420D2222</t>
        </is>
      </c>
      <c r="D331" s="0" t="inlineStr">
        <is>
          <t xml:space="preserve">small_craft</t>
        </is>
      </c>
      <c r="E331" s="0" t="inlineStr">
        <is>
          <t xml:space="preserve">LAKE ASSAULT BOATS, LLC</t>
        </is>
      </c>
      <c r="F331" s="0" t="inlineStr">
        <is>
          <t xml:space="preserve">C</t>
        </is>
      </c>
      <c r="G331" s="4">
        <v>1.7588621599999998</v>
      </c>
      <c r="H331" s="0" t="inlineStr">
        <is>
          <t xml:space="preserve">2020-11-02</t>
        </is>
      </c>
      <c r="I331" s="0" t="inlineStr">
        <is>
          <t xml:space="preserve">no</t>
        </is>
      </c>
      <c r="J331" s="0" t="inlineStr">
        <is>
          <t xml:space="preserve">N0002419R2222</t>
        </is>
      </c>
      <c r="K331" s="0" t="inlineStr">
        <is>
          <t xml:space="preserve">NONE</t>
        </is>
      </c>
    </row>
    <row r="332">
      <c r="B332" s="0" t="inlineStr">
        <is>
          <t xml:space="preserve">N0002421C2275</t>
        </is>
      </c>
      <c r="D332" s="0" t="inlineStr">
        <is>
          <t xml:space="preserve">small_craft</t>
        </is>
      </c>
      <c r="E332" s="0" t="inlineStr">
        <is>
          <t xml:space="preserve">DOCK HIGH, LLC</t>
        </is>
      </c>
      <c r="F332" s="0" t="inlineStr">
        <is>
          <t xml:space="preserve">D</t>
        </is>
      </c>
      <c r="G332" s="4">
        <v>1.7523449999999998</v>
      </c>
      <c r="H332" s="0" t="inlineStr">
        <is>
          <t xml:space="preserve">2021-05-14</t>
        </is>
      </c>
      <c r="I332" s="0" t="inlineStr">
        <is>
          <t xml:space="preserve">no</t>
        </is>
      </c>
      <c r="J332" s="0" t="inlineStr">
        <is>
          <t xml:space="preserve">N0002421R2275</t>
        </is>
      </c>
      <c r="K332" s="0" t="inlineStr">
        <is>
          <t xml:space="preserve">NONE</t>
        </is>
      </c>
    </row>
    <row r="333">
      <c r="B333" s="0" t="inlineStr">
        <is>
          <t xml:space="preserve">0006</t>
        </is>
      </c>
      <c r="C333" s="0" t="inlineStr">
        <is>
          <t xml:space="preserve">N0002413D2202</t>
        </is>
      </c>
      <c r="D333" s="0" t="inlineStr">
        <is>
          <t xml:space="preserve">small_craft</t>
        </is>
      </c>
      <c r="E333" s="0" t="inlineStr">
        <is>
          <t xml:space="preserve">METALCRAFT MARINE US, INC.</t>
        </is>
      </c>
      <c r="F333" s="0" t="inlineStr">
        <is>
          <t xml:space="preserve">C</t>
        </is>
      </c>
      <c r="G333" s="4">
        <v>1.73222085</v>
      </c>
      <c r="H333" s="0" t="inlineStr">
        <is>
          <t xml:space="preserve">2017-02-07</t>
        </is>
      </c>
      <c r="I333" s="0" t="inlineStr">
        <is>
          <t xml:space="preserve">no</t>
        </is>
      </c>
      <c r="J333" s="0" t="inlineStr">
        <is>
          <t xml:space="preserve">N0002412R2202</t>
        </is>
      </c>
      <c r="K333" s="0" t="inlineStr">
        <is>
          <t xml:space="preserve">NONE</t>
        </is>
      </c>
    </row>
    <row r="334">
      <c r="B334" s="0" t="inlineStr">
        <is>
          <t xml:space="preserve">N0003923F2056</t>
        </is>
      </c>
      <c r="C334" s="0" t="inlineStr">
        <is>
          <t xml:space="preserve">N0003921D6001</t>
        </is>
      </c>
      <c r="D334" s="0" t="inlineStr">
        <is>
          <t xml:space="preserve">small_craft</t>
        </is>
      </c>
      <c r="E334" s="0" t="inlineStr">
        <is>
          <t xml:space="preserve">TELEDYNE BROWN ENGINEERING, INC.</t>
        </is>
      </c>
      <c r="F334" s="0" t="inlineStr">
        <is>
          <t xml:space="preserve">C</t>
        </is>
      </c>
      <c r="G334" s="4">
        <v>1.7299846399999999</v>
      </c>
      <c r="H334" s="0" t="inlineStr">
        <is>
          <t xml:space="preserve">2023-02-16</t>
        </is>
      </c>
      <c r="I334" s="0" t="inlineStr">
        <is>
          <t xml:space="preserve">no</t>
        </is>
      </c>
      <c r="J334" s="0" t="inlineStr">
        <is>
          <t xml:space="preserve">N0003921R1000</t>
        </is>
      </c>
      <c r="K334" s="0" t="inlineStr">
        <is>
          <t xml:space="preserve">NONE</t>
        </is>
      </c>
    </row>
    <row r="335">
      <c r="B335" s="0" t="inlineStr">
        <is>
          <t xml:space="preserve">N0010425CJA07</t>
        </is>
      </c>
      <c r="D335" s="0" t="inlineStr">
        <is>
          <t xml:space="preserve">small_craft</t>
        </is>
      </c>
      <c r="E335" s="0" t="inlineStr">
        <is>
          <t xml:space="preserve">GE AVIATION SYSTEMS LLC</t>
        </is>
      </c>
      <c r="F335" s="0" t="inlineStr">
        <is>
          <t xml:space="preserve">D</t>
        </is>
      </c>
      <c r="G335" s="4">
        <v>1.7276</v>
      </c>
      <c r="H335" s="0" t="inlineStr">
        <is>
          <t xml:space="preserve">2025-08-20</t>
        </is>
      </c>
      <c r="I335" s="0" t="inlineStr">
        <is>
          <t xml:space="preserve">yes</t>
        </is>
      </c>
      <c r="J335" s="0" t="inlineStr">
        <is>
          <t xml:space="preserve">N0010421RCZ21</t>
        </is>
      </c>
      <c r="K335" s="0" t="inlineStr">
        <is>
          <t xml:space="preserve">NONE</t>
        </is>
      </c>
    </row>
    <row r="336">
      <c r="B336" s="0" t="inlineStr">
        <is>
          <t xml:space="preserve">N0010422CZA25</t>
        </is>
      </c>
      <c r="D336" s="0" t="inlineStr">
        <is>
          <t xml:space="preserve">small_craft</t>
        </is>
      </c>
      <c r="E336" s="0" t="inlineStr">
        <is>
          <t xml:space="preserve">GARDNER DENVER NASH LLC</t>
        </is>
      </c>
      <c r="F336" s="0" t="inlineStr">
        <is>
          <t xml:space="preserve">D</t>
        </is>
      </c>
      <c r="G336" s="4">
        <v>1.7226941</v>
      </c>
      <c r="H336" s="0" t="inlineStr">
        <is>
          <t xml:space="preserve">2022-09-28</t>
        </is>
      </c>
      <c r="I336" s="0" t="inlineStr">
        <is>
          <t xml:space="preserve">no</t>
        </is>
      </c>
      <c r="J336" s="0" t="inlineStr">
        <is>
          <t xml:space="preserve">N0010422RZA50</t>
        </is>
      </c>
      <c r="K336" s="0" t="inlineStr">
        <is>
          <t xml:space="preserve">NONE</t>
        </is>
      </c>
    </row>
    <row r="337">
      <c r="B337" s="0" t="inlineStr">
        <is>
          <t xml:space="preserve">N0002418C2204</t>
        </is>
      </c>
      <c r="D337" s="0" t="inlineStr">
        <is>
          <t xml:space="preserve">small_craft</t>
        </is>
      </c>
      <c r="E337" s="0" t="inlineStr">
        <is>
          <t xml:space="preserve">WORKSKIFF, INC.</t>
        </is>
      </c>
      <c r="F337" s="0" t="inlineStr">
        <is>
          <t xml:space="preserve">D</t>
        </is>
      </c>
      <c r="G337" s="4">
        <v>1.6895069999999999</v>
      </c>
      <c r="H337" s="0" t="inlineStr">
        <is>
          <t xml:space="preserve">2018-09-28</t>
        </is>
      </c>
      <c r="I337" s="0" t="inlineStr">
        <is>
          <t xml:space="preserve">no</t>
        </is>
      </c>
      <c r="J337" s="0" t="inlineStr">
        <is>
          <t xml:space="preserve">N0002418T2204</t>
        </is>
      </c>
      <c r="K337" s="0" t="inlineStr">
        <is>
          <t xml:space="preserve">NONE</t>
        </is>
      </c>
    </row>
    <row r="338">
      <c r="B338" s="0" t="inlineStr">
        <is>
          <t xml:space="preserve">N6945026F0134</t>
        </is>
      </c>
      <c r="C338" s="0" t="inlineStr">
        <is>
          <t xml:space="preserve">N6945026D0010</t>
        </is>
      </c>
      <c r="D338" s="0" t="inlineStr">
        <is>
          <t xml:space="preserve">other_small</t>
        </is>
      </c>
      <c r="E338" s="0" t="inlineStr">
        <is>
          <t xml:space="preserve">JBW UMX JV LLC</t>
        </is>
      </c>
      <c r="F338" s="0" t="inlineStr">
        <is>
          <t xml:space="preserve">C</t>
        </is>
      </c>
      <c r="G338" s="4">
        <v>1.6802439999999998</v>
      </c>
      <c r="H338" s="0" t="inlineStr">
        <is>
          <t xml:space="preserve">2026-01-30</t>
        </is>
      </c>
      <c r="I338" s="0" t="inlineStr">
        <is>
          <t xml:space="preserve">yes</t>
        </is>
      </c>
      <c r="K338" s="0" t="inlineStr">
        <is>
          <t xml:space="preserve">NONE</t>
        </is>
      </c>
    </row>
    <row r="339">
      <c r="B339" s="0" t="inlineStr">
        <is>
          <t xml:space="preserve">M6890925F7915</t>
        </is>
      </c>
      <c r="C339" s="0" t="inlineStr">
        <is>
          <t xml:space="preserve">GS07F0362T</t>
        </is>
      </c>
      <c r="D339" s="0" t="inlineStr">
        <is>
          <t xml:space="preserve">small_craft</t>
        </is>
      </c>
      <c r="E339" s="0" t="inlineStr">
        <is>
          <t xml:space="preserve">GRAVOIS ALUMINUM BOATS LLC</t>
        </is>
      </c>
      <c r="F339" s="0" t="inlineStr">
        <is>
          <t xml:space="preserve">C</t>
        </is>
      </c>
      <c r="G339" s="4">
        <v>1.67017873</v>
      </c>
      <c r="H339" s="0" t="inlineStr">
        <is>
          <t xml:space="preserve">2025-09-26</t>
        </is>
      </c>
      <c r="I339" s="0" t="inlineStr">
        <is>
          <t xml:space="preserve">yes</t>
        </is>
      </c>
      <c r="K339" s="0" t="inlineStr">
        <is>
          <t xml:space="preserve">NONE</t>
        </is>
      </c>
    </row>
    <row r="340">
      <c r="B340" s="0" t="inlineStr">
        <is>
          <t xml:space="preserve">N0016722C0007</t>
        </is>
      </c>
      <c r="D340" s="0" t="inlineStr">
        <is>
          <t xml:space="preserve">small_craft</t>
        </is>
      </c>
      <c r="E340" s="0" t="inlineStr">
        <is>
          <t xml:space="preserve">HIGHMARK MARINE FABRICATION, LLC</t>
        </is>
      </c>
      <c r="F340" s="0" t="inlineStr">
        <is>
          <t xml:space="preserve">D</t>
        </is>
      </c>
      <c r="G340" s="4">
        <v>1.65482504</v>
      </c>
      <c r="H340" s="0" t="inlineStr">
        <is>
          <t xml:space="preserve">2022-07-20</t>
        </is>
      </c>
      <c r="I340" s="0" t="inlineStr">
        <is>
          <t xml:space="preserve">no</t>
        </is>
      </c>
      <c r="J340" s="0" t="inlineStr">
        <is>
          <t xml:space="preserve">N0016722R0011</t>
        </is>
      </c>
      <c r="K340" s="0" t="inlineStr">
        <is>
          <t xml:space="preserve">NONE</t>
        </is>
      </c>
    </row>
    <row r="341">
      <c r="B341" s="0" t="inlineStr">
        <is>
          <t xml:space="preserve">N0002418F22G1</t>
        </is>
      </c>
      <c r="C341" s="0" t="inlineStr">
        <is>
          <t xml:space="preserve">N0002415D2214</t>
        </is>
      </c>
      <c r="D341" s="0" t="inlineStr">
        <is>
          <t xml:space="preserve">small_craft</t>
        </is>
      </c>
      <c r="E341" s="0" t="inlineStr">
        <is>
          <t xml:space="preserve">METALCRAFT MARINE US, INC.</t>
        </is>
      </c>
      <c r="F341" s="0" t="inlineStr">
        <is>
          <t xml:space="preserve">C</t>
        </is>
      </c>
      <c r="G341" s="4">
        <v>1.65307685</v>
      </c>
      <c r="H341" s="0" t="inlineStr">
        <is>
          <t xml:space="preserve">2018-03-30</t>
        </is>
      </c>
      <c r="I341" s="0" t="inlineStr">
        <is>
          <t xml:space="preserve">no</t>
        </is>
      </c>
      <c r="J341" s="0" t="inlineStr">
        <is>
          <t xml:space="preserve">N0002415R2214</t>
        </is>
      </c>
      <c r="K341" s="0" t="inlineStr">
        <is>
          <t xml:space="preserve">NONE</t>
        </is>
      </c>
    </row>
    <row r="342">
      <c r="B342" s="0" t="inlineStr">
        <is>
          <t xml:space="preserve">N0002419F22J3</t>
        </is>
      </c>
      <c r="C342" s="0" t="inlineStr">
        <is>
          <t xml:space="preserve">N0002416D2215</t>
        </is>
      </c>
      <c r="D342" s="0" t="inlineStr">
        <is>
          <t xml:space="preserve">small_craft</t>
        </is>
      </c>
      <c r="E342" s="0" t="inlineStr">
        <is>
          <t xml:space="preserve">UNITED STATES MARINE INC</t>
        </is>
      </c>
      <c r="F342" s="0" t="inlineStr">
        <is>
          <t xml:space="preserve">C</t>
        </is>
      </c>
      <c r="G342" s="4">
        <v>1.63551406</v>
      </c>
      <c r="H342" s="0" t="inlineStr">
        <is>
          <t xml:space="preserve">2019-07-22</t>
        </is>
      </c>
      <c r="I342" s="0" t="inlineStr">
        <is>
          <t xml:space="preserve">no</t>
        </is>
      </c>
      <c r="J342" s="0" t="inlineStr">
        <is>
          <t xml:space="preserve">N0002416R2215</t>
        </is>
      </c>
      <c r="K342" s="0" t="inlineStr">
        <is>
          <t xml:space="preserve">NONE</t>
        </is>
      </c>
    </row>
    <row r="343">
      <c r="B343" s="0" t="inlineStr">
        <is>
          <t xml:space="preserve">N6133114C0032</t>
        </is>
      </c>
      <c r="D343" s="0" t="inlineStr">
        <is>
          <t xml:space="preserve">other_small</t>
        </is>
      </c>
      <c r="E343" s="0" t="inlineStr">
        <is>
          <t xml:space="preserve">NEW TRANSPORT LINES, INC.</t>
        </is>
      </c>
      <c r="F343" s="0" t="inlineStr">
        <is>
          <t xml:space="preserve">D</t>
        </is>
      </c>
      <c r="G343" s="4">
        <v>1.6345902399999999</v>
      </c>
      <c r="H343" s="0" t="inlineStr">
        <is>
          <t xml:space="preserve">2014-09-26</t>
        </is>
      </c>
      <c r="I343" s="0" t="inlineStr">
        <is>
          <t xml:space="preserve">no</t>
        </is>
      </c>
      <c r="K343" s="0" t="inlineStr">
        <is>
          <t xml:space="preserve">NONE</t>
        </is>
      </c>
    </row>
    <row r="344">
      <c r="B344" s="0" t="inlineStr">
        <is>
          <t xml:space="preserve">N0002421F22V2</t>
        </is>
      </c>
      <c r="C344" s="0" t="inlineStr">
        <is>
          <t xml:space="preserve">N0002417D2217</t>
        </is>
      </c>
      <c r="D344" s="0" t="inlineStr">
        <is>
          <t xml:space="preserve">small_craft</t>
        </is>
      </c>
      <c r="E344" s="0" t="inlineStr">
        <is>
          <t xml:space="preserve">SNOW &amp; COMPANY, INC.</t>
        </is>
      </c>
      <c r="F344" s="0" t="inlineStr">
        <is>
          <t xml:space="preserve">C</t>
        </is>
      </c>
      <c r="G344" s="4">
        <v>1.628496</v>
      </c>
      <c r="H344" s="0" t="inlineStr">
        <is>
          <t xml:space="preserve">2021-09-29</t>
        </is>
      </c>
      <c r="I344" s="0" t="inlineStr">
        <is>
          <t xml:space="preserve">no</t>
        </is>
      </c>
      <c r="J344" s="0" t="inlineStr">
        <is>
          <t xml:space="preserve">N0002417R2217</t>
        </is>
      </c>
      <c r="K344" s="0" t="inlineStr">
        <is>
          <t xml:space="preserve">NONE</t>
        </is>
      </c>
    </row>
    <row r="345">
      <c r="B345" s="0" t="inlineStr">
        <is>
          <t xml:space="preserve">N0002418F2218</t>
        </is>
      </c>
      <c r="C345" s="0" t="inlineStr">
        <is>
          <t xml:space="preserve">GS07F0362T</t>
        </is>
      </c>
      <c r="D345" s="0" t="inlineStr">
        <is>
          <t xml:space="preserve">small_craft</t>
        </is>
      </c>
      <c r="E345" s="0" t="inlineStr">
        <is>
          <t xml:space="preserve">GRAVOIS ALUMINUM BOATS LLC</t>
        </is>
      </c>
      <c r="F345" s="0" t="inlineStr">
        <is>
          <t xml:space="preserve">C</t>
        </is>
      </c>
      <c r="G345" s="4">
        <v>1.6273179999999998</v>
      </c>
      <c r="H345" s="0" t="inlineStr">
        <is>
          <t xml:space="preserve">2018-07-13</t>
        </is>
      </c>
      <c r="I345" s="0" t="inlineStr">
        <is>
          <t xml:space="preserve">no</t>
        </is>
      </c>
      <c r="K345" s="0" t="inlineStr">
        <is>
          <t xml:space="preserve">NONE</t>
        </is>
      </c>
    </row>
    <row r="346">
      <c r="B346" s="0" t="inlineStr">
        <is>
          <t xml:space="preserve">0003</t>
        </is>
      </c>
      <c r="C346" s="0" t="inlineStr">
        <is>
          <t xml:space="preserve">N0002414D2205</t>
        </is>
      </c>
      <c r="D346" s="0" t="inlineStr">
        <is>
          <t xml:space="preserve">small_craft</t>
        </is>
      </c>
      <c r="E346" s="0" t="inlineStr">
        <is>
          <t xml:space="preserve">SILVER SHIPS, INC</t>
        </is>
      </c>
      <c r="F346" s="0" t="inlineStr">
        <is>
          <t xml:space="preserve">C</t>
        </is>
      </c>
      <c r="G346" s="4">
        <v>1.619198</v>
      </c>
      <c r="H346" s="0" t="inlineStr">
        <is>
          <t xml:space="preserve">2015-07-16</t>
        </is>
      </c>
      <c r="I346" s="0" t="inlineStr">
        <is>
          <t xml:space="preserve">no</t>
        </is>
      </c>
      <c r="J346" s="0" t="inlineStr">
        <is>
          <t xml:space="preserve">N0002413R2205</t>
        </is>
      </c>
      <c r="K346" s="0" t="inlineStr">
        <is>
          <t xml:space="preserve">NONE</t>
        </is>
      </c>
    </row>
    <row r="347">
      <c r="B347" s="0" t="inlineStr">
        <is>
          <t xml:space="preserve">N6893624F0678</t>
        </is>
      </c>
      <c r="C347" s="0" t="inlineStr">
        <is>
          <t xml:space="preserve">GS07F224CA</t>
        </is>
      </c>
      <c r="D347" s="0" t="inlineStr">
        <is>
          <t xml:space="preserve">small_craft</t>
        </is>
      </c>
      <c r="E347" s="0" t="inlineStr">
        <is>
          <t xml:space="preserve">THE MOLDING COMPANY, INC.</t>
        </is>
      </c>
      <c r="F347" s="0" t="inlineStr">
        <is>
          <t xml:space="preserve">C</t>
        </is>
      </c>
      <c r="G347" s="4">
        <v>1.6186579399999999</v>
      </c>
      <c r="H347" s="0" t="inlineStr">
        <is>
          <t xml:space="preserve">2024-09-05</t>
        </is>
      </c>
      <c r="I347" s="0" t="inlineStr">
        <is>
          <t xml:space="preserve">no</t>
        </is>
      </c>
      <c r="K347" s="0" t="inlineStr">
        <is>
          <t xml:space="preserve">NONE</t>
        </is>
      </c>
    </row>
    <row r="348">
      <c r="B348" s="0" t="inlineStr">
        <is>
          <t xml:space="preserve">N0002415F2213</t>
        </is>
      </c>
      <c r="C348" s="0" t="inlineStr">
        <is>
          <t xml:space="preserve">GS07F0084J</t>
        </is>
      </c>
      <c r="D348" s="0" t="inlineStr">
        <is>
          <t xml:space="preserve">small_craft</t>
        </is>
      </c>
      <c r="E348" s="0" t="inlineStr">
        <is>
          <t xml:space="preserve">METAL CRAFT MARINE INCORPORATED</t>
        </is>
      </c>
      <c r="F348" s="0" t="inlineStr">
        <is>
          <t xml:space="preserve">C</t>
        </is>
      </c>
      <c r="G348" s="4">
        <v>1.59063548</v>
      </c>
      <c r="H348" s="0" t="inlineStr">
        <is>
          <t xml:space="preserve">2015-08-31</t>
        </is>
      </c>
      <c r="I348" s="0" t="inlineStr">
        <is>
          <t xml:space="preserve">no</t>
        </is>
      </c>
      <c r="K348" s="0" t="inlineStr">
        <is>
          <t xml:space="preserve">NONE</t>
        </is>
      </c>
    </row>
    <row r="349">
      <c r="B349" s="0" t="inlineStr">
        <is>
          <t xml:space="preserve">N0010425FY703</t>
        </is>
      </c>
      <c r="C349" s="0" t="inlineStr">
        <is>
          <t xml:space="preserve">N0010422GY701</t>
        </is>
      </c>
      <c r="D349" s="0" t="inlineStr">
        <is>
          <t xml:space="preserve">small_craft</t>
        </is>
      </c>
      <c r="E349" s="0" t="inlineStr">
        <is>
          <t xml:space="preserve">L3 TECHNOLOGIES, INC.</t>
        </is>
      </c>
      <c r="F349" s="0" t="inlineStr">
        <is>
          <t xml:space="preserve">C</t>
        </is>
      </c>
      <c r="G349" s="4">
        <v>1.58867505</v>
      </c>
      <c r="H349" s="0" t="inlineStr">
        <is>
          <t xml:space="preserve">2025-05-13</t>
        </is>
      </c>
      <c r="I349" s="0" t="inlineStr">
        <is>
          <t xml:space="preserve">no</t>
        </is>
      </c>
      <c r="K349" s="0" t="inlineStr">
        <is>
          <t xml:space="preserve">NONE</t>
        </is>
      </c>
    </row>
    <row r="350">
      <c r="B350" s="0" t="inlineStr">
        <is>
          <t xml:space="preserve">N3220515C4003</t>
        </is>
      </c>
      <c r="D350" s="0" t="inlineStr">
        <is>
          <t xml:space="preserve">other_small</t>
        </is>
      </c>
      <c r="E350" s="0" t="inlineStr">
        <is>
          <t xml:space="preserve">COLONNA'S SHIP YARD, INCORPORATED</t>
        </is>
      </c>
      <c r="F350" s="0" t="inlineStr">
        <is>
          <t xml:space="preserve">D</t>
        </is>
      </c>
      <c r="G350" s="4">
        <v>1.58378854</v>
      </c>
      <c r="H350" s="0" t="inlineStr">
        <is>
          <t xml:space="preserve">2015-03-09</t>
        </is>
      </c>
      <c r="I350" s="0" t="inlineStr">
        <is>
          <t xml:space="preserve">no</t>
        </is>
      </c>
      <c r="J350" s="0" t="inlineStr">
        <is>
          <t xml:space="preserve">N3220515R4003</t>
        </is>
      </c>
      <c r="K350" s="0" t="inlineStr">
        <is>
          <t xml:space="preserve">NONE</t>
        </is>
      </c>
    </row>
    <row r="351">
      <c r="B351" s="0" t="inlineStr">
        <is>
          <t xml:space="preserve">N0002424F22B2</t>
        </is>
      </c>
      <c r="C351" s="0" t="inlineStr">
        <is>
          <t xml:space="preserve">N0002421D2220</t>
        </is>
      </c>
      <c r="D351" s="0" t="inlineStr">
        <is>
          <t xml:space="preserve">small_craft</t>
        </is>
      </c>
      <c r="E351" s="0" t="inlineStr">
        <is>
          <t xml:space="preserve">UNITED STATES MARINE INC</t>
        </is>
      </c>
      <c r="F351" s="0" t="inlineStr">
        <is>
          <t xml:space="preserve">C</t>
        </is>
      </c>
      <c r="G351" s="4">
        <v>1.58280252</v>
      </c>
      <c r="H351" s="0" t="inlineStr">
        <is>
          <t xml:space="preserve">2024-09-19</t>
        </is>
      </c>
      <c r="I351" s="0" t="inlineStr">
        <is>
          <t xml:space="preserve">no</t>
        </is>
      </c>
      <c r="J351" s="0" t="inlineStr">
        <is>
          <t xml:space="preserve">N0002421R2220</t>
        </is>
      </c>
      <c r="K351" s="0" t="inlineStr">
        <is>
          <t xml:space="preserve">NONE</t>
        </is>
      </c>
    </row>
    <row r="352">
      <c r="B352" s="0" t="inlineStr">
        <is>
          <t xml:space="preserve">N0002414F2239</t>
        </is>
      </c>
      <c r="C352" s="0" t="inlineStr">
        <is>
          <t xml:space="preserve">GS07F0298V</t>
        </is>
      </c>
      <c r="D352" s="0" t="inlineStr">
        <is>
          <t xml:space="preserve">small_craft</t>
        </is>
      </c>
      <c r="E352" s="0" t="inlineStr">
        <is>
          <t xml:space="preserve">ZODIAC OF NORTH AMERICA, INC.</t>
        </is>
      </c>
      <c r="F352" s="0" t="inlineStr">
        <is>
          <t xml:space="preserve">C</t>
        </is>
      </c>
      <c r="G352" s="4">
        <v>1.5772551599999998</v>
      </c>
      <c r="H352" s="0" t="inlineStr">
        <is>
          <t xml:space="preserve">2014-09-18</t>
        </is>
      </c>
      <c r="I352" s="0" t="inlineStr">
        <is>
          <t xml:space="preserve">no</t>
        </is>
      </c>
      <c r="K352" s="0" t="inlineStr">
        <is>
          <t xml:space="preserve">NONE</t>
        </is>
      </c>
    </row>
    <row r="353">
      <c r="B353" s="0" t="inlineStr">
        <is>
          <t xml:space="preserve">N0001421C1001</t>
        </is>
      </c>
      <c r="D353" s="0" t="inlineStr">
        <is>
          <t xml:space="preserve">usv_core</t>
        </is>
      </c>
      <c r="E353" s="0" t="inlineStr">
        <is>
          <t xml:space="preserve">SIEMENS CORPORATION</t>
        </is>
      </c>
      <c r="F353" s="0" t="inlineStr">
        <is>
          <t xml:space="preserve">D</t>
        </is>
      </c>
      <c r="G353" s="4">
        <v>1.5746339999999999</v>
      </c>
      <c r="H353" s="0" t="inlineStr">
        <is>
          <t xml:space="preserve">2021-01-21</t>
        </is>
      </c>
      <c r="I353" s="0" t="inlineStr">
        <is>
          <t xml:space="preserve">no</t>
        </is>
      </c>
      <c r="J353" s="0" t="inlineStr">
        <is>
          <t xml:space="preserve">N0001420SB001</t>
        </is>
      </c>
      <c r="K353" s="0" t="inlineStr">
        <is>
          <t xml:space="preserve">NONE</t>
        </is>
      </c>
    </row>
    <row r="354">
      <c r="B354" s="0" t="inlineStr">
        <is>
          <t xml:space="preserve">0002</t>
        </is>
      </c>
      <c r="C354" s="0" t="inlineStr">
        <is>
          <t xml:space="preserve">N0002415D2214</t>
        </is>
      </c>
      <c r="D354" s="0" t="inlineStr">
        <is>
          <t xml:space="preserve">small_craft</t>
        </is>
      </c>
      <c r="E354" s="0" t="inlineStr">
        <is>
          <t xml:space="preserve">METALCRAFT MARINE US, INC.</t>
        </is>
      </c>
      <c r="F354" s="0" t="inlineStr">
        <is>
          <t xml:space="preserve">C</t>
        </is>
      </c>
      <c r="G354" s="4">
        <v>1.5413599999999998</v>
      </c>
      <c r="H354" s="0" t="inlineStr">
        <is>
          <t xml:space="preserve">2016-02-29</t>
        </is>
      </c>
      <c r="I354" s="0" t="inlineStr">
        <is>
          <t xml:space="preserve">no</t>
        </is>
      </c>
      <c r="J354" s="0" t="inlineStr">
        <is>
          <t xml:space="preserve">N0002415R2214</t>
        </is>
      </c>
      <c r="K354" s="0" t="inlineStr">
        <is>
          <t xml:space="preserve">NONE</t>
        </is>
      </c>
    </row>
    <row r="355">
      <c r="B355" s="0" t="inlineStr">
        <is>
          <t xml:space="preserve">N0016419F0049</t>
        </is>
      </c>
      <c r="C355" s="0" t="inlineStr">
        <is>
          <t xml:space="preserve">GS07F5965P</t>
        </is>
      </c>
      <c r="D355" s="0" t="inlineStr">
        <is>
          <t xml:space="preserve">small_craft</t>
        </is>
      </c>
      <c r="E355" s="0" t="inlineStr">
        <is>
          <t xml:space="preserve">ATLANTIC DIVING SUPPLY, INC.</t>
        </is>
      </c>
      <c r="F355" s="0" t="inlineStr">
        <is>
          <t xml:space="preserve">C</t>
        </is>
      </c>
      <c r="G355" s="4">
        <v>1.5244276799999998</v>
      </c>
      <c r="H355" s="0" t="inlineStr">
        <is>
          <t xml:space="preserve">2019-02-25</t>
        </is>
      </c>
      <c r="I355" s="0" t="inlineStr">
        <is>
          <t xml:space="preserve">no</t>
        </is>
      </c>
      <c r="J355" s="0" t="inlineStr">
        <is>
          <t xml:space="preserve">N0016419Q0054</t>
        </is>
      </c>
      <c r="K355" s="0" t="inlineStr">
        <is>
          <t xml:space="preserve">NONE</t>
        </is>
      </c>
    </row>
    <row r="356">
      <c r="B356" s="0" t="inlineStr">
        <is>
          <t xml:space="preserve">N0010422CNA02</t>
        </is>
      </c>
      <c r="D356" s="0" t="inlineStr">
        <is>
          <t xml:space="preserve">small_craft</t>
        </is>
      </c>
      <c r="E356" s="0" t="inlineStr">
        <is>
          <t xml:space="preserve">MOOG INC.</t>
        </is>
      </c>
      <c r="F356" s="0" t="inlineStr">
        <is>
          <t xml:space="preserve">D</t>
        </is>
      </c>
      <c r="G356" s="4">
        <v>1.5236999999999998</v>
      </c>
      <c r="H356" s="0" t="inlineStr">
        <is>
          <t xml:space="preserve">2022-06-06</t>
        </is>
      </c>
      <c r="I356" s="0" t="inlineStr">
        <is>
          <t xml:space="preserve">no</t>
        </is>
      </c>
      <c r="J356" s="0" t="inlineStr">
        <is>
          <t xml:space="preserve">N0010421RND10</t>
        </is>
      </c>
      <c r="K356" s="0" t="inlineStr">
        <is>
          <t xml:space="preserve">NONE</t>
        </is>
      </c>
    </row>
    <row r="357">
      <c r="B357" s="0" t="inlineStr">
        <is>
          <t xml:space="preserve">N0002412F2246</t>
        </is>
      </c>
      <c r="C357" s="0" t="inlineStr">
        <is>
          <t xml:space="preserve">GS07F0298V</t>
        </is>
      </c>
      <c r="D357" s="0" t="inlineStr">
        <is>
          <t xml:space="preserve">small_craft</t>
        </is>
      </c>
      <c r="E357" s="0" t="inlineStr">
        <is>
          <t xml:space="preserve">ZODIAC OF NORTH AMERICA, INC.</t>
        </is>
      </c>
      <c r="F357" s="0" t="inlineStr">
        <is>
          <t xml:space="preserve">C</t>
        </is>
      </c>
      <c r="G357" s="4">
        <v>1.50975646</v>
      </c>
      <c r="H357" s="0" t="inlineStr">
        <is>
          <t xml:space="preserve">2012-06-28</t>
        </is>
      </c>
      <c r="I357" s="0" t="inlineStr">
        <is>
          <t xml:space="preserve">no</t>
        </is>
      </c>
      <c r="K357" s="0" t="inlineStr">
        <is>
          <t xml:space="preserve">NONE</t>
        </is>
      </c>
    </row>
    <row r="358">
      <c r="B358" s="0" t="inlineStr">
        <is>
          <t xml:space="preserve">0001</t>
        </is>
      </c>
      <c r="C358" s="0" t="inlineStr">
        <is>
          <t xml:space="preserve">N0002415D2211</t>
        </is>
      </c>
      <c r="D358" s="0" t="inlineStr">
        <is>
          <t xml:space="preserve">small_craft</t>
        </is>
      </c>
      <c r="E358" s="0" t="inlineStr">
        <is>
          <t xml:space="preserve">GRAVOIS ALUMINUM BOATS LLC</t>
        </is>
      </c>
      <c r="F358" s="0" t="inlineStr">
        <is>
          <t xml:space="preserve">C</t>
        </is>
      </c>
      <c r="G358" s="4">
        <v>1.50841424</v>
      </c>
      <c r="H358" s="0" t="inlineStr">
        <is>
          <t xml:space="preserve">2015-03-23</t>
        </is>
      </c>
      <c r="I358" s="0" t="inlineStr">
        <is>
          <t xml:space="preserve">no</t>
        </is>
      </c>
      <c r="J358" s="0" t="inlineStr">
        <is>
          <t xml:space="preserve">N0002413R2211</t>
        </is>
      </c>
      <c r="K358" s="0" t="inlineStr">
        <is>
          <t xml:space="preserve">NONE</t>
        </is>
      </c>
    </row>
    <row r="359">
      <c r="B359" s="0" t="inlineStr">
        <is>
          <t xml:space="preserve">N0010421CXA09</t>
        </is>
      </c>
      <c r="D359" s="0" t="inlineStr">
        <is>
          <t xml:space="preserve">small_craft</t>
        </is>
      </c>
      <c r="E359" s="0" t="inlineStr">
        <is>
          <t xml:space="preserve">ROLLS-ROYCE MARINE NORTH AMERICA INC.</t>
        </is>
      </c>
      <c r="F359" s="0" t="inlineStr">
        <is>
          <t xml:space="preserve">D</t>
        </is>
      </c>
      <c r="G359" s="4">
        <v>1.496505</v>
      </c>
      <c r="H359" s="0" t="inlineStr">
        <is>
          <t xml:space="preserve">2021-09-17</t>
        </is>
      </c>
      <c r="I359" s="0" t="inlineStr">
        <is>
          <t xml:space="preserve">no</t>
        </is>
      </c>
      <c r="J359" s="0" t="inlineStr">
        <is>
          <t xml:space="preserve">N0010420RXB45</t>
        </is>
      </c>
      <c r="K359" s="0" t="inlineStr">
        <is>
          <t xml:space="preserve">NONE</t>
        </is>
      </c>
    </row>
    <row r="360">
      <c r="B360" s="0" t="inlineStr">
        <is>
          <t xml:space="preserve">0005</t>
        </is>
      </c>
      <c r="C360" s="0" t="inlineStr">
        <is>
          <t xml:space="preserve">N0002413D2253</t>
        </is>
      </c>
      <c r="D360" s="0" t="inlineStr">
        <is>
          <t xml:space="preserve">small_craft</t>
        </is>
      </c>
      <c r="E360" s="0" t="inlineStr">
        <is>
          <t xml:space="preserve">GRAVOIS ALUMINUM BOATS LLC</t>
        </is>
      </c>
      <c r="F360" s="0" t="inlineStr">
        <is>
          <t xml:space="preserve">C</t>
        </is>
      </c>
      <c r="G360" s="4">
        <v>1.475816</v>
      </c>
      <c r="H360" s="0" t="inlineStr">
        <is>
          <t xml:space="preserve">2015-06-12</t>
        </is>
      </c>
      <c r="I360" s="0" t="inlineStr">
        <is>
          <t xml:space="preserve">no</t>
        </is>
      </c>
      <c r="J360" s="0" t="inlineStr">
        <is>
          <t xml:space="preserve">N0002412R2253</t>
        </is>
      </c>
      <c r="K360" s="0" t="inlineStr">
        <is>
          <t xml:space="preserve">NONE</t>
        </is>
      </c>
    </row>
    <row r="361">
      <c r="B361" s="0" t="inlineStr">
        <is>
          <t xml:space="preserve">N0002417F22Q1</t>
        </is>
      </c>
      <c r="C361" s="0" t="inlineStr">
        <is>
          <t xml:space="preserve">N0002416D2211</t>
        </is>
      </c>
      <c r="D361" s="0" t="inlineStr">
        <is>
          <t xml:space="preserve">small_craft</t>
        </is>
      </c>
      <c r="E361" s="0" t="inlineStr">
        <is>
          <t xml:space="preserve">MODUTECH MARINE, INC.</t>
        </is>
      </c>
      <c r="F361" s="0" t="inlineStr">
        <is>
          <t xml:space="preserve">C</t>
        </is>
      </c>
      <c r="G361" s="4">
        <v>1.470122</v>
      </c>
      <c r="H361" s="0" t="inlineStr">
        <is>
          <t xml:space="preserve">2017-03-23</t>
        </is>
      </c>
      <c r="I361" s="0" t="inlineStr">
        <is>
          <t xml:space="preserve">no</t>
        </is>
      </c>
      <c r="J361" s="0" t="inlineStr">
        <is>
          <t xml:space="preserve">N0002416R2211</t>
        </is>
      </c>
      <c r="K361" s="0" t="inlineStr">
        <is>
          <t xml:space="preserve">NONE</t>
        </is>
      </c>
    </row>
    <row r="362">
      <c r="B362" s="0" t="inlineStr">
        <is>
          <t xml:space="preserve">N6600122F0155</t>
        </is>
      </c>
      <c r="C362" s="0" t="inlineStr">
        <is>
          <t xml:space="preserve">N6600121D3428</t>
        </is>
      </c>
      <c r="D362" s="0" t="inlineStr">
        <is>
          <t xml:space="preserve">usv_core</t>
        </is>
      </c>
      <c r="E362" s="0" t="inlineStr">
        <is>
          <t xml:space="preserve">COLSA CORP</t>
        </is>
      </c>
      <c r="F362" s="0" t="inlineStr">
        <is>
          <t xml:space="preserve">C</t>
        </is>
      </c>
      <c r="G362" s="4">
        <v>1.44998558</v>
      </c>
      <c r="H362" s="0" t="inlineStr">
        <is>
          <t xml:space="preserve">2022-06-29</t>
        </is>
      </c>
      <c r="I362" s="0" t="inlineStr">
        <is>
          <t xml:space="preserve">no</t>
        </is>
      </c>
      <c r="J362" s="0" t="inlineStr">
        <is>
          <t xml:space="preserve">N6600121R3428</t>
        </is>
      </c>
      <c r="K362" s="0" t="inlineStr">
        <is>
          <t xml:space="preserve">NONE</t>
        </is>
      </c>
    </row>
    <row r="363">
      <c r="B363" s="0" t="inlineStr">
        <is>
          <t xml:space="preserve">N0002420F22G1</t>
        </is>
      </c>
      <c r="C363" s="0" t="inlineStr">
        <is>
          <t xml:space="preserve">N0002415D2214</t>
        </is>
      </c>
      <c r="D363" s="0" t="inlineStr">
        <is>
          <t xml:space="preserve">small_craft</t>
        </is>
      </c>
      <c r="E363" s="0" t="inlineStr">
        <is>
          <t xml:space="preserve">METALCRAFT MARINE US, INC.</t>
        </is>
      </c>
      <c r="F363" s="0" t="inlineStr">
        <is>
          <t xml:space="preserve">C</t>
        </is>
      </c>
      <c r="G363" s="4">
        <v>1.4455856699999998</v>
      </c>
      <c r="H363" s="0" t="inlineStr">
        <is>
          <t xml:space="preserve">2020-01-09</t>
        </is>
      </c>
      <c r="I363" s="0" t="inlineStr">
        <is>
          <t xml:space="preserve">no</t>
        </is>
      </c>
      <c r="J363" s="0" t="inlineStr">
        <is>
          <t xml:space="preserve">N0002415R2214</t>
        </is>
      </c>
      <c r="K363" s="0" t="inlineStr">
        <is>
          <t xml:space="preserve">NONE</t>
        </is>
      </c>
    </row>
    <row r="364">
      <c r="B364" s="0" t="inlineStr">
        <is>
          <t xml:space="preserve">N0002420F22V1</t>
        </is>
      </c>
      <c r="C364" s="0" t="inlineStr">
        <is>
          <t xml:space="preserve">N0002417D2217</t>
        </is>
      </c>
      <c r="D364" s="0" t="inlineStr">
        <is>
          <t xml:space="preserve">small_craft</t>
        </is>
      </c>
      <c r="E364" s="0" t="inlineStr">
        <is>
          <t xml:space="preserve">SNOW &amp; COMPANY, INC.</t>
        </is>
      </c>
      <c r="F364" s="0" t="inlineStr">
        <is>
          <t xml:space="preserve">C</t>
        </is>
      </c>
      <c r="G364" s="4">
        <v>1.445319</v>
      </c>
      <c r="H364" s="0" t="inlineStr">
        <is>
          <t xml:space="preserve">2020-04-23</t>
        </is>
      </c>
      <c r="I364" s="0" t="inlineStr">
        <is>
          <t xml:space="preserve">no</t>
        </is>
      </c>
      <c r="J364" s="0" t="inlineStr">
        <is>
          <t xml:space="preserve">N0002417R2217</t>
        </is>
      </c>
      <c r="K364" s="0" t="inlineStr">
        <is>
          <t xml:space="preserve">NONE</t>
        </is>
      </c>
    </row>
    <row r="365">
      <c r="B365" s="0" t="inlineStr">
        <is>
          <t xml:space="preserve">N0002424F22B3</t>
        </is>
      </c>
      <c r="C365" s="0" t="inlineStr">
        <is>
          <t xml:space="preserve">N0002421D2205</t>
        </is>
      </c>
      <c r="D365" s="0" t="inlineStr">
        <is>
          <t xml:space="preserve">small_craft</t>
        </is>
      </c>
      <c r="E365" s="0" t="inlineStr">
        <is>
          <t xml:space="preserve">SILVER SHIPS, INC</t>
        </is>
      </c>
      <c r="F365" s="0" t="inlineStr">
        <is>
          <t xml:space="preserve">C</t>
        </is>
      </c>
      <c r="G365" s="4">
        <v>1.42774</v>
      </c>
      <c r="H365" s="0" t="inlineStr">
        <is>
          <t xml:space="preserve">2024-09-23</t>
        </is>
      </c>
      <c r="I365" s="0" t="inlineStr">
        <is>
          <t xml:space="preserve">no</t>
        </is>
      </c>
      <c r="J365" s="0" t="inlineStr">
        <is>
          <t xml:space="preserve">N0002421R2205</t>
        </is>
      </c>
      <c r="K365" s="0" t="inlineStr">
        <is>
          <t xml:space="preserve">NONE</t>
        </is>
      </c>
    </row>
    <row r="366">
      <c r="B366" s="0" t="inlineStr">
        <is>
          <t xml:space="preserve">0004</t>
        </is>
      </c>
      <c r="C366" s="0" t="inlineStr">
        <is>
          <t xml:space="preserve">N0017314D2017</t>
        </is>
      </c>
      <c r="D366" s="0" t="inlineStr">
        <is>
          <t xml:space="preserve">other_small</t>
        </is>
      </c>
      <c r="E366" s="0" t="inlineStr">
        <is>
          <t xml:space="preserve">OCEANEERING INTERNATIONAL INC</t>
        </is>
      </c>
      <c r="F366" s="0" t="inlineStr">
        <is>
          <t xml:space="preserve">C</t>
        </is>
      </c>
      <c r="G366" s="4">
        <v>1.425</v>
      </c>
      <c r="H366" s="0" t="inlineStr">
        <is>
          <t xml:space="preserve">2015-03-30</t>
        </is>
      </c>
      <c r="I366" s="0" t="inlineStr">
        <is>
          <t xml:space="preserve">no</t>
        </is>
      </c>
      <c r="K366" s="0" t="inlineStr">
        <is>
          <t xml:space="preserve">NONE</t>
        </is>
      </c>
    </row>
    <row r="367">
      <c r="B367" s="0" t="inlineStr">
        <is>
          <t xml:space="preserve">N0002419F22F1</t>
        </is>
      </c>
      <c r="C367" s="0" t="inlineStr">
        <is>
          <t xml:space="preserve">N0002414D2221</t>
        </is>
      </c>
      <c r="D367" s="0" t="inlineStr">
        <is>
          <t xml:space="preserve">small_craft</t>
        </is>
      </c>
      <c r="E367" s="0" t="inlineStr">
        <is>
          <t xml:space="preserve">WORKSKIFF, INC.</t>
        </is>
      </c>
      <c r="F367" s="0" t="inlineStr">
        <is>
          <t xml:space="preserve">C</t>
        </is>
      </c>
      <c r="G367" s="4">
        <v>1.41245165</v>
      </c>
      <c r="H367" s="0" t="inlineStr">
        <is>
          <t xml:space="preserve">2018-11-15</t>
        </is>
      </c>
      <c r="I367" s="0" t="inlineStr">
        <is>
          <t xml:space="preserve">no</t>
        </is>
      </c>
      <c r="J367" s="0" t="inlineStr">
        <is>
          <t xml:space="preserve">N0002414R2221</t>
        </is>
      </c>
      <c r="K367" s="0" t="inlineStr">
        <is>
          <t xml:space="preserve">NONE</t>
        </is>
      </c>
    </row>
    <row r="368">
      <c r="B368" s="0" t="inlineStr">
        <is>
          <t xml:space="preserve">N6426725P5027</t>
        </is>
      </c>
      <c r="D368" s="0" t="inlineStr">
        <is>
          <t xml:space="preserve">small_craft</t>
        </is>
      </c>
      <c r="E368" s="0" t="inlineStr">
        <is>
          <t xml:space="preserve">THE WHISKEY PROJECT GROUP USA LLC</t>
        </is>
      </c>
      <c r="F368" s="0" t="inlineStr">
        <is>
          <t xml:space="preserve">B</t>
        </is>
      </c>
      <c r="G368" s="4">
        <v>1.3968620299999999</v>
      </c>
      <c r="H368" s="0" t="inlineStr">
        <is>
          <t xml:space="preserve">2025-09-25</t>
        </is>
      </c>
      <c r="I368" s="0" t="inlineStr">
        <is>
          <t xml:space="preserve">yes</t>
        </is>
      </c>
      <c r="J368" s="0" t="inlineStr">
        <is>
          <t xml:space="preserve">N6426725Q5027</t>
        </is>
      </c>
      <c r="K368" s="0" t="inlineStr">
        <is>
          <t xml:space="preserve">NONE</t>
        </is>
      </c>
    </row>
    <row r="369">
      <c r="B369" s="0" t="inlineStr">
        <is>
          <t xml:space="preserve">NNN14R037T</t>
        </is>
      </c>
      <c r="C369" s="0" t="inlineStr">
        <is>
          <t xml:space="preserve">NNN12AA01C</t>
        </is>
      </c>
      <c r="D369" s="0" t="inlineStr">
        <is>
          <t xml:space="preserve">usv_core</t>
        </is>
      </c>
      <c r="E369" s="0" t="inlineStr">
        <is>
          <t xml:space="preserve">CALIFORNIA INSTITUTE OF TECHNOLOGY</t>
        </is>
      </c>
      <c r="F369" s="0" t="inlineStr">
        <is>
          <t xml:space="preserve">C</t>
        </is>
      </c>
      <c r="G369" s="4">
        <v>1.3967878799999998</v>
      </c>
      <c r="H369" s="0" t="inlineStr">
        <is>
          <t xml:space="preserve">2014-05-28</t>
        </is>
      </c>
      <c r="I369" s="0" t="inlineStr">
        <is>
          <t xml:space="preserve">no</t>
        </is>
      </c>
      <c r="K369" s="0" t="inlineStr">
        <is>
          <t xml:space="preserve">NONE</t>
        </is>
      </c>
    </row>
    <row r="370">
      <c r="B370" s="0" t="inlineStr">
        <is>
          <t xml:space="preserve">N0010424CZA57</t>
        </is>
      </c>
      <c r="D370" s="0" t="inlineStr">
        <is>
          <t xml:space="preserve">small_craft</t>
        </is>
      </c>
      <c r="E370" s="0" t="inlineStr">
        <is>
          <t xml:space="preserve">ART CRAFT FABRICATORS INC</t>
        </is>
      </c>
      <c r="F370" s="0" t="inlineStr">
        <is>
          <t xml:space="preserve">D</t>
        </is>
      </c>
      <c r="G370" s="4">
        <v>1.3906738</v>
      </c>
      <c r="H370" s="0" t="inlineStr">
        <is>
          <t xml:space="preserve">2024-09-24</t>
        </is>
      </c>
      <c r="I370" s="0" t="inlineStr">
        <is>
          <t xml:space="preserve">no</t>
        </is>
      </c>
      <c r="J370" s="0" t="inlineStr">
        <is>
          <t xml:space="preserve">N0010424RZB59</t>
        </is>
      </c>
      <c r="K370" s="0" t="inlineStr">
        <is>
          <t xml:space="preserve">NONE</t>
        </is>
      </c>
    </row>
    <row r="371">
      <c r="B371" s="0" t="inlineStr">
        <is>
          <t xml:space="preserve">N0002417F22F1</t>
        </is>
      </c>
      <c r="C371" s="0" t="inlineStr">
        <is>
          <t xml:space="preserve">N0002414D2221</t>
        </is>
      </c>
      <c r="D371" s="0" t="inlineStr">
        <is>
          <t xml:space="preserve">small_craft</t>
        </is>
      </c>
      <c r="E371" s="0" t="inlineStr">
        <is>
          <t xml:space="preserve">WORKSKIFF, INC.</t>
        </is>
      </c>
      <c r="F371" s="0" t="inlineStr">
        <is>
          <t xml:space="preserve">C</t>
        </is>
      </c>
      <c r="G371" s="4">
        <v>1.38954001</v>
      </c>
      <c r="H371" s="0" t="inlineStr">
        <is>
          <t xml:space="preserve">2017-05-24</t>
        </is>
      </c>
      <c r="I371" s="0" t="inlineStr">
        <is>
          <t xml:space="preserve">no</t>
        </is>
      </c>
      <c r="J371" s="0" t="inlineStr">
        <is>
          <t xml:space="preserve">N0002414R2221</t>
        </is>
      </c>
      <c r="K371" s="0" t="inlineStr">
        <is>
          <t xml:space="preserve">NONE</t>
        </is>
      </c>
    </row>
    <row r="372">
      <c r="B372" s="0" t="inlineStr">
        <is>
          <t xml:space="preserve">N0002415C2221</t>
        </is>
      </c>
      <c r="D372" s="0" t="inlineStr">
        <is>
          <t xml:space="preserve">small_craft</t>
        </is>
      </c>
      <c r="E372" s="0" t="inlineStr">
        <is>
          <t xml:space="preserve">RFD BEAUFORT INC.</t>
        </is>
      </c>
      <c r="F372" s="0" t="inlineStr">
        <is>
          <t xml:space="preserve">D</t>
        </is>
      </c>
      <c r="G372" s="4">
        <v>1.38815186</v>
      </c>
      <c r="H372" s="0" t="inlineStr">
        <is>
          <t xml:space="preserve">2015-09-22</t>
        </is>
      </c>
      <c r="I372" s="0" t="inlineStr">
        <is>
          <t xml:space="preserve">no</t>
        </is>
      </c>
      <c r="J372" s="0" t="inlineStr">
        <is>
          <t xml:space="preserve">N0002415R2221</t>
        </is>
      </c>
      <c r="K372" s="0" t="inlineStr">
        <is>
          <t xml:space="preserve">NONE</t>
        </is>
      </c>
    </row>
    <row r="373">
      <c r="B373" s="0" t="inlineStr">
        <is>
          <t xml:space="preserve">N0003922F2153</t>
        </is>
      </c>
      <c r="C373" s="0" t="inlineStr">
        <is>
          <t xml:space="preserve">N0003921D6001</t>
        </is>
      </c>
      <c r="D373" s="0" t="inlineStr">
        <is>
          <t xml:space="preserve">small_craft</t>
        </is>
      </c>
      <c r="E373" s="0" t="inlineStr">
        <is>
          <t xml:space="preserve">TELEDYNE BROWN ENGINEERING, INC.</t>
        </is>
      </c>
      <c r="F373" s="0" t="inlineStr">
        <is>
          <t xml:space="preserve">C</t>
        </is>
      </c>
      <c r="G373" s="4">
        <v>1.38604848</v>
      </c>
      <c r="H373" s="0" t="inlineStr">
        <is>
          <t xml:space="preserve">2022-08-24</t>
        </is>
      </c>
      <c r="I373" s="0" t="inlineStr">
        <is>
          <t xml:space="preserve">no</t>
        </is>
      </c>
      <c r="J373" s="0" t="inlineStr">
        <is>
          <t xml:space="preserve">N0003921R1000</t>
        </is>
      </c>
      <c r="K373" s="0" t="inlineStr">
        <is>
          <t xml:space="preserve">NONE</t>
        </is>
      </c>
    </row>
    <row r="374">
      <c r="B374" s="0" t="inlineStr">
        <is>
          <t xml:space="preserve">N0002421F22J1</t>
        </is>
      </c>
      <c r="C374" s="0" t="inlineStr">
        <is>
          <t xml:space="preserve">N0002416D2215</t>
        </is>
      </c>
      <c r="D374" s="0" t="inlineStr">
        <is>
          <t xml:space="preserve">small_craft</t>
        </is>
      </c>
      <c r="E374" s="0" t="inlineStr">
        <is>
          <t xml:space="preserve">UNITED STATES MARINE INC</t>
        </is>
      </c>
      <c r="F374" s="0" t="inlineStr">
        <is>
          <t xml:space="preserve">C</t>
        </is>
      </c>
      <c r="G374" s="4">
        <v>1.38517</v>
      </c>
      <c r="H374" s="0" t="inlineStr">
        <is>
          <t xml:space="preserve">2021-02-26</t>
        </is>
      </c>
      <c r="I374" s="0" t="inlineStr">
        <is>
          <t xml:space="preserve">no</t>
        </is>
      </c>
      <c r="J374" s="0" t="inlineStr">
        <is>
          <t xml:space="preserve">N0002416R2215</t>
        </is>
      </c>
      <c r="K374" s="0" t="inlineStr">
        <is>
          <t xml:space="preserve">NONE</t>
        </is>
      </c>
    </row>
    <row r="375">
      <c r="B375" s="0" t="inlineStr">
        <is>
          <t xml:space="preserve">N0002420F22J1</t>
        </is>
      </c>
      <c r="C375" s="0" t="inlineStr">
        <is>
          <t xml:space="preserve">N0002416D2215</t>
        </is>
      </c>
      <c r="D375" s="0" t="inlineStr">
        <is>
          <t xml:space="preserve">small_craft</t>
        </is>
      </c>
      <c r="E375" s="0" t="inlineStr">
        <is>
          <t xml:space="preserve">UNITED STATES MARINE INC</t>
        </is>
      </c>
      <c r="F375" s="0" t="inlineStr">
        <is>
          <t xml:space="preserve">C</t>
        </is>
      </c>
      <c r="G375" s="4">
        <v>1.37917387</v>
      </c>
      <c r="H375" s="0" t="inlineStr">
        <is>
          <t xml:space="preserve">2019-11-12</t>
        </is>
      </c>
      <c r="I375" s="0" t="inlineStr">
        <is>
          <t xml:space="preserve">no</t>
        </is>
      </c>
      <c r="J375" s="0" t="inlineStr">
        <is>
          <t xml:space="preserve">N0002416R2215</t>
        </is>
      </c>
      <c r="K375" s="0" t="inlineStr">
        <is>
          <t xml:space="preserve">NONE</t>
        </is>
      </c>
    </row>
    <row r="376">
      <c r="B376" s="0" t="inlineStr">
        <is>
          <t xml:space="preserve">N0002417F22G1</t>
        </is>
      </c>
      <c r="C376" s="0" t="inlineStr">
        <is>
          <t xml:space="preserve">N0002415D2214</t>
        </is>
      </c>
      <c r="D376" s="0" t="inlineStr">
        <is>
          <t xml:space="preserve">small_craft</t>
        </is>
      </c>
      <c r="E376" s="0" t="inlineStr">
        <is>
          <t xml:space="preserve">METALCRAFT MARINE US, INC.</t>
        </is>
      </c>
      <c r="F376" s="0" t="inlineStr">
        <is>
          <t xml:space="preserve">C</t>
        </is>
      </c>
      <c r="G376" s="4">
        <v>1.37892091</v>
      </c>
      <c r="H376" s="0" t="inlineStr">
        <is>
          <t xml:space="preserve">2017-03-29</t>
        </is>
      </c>
      <c r="I376" s="0" t="inlineStr">
        <is>
          <t xml:space="preserve">no</t>
        </is>
      </c>
      <c r="J376" s="0" t="inlineStr">
        <is>
          <t xml:space="preserve">N0002415R2214</t>
        </is>
      </c>
      <c r="K376" s="0" t="inlineStr">
        <is>
          <t xml:space="preserve">NONE</t>
        </is>
      </c>
    </row>
    <row r="377">
      <c r="B377" s="0" t="inlineStr">
        <is>
          <t xml:space="preserve">N0002418C2214</t>
        </is>
      </c>
      <c r="D377" s="0" t="inlineStr">
        <is>
          <t xml:space="preserve">small_craft</t>
        </is>
      </c>
      <c r="E377" s="0" t="inlineStr">
        <is>
          <t xml:space="preserve">BRUNSWICK COMMERCIAL &amp; GOVERNMENT PRODUCTS, INC.</t>
        </is>
      </c>
      <c r="F377" s="0" t="inlineStr">
        <is>
          <t xml:space="preserve">D</t>
        </is>
      </c>
      <c r="G377" s="4">
        <v>1.374626</v>
      </c>
      <c r="H377" s="0" t="inlineStr">
        <is>
          <t xml:space="preserve">2017-11-01</t>
        </is>
      </c>
      <c r="I377" s="0" t="inlineStr">
        <is>
          <t xml:space="preserve">no</t>
        </is>
      </c>
      <c r="J377" s="0" t="inlineStr">
        <is>
          <t xml:space="preserve">N0002417R2214</t>
        </is>
      </c>
      <c r="K377" s="0" t="inlineStr">
        <is>
          <t xml:space="preserve">NONE</t>
        </is>
      </c>
    </row>
    <row r="378">
      <c r="B378" s="0" t="inlineStr">
        <is>
          <t xml:space="preserve">0004</t>
        </is>
      </c>
      <c r="C378" s="0" t="inlineStr">
        <is>
          <t xml:space="preserve">N0002414D2221</t>
        </is>
      </c>
      <c r="D378" s="0" t="inlineStr">
        <is>
          <t xml:space="preserve">small_craft</t>
        </is>
      </c>
      <c r="E378" s="0" t="inlineStr">
        <is>
          <t xml:space="preserve">WORKSKIFF, INC.</t>
        </is>
      </c>
      <c r="F378" s="0" t="inlineStr">
        <is>
          <t xml:space="preserve">C</t>
        </is>
      </c>
      <c r="G378" s="4">
        <v>1.36695425</v>
      </c>
      <c r="H378" s="0" t="inlineStr">
        <is>
          <t xml:space="preserve">2016-02-23</t>
        </is>
      </c>
      <c r="I378" s="0" t="inlineStr">
        <is>
          <t xml:space="preserve">no</t>
        </is>
      </c>
      <c r="J378" s="0" t="inlineStr">
        <is>
          <t xml:space="preserve">N0002414R2221</t>
        </is>
      </c>
      <c r="K378" s="0" t="inlineStr">
        <is>
          <t xml:space="preserve">NONE</t>
        </is>
      </c>
    </row>
    <row r="379">
      <c r="B379" s="0" t="inlineStr">
        <is>
          <t xml:space="preserve">N0010421CXA10</t>
        </is>
      </c>
      <c r="D379" s="0" t="inlineStr">
        <is>
          <t xml:space="preserve">small_craft</t>
        </is>
      </c>
      <c r="E379" s="0" t="inlineStr">
        <is>
          <t xml:space="preserve">ROLLS-ROYCE MARINE NORTH AMERICA INC.</t>
        </is>
      </c>
      <c r="F379" s="0" t="inlineStr">
        <is>
          <t xml:space="preserve">D</t>
        </is>
      </c>
      <c r="G379" s="4">
        <v>1.3665419399999998</v>
      </c>
      <c r="H379" s="0" t="inlineStr">
        <is>
          <t xml:space="preserve">2021-09-17</t>
        </is>
      </c>
      <c r="I379" s="0" t="inlineStr">
        <is>
          <t xml:space="preserve">no</t>
        </is>
      </c>
      <c r="J379" s="0" t="inlineStr">
        <is>
          <t xml:space="preserve">N0010420QXB43</t>
        </is>
      </c>
      <c r="K379" s="0" t="inlineStr">
        <is>
          <t xml:space="preserve">NONE</t>
        </is>
      </c>
    </row>
    <row r="380">
      <c r="B380" s="0" t="inlineStr">
        <is>
          <t xml:space="preserve">N3220515P4285</t>
        </is>
      </c>
      <c r="D380" s="0" t="inlineStr">
        <is>
          <t xml:space="preserve">other_small</t>
        </is>
      </c>
      <c r="E380" s="0" t="inlineStr">
        <is>
          <t xml:space="preserve">APPLETON MARINE INC</t>
        </is>
      </c>
      <c r="F380" s="0" t="inlineStr">
        <is>
          <t xml:space="preserve">B</t>
        </is>
      </c>
      <c r="G380" s="4">
        <v>1.3500894499999998</v>
      </c>
      <c r="H380" s="0" t="inlineStr">
        <is>
          <t xml:space="preserve">2015-09-08</t>
        </is>
      </c>
      <c r="I380" s="0" t="inlineStr">
        <is>
          <t xml:space="preserve">no</t>
        </is>
      </c>
      <c r="J380" s="0" t="inlineStr">
        <is>
          <t xml:space="preserve">N3220515T4310</t>
        </is>
      </c>
      <c r="K380" s="0" t="inlineStr">
        <is>
          <t xml:space="preserve">NONE</t>
        </is>
      </c>
    </row>
    <row r="381">
      <c r="B381" s="0" t="inlineStr">
        <is>
          <t xml:space="preserve">N6833515C0409</t>
        </is>
      </c>
      <c r="D381" s="0" t="inlineStr">
        <is>
          <t xml:space="preserve">small_craft</t>
        </is>
      </c>
      <c r="E381" s="0" t="inlineStr">
        <is>
          <t xml:space="preserve">SAFE BOATS INTERNATIONAL LLC</t>
        </is>
      </c>
      <c r="F381" s="0" t="inlineStr">
        <is>
          <t xml:space="preserve">D</t>
        </is>
      </c>
      <c r="G381" s="4">
        <v>1.3250794199999998</v>
      </c>
      <c r="H381" s="0" t="inlineStr">
        <is>
          <t xml:space="preserve">2015-09-30</t>
        </is>
      </c>
      <c r="I381" s="0" t="inlineStr">
        <is>
          <t xml:space="preserve">no</t>
        </is>
      </c>
      <c r="J381" s="0" t="inlineStr">
        <is>
          <t xml:space="preserve">N6833515R0336</t>
        </is>
      </c>
      <c r="K381" s="0" t="inlineStr">
        <is>
          <t xml:space="preserve">NONE</t>
        </is>
      </c>
    </row>
    <row r="382">
      <c r="B382" s="0" t="inlineStr">
        <is>
          <t xml:space="preserve">0003</t>
        </is>
      </c>
      <c r="C382" s="0" t="inlineStr">
        <is>
          <t xml:space="preserve">N0002413D2202</t>
        </is>
      </c>
      <c r="D382" s="0" t="inlineStr">
        <is>
          <t xml:space="preserve">small_craft</t>
        </is>
      </c>
      <c r="E382" s="0" t="inlineStr">
        <is>
          <t xml:space="preserve">METALCRAFT MARINE US, INC.</t>
        </is>
      </c>
      <c r="F382" s="0" t="inlineStr">
        <is>
          <t xml:space="preserve">C</t>
        </is>
      </c>
      <c r="G382" s="4">
        <v>1.3058252799999999</v>
      </c>
      <c r="H382" s="0" t="inlineStr">
        <is>
          <t xml:space="preserve">2014-03-31</t>
        </is>
      </c>
      <c r="I382" s="0" t="inlineStr">
        <is>
          <t xml:space="preserve">no</t>
        </is>
      </c>
      <c r="J382" s="0" t="inlineStr">
        <is>
          <t xml:space="preserve">N0002412R2202</t>
        </is>
      </c>
      <c r="K382" s="0" t="inlineStr">
        <is>
          <t xml:space="preserve">NONE</t>
        </is>
      </c>
    </row>
    <row r="383">
      <c r="B383" s="0" t="inlineStr">
        <is>
          <t xml:space="preserve">N3220517F1033</t>
        </is>
      </c>
      <c r="C383" s="0" t="inlineStr">
        <is>
          <t xml:space="preserve">N3220517D4700</t>
        </is>
      </c>
      <c r="D383" s="0" t="inlineStr">
        <is>
          <t xml:space="preserve">other_small</t>
        </is>
      </c>
      <c r="E383" s="0" t="inlineStr">
        <is>
          <t xml:space="preserve">LAKE SHORE SYSTEMS, INC.</t>
        </is>
      </c>
      <c r="F383" s="0" t="inlineStr">
        <is>
          <t xml:space="preserve">C</t>
        </is>
      </c>
      <c r="G383" s="4">
        <v>1.29878704</v>
      </c>
      <c r="H383" s="0" t="inlineStr">
        <is>
          <t xml:space="preserve">2017-08-21</t>
        </is>
      </c>
      <c r="I383" s="0" t="inlineStr">
        <is>
          <t xml:space="preserve">no</t>
        </is>
      </c>
      <c r="K383" s="0" t="inlineStr">
        <is>
          <t xml:space="preserve">NONE</t>
        </is>
      </c>
    </row>
    <row r="384">
      <c r="B384" s="0" t="inlineStr">
        <is>
          <t xml:space="preserve">N0010420CK924</t>
        </is>
      </c>
      <c r="D384" s="0" t="inlineStr">
        <is>
          <t xml:space="preserve">other_small</t>
        </is>
      </c>
      <c r="E384" s="0" t="inlineStr">
        <is>
          <t xml:space="preserve">D3 DIVING LLC</t>
        </is>
      </c>
      <c r="F384" s="0" t="inlineStr">
        <is>
          <t xml:space="preserve">D</t>
        </is>
      </c>
      <c r="G384" s="4">
        <v>1.2928606399999998</v>
      </c>
      <c r="H384" s="0" t="inlineStr">
        <is>
          <t xml:space="preserve">2020-04-08</t>
        </is>
      </c>
      <c r="I384" s="0" t="inlineStr">
        <is>
          <t xml:space="preserve">no</t>
        </is>
      </c>
      <c r="K384" s="0" t="inlineStr">
        <is>
          <t xml:space="preserve">NONE</t>
        </is>
      </c>
    </row>
    <row r="385">
      <c r="B385" s="0" t="inlineStr">
        <is>
          <t xml:space="preserve">0006</t>
        </is>
      </c>
      <c r="C385" s="0" t="inlineStr">
        <is>
          <t xml:space="preserve">N0002414D2215</t>
        </is>
      </c>
      <c r="D385" s="0" t="inlineStr">
        <is>
          <t xml:space="preserve">small_craft</t>
        </is>
      </c>
      <c r="E385" s="0" t="inlineStr">
        <is>
          <t xml:space="preserve">SILVER SHIPS, INC</t>
        </is>
      </c>
      <c r="F385" s="0" t="inlineStr">
        <is>
          <t xml:space="preserve">C</t>
        </is>
      </c>
      <c r="G385" s="4">
        <v>1.28223107</v>
      </c>
      <c r="H385" s="0" t="inlineStr">
        <is>
          <t xml:space="preserve">2016-12-19</t>
        </is>
      </c>
      <c r="I385" s="0" t="inlineStr">
        <is>
          <t xml:space="preserve">no</t>
        </is>
      </c>
      <c r="J385" s="0" t="inlineStr">
        <is>
          <t xml:space="preserve">N0002413R2215</t>
        </is>
      </c>
      <c r="K385" s="0" t="inlineStr">
        <is>
          <t xml:space="preserve">NONE</t>
        </is>
      </c>
    </row>
    <row r="386">
      <c r="B386" s="0" t="inlineStr">
        <is>
          <t xml:space="preserve">N0010422PX019</t>
        </is>
      </c>
      <c r="D386" s="0" t="inlineStr">
        <is>
          <t xml:space="preserve">small_craft</t>
        </is>
      </c>
      <c r="E386" s="0" t="inlineStr">
        <is>
          <t xml:space="preserve">BIRD-JOHNSON PROPELLER COMPANY, LLC</t>
        </is>
      </c>
      <c r="F386" s="0" t="inlineStr">
        <is>
          <t xml:space="preserve">B</t>
        </is>
      </c>
      <c r="G386" s="4">
        <v>1.281146</v>
      </c>
      <c r="H386" s="0" t="inlineStr">
        <is>
          <t xml:space="preserve">2022-05-24</t>
        </is>
      </c>
      <c r="I386" s="0" t="inlineStr">
        <is>
          <t xml:space="preserve">no</t>
        </is>
      </c>
      <c r="J386" s="0" t="inlineStr">
        <is>
          <t xml:space="preserve">N0010421RX032</t>
        </is>
      </c>
      <c r="K386" s="0" t="inlineStr">
        <is>
          <t xml:space="preserve">NONE</t>
        </is>
      </c>
    </row>
    <row r="387">
      <c r="B387" s="0" t="inlineStr">
        <is>
          <t xml:space="preserve">N0010424CLA27</t>
        </is>
      </c>
      <c r="D387" s="0" t="inlineStr">
        <is>
          <t xml:space="preserve">small_craft</t>
        </is>
      </c>
      <c r="E387" s="0" t="inlineStr">
        <is>
          <t xml:space="preserve">CHESAPEAKE MARINE REFRIGERATION CORP</t>
        </is>
      </c>
      <c r="F387" s="0" t="inlineStr">
        <is>
          <t xml:space="preserve">D</t>
        </is>
      </c>
      <c r="G387" s="4">
        <v>1.28046</v>
      </c>
      <c r="H387" s="0" t="inlineStr">
        <is>
          <t xml:space="preserve">2024-08-30</t>
        </is>
      </c>
      <c r="I387" s="0" t="inlineStr">
        <is>
          <t xml:space="preserve">no</t>
        </is>
      </c>
      <c r="J387" s="0" t="inlineStr">
        <is>
          <t xml:space="preserve">N0010424RLC78</t>
        </is>
      </c>
      <c r="K387" s="0" t="inlineStr">
        <is>
          <t xml:space="preserve">NONE</t>
        </is>
      </c>
    </row>
    <row r="388">
      <c r="B388" s="0" t="inlineStr">
        <is>
          <t xml:space="preserve">0001</t>
        </is>
      </c>
      <c r="C388" s="0" t="inlineStr">
        <is>
          <t xml:space="preserve">N0002415D2214</t>
        </is>
      </c>
      <c r="D388" s="0" t="inlineStr">
        <is>
          <t xml:space="preserve">small_craft</t>
        </is>
      </c>
      <c r="E388" s="0" t="inlineStr">
        <is>
          <t xml:space="preserve">METALCRAFT MARINE US, INC.</t>
        </is>
      </c>
      <c r="F388" s="0" t="inlineStr">
        <is>
          <t xml:space="preserve">C</t>
        </is>
      </c>
      <c r="G388" s="4">
        <v>1.277696</v>
      </c>
      <c r="H388" s="0" t="inlineStr">
        <is>
          <t xml:space="preserve">2015-09-30</t>
        </is>
      </c>
      <c r="I388" s="0" t="inlineStr">
        <is>
          <t xml:space="preserve">no</t>
        </is>
      </c>
      <c r="J388" s="0" t="inlineStr">
        <is>
          <t xml:space="preserve">N0002415R2214</t>
        </is>
      </c>
      <c r="K388" s="0" t="inlineStr">
        <is>
          <t xml:space="preserve">NONE</t>
        </is>
      </c>
    </row>
    <row r="389">
      <c r="B389" s="0" t="inlineStr">
        <is>
          <t xml:space="preserve">N0010422CJA21</t>
        </is>
      </c>
      <c r="D389" s="0" t="inlineStr">
        <is>
          <t xml:space="preserve">small_craft</t>
        </is>
      </c>
      <c r="E389" s="0" t="inlineStr">
        <is>
          <t xml:space="preserve">GE AVIATION SYSTEMS LLC</t>
        </is>
      </c>
      <c r="F389" s="0" t="inlineStr">
        <is>
          <t xml:space="preserve">D</t>
        </is>
      </c>
      <c r="G389" s="4">
        <v>1.2633606</v>
      </c>
      <c r="H389" s="0" t="inlineStr">
        <is>
          <t xml:space="preserve">2022-09-23</t>
        </is>
      </c>
      <c r="I389" s="0" t="inlineStr">
        <is>
          <t xml:space="preserve">no</t>
        </is>
      </c>
      <c r="J389" s="0" t="inlineStr">
        <is>
          <t xml:space="preserve">N0010421RCA44</t>
        </is>
      </c>
      <c r="K389" s="0" t="inlineStr">
        <is>
          <t xml:space="preserve">NONE</t>
        </is>
      </c>
    </row>
    <row r="390">
      <c r="B390" s="0" t="inlineStr">
        <is>
          <t xml:space="preserve">N0010418CF022</t>
        </is>
      </c>
      <c r="D390" s="0" t="inlineStr">
        <is>
          <t xml:space="preserve">small_craft</t>
        </is>
      </c>
      <c r="E390" s="0" t="inlineStr">
        <is>
          <t xml:space="preserve">ERIE FORGE &amp; STEEL INC</t>
        </is>
      </c>
      <c r="F390" s="0" t="inlineStr">
        <is>
          <t xml:space="preserve">D</t>
        </is>
      </c>
      <c r="G390" s="4">
        <v>1.247832</v>
      </c>
      <c r="H390" s="0" t="inlineStr">
        <is>
          <t xml:space="preserve">2018-09-26</t>
        </is>
      </c>
      <c r="I390" s="0" t="inlineStr">
        <is>
          <t xml:space="preserve">no</t>
        </is>
      </c>
      <c r="J390" s="0" t="inlineStr">
        <is>
          <t xml:space="preserve">N0010418RF020</t>
        </is>
      </c>
      <c r="K390" s="0" t="inlineStr">
        <is>
          <t xml:space="preserve">NONE</t>
        </is>
      </c>
    </row>
    <row r="391">
      <c r="B391" s="0" t="inlineStr">
        <is>
          <t xml:space="preserve">N0010424FZL00</t>
        </is>
      </c>
      <c r="C391" s="0" t="inlineStr">
        <is>
          <t xml:space="preserve">N0010423GZL01</t>
        </is>
      </c>
      <c r="D391" s="0" t="inlineStr">
        <is>
          <t xml:space="preserve">small_craft</t>
        </is>
      </c>
      <c r="E391" s="0" t="inlineStr">
        <is>
          <t xml:space="preserve">DEFENSE MARITIME SOLUTIONS, INC.</t>
        </is>
      </c>
      <c r="F391" s="0" t="inlineStr">
        <is>
          <t xml:space="preserve">C</t>
        </is>
      </c>
      <c r="G391" s="4">
        <v>1.2122078600000001</v>
      </c>
      <c r="H391" s="0" t="inlineStr">
        <is>
          <t xml:space="preserve">2023-12-07</t>
        </is>
      </c>
      <c r="I391" s="0" t="inlineStr">
        <is>
          <t xml:space="preserve">no</t>
        </is>
      </c>
      <c r="J391" s="0" t="inlineStr">
        <is>
          <t xml:space="preserve">N0010422RZB19</t>
        </is>
      </c>
      <c r="K391" s="0" t="inlineStr">
        <is>
          <t xml:space="preserve">NONE</t>
        </is>
      </c>
    </row>
    <row r="392">
      <c r="B392" s="0" t="inlineStr">
        <is>
          <t xml:space="preserve">N0002418F22A1</t>
        </is>
      </c>
      <c r="C392" s="0" t="inlineStr">
        <is>
          <t xml:space="preserve">N0002413D2253</t>
        </is>
      </c>
      <c r="D392" s="0" t="inlineStr">
        <is>
          <t xml:space="preserve">small_craft</t>
        </is>
      </c>
      <c r="E392" s="0" t="inlineStr">
        <is>
          <t xml:space="preserve">GRAVOIS ALUMINUM BOATS LLC</t>
        </is>
      </c>
      <c r="F392" s="0" t="inlineStr">
        <is>
          <t xml:space="preserve">C</t>
        </is>
      </c>
      <c r="G392" s="4">
        <v>1.2110976599999999</v>
      </c>
      <c r="H392" s="0" t="inlineStr">
        <is>
          <t xml:space="preserve">2017-12-07</t>
        </is>
      </c>
      <c r="I392" s="0" t="inlineStr">
        <is>
          <t xml:space="preserve">no</t>
        </is>
      </c>
      <c r="J392" s="0" t="inlineStr">
        <is>
          <t xml:space="preserve">N0002412R2253</t>
        </is>
      </c>
      <c r="K392" s="0" t="inlineStr">
        <is>
          <t xml:space="preserve">NONE</t>
        </is>
      </c>
    </row>
    <row r="393">
      <c r="B393" s="0" t="inlineStr">
        <is>
          <t xml:space="preserve">N6931620F8000</t>
        </is>
      </c>
      <c r="C393" s="0" t="inlineStr">
        <is>
          <t xml:space="preserve">N0002417D2209</t>
        </is>
      </c>
      <c r="D393" s="0" t="inlineStr">
        <is>
          <t xml:space="preserve">small_craft</t>
        </is>
      </c>
      <c r="E393" s="0" t="inlineStr">
        <is>
          <t xml:space="preserve">GRAVOIS ALUMINUM BOATS LLC</t>
        </is>
      </c>
      <c r="F393" s="0" t="inlineStr">
        <is>
          <t xml:space="preserve">C</t>
        </is>
      </c>
      <c r="G393" s="4">
        <v>1.2103935</v>
      </c>
      <c r="H393" s="0" t="inlineStr">
        <is>
          <t xml:space="preserve">2020-04-14</t>
        </is>
      </c>
      <c r="I393" s="0" t="inlineStr">
        <is>
          <t xml:space="preserve">no</t>
        </is>
      </c>
      <c r="J393" s="0" t="inlineStr">
        <is>
          <t xml:space="preserve">N0002417R2209</t>
        </is>
      </c>
      <c r="K393" s="0" t="inlineStr">
        <is>
          <t xml:space="preserve">NONE</t>
        </is>
      </c>
    </row>
    <row r="394">
      <c r="B394" s="0" t="inlineStr">
        <is>
          <t xml:space="preserve">N0002418F22F1</t>
        </is>
      </c>
      <c r="C394" s="0" t="inlineStr">
        <is>
          <t xml:space="preserve">N0002414D2221</t>
        </is>
      </c>
      <c r="D394" s="0" t="inlineStr">
        <is>
          <t xml:space="preserve">small_craft</t>
        </is>
      </c>
      <c r="E394" s="0" t="inlineStr">
        <is>
          <t xml:space="preserve">WORKSKIFF, INC.</t>
        </is>
      </c>
      <c r="F394" s="0" t="inlineStr">
        <is>
          <t xml:space="preserve">C</t>
        </is>
      </c>
      <c r="G394" s="4">
        <v>1.21023021</v>
      </c>
      <c r="H394" s="0" t="inlineStr">
        <is>
          <t xml:space="preserve">2018-01-24</t>
        </is>
      </c>
      <c r="I394" s="0" t="inlineStr">
        <is>
          <t xml:space="preserve">no</t>
        </is>
      </c>
      <c r="J394" s="0" t="inlineStr">
        <is>
          <t xml:space="preserve">N0002414R2221</t>
        </is>
      </c>
      <c r="K394" s="0" t="inlineStr">
        <is>
          <t xml:space="preserve">NONE</t>
        </is>
      </c>
    </row>
    <row r="395">
      <c r="B395" s="0" t="inlineStr">
        <is>
          <t xml:space="preserve">0002</t>
        </is>
      </c>
      <c r="C395" s="0" t="inlineStr">
        <is>
          <t xml:space="preserve">N0002414D4409</t>
        </is>
      </c>
      <c r="D395" s="0" t="inlineStr">
        <is>
          <t xml:space="preserve">small_craft</t>
        </is>
      </c>
      <c r="E395" s="0" t="inlineStr">
        <is>
          <t xml:space="preserve">VIGOR KVICHAK LLC</t>
        </is>
      </c>
      <c r="F395" s="0" t="inlineStr">
        <is>
          <t xml:space="preserve">C</t>
        </is>
      </c>
      <c r="G395" s="4">
        <v>1.1773179999999999</v>
      </c>
      <c r="H395" s="0" t="inlineStr">
        <is>
          <t xml:space="preserve">2015-03-17</t>
        </is>
      </c>
      <c r="I395" s="0" t="inlineStr">
        <is>
          <t xml:space="preserve">no</t>
        </is>
      </c>
      <c r="J395" s="0" t="inlineStr">
        <is>
          <t xml:space="preserve">N0002414R2214</t>
        </is>
      </c>
      <c r="K395" s="0" t="inlineStr">
        <is>
          <t xml:space="preserve">NONE</t>
        </is>
      </c>
    </row>
    <row r="396">
      <c r="B396" s="0" t="inlineStr">
        <is>
          <t xml:space="preserve">N0016424PX007</t>
        </is>
      </c>
      <c r="D396" s="0" t="inlineStr">
        <is>
          <t xml:space="preserve">small_craft</t>
        </is>
      </c>
      <c r="E396" s="0" t="inlineStr">
        <is>
          <t xml:space="preserve">MARITIME TACTICAL SYSTEMS INC.</t>
        </is>
      </c>
      <c r="F396" s="0" t="inlineStr">
        <is>
          <t xml:space="preserve">B</t>
        </is>
      </c>
      <c r="G396" s="4">
        <v>1.1766919999999998</v>
      </c>
      <c r="H396" s="0" t="inlineStr">
        <is>
          <t xml:space="preserve">2024-06-12</t>
        </is>
      </c>
      <c r="I396" s="0" t="inlineStr">
        <is>
          <t xml:space="preserve">no</t>
        </is>
      </c>
      <c r="K396" s="0" t="inlineStr">
        <is>
          <t xml:space="preserve">NONE</t>
        </is>
      </c>
    </row>
    <row r="397">
      <c r="B397" s="0" t="inlineStr">
        <is>
          <t xml:space="preserve">N0002422F22B7</t>
        </is>
      </c>
      <c r="C397" s="0" t="inlineStr">
        <is>
          <t xml:space="preserve">N0002422D2287</t>
        </is>
      </c>
      <c r="D397" s="0" t="inlineStr">
        <is>
          <t xml:space="preserve">small_craft</t>
        </is>
      </c>
      <c r="E397" s="0" t="inlineStr">
        <is>
          <t xml:space="preserve">LAKE ASSAULT BOATS, LLC</t>
        </is>
      </c>
      <c r="F397" s="0" t="inlineStr">
        <is>
          <t xml:space="preserve">C</t>
        </is>
      </c>
      <c r="G397" s="4">
        <v>1.1743736</v>
      </c>
      <c r="H397" s="0" t="inlineStr">
        <is>
          <t xml:space="preserve">2022-08-31</t>
        </is>
      </c>
      <c r="I397" s="0" t="inlineStr">
        <is>
          <t xml:space="preserve">no</t>
        </is>
      </c>
      <c r="J397" s="0" t="inlineStr">
        <is>
          <t xml:space="preserve">N0002422R2287</t>
        </is>
      </c>
      <c r="K397" s="0" t="inlineStr">
        <is>
          <t xml:space="preserve">NONE</t>
        </is>
      </c>
    </row>
    <row r="398">
      <c r="B398" s="0" t="inlineStr">
        <is>
          <t xml:space="preserve">N0002417F22A1</t>
        </is>
      </c>
      <c r="C398" s="0" t="inlineStr">
        <is>
          <t xml:space="preserve">N0002413D2253</t>
        </is>
      </c>
      <c r="D398" s="0" t="inlineStr">
        <is>
          <t xml:space="preserve">small_craft</t>
        </is>
      </c>
      <c r="E398" s="0" t="inlineStr">
        <is>
          <t xml:space="preserve">GRAVOIS ALUMINUM BOATS LLC</t>
        </is>
      </c>
      <c r="F398" s="0" t="inlineStr">
        <is>
          <t xml:space="preserve">C</t>
        </is>
      </c>
      <c r="G398" s="4">
        <v>1.17043374</v>
      </c>
      <c r="H398" s="0" t="inlineStr">
        <is>
          <t xml:space="preserve">2017-03-21</t>
        </is>
      </c>
      <c r="I398" s="0" t="inlineStr">
        <is>
          <t xml:space="preserve">no</t>
        </is>
      </c>
      <c r="J398" s="0" t="inlineStr">
        <is>
          <t xml:space="preserve">N0002412R2253</t>
        </is>
      </c>
      <c r="K398" s="0" t="inlineStr">
        <is>
          <t xml:space="preserve">NONE</t>
        </is>
      </c>
    </row>
    <row r="399">
      <c r="B399" s="0" t="inlineStr">
        <is>
          <t xml:space="preserve">N0002420C2244</t>
        </is>
      </c>
      <c r="D399" s="0" t="inlineStr">
        <is>
          <t xml:space="preserve">other_small</t>
        </is>
      </c>
      <c r="E399" s="0" t="inlineStr">
        <is>
          <t xml:space="preserve">BMT DESIGNERS &amp; PLANNERS, INC.</t>
        </is>
      </c>
      <c r="F399" s="0" t="inlineStr">
        <is>
          <t xml:space="preserve">D</t>
        </is>
      </c>
      <c r="G399" s="4">
        <v>1.15036087</v>
      </c>
      <c r="H399" s="0" t="inlineStr">
        <is>
          <t xml:space="preserve">2020-07-02</t>
        </is>
      </c>
      <c r="I399" s="0" t="inlineStr">
        <is>
          <t xml:space="preserve">no</t>
        </is>
      </c>
      <c r="J399" s="0" t="inlineStr">
        <is>
          <t xml:space="preserve">N0002420R2244</t>
        </is>
      </c>
      <c r="K399" s="0" t="inlineStr">
        <is>
          <t xml:space="preserve">NONE</t>
        </is>
      </c>
    </row>
    <row r="400">
      <c r="B400" s="0" t="inlineStr">
        <is>
          <t xml:space="preserve">N0002417F22A3</t>
        </is>
      </c>
      <c r="C400" s="0" t="inlineStr">
        <is>
          <t xml:space="preserve">N0002413D2253</t>
        </is>
      </c>
      <c r="D400" s="0" t="inlineStr">
        <is>
          <t xml:space="preserve">small_craft</t>
        </is>
      </c>
      <c r="E400" s="0" t="inlineStr">
        <is>
          <t xml:space="preserve">GRAVOIS ALUMINUM BOATS LLC</t>
        </is>
      </c>
      <c r="F400" s="0" t="inlineStr">
        <is>
          <t xml:space="preserve">C</t>
        </is>
      </c>
      <c r="G400" s="4">
        <v>1.1493357499999999</v>
      </c>
      <c r="H400" s="0" t="inlineStr">
        <is>
          <t xml:space="preserve">2017-09-22</t>
        </is>
      </c>
      <c r="I400" s="0" t="inlineStr">
        <is>
          <t xml:space="preserve">no</t>
        </is>
      </c>
      <c r="J400" s="0" t="inlineStr">
        <is>
          <t xml:space="preserve">N0002412R2253</t>
        </is>
      </c>
      <c r="K400" s="0" t="inlineStr">
        <is>
          <t xml:space="preserve">NONE</t>
        </is>
      </c>
    </row>
    <row r="401">
      <c r="B401" s="0" t="inlineStr">
        <is>
          <t xml:space="preserve">N0002420C2247</t>
        </is>
      </c>
      <c r="D401" s="0" t="inlineStr">
        <is>
          <t xml:space="preserve">other_small</t>
        </is>
      </c>
      <c r="E401" s="0" t="inlineStr">
        <is>
          <t xml:space="preserve">THOMA-SEA MARINE CONSTRUCTORS, L.L.C.</t>
        </is>
      </c>
      <c r="F401" s="0" t="inlineStr">
        <is>
          <t xml:space="preserve">D</t>
        </is>
      </c>
      <c r="G401" s="4">
        <v>1.13075107</v>
      </c>
      <c r="H401" s="0" t="inlineStr">
        <is>
          <t xml:space="preserve">2020-07-02</t>
        </is>
      </c>
      <c r="I401" s="0" t="inlineStr">
        <is>
          <t xml:space="preserve">no</t>
        </is>
      </c>
      <c r="J401" s="0" t="inlineStr">
        <is>
          <t xml:space="preserve">N0002420R2244</t>
        </is>
      </c>
      <c r="K401" s="0" t="inlineStr">
        <is>
          <t xml:space="preserve">NONE</t>
        </is>
      </c>
    </row>
    <row r="402">
      <c r="B402" s="0" t="inlineStr">
        <is>
          <t xml:space="preserve">N6600124F1105</t>
        </is>
      </c>
      <c r="C402" s="0" t="inlineStr">
        <is>
          <t xml:space="preserve">N6600121D0061</t>
        </is>
      </c>
      <c r="D402" s="0" t="inlineStr">
        <is>
          <t xml:space="preserve">usv_core</t>
        </is>
      </c>
      <c r="E402" s="0" t="inlineStr">
        <is>
          <t xml:space="preserve">SCIENCE APPLICATIONS INTERNATIONAL CORPORATION</t>
        </is>
      </c>
      <c r="F402" s="0" t="inlineStr">
        <is>
          <t xml:space="preserve">C</t>
        </is>
      </c>
      <c r="G402" s="4">
        <v>1.12976496</v>
      </c>
      <c r="H402" s="0" t="inlineStr">
        <is>
          <t xml:space="preserve">2024-09-27</t>
        </is>
      </c>
      <c r="I402" s="0" t="inlineStr">
        <is>
          <t xml:space="preserve">no</t>
        </is>
      </c>
      <c r="J402" s="0" t="inlineStr">
        <is>
          <t xml:space="preserve">N6600120R3412</t>
        </is>
      </c>
      <c r="K402" s="0" t="inlineStr">
        <is>
          <t xml:space="preserve">NONE</t>
        </is>
      </c>
    </row>
    <row r="403">
      <c r="B403" s="0" t="inlineStr">
        <is>
          <t xml:space="preserve">N6660421FC832</t>
        </is>
      </c>
      <c r="C403" s="0" t="inlineStr">
        <is>
          <t xml:space="preserve">N6660418DC802</t>
        </is>
      </c>
      <c r="D403" s="0" t="inlineStr">
        <is>
          <t xml:space="preserve">small_craft</t>
        </is>
      </c>
      <c r="E403" s="0" t="inlineStr">
        <is>
          <t xml:space="preserve">SERCO INC</t>
        </is>
      </c>
      <c r="F403" s="0" t="inlineStr">
        <is>
          <t xml:space="preserve">C</t>
        </is>
      </c>
      <c r="G403" s="4">
        <v>1.1171891299999999</v>
      </c>
      <c r="H403" s="0" t="inlineStr">
        <is>
          <t xml:space="preserve">2020-11-30</t>
        </is>
      </c>
      <c r="I403" s="0" t="inlineStr">
        <is>
          <t xml:space="preserve">no</t>
        </is>
      </c>
      <c r="K403" s="0" t="inlineStr">
        <is>
          <t xml:space="preserve">NONE</t>
        </is>
      </c>
    </row>
    <row r="404">
      <c r="B404" s="0" t="inlineStr">
        <is>
          <t xml:space="preserve">0002</t>
        </is>
      </c>
      <c r="C404" s="0" t="inlineStr">
        <is>
          <t xml:space="preserve">N0002414D2215</t>
        </is>
      </c>
      <c r="D404" s="0" t="inlineStr">
        <is>
          <t xml:space="preserve">small_craft</t>
        </is>
      </c>
      <c r="E404" s="0" t="inlineStr">
        <is>
          <t xml:space="preserve">SILVER SHIPS, INC</t>
        </is>
      </c>
      <c r="F404" s="0" t="inlineStr">
        <is>
          <t xml:space="preserve">C</t>
        </is>
      </c>
      <c r="G404" s="4">
        <v>1.109152</v>
      </c>
      <c r="H404" s="0" t="inlineStr">
        <is>
          <t xml:space="preserve">2014-03-27</t>
        </is>
      </c>
      <c r="I404" s="0" t="inlineStr">
        <is>
          <t xml:space="preserve">no</t>
        </is>
      </c>
      <c r="J404" s="0" t="inlineStr">
        <is>
          <t xml:space="preserve">N0002413R2215</t>
        </is>
      </c>
      <c r="K404" s="0" t="inlineStr">
        <is>
          <t xml:space="preserve">NONE</t>
        </is>
      </c>
    </row>
    <row r="405">
      <c r="B405" s="0" t="inlineStr">
        <is>
          <t xml:space="preserve">N0010420CFA13</t>
        </is>
      </c>
      <c r="D405" s="0" t="inlineStr">
        <is>
          <t xml:space="preserve">small_craft</t>
        </is>
      </c>
      <c r="E405" s="0" t="inlineStr">
        <is>
          <t xml:space="preserve">U.S.A. SPARES INC.</t>
        </is>
      </c>
      <c r="F405" s="0" t="inlineStr">
        <is>
          <t xml:space="preserve">D</t>
        </is>
      </c>
      <c r="G405" s="4">
        <v>1.09995</v>
      </c>
      <c r="H405" s="0" t="inlineStr">
        <is>
          <t xml:space="preserve">2020-08-31</t>
        </is>
      </c>
      <c r="I405" s="0" t="inlineStr">
        <is>
          <t xml:space="preserve">no</t>
        </is>
      </c>
      <c r="J405" s="0" t="inlineStr">
        <is>
          <t xml:space="preserve">N0010420RFB79</t>
        </is>
      </c>
      <c r="K405" s="0" t="inlineStr">
        <is>
          <t xml:space="preserve">NONE</t>
        </is>
      </c>
    </row>
    <row r="406">
      <c r="B406" s="0" t="inlineStr">
        <is>
          <t xml:space="preserve">N0002417F22F2</t>
        </is>
      </c>
      <c r="C406" s="0" t="inlineStr">
        <is>
          <t xml:space="preserve">N0002414D2221</t>
        </is>
      </c>
      <c r="D406" s="0" t="inlineStr">
        <is>
          <t xml:space="preserve">small_craft</t>
        </is>
      </c>
      <c r="E406" s="0" t="inlineStr">
        <is>
          <t xml:space="preserve">WORKSKIFF, INC.</t>
        </is>
      </c>
      <c r="F406" s="0" t="inlineStr">
        <is>
          <t xml:space="preserve">C</t>
        </is>
      </c>
      <c r="G406" s="4">
        <v>1.09389448</v>
      </c>
      <c r="H406" s="0" t="inlineStr">
        <is>
          <t xml:space="preserve">2017-08-21</t>
        </is>
      </c>
      <c r="I406" s="0" t="inlineStr">
        <is>
          <t xml:space="preserve">no</t>
        </is>
      </c>
      <c r="J406" s="0" t="inlineStr">
        <is>
          <t xml:space="preserve">N0002414R2221</t>
        </is>
      </c>
      <c r="K406" s="0" t="inlineStr">
        <is>
          <t xml:space="preserve">NONE</t>
        </is>
      </c>
    </row>
    <row r="407">
      <c r="B407" s="0" t="inlineStr">
        <is>
          <t xml:space="preserve">N0002422F22B5</t>
        </is>
      </c>
      <c r="C407" s="0" t="inlineStr">
        <is>
          <t xml:space="preserve">N0002422D2270</t>
        </is>
      </c>
      <c r="D407" s="0" t="inlineStr">
        <is>
          <t xml:space="preserve">small_craft</t>
        </is>
      </c>
      <c r="E407" s="0" t="inlineStr">
        <is>
          <t xml:space="preserve">METALCRAFT MARINE US, INC.</t>
        </is>
      </c>
      <c r="F407" s="0" t="inlineStr">
        <is>
          <t xml:space="preserve">C</t>
        </is>
      </c>
      <c r="G407" s="4">
        <v>1.0889543899999998</v>
      </c>
      <c r="H407" s="0" t="inlineStr">
        <is>
          <t xml:space="preserve">2022-08-31</t>
        </is>
      </c>
      <c r="I407" s="0" t="inlineStr">
        <is>
          <t xml:space="preserve">no</t>
        </is>
      </c>
      <c r="J407" s="0" t="inlineStr">
        <is>
          <t xml:space="preserve">N0002422R2270</t>
        </is>
      </c>
      <c r="K407" s="0" t="inlineStr">
        <is>
          <t xml:space="preserve">NONE</t>
        </is>
      </c>
    </row>
    <row r="408">
      <c r="B408" s="0" t="inlineStr">
        <is>
          <t xml:space="preserve">N0002420P2230</t>
        </is>
      </c>
      <c r="D408" s="0" t="inlineStr">
        <is>
          <t xml:space="preserve">small_craft</t>
        </is>
      </c>
      <c r="E408" s="0" t="inlineStr">
        <is>
          <t xml:space="preserve">NW BEND BOATS, LLC</t>
        </is>
      </c>
      <c r="F408" s="0" t="inlineStr">
        <is>
          <t xml:space="preserve">B</t>
        </is>
      </c>
      <c r="G408" s="4">
        <v>1.0885091999999998</v>
      </c>
      <c r="H408" s="0" t="inlineStr">
        <is>
          <t xml:space="preserve">2020-08-12</t>
        </is>
      </c>
      <c r="I408" s="0" t="inlineStr">
        <is>
          <t xml:space="preserve">no</t>
        </is>
      </c>
      <c r="J408" s="0" t="inlineStr">
        <is>
          <t xml:space="preserve">N0002420Q2230</t>
        </is>
      </c>
      <c r="K408" s="0" t="inlineStr">
        <is>
          <t xml:space="preserve">NONE</t>
        </is>
      </c>
    </row>
    <row r="409">
      <c r="B409" s="0" t="inlineStr">
        <is>
          <t xml:space="preserve">N0010420PFC36</t>
        </is>
      </c>
      <c r="D409" s="0" t="inlineStr">
        <is>
          <t xml:space="preserve">small_craft</t>
        </is>
      </c>
      <c r="E409" s="0" t="inlineStr">
        <is>
          <t xml:space="preserve">CEPEDA ASSOCIATES, INC.</t>
        </is>
      </c>
      <c r="F409" s="0" t="inlineStr">
        <is>
          <t xml:space="preserve">B</t>
        </is>
      </c>
      <c r="G409" s="4">
        <v>1.076979</v>
      </c>
      <c r="H409" s="0" t="inlineStr">
        <is>
          <t xml:space="preserve">2020-06-11</t>
        </is>
      </c>
      <c r="I409" s="0" t="inlineStr">
        <is>
          <t xml:space="preserve">no</t>
        </is>
      </c>
      <c r="K409" s="0" t="inlineStr">
        <is>
          <t xml:space="preserve">NONE</t>
        </is>
      </c>
    </row>
    <row r="410">
      <c r="B410" s="0" t="inlineStr">
        <is>
          <t xml:space="preserve">0004</t>
        </is>
      </c>
      <c r="C410" s="0" t="inlineStr">
        <is>
          <t xml:space="preserve">N0002414D2203</t>
        </is>
      </c>
      <c r="D410" s="0" t="inlineStr">
        <is>
          <t xml:space="preserve">small_craft</t>
        </is>
      </c>
      <c r="E410" s="0" t="inlineStr">
        <is>
          <t xml:space="preserve">UNITED STATES MARINE INC</t>
        </is>
      </c>
      <c r="F410" s="0" t="inlineStr">
        <is>
          <t xml:space="preserve">C</t>
        </is>
      </c>
      <c r="G410" s="4">
        <v>1.07514179</v>
      </c>
      <c r="H410" s="0" t="inlineStr">
        <is>
          <t xml:space="preserve">2016-08-04</t>
        </is>
      </c>
      <c r="I410" s="0" t="inlineStr">
        <is>
          <t xml:space="preserve">no</t>
        </is>
      </c>
      <c r="J410" s="0" t="inlineStr">
        <is>
          <t xml:space="preserve">N0002414R2203</t>
        </is>
      </c>
      <c r="K410" s="0" t="inlineStr">
        <is>
          <t xml:space="preserve">NONE</t>
        </is>
      </c>
    </row>
    <row r="411">
      <c r="B411" s="0" t="inlineStr">
        <is>
          <t xml:space="preserve">N0002420C2254</t>
        </is>
      </c>
      <c r="D411" s="0" t="inlineStr">
        <is>
          <t xml:space="preserve">other_small</t>
        </is>
      </c>
      <c r="E411" s="0" t="inlineStr">
        <is>
          <t xml:space="preserve">BOLLINGER SHIPYARDS LOCKPORT, L.L.C.</t>
        </is>
      </c>
      <c r="F411" s="0" t="inlineStr">
        <is>
          <t xml:space="preserve">D</t>
        </is>
      </c>
      <c r="G411" s="4">
        <v>1.0647564999999999</v>
      </c>
      <c r="H411" s="0" t="inlineStr">
        <is>
          <t xml:space="preserve">2020-07-02</t>
        </is>
      </c>
      <c r="I411" s="0" t="inlineStr">
        <is>
          <t xml:space="preserve">no</t>
        </is>
      </c>
      <c r="J411" s="0" t="inlineStr">
        <is>
          <t xml:space="preserve">N0002420R2244</t>
        </is>
      </c>
      <c r="K411" s="0" t="inlineStr">
        <is>
          <t xml:space="preserve">NONE</t>
        </is>
      </c>
    </row>
    <row r="412">
      <c r="B412" s="0" t="inlineStr">
        <is>
          <t xml:space="preserve">N0010425FY702</t>
        </is>
      </c>
      <c r="C412" s="0" t="inlineStr">
        <is>
          <t xml:space="preserve">N0010422GY701</t>
        </is>
      </c>
      <c r="D412" s="0" t="inlineStr">
        <is>
          <t xml:space="preserve">small_craft</t>
        </is>
      </c>
      <c r="E412" s="0" t="inlineStr">
        <is>
          <t xml:space="preserve">L3 TECHNOLOGIES, INC.</t>
        </is>
      </c>
      <c r="F412" s="0" t="inlineStr">
        <is>
          <t xml:space="preserve">C</t>
        </is>
      </c>
      <c r="G412" s="4">
        <v>1.03182494</v>
      </c>
      <c r="H412" s="0" t="inlineStr">
        <is>
          <t xml:space="preserve">2025-04-17</t>
        </is>
      </c>
      <c r="I412" s="0" t="inlineStr">
        <is>
          <t xml:space="preserve">no</t>
        </is>
      </c>
      <c r="K412" s="0" t="inlineStr">
        <is>
          <t xml:space="preserve">NONE</t>
        </is>
      </c>
    </row>
    <row r="413">
      <c r="B413" s="0" t="inlineStr">
        <is>
          <t xml:space="preserve">M6785412C1030</t>
        </is>
      </c>
      <c r="D413" s="0" t="inlineStr">
        <is>
          <t xml:space="preserve">small_craft</t>
        </is>
      </c>
      <c r="E413" s="0" t="inlineStr">
        <is>
          <t xml:space="preserve">SAFE BOATS INTERNATIONAL LLC</t>
        </is>
      </c>
      <c r="F413" s="0" t="inlineStr">
        <is>
          <t xml:space="preserve">D</t>
        </is>
      </c>
      <c r="G413" s="4">
        <v>1.03034709</v>
      </c>
      <c r="H413" s="0" t="inlineStr">
        <is>
          <t xml:space="preserve">2012-08-21</t>
        </is>
      </c>
      <c r="I413" s="0" t="inlineStr">
        <is>
          <t xml:space="preserve">no</t>
        </is>
      </c>
      <c r="J413" s="0" t="inlineStr">
        <is>
          <t xml:space="preserve">M6785412R1030</t>
        </is>
      </c>
      <c r="K413" s="0" t="inlineStr">
        <is>
          <t xml:space="preserve">NONE</t>
        </is>
      </c>
    </row>
    <row r="414">
      <c r="B414" s="0" t="inlineStr">
        <is>
          <t xml:space="preserve">N0002421F22U1</t>
        </is>
      </c>
      <c r="C414" s="0" t="inlineStr">
        <is>
          <t xml:space="preserve">N0002414D4409</t>
        </is>
      </c>
      <c r="D414" s="0" t="inlineStr">
        <is>
          <t xml:space="preserve">small_craft</t>
        </is>
      </c>
      <c r="E414" s="0" t="inlineStr">
        <is>
          <t xml:space="preserve">VIGOR KVICHAK LLC</t>
        </is>
      </c>
      <c r="F414" s="0" t="inlineStr">
        <is>
          <t xml:space="preserve">C</t>
        </is>
      </c>
      <c r="G414" s="4">
        <v>1.01327002</v>
      </c>
      <c r="H414" s="0" t="inlineStr">
        <is>
          <t xml:space="preserve">2021-02-25</t>
        </is>
      </c>
      <c r="I414" s="0" t="inlineStr">
        <is>
          <t xml:space="preserve">no</t>
        </is>
      </c>
      <c r="J414" s="0" t="inlineStr">
        <is>
          <t xml:space="preserve">N0002414R2214</t>
        </is>
      </c>
      <c r="K414" s="0" t="inlineStr">
        <is>
          <t xml:space="preserve">NONE</t>
        </is>
      </c>
    </row>
    <row r="415">
      <c r="B415" s="0" t="inlineStr">
        <is>
          <t xml:space="preserve">N0002417F22A2</t>
        </is>
      </c>
      <c r="C415" s="0" t="inlineStr">
        <is>
          <t xml:space="preserve">N0002413D2253</t>
        </is>
      </c>
      <c r="D415" s="0" t="inlineStr">
        <is>
          <t xml:space="preserve">small_craft</t>
        </is>
      </c>
      <c r="E415" s="0" t="inlineStr">
        <is>
          <t xml:space="preserve">GRAVOIS ALUMINUM BOATS LLC</t>
        </is>
      </c>
      <c r="F415" s="0" t="inlineStr">
        <is>
          <t xml:space="preserve">C</t>
        </is>
      </c>
      <c r="G415" s="4">
        <v>1.00711152</v>
      </c>
      <c r="H415" s="0" t="inlineStr">
        <is>
          <t xml:space="preserve">2017-08-15</t>
        </is>
      </c>
      <c r="I415" s="0" t="inlineStr">
        <is>
          <t xml:space="preserve">no</t>
        </is>
      </c>
      <c r="J415" s="0" t="inlineStr">
        <is>
          <t xml:space="preserve">N0002412R2253</t>
        </is>
      </c>
      <c r="K415" s="0" t="inlineStr">
        <is>
          <t xml:space="preserve">NONE</t>
        </is>
      </c>
    </row>
    <row r="416">
      <c r="B416" s="0" t="inlineStr">
        <is>
          <t xml:space="preserve">N0001425C1319</t>
        </is>
      </c>
      <c r="D416" s="0" t="inlineStr">
        <is>
          <t xml:space="preserve">usv_core</t>
        </is>
      </c>
      <c r="E416" s="0" t="inlineStr">
        <is>
          <t xml:space="preserve">SCIENTIFIC SYSTEMS COMPANY, INC.</t>
        </is>
      </c>
      <c r="F416" s="0" t="inlineStr">
        <is>
          <t xml:space="preserve">D</t>
        </is>
      </c>
      <c r="G416" s="4">
        <v>0.9998199999999999</v>
      </c>
      <c r="H416" s="0" t="inlineStr">
        <is>
          <t xml:space="preserve">2025-06-30</t>
        </is>
      </c>
      <c r="I416" s="0" t="inlineStr">
        <is>
          <t xml:space="preserve">yes</t>
        </is>
      </c>
      <c r="K416" s="0" t="inlineStr">
        <is>
          <t xml:space="preserve">NONE</t>
        </is>
      </c>
    </row>
    <row r="417">
      <c r="B417" s="0" t="inlineStr">
        <is>
          <t xml:space="preserve">N0003923F1033</t>
        </is>
      </c>
      <c r="C417" s="0" t="inlineStr">
        <is>
          <t xml:space="preserve">N0003921D6001</t>
        </is>
      </c>
      <c r="D417" s="0" t="inlineStr">
        <is>
          <t xml:space="preserve">small_craft</t>
        </is>
      </c>
      <c r="E417" s="0" t="inlineStr">
        <is>
          <t xml:space="preserve">TELEDYNE BROWN ENGINEERING, INC.</t>
        </is>
      </c>
      <c r="F417" s="0" t="inlineStr">
        <is>
          <t xml:space="preserve">C</t>
        </is>
      </c>
      <c r="G417" s="4">
        <v>0.9991458499999999</v>
      </c>
      <c r="H417" s="0" t="inlineStr">
        <is>
          <t xml:space="preserve">2023-06-26</t>
        </is>
      </c>
      <c r="I417" s="0" t="inlineStr">
        <is>
          <t xml:space="preserve">no</t>
        </is>
      </c>
      <c r="J417" s="0" t="inlineStr">
        <is>
          <t xml:space="preserve">N0003921R1000</t>
        </is>
      </c>
      <c r="K417" s="0" t="inlineStr">
        <is>
          <t xml:space="preserve">NONE</t>
        </is>
      </c>
    </row>
    <row r="418">
      <c r="B418" s="0" t="inlineStr">
        <is>
          <t xml:space="preserve">N0002420F22U1</t>
        </is>
      </c>
      <c r="C418" s="0" t="inlineStr">
        <is>
          <t xml:space="preserve">N0002414D4409</t>
        </is>
      </c>
      <c r="D418" s="0" t="inlineStr">
        <is>
          <t xml:space="preserve">small_craft</t>
        </is>
      </c>
      <c r="E418" s="0" t="inlineStr">
        <is>
          <t xml:space="preserve">VIGOR KVICHAK LLC</t>
        </is>
      </c>
      <c r="F418" s="0" t="inlineStr">
        <is>
          <t xml:space="preserve">C</t>
        </is>
      </c>
      <c r="G418" s="4">
        <v>0.9883933</v>
      </c>
      <c r="H418" s="0" t="inlineStr">
        <is>
          <t xml:space="preserve">2020-06-11</t>
        </is>
      </c>
      <c r="I418" s="0" t="inlineStr">
        <is>
          <t xml:space="preserve">no</t>
        </is>
      </c>
      <c r="J418" s="0" t="inlineStr">
        <is>
          <t xml:space="preserve">N0002414R2214</t>
        </is>
      </c>
      <c r="K418" s="0" t="inlineStr">
        <is>
          <t xml:space="preserve">NONE</t>
        </is>
      </c>
    </row>
    <row r="419">
      <c r="B419" s="0" t="inlineStr">
        <is>
          <t xml:space="preserve">N0002421F22J2</t>
        </is>
      </c>
      <c r="C419" s="0" t="inlineStr">
        <is>
          <t xml:space="preserve">N0002416D2215</t>
        </is>
      </c>
      <c r="D419" s="0" t="inlineStr">
        <is>
          <t xml:space="preserve">small_craft</t>
        </is>
      </c>
      <c r="E419" s="0" t="inlineStr">
        <is>
          <t xml:space="preserve">UNITED STATES MARINE INC</t>
        </is>
      </c>
      <c r="F419" s="0" t="inlineStr">
        <is>
          <t xml:space="preserve">C</t>
        </is>
      </c>
      <c r="G419" s="4">
        <v>0.9875319599999999</v>
      </c>
      <c r="H419" s="0" t="inlineStr">
        <is>
          <t xml:space="preserve">2021-02-26</t>
        </is>
      </c>
      <c r="I419" s="0" t="inlineStr">
        <is>
          <t xml:space="preserve">no</t>
        </is>
      </c>
      <c r="J419" s="0" t="inlineStr">
        <is>
          <t xml:space="preserve">N0002416R2215</t>
        </is>
      </c>
      <c r="K419" s="0" t="inlineStr">
        <is>
          <t xml:space="preserve">NONE</t>
        </is>
      </c>
    </row>
    <row r="420">
      <c r="B420" s="0" t="inlineStr">
        <is>
          <t xml:space="preserve">M6785424C6523</t>
        </is>
      </c>
      <c r="D420" s="0" t="inlineStr">
        <is>
          <t xml:space="preserve">usv_core</t>
        </is>
      </c>
      <c r="E420" s="0" t="inlineStr">
        <is>
          <t xml:space="preserve">TREX ENTERPRISES CORPORATION</t>
        </is>
      </c>
      <c r="F420" s="0" t="inlineStr">
        <is>
          <t xml:space="preserve">D</t>
        </is>
      </c>
      <c r="G420" s="4">
        <v>0.981143</v>
      </c>
      <c r="H420" s="0" t="inlineStr">
        <is>
          <t xml:space="preserve">2024-07-18</t>
        </is>
      </c>
      <c r="I420" s="0" t="inlineStr">
        <is>
          <t xml:space="preserve">no</t>
        </is>
      </c>
      <c r="K420" s="0" t="inlineStr">
        <is>
          <t xml:space="preserve">NONE</t>
        </is>
      </c>
    </row>
    <row r="421">
      <c r="B421" s="0" t="inlineStr">
        <is>
          <t xml:space="preserve">N0002420C2243</t>
        </is>
      </c>
      <c r="D421" s="0" t="inlineStr">
        <is>
          <t xml:space="preserve">other_small</t>
        </is>
      </c>
      <c r="E421" s="0" t="inlineStr">
        <is>
          <t xml:space="preserve">BOLLINGER MISSISSIPPI SHIPBUILDING, LLC</t>
        </is>
      </c>
      <c r="F421" s="0" t="inlineStr">
        <is>
          <t xml:space="preserve">D</t>
        </is>
      </c>
      <c r="G421" s="4">
        <v>0.981</v>
      </c>
      <c r="H421" s="0" t="inlineStr">
        <is>
          <t xml:space="preserve">2020-07-02</t>
        </is>
      </c>
      <c r="I421" s="0" t="inlineStr">
        <is>
          <t xml:space="preserve">no</t>
        </is>
      </c>
      <c r="J421" s="0" t="inlineStr">
        <is>
          <t xml:space="preserve">N0002420R2244</t>
        </is>
      </c>
      <c r="K421" s="0" t="inlineStr">
        <is>
          <t xml:space="preserve">NONE</t>
        </is>
      </c>
    </row>
    <row r="422">
      <c r="B422" s="0" t="inlineStr">
        <is>
          <t xml:space="preserve">N6600124F0702</t>
        </is>
      </c>
      <c r="C422" s="0" t="inlineStr">
        <is>
          <t xml:space="preserve">N6600121D3428</t>
        </is>
      </c>
      <c r="D422" s="0" t="inlineStr">
        <is>
          <t xml:space="preserve">usv_core</t>
        </is>
      </c>
      <c r="E422" s="0" t="inlineStr">
        <is>
          <t xml:space="preserve">COLSA CORP</t>
        </is>
      </c>
      <c r="F422" s="0" t="inlineStr">
        <is>
          <t xml:space="preserve">C</t>
        </is>
      </c>
      <c r="G422" s="4">
        <v>0.97999761</v>
      </c>
      <c r="H422" s="0" t="inlineStr">
        <is>
          <t xml:space="preserve">2024-07-17</t>
        </is>
      </c>
      <c r="I422" s="0" t="inlineStr">
        <is>
          <t xml:space="preserve">no</t>
        </is>
      </c>
      <c r="J422" s="0" t="inlineStr">
        <is>
          <t xml:space="preserve">N6600121R3428</t>
        </is>
      </c>
      <c r="K422" s="0" t="inlineStr">
        <is>
          <t xml:space="preserve">NONE</t>
        </is>
      </c>
    </row>
    <row r="423">
      <c r="B423" s="0" t="inlineStr">
        <is>
          <t xml:space="preserve">N0010424FZL01</t>
        </is>
      </c>
      <c r="C423" s="0" t="inlineStr">
        <is>
          <t xml:space="preserve">N0010423GZL01</t>
        </is>
      </c>
      <c r="D423" s="0" t="inlineStr">
        <is>
          <t xml:space="preserve">small_craft</t>
        </is>
      </c>
      <c r="E423" s="0" t="inlineStr">
        <is>
          <t xml:space="preserve">DEFENSE MARITIME SOLUTIONS, INC.</t>
        </is>
      </c>
      <c r="F423" s="0" t="inlineStr">
        <is>
          <t xml:space="preserve">C</t>
        </is>
      </c>
      <c r="G423" s="4">
        <v>0.9719334399999999</v>
      </c>
      <c r="H423" s="0" t="inlineStr">
        <is>
          <t xml:space="preserve">2024-04-08</t>
        </is>
      </c>
      <c r="I423" s="0" t="inlineStr">
        <is>
          <t xml:space="preserve">no</t>
        </is>
      </c>
      <c r="J423" s="0" t="inlineStr">
        <is>
          <t xml:space="preserve">N0010424RZA53</t>
        </is>
      </c>
      <c r="K423" s="0" t="inlineStr">
        <is>
          <t xml:space="preserve">NONE</t>
        </is>
      </c>
    </row>
    <row r="424">
      <c r="B424" s="0" t="inlineStr">
        <is>
          <t xml:space="preserve">N0003925F1002</t>
        </is>
      </c>
      <c r="C424" s="0" t="inlineStr">
        <is>
          <t xml:space="preserve">N0003921D6001</t>
        </is>
      </c>
      <c r="D424" s="0" t="inlineStr">
        <is>
          <t xml:space="preserve">small_craft</t>
        </is>
      </c>
      <c r="E424" s="0" t="inlineStr">
        <is>
          <t xml:space="preserve">TELEDYNE BROWN ENGINEERING, INC.</t>
        </is>
      </c>
      <c r="F424" s="0" t="inlineStr">
        <is>
          <t xml:space="preserve">C</t>
        </is>
      </c>
      <c r="G424" s="4">
        <v>0.95963152</v>
      </c>
      <c r="H424" s="0" t="inlineStr">
        <is>
          <t xml:space="preserve">2024-11-12</t>
        </is>
      </c>
      <c r="I424" s="0" t="inlineStr">
        <is>
          <t xml:space="preserve">no</t>
        </is>
      </c>
      <c r="J424" s="0" t="inlineStr">
        <is>
          <t xml:space="preserve">N0003921R1000</t>
        </is>
      </c>
      <c r="K424" s="0" t="inlineStr">
        <is>
          <t xml:space="preserve">NONE</t>
        </is>
      </c>
    </row>
    <row r="425">
      <c r="B425" s="0" t="inlineStr">
        <is>
          <t xml:space="preserve">N0002423F23A1</t>
        </is>
      </c>
      <c r="C425" s="0" t="inlineStr">
        <is>
          <t xml:space="preserve">N0002422D2287</t>
        </is>
      </c>
      <c r="D425" s="0" t="inlineStr">
        <is>
          <t xml:space="preserve">small_craft</t>
        </is>
      </c>
      <c r="E425" s="0" t="inlineStr">
        <is>
          <t xml:space="preserve">LAKE ASSAULT BOATS, LLC</t>
        </is>
      </c>
      <c r="F425" s="0" t="inlineStr">
        <is>
          <t xml:space="preserve">C</t>
        </is>
      </c>
      <c r="G425" s="4">
        <v>0.9573295999999999</v>
      </c>
      <c r="H425" s="0" t="inlineStr">
        <is>
          <t xml:space="preserve">2023-01-25</t>
        </is>
      </c>
      <c r="I425" s="0" t="inlineStr">
        <is>
          <t xml:space="preserve">no</t>
        </is>
      </c>
      <c r="J425" s="0" t="inlineStr">
        <is>
          <t xml:space="preserve">N0002422R2287</t>
        </is>
      </c>
      <c r="K425" s="0" t="inlineStr">
        <is>
          <t xml:space="preserve">NONE</t>
        </is>
      </c>
    </row>
    <row r="426">
      <c r="B426" s="0" t="inlineStr">
        <is>
          <t xml:space="preserve">N0016424PX002</t>
        </is>
      </c>
      <c r="D426" s="0" t="inlineStr">
        <is>
          <t xml:space="preserve">small_craft</t>
        </is>
      </c>
      <c r="E426" s="0" t="inlineStr">
        <is>
          <t xml:space="preserve">SWIFTSHIPS, LLC</t>
        </is>
      </c>
      <c r="F426" s="0" t="inlineStr">
        <is>
          <t xml:space="preserve">B</t>
        </is>
      </c>
      <c r="G426" s="4">
        <v>0.9533050999999999</v>
      </c>
      <c r="H426" s="0" t="inlineStr">
        <is>
          <t xml:space="preserve">2024-02-25</t>
        </is>
      </c>
      <c r="I426" s="0" t="inlineStr">
        <is>
          <t xml:space="preserve">no</t>
        </is>
      </c>
      <c r="K426" s="0" t="inlineStr">
        <is>
          <t xml:space="preserve">NONE</t>
        </is>
      </c>
    </row>
    <row r="427">
      <c r="B427" s="0" t="inlineStr">
        <is>
          <t xml:space="preserve">N0002424F22B4</t>
        </is>
      </c>
      <c r="C427" s="0" t="inlineStr">
        <is>
          <t xml:space="preserve">N0002420D2210</t>
        </is>
      </c>
      <c r="D427" s="0" t="inlineStr">
        <is>
          <t xml:space="preserve">small_craft</t>
        </is>
      </c>
      <c r="E427" s="0" t="inlineStr">
        <is>
          <t xml:space="preserve">RIBCRAFT USA, LLC</t>
        </is>
      </c>
      <c r="F427" s="0" t="inlineStr">
        <is>
          <t xml:space="preserve">C</t>
        </is>
      </c>
      <c r="G427" s="4">
        <v>0.94121816</v>
      </c>
      <c r="H427" s="0" t="inlineStr">
        <is>
          <t xml:space="preserve">2024-09-19</t>
        </is>
      </c>
      <c r="I427" s="0" t="inlineStr">
        <is>
          <t xml:space="preserve">no</t>
        </is>
      </c>
      <c r="J427" s="0" t="inlineStr">
        <is>
          <t xml:space="preserve">N0002420R2210</t>
        </is>
      </c>
      <c r="K427" s="0" t="inlineStr">
        <is>
          <t xml:space="preserve">NONE</t>
        </is>
      </c>
    </row>
    <row r="428">
      <c r="B428" s="0" t="inlineStr">
        <is>
          <t xml:space="preserve">HQ072719F1638</t>
        </is>
      </c>
      <c r="C428" s="0" t="inlineStr">
        <is>
          <t xml:space="preserve">HQ072716D0006</t>
        </is>
      </c>
      <c r="D428" s="0" t="inlineStr">
        <is>
          <t xml:space="preserve">usv_core</t>
        </is>
      </c>
      <c r="E428" s="0" t="inlineStr">
        <is>
          <t xml:space="preserve">RAYTHEON COMPANY</t>
        </is>
      </c>
      <c r="F428" s="0" t="inlineStr">
        <is>
          <t xml:space="preserve">C</t>
        </is>
      </c>
      <c r="G428" s="4">
        <v>0.9387089799999999</v>
      </c>
      <c r="H428" s="0" t="inlineStr">
        <is>
          <t xml:space="preserve">2019-09-24</t>
        </is>
      </c>
      <c r="I428" s="0" t="inlineStr">
        <is>
          <t xml:space="preserve">no</t>
        </is>
      </c>
      <c r="J428" s="0" t="inlineStr">
        <is>
          <t xml:space="preserve">HQ072715R0001</t>
        </is>
      </c>
      <c r="K428" s="0" t="inlineStr">
        <is>
          <t xml:space="preserve">NONE</t>
        </is>
      </c>
    </row>
    <row r="429">
      <c r="B429" s="0" t="inlineStr">
        <is>
          <t xml:space="preserve">N0002424F22B6</t>
        </is>
      </c>
      <c r="C429" s="0" t="inlineStr">
        <is>
          <t xml:space="preserve">N0002422D2270</t>
        </is>
      </c>
      <c r="D429" s="0" t="inlineStr">
        <is>
          <t xml:space="preserve">small_craft</t>
        </is>
      </c>
      <c r="E429" s="0" t="inlineStr">
        <is>
          <t xml:space="preserve">METALCRAFT MARINE US, INC.</t>
        </is>
      </c>
      <c r="F429" s="0" t="inlineStr">
        <is>
          <t xml:space="preserve">C</t>
        </is>
      </c>
      <c r="G429" s="4">
        <v>0.9345024599999999</v>
      </c>
      <c r="H429" s="0" t="inlineStr">
        <is>
          <t xml:space="preserve">2024-09-04</t>
        </is>
      </c>
      <c r="I429" s="0" t="inlineStr">
        <is>
          <t xml:space="preserve">no</t>
        </is>
      </c>
      <c r="J429" s="0" t="inlineStr">
        <is>
          <t xml:space="preserve">N0002422R2270</t>
        </is>
      </c>
      <c r="K429" s="0" t="inlineStr">
        <is>
          <t xml:space="preserve">NONE</t>
        </is>
      </c>
    </row>
    <row r="430">
      <c r="B430" s="0" t="inlineStr">
        <is>
          <t xml:space="preserve">N6600123F0949</t>
        </is>
      </c>
      <c r="C430" s="0" t="inlineStr">
        <is>
          <t xml:space="preserve">N6600118D0345</t>
        </is>
      </c>
      <c r="D430" s="0" t="inlineStr">
        <is>
          <t xml:space="preserve">usv_core</t>
        </is>
      </c>
      <c r="E430" s="0" t="inlineStr">
        <is>
          <t xml:space="preserve">COHERENT TECHNICAL SERVICES, INC.</t>
        </is>
      </c>
      <c r="F430" s="0" t="inlineStr">
        <is>
          <t xml:space="preserve">C</t>
        </is>
      </c>
      <c r="G430" s="4">
        <v>0.9335469499999999</v>
      </c>
      <c r="H430" s="0" t="inlineStr">
        <is>
          <t xml:space="preserve">2023-08-17</t>
        </is>
      </c>
      <c r="I430" s="0" t="inlineStr">
        <is>
          <t xml:space="preserve">no</t>
        </is>
      </c>
      <c r="J430" s="0" t="inlineStr">
        <is>
          <t xml:space="preserve">N6600117R0067</t>
        </is>
      </c>
      <c r="K430" s="0" t="inlineStr">
        <is>
          <t xml:space="preserve">NONE</t>
        </is>
      </c>
    </row>
    <row r="431">
      <c r="B431" s="0" t="inlineStr">
        <is>
          <t xml:space="preserve">N0002422F22B4</t>
        </is>
      </c>
      <c r="C431" s="0" t="inlineStr">
        <is>
          <t xml:space="preserve">N0002419D2220</t>
        </is>
      </c>
      <c r="D431" s="0" t="inlineStr">
        <is>
          <t xml:space="preserve">small_craft</t>
        </is>
      </c>
      <c r="E431" s="0" t="inlineStr">
        <is>
          <t xml:space="preserve">RIBCRAFT USA, LLC</t>
        </is>
      </c>
      <c r="F431" s="0" t="inlineStr">
        <is>
          <t xml:space="preserve">C</t>
        </is>
      </c>
      <c r="G431" s="4">
        <v>0.9333298</v>
      </c>
      <c r="H431" s="0" t="inlineStr">
        <is>
          <t xml:space="preserve">2022-08-04</t>
        </is>
      </c>
      <c r="I431" s="0" t="inlineStr">
        <is>
          <t xml:space="preserve">no</t>
        </is>
      </c>
      <c r="J431" s="0" t="inlineStr">
        <is>
          <t xml:space="preserve">N0002418R2220</t>
        </is>
      </c>
      <c r="K431" s="0" t="inlineStr">
        <is>
          <t xml:space="preserve">NONE</t>
        </is>
      </c>
    </row>
    <row r="432">
      <c r="B432" s="0" t="inlineStr">
        <is>
          <t xml:space="preserve">N0002422F22B3</t>
        </is>
      </c>
      <c r="C432" s="0" t="inlineStr">
        <is>
          <t xml:space="preserve">N0002419D2220</t>
        </is>
      </c>
      <c r="D432" s="0" t="inlineStr">
        <is>
          <t xml:space="preserve">small_craft</t>
        </is>
      </c>
      <c r="E432" s="0" t="inlineStr">
        <is>
          <t xml:space="preserve">RIBCRAFT USA, LLC</t>
        </is>
      </c>
      <c r="F432" s="0" t="inlineStr">
        <is>
          <t xml:space="preserve">C</t>
        </is>
      </c>
      <c r="G432" s="4">
        <v>0.9333298</v>
      </c>
      <c r="H432" s="0" t="inlineStr">
        <is>
          <t xml:space="preserve">2022-08-04</t>
        </is>
      </c>
      <c r="I432" s="0" t="inlineStr">
        <is>
          <t xml:space="preserve">no</t>
        </is>
      </c>
      <c r="J432" s="0" t="inlineStr">
        <is>
          <t xml:space="preserve">N0002418R2220</t>
        </is>
      </c>
      <c r="K432" s="0" t="inlineStr">
        <is>
          <t xml:space="preserve">NONE</t>
        </is>
      </c>
    </row>
    <row r="433">
      <c r="B433" s="0" t="inlineStr">
        <is>
          <t xml:space="preserve">N0010422FY702</t>
        </is>
      </c>
      <c r="C433" s="0" t="inlineStr">
        <is>
          <t xml:space="preserve">N0010422GY701</t>
        </is>
      </c>
      <c r="D433" s="0" t="inlineStr">
        <is>
          <t xml:space="preserve">small_craft</t>
        </is>
      </c>
      <c r="E433" s="0" t="inlineStr">
        <is>
          <t xml:space="preserve">L3 TECHNOLOGIES, INC.</t>
        </is>
      </c>
      <c r="F433" s="0" t="inlineStr">
        <is>
          <t xml:space="preserve">C</t>
        </is>
      </c>
      <c r="G433" s="4">
        <v>0.93162525</v>
      </c>
      <c r="H433" s="0" t="inlineStr">
        <is>
          <t xml:space="preserve">2022-07-29</t>
        </is>
      </c>
      <c r="I433" s="0" t="inlineStr">
        <is>
          <t xml:space="preserve">no</t>
        </is>
      </c>
      <c r="J433" s="0" t="inlineStr">
        <is>
          <t xml:space="preserve">N0010420QNB02</t>
        </is>
      </c>
      <c r="K433" s="0" t="inlineStr">
        <is>
          <t xml:space="preserve">NONE</t>
        </is>
      </c>
    </row>
    <row r="434">
      <c r="B434" s="0" t="inlineStr">
        <is>
          <t xml:space="preserve">N0010424FZL04</t>
        </is>
      </c>
      <c r="C434" s="0" t="inlineStr">
        <is>
          <t xml:space="preserve">N0010423GZL01</t>
        </is>
      </c>
      <c r="D434" s="0" t="inlineStr">
        <is>
          <t xml:space="preserve">small_craft</t>
        </is>
      </c>
      <c r="E434" s="0" t="inlineStr">
        <is>
          <t xml:space="preserve">DEFENSE MARITIME SOLUTIONS, INC.</t>
        </is>
      </c>
      <c r="F434" s="0" t="inlineStr">
        <is>
          <t xml:space="preserve">C</t>
        </is>
      </c>
      <c r="G434" s="4">
        <v>0.921512</v>
      </c>
      <c r="H434" s="0" t="inlineStr">
        <is>
          <t xml:space="preserve">2024-09-10</t>
        </is>
      </c>
      <c r="I434" s="0" t="inlineStr">
        <is>
          <t xml:space="preserve">no</t>
        </is>
      </c>
      <c r="K434" s="0" t="inlineStr">
        <is>
          <t xml:space="preserve">NONE</t>
        </is>
      </c>
    </row>
    <row r="435">
      <c r="B435" s="0" t="inlineStr">
        <is>
          <t xml:space="preserve">N0002423F23A4</t>
        </is>
      </c>
      <c r="C435" s="0" t="inlineStr">
        <is>
          <t xml:space="preserve">N0002420D2210</t>
        </is>
      </c>
      <c r="D435" s="0" t="inlineStr">
        <is>
          <t xml:space="preserve">small_craft</t>
        </is>
      </c>
      <c r="E435" s="0" t="inlineStr">
        <is>
          <t xml:space="preserve">RIBCRAFT USA, LLC</t>
        </is>
      </c>
      <c r="F435" s="0" t="inlineStr">
        <is>
          <t xml:space="preserve">C</t>
        </is>
      </c>
      <c r="G435" s="4">
        <v>0.89113857</v>
      </c>
      <c r="H435" s="0" t="inlineStr">
        <is>
          <t xml:space="preserve">2023-07-10</t>
        </is>
      </c>
      <c r="I435" s="0" t="inlineStr">
        <is>
          <t xml:space="preserve">no</t>
        </is>
      </c>
      <c r="J435" s="0" t="inlineStr">
        <is>
          <t xml:space="preserve">N0002420R2210</t>
        </is>
      </c>
      <c r="K435" s="0" t="inlineStr">
        <is>
          <t xml:space="preserve">NONE</t>
        </is>
      </c>
    </row>
    <row r="436">
      <c r="B436" s="0" t="inlineStr">
        <is>
          <t xml:space="preserve">0005</t>
        </is>
      </c>
      <c r="C436" s="0" t="inlineStr">
        <is>
          <t xml:space="preserve">N0002414D2215</t>
        </is>
      </c>
      <c r="D436" s="0" t="inlineStr">
        <is>
          <t xml:space="preserve">small_craft</t>
        </is>
      </c>
      <c r="E436" s="0" t="inlineStr">
        <is>
          <t xml:space="preserve">SILVER SHIPS, INC</t>
        </is>
      </c>
      <c r="F436" s="0" t="inlineStr">
        <is>
          <t xml:space="preserve">C</t>
        </is>
      </c>
      <c r="G436" s="4">
        <v>0.89046363</v>
      </c>
      <c r="H436" s="0" t="inlineStr">
        <is>
          <t xml:space="preserve">2016-03-23</t>
        </is>
      </c>
      <c r="I436" s="0" t="inlineStr">
        <is>
          <t xml:space="preserve">no</t>
        </is>
      </c>
      <c r="J436" s="0" t="inlineStr">
        <is>
          <t xml:space="preserve">N0002413R2215</t>
        </is>
      </c>
      <c r="K436" s="0" t="inlineStr">
        <is>
          <t xml:space="preserve">NONE</t>
        </is>
      </c>
    </row>
    <row r="437">
      <c r="B437" s="0" t="inlineStr">
        <is>
          <t xml:space="preserve">N0002405F2240</t>
        </is>
      </c>
      <c r="C437" s="0" t="inlineStr">
        <is>
          <t xml:space="preserve">GS07F0012J</t>
        </is>
      </c>
      <c r="D437" s="0" t="inlineStr">
        <is>
          <t xml:space="preserve">small_craft</t>
        </is>
      </c>
      <c r="E437" s="0" t="inlineStr">
        <is>
          <t xml:space="preserve">SEAARK MARINE, INC.</t>
        </is>
      </c>
      <c r="F437" s="0" t="inlineStr">
        <is>
          <t xml:space="preserve">C</t>
        </is>
      </c>
      <c r="G437" s="4">
        <v>0.8856839</v>
      </c>
      <c r="H437" s="0" t="inlineStr">
        <is>
          <t xml:space="preserve">2005-06-13</t>
        </is>
      </c>
      <c r="I437" s="0" t="inlineStr">
        <is>
          <t xml:space="preserve">no</t>
        </is>
      </c>
      <c r="K437" s="0" t="inlineStr">
        <is>
          <t xml:space="preserve">NONE</t>
        </is>
      </c>
    </row>
    <row r="438">
      <c r="B438" s="0" t="inlineStr">
        <is>
          <t xml:space="preserve">N6660420FC826</t>
        </is>
      </c>
      <c r="C438" s="0" t="inlineStr">
        <is>
          <t xml:space="preserve">N6660418DC811</t>
        </is>
      </c>
      <c r="D438" s="0" t="inlineStr">
        <is>
          <t xml:space="preserve">small_craft</t>
        </is>
      </c>
      <c r="E438" s="0" t="inlineStr">
        <is>
          <t xml:space="preserve">HII FLEET SUPPORT GROUP LLC</t>
        </is>
      </c>
      <c r="F438" s="0" t="inlineStr">
        <is>
          <t xml:space="preserve">C</t>
        </is>
      </c>
      <c r="G438" s="4">
        <v>0.8851519999999999</v>
      </c>
      <c r="H438" s="0" t="inlineStr">
        <is>
          <t xml:space="preserve">2020-05-29</t>
        </is>
      </c>
      <c r="I438" s="0" t="inlineStr">
        <is>
          <t xml:space="preserve">no</t>
        </is>
      </c>
      <c r="K438" s="0" t="inlineStr">
        <is>
          <t xml:space="preserve">NONE</t>
        </is>
      </c>
    </row>
    <row r="439">
      <c r="B439" s="0" t="inlineStr">
        <is>
          <t xml:space="preserve">N0002415C2211</t>
        </is>
      </c>
      <c r="D439" s="0" t="inlineStr">
        <is>
          <t xml:space="preserve">small_craft</t>
        </is>
      </c>
      <c r="E439" s="0" t="inlineStr">
        <is>
          <t xml:space="preserve">ZODIAC OF NORTH AMERICA, INC.</t>
        </is>
      </c>
      <c r="F439" s="0" t="inlineStr">
        <is>
          <t xml:space="preserve">D</t>
        </is>
      </c>
      <c r="G439" s="4">
        <v>0.8809811999999999</v>
      </c>
      <c r="H439" s="0" t="inlineStr">
        <is>
          <t xml:space="preserve">2015-07-08</t>
        </is>
      </c>
      <c r="I439" s="0" t="inlineStr">
        <is>
          <t xml:space="preserve">no</t>
        </is>
      </c>
      <c r="J439" s="0" t="inlineStr">
        <is>
          <t xml:space="preserve">N0002415R2211</t>
        </is>
      </c>
      <c r="K439" s="0" t="inlineStr">
        <is>
          <t xml:space="preserve">NONE</t>
        </is>
      </c>
    </row>
    <row r="440">
      <c r="B440" s="0" t="inlineStr">
        <is>
          <t xml:space="preserve">N6660420FC829</t>
        </is>
      </c>
      <c r="C440" s="0" t="inlineStr">
        <is>
          <t xml:space="preserve">N6660418DC802</t>
        </is>
      </c>
      <c r="D440" s="0" t="inlineStr">
        <is>
          <t xml:space="preserve">small_craft</t>
        </is>
      </c>
      <c r="E440" s="0" t="inlineStr">
        <is>
          <t xml:space="preserve">SERCO INC</t>
        </is>
      </c>
      <c r="F440" s="0" t="inlineStr">
        <is>
          <t xml:space="preserve">C</t>
        </is>
      </c>
      <c r="G440" s="4">
        <v>0.8806574</v>
      </c>
      <c r="H440" s="0" t="inlineStr">
        <is>
          <t xml:space="preserve">2020-09-29</t>
        </is>
      </c>
      <c r="I440" s="0" t="inlineStr">
        <is>
          <t xml:space="preserve">no</t>
        </is>
      </c>
      <c r="J440" s="0" t="inlineStr">
        <is>
          <t xml:space="preserve">N6660417R0350</t>
        </is>
      </c>
      <c r="K440" s="0" t="inlineStr">
        <is>
          <t xml:space="preserve">NONE</t>
        </is>
      </c>
    </row>
    <row r="441">
      <c r="B441" s="0" t="inlineStr">
        <is>
          <t xml:space="preserve">N0010424CF013</t>
        </is>
      </c>
      <c r="D441" s="0" t="inlineStr">
        <is>
          <t xml:space="preserve">small_craft</t>
        </is>
      </c>
      <c r="E441" s="0" t="inlineStr">
        <is>
          <t xml:space="preserve">DEFENSE MARITIME SOLUTIONS, INC.</t>
        </is>
      </c>
      <c r="F441" s="0" t="inlineStr">
        <is>
          <t xml:space="preserve">D</t>
        </is>
      </c>
      <c r="G441" s="4">
        <v>0.8803346899999999</v>
      </c>
      <c r="H441" s="0" t="inlineStr">
        <is>
          <t xml:space="preserve">2024-07-31</t>
        </is>
      </c>
      <c r="I441" s="0" t="inlineStr">
        <is>
          <t xml:space="preserve">no</t>
        </is>
      </c>
      <c r="J441" s="0" t="inlineStr">
        <is>
          <t xml:space="preserve">N0010424RF011</t>
        </is>
      </c>
      <c r="K441" s="0" t="inlineStr">
        <is>
          <t xml:space="preserve">NONE</t>
        </is>
      </c>
    </row>
    <row r="442">
      <c r="B442" s="0" t="inlineStr">
        <is>
          <t xml:space="preserve">N0010420FK400</t>
        </is>
      </c>
      <c r="C442" s="0" t="inlineStr">
        <is>
          <t xml:space="preserve">N0010416DX004</t>
        </is>
      </c>
      <c r="D442" s="0" t="inlineStr">
        <is>
          <t xml:space="preserve">small_craft</t>
        </is>
      </c>
      <c r="E442" s="0" t="inlineStr">
        <is>
          <t xml:space="preserve">WING INFLATABLES INC</t>
        </is>
      </c>
      <c r="F442" s="0" t="inlineStr">
        <is>
          <t xml:space="preserve">C</t>
        </is>
      </c>
      <c r="G442" s="4">
        <v>0.8800471999999999</v>
      </c>
      <c r="H442" s="0" t="inlineStr">
        <is>
          <t xml:space="preserve">2020-02-11</t>
        </is>
      </c>
      <c r="I442" s="0" t="inlineStr">
        <is>
          <t xml:space="preserve">no</t>
        </is>
      </c>
      <c r="K442" s="0" t="inlineStr">
        <is>
          <t xml:space="preserve">NONE</t>
        </is>
      </c>
    </row>
    <row r="443">
      <c r="B443" s="0" t="inlineStr">
        <is>
          <t xml:space="preserve">N0010426PYB16</t>
        </is>
      </c>
      <c r="D443" s="0" t="inlineStr">
        <is>
          <t xml:space="preserve">small_craft</t>
        </is>
      </c>
      <c r="E443" s="0" t="inlineStr">
        <is>
          <t xml:space="preserve">DUTCH VALLEY SUPPLY CO.</t>
        </is>
      </c>
      <c r="F443" s="0" t="inlineStr">
        <is>
          <t xml:space="preserve">B</t>
        </is>
      </c>
      <c r="G443" s="4">
        <v>0.8774263</v>
      </c>
      <c r="H443" s="0" t="inlineStr">
        <is>
          <t xml:space="preserve">2025-11-24</t>
        </is>
      </c>
      <c r="I443" s="0" t="inlineStr">
        <is>
          <t xml:space="preserve">yes</t>
        </is>
      </c>
      <c r="K443" s="0" t="inlineStr">
        <is>
          <t xml:space="preserve">NONE</t>
        </is>
      </c>
    </row>
    <row r="444">
      <c r="B444" s="0" t="inlineStr">
        <is>
          <t xml:space="preserve">N0002419F22G1</t>
        </is>
      </c>
      <c r="C444" s="0" t="inlineStr">
        <is>
          <t xml:space="preserve">N0002415D2214</t>
        </is>
      </c>
      <c r="D444" s="0" t="inlineStr">
        <is>
          <t xml:space="preserve">small_craft</t>
        </is>
      </c>
      <c r="E444" s="0" t="inlineStr">
        <is>
          <t xml:space="preserve">METALCRAFT MARINE US, INC.</t>
        </is>
      </c>
      <c r="F444" s="0" t="inlineStr">
        <is>
          <t xml:space="preserve">C</t>
        </is>
      </c>
      <c r="G444" s="4">
        <v>0.8760124599999999</v>
      </c>
      <c r="H444" s="0" t="inlineStr">
        <is>
          <t xml:space="preserve">2019-01-22</t>
        </is>
      </c>
      <c r="I444" s="0" t="inlineStr">
        <is>
          <t xml:space="preserve">no</t>
        </is>
      </c>
      <c r="J444" s="0" t="inlineStr">
        <is>
          <t xml:space="preserve">N0002415R2214</t>
        </is>
      </c>
      <c r="K444" s="0" t="inlineStr">
        <is>
          <t xml:space="preserve">NONE</t>
        </is>
      </c>
    </row>
    <row r="445">
      <c r="B445" s="0" t="inlineStr">
        <is>
          <t xml:space="preserve">N3220519F6705</t>
        </is>
      </c>
      <c r="C445" s="0" t="inlineStr">
        <is>
          <t xml:space="preserve">N3220517D4700</t>
        </is>
      </c>
      <c r="D445" s="0" t="inlineStr">
        <is>
          <t xml:space="preserve">other_small</t>
        </is>
      </c>
      <c r="E445" s="0" t="inlineStr">
        <is>
          <t xml:space="preserve">LAKE SHORE SYSTEMS, INC.</t>
        </is>
      </c>
      <c r="F445" s="0" t="inlineStr">
        <is>
          <t xml:space="preserve">C</t>
        </is>
      </c>
      <c r="G445" s="4">
        <v>0.87293207</v>
      </c>
      <c r="H445" s="0" t="inlineStr">
        <is>
          <t xml:space="preserve">2018-12-04</t>
        </is>
      </c>
      <c r="I445" s="0" t="inlineStr">
        <is>
          <t xml:space="preserve">no</t>
        </is>
      </c>
      <c r="K445" s="0" t="inlineStr">
        <is>
          <t xml:space="preserve">NONE</t>
        </is>
      </c>
    </row>
    <row r="446">
      <c r="B446" s="0" t="inlineStr">
        <is>
          <t xml:space="preserve">N0010416CFA65</t>
        </is>
      </c>
      <c r="D446" s="0" t="inlineStr">
        <is>
          <t xml:space="preserve">small_craft</t>
        </is>
      </c>
      <c r="E446" s="0" t="inlineStr">
        <is>
          <t xml:space="preserve">ERIE FORGE &amp; STEEL INC</t>
        </is>
      </c>
      <c r="F446" s="0" t="inlineStr">
        <is>
          <t xml:space="preserve">D</t>
        </is>
      </c>
      <c r="G446" s="4">
        <v>0.87063106</v>
      </c>
      <c r="H446" s="0" t="inlineStr">
        <is>
          <t xml:space="preserve">2016-09-27</t>
        </is>
      </c>
      <c r="I446" s="0" t="inlineStr">
        <is>
          <t xml:space="preserve">no</t>
        </is>
      </c>
      <c r="J446" s="0" t="inlineStr">
        <is>
          <t xml:space="preserve">N0010416RFD96</t>
        </is>
      </c>
      <c r="K446" s="0" t="inlineStr">
        <is>
          <t xml:space="preserve">NONE</t>
        </is>
      </c>
    </row>
    <row r="447">
      <c r="B447" s="0" t="inlineStr">
        <is>
          <t xml:space="preserve">N0010421CXA12</t>
        </is>
      </c>
      <c r="D447" s="0" t="inlineStr">
        <is>
          <t xml:space="preserve">small_craft</t>
        </is>
      </c>
      <c r="E447" s="0" t="inlineStr">
        <is>
          <t xml:space="preserve">ROLLS-ROYCE MARINE NORTH AMERICA INC.</t>
        </is>
      </c>
      <c r="F447" s="0" t="inlineStr">
        <is>
          <t xml:space="preserve">D</t>
        </is>
      </c>
      <c r="G447" s="4">
        <v>0.8671949999999999</v>
      </c>
      <c r="H447" s="0" t="inlineStr">
        <is>
          <t xml:space="preserve">2021-09-21</t>
        </is>
      </c>
      <c r="I447" s="0" t="inlineStr">
        <is>
          <t xml:space="preserve">no</t>
        </is>
      </c>
      <c r="J447" s="0" t="inlineStr">
        <is>
          <t xml:space="preserve">N0010421QXB86</t>
        </is>
      </c>
      <c r="K447" s="0" t="inlineStr">
        <is>
          <t xml:space="preserve">NONE</t>
        </is>
      </c>
    </row>
    <row r="448">
      <c r="B448" s="0" t="inlineStr">
        <is>
          <t xml:space="preserve">N0002418F22U2</t>
        </is>
      </c>
      <c r="C448" s="0" t="inlineStr">
        <is>
          <t xml:space="preserve">N0002414D4409</t>
        </is>
      </c>
      <c r="D448" s="0" t="inlineStr">
        <is>
          <t xml:space="preserve">small_craft</t>
        </is>
      </c>
      <c r="E448" s="0" t="inlineStr">
        <is>
          <t xml:space="preserve">VIGOR KVICHAK LLC</t>
        </is>
      </c>
      <c r="F448" s="0" t="inlineStr">
        <is>
          <t xml:space="preserve">C</t>
        </is>
      </c>
      <c r="G448" s="4">
        <v>0.8595676099999999</v>
      </c>
      <c r="H448" s="0" t="inlineStr">
        <is>
          <t xml:space="preserve">2018-03-09</t>
        </is>
      </c>
      <c r="I448" s="0" t="inlineStr">
        <is>
          <t xml:space="preserve">no</t>
        </is>
      </c>
      <c r="J448" s="0" t="inlineStr">
        <is>
          <t xml:space="preserve">N0002414R2214</t>
        </is>
      </c>
      <c r="K448" s="0" t="inlineStr">
        <is>
          <t xml:space="preserve">NONE</t>
        </is>
      </c>
    </row>
    <row r="449">
      <c r="B449" s="0" t="inlineStr">
        <is>
          <t xml:space="preserve">N0003924F1005</t>
        </is>
      </c>
      <c r="C449" s="0" t="inlineStr">
        <is>
          <t xml:space="preserve">N0003921D6001</t>
        </is>
      </c>
      <c r="D449" s="0" t="inlineStr">
        <is>
          <t xml:space="preserve">small_craft</t>
        </is>
      </c>
      <c r="E449" s="0" t="inlineStr">
        <is>
          <t xml:space="preserve">TELEDYNE BROWN ENGINEERING, INC.</t>
        </is>
      </c>
      <c r="F449" s="0" t="inlineStr">
        <is>
          <t xml:space="preserve">C</t>
        </is>
      </c>
      <c r="G449" s="4">
        <v>0.8572587399999999</v>
      </c>
      <c r="H449" s="0" t="inlineStr">
        <is>
          <t xml:space="preserve">2023-11-30</t>
        </is>
      </c>
      <c r="I449" s="0" t="inlineStr">
        <is>
          <t xml:space="preserve">no</t>
        </is>
      </c>
      <c r="J449" s="0" t="inlineStr">
        <is>
          <t xml:space="preserve">N0003921R1000</t>
        </is>
      </c>
      <c r="K449" s="0" t="inlineStr">
        <is>
          <t xml:space="preserve">NONE</t>
        </is>
      </c>
    </row>
    <row r="450">
      <c r="B450" s="0" t="inlineStr">
        <is>
          <t xml:space="preserve">N6600117F0080</t>
        </is>
      </c>
      <c r="C450" s="0" t="inlineStr">
        <is>
          <t xml:space="preserve">N6600117D0013</t>
        </is>
      </c>
      <c r="D450" s="0" t="inlineStr">
        <is>
          <t xml:space="preserve">small_craft</t>
        </is>
      </c>
      <c r="E450" s="0" t="inlineStr">
        <is>
          <t xml:space="preserve">HII UNMANNED SYSTEMS, INC</t>
        </is>
      </c>
      <c r="F450" s="0" t="inlineStr">
        <is>
          <t xml:space="preserve">C</t>
        </is>
      </c>
      <c r="G450" s="4">
        <v>0.8259139999999999</v>
      </c>
      <c r="H450" s="0" t="inlineStr">
        <is>
          <t xml:space="preserve">2017-04-12</t>
        </is>
      </c>
      <c r="I450" s="0" t="inlineStr">
        <is>
          <t xml:space="preserve">no</t>
        </is>
      </c>
      <c r="J450" s="0" t="inlineStr">
        <is>
          <t xml:space="preserve">N6600117R0013</t>
        </is>
      </c>
      <c r="K450" s="0" t="inlineStr">
        <is>
          <t xml:space="preserve">NONE</t>
        </is>
      </c>
    </row>
    <row r="451">
      <c r="B451" s="0" t="inlineStr">
        <is>
          <t xml:space="preserve">N0010419PCD71</t>
        </is>
      </c>
      <c r="D451" s="0" t="inlineStr">
        <is>
          <t xml:space="preserve">small_craft</t>
        </is>
      </c>
      <c r="E451" s="0" t="inlineStr">
        <is>
          <t xml:space="preserve">GE AVIATION SYSTEMS LLC</t>
        </is>
      </c>
      <c r="F451" s="0" t="inlineStr">
        <is>
          <t xml:space="preserve">B</t>
        </is>
      </c>
      <c r="G451" s="4">
        <v>0.82514223</v>
      </c>
      <c r="H451" s="0" t="inlineStr">
        <is>
          <t xml:space="preserve">2019-05-08</t>
        </is>
      </c>
      <c r="I451" s="0" t="inlineStr">
        <is>
          <t xml:space="preserve">no</t>
        </is>
      </c>
      <c r="K451" s="0" t="inlineStr">
        <is>
          <t xml:space="preserve">NONE</t>
        </is>
      </c>
    </row>
    <row r="452">
      <c r="B452" s="0" t="inlineStr">
        <is>
          <t xml:space="preserve">N0002417F22U1</t>
        </is>
      </c>
      <c r="C452" s="0" t="inlineStr">
        <is>
          <t xml:space="preserve">N0002414D4409</t>
        </is>
      </c>
      <c r="D452" s="0" t="inlineStr">
        <is>
          <t xml:space="preserve">small_craft</t>
        </is>
      </c>
      <c r="E452" s="0" t="inlineStr">
        <is>
          <t xml:space="preserve">VIGOR KVICHAK LLC</t>
        </is>
      </c>
      <c r="F452" s="0" t="inlineStr">
        <is>
          <t xml:space="preserve">C</t>
        </is>
      </c>
      <c r="G452" s="4">
        <v>0.8156088399999999</v>
      </c>
      <c r="H452" s="0" t="inlineStr">
        <is>
          <t xml:space="preserve">2017-03-29</t>
        </is>
      </c>
      <c r="I452" s="0" t="inlineStr">
        <is>
          <t xml:space="preserve">no</t>
        </is>
      </c>
      <c r="J452" s="0" t="inlineStr">
        <is>
          <t xml:space="preserve">N0002414R2214</t>
        </is>
      </c>
      <c r="K452" s="0" t="inlineStr">
        <is>
          <t xml:space="preserve">NONE</t>
        </is>
      </c>
    </row>
    <row r="453">
      <c r="B453" s="0" t="inlineStr">
        <is>
          <t xml:space="preserve">N3220517P4028</t>
        </is>
      </c>
      <c r="D453" s="0" t="inlineStr">
        <is>
          <t xml:space="preserve">small_craft</t>
        </is>
      </c>
      <c r="E453" s="0" t="inlineStr">
        <is>
          <t xml:space="preserve">WILLARD MARINE, INC.</t>
        </is>
      </c>
      <c r="F453" s="0" t="inlineStr">
        <is>
          <t xml:space="preserve">B</t>
        </is>
      </c>
      <c r="G453" s="4">
        <v>0.815488</v>
      </c>
      <c r="H453" s="0" t="inlineStr">
        <is>
          <t xml:space="preserve">2017-06-29</t>
        </is>
      </c>
      <c r="I453" s="0" t="inlineStr">
        <is>
          <t xml:space="preserve">no</t>
        </is>
      </c>
      <c r="J453" s="0" t="inlineStr">
        <is>
          <t xml:space="preserve">N3220517T4015</t>
        </is>
      </c>
      <c r="K453" s="0" t="inlineStr">
        <is>
          <t xml:space="preserve">NONE</t>
        </is>
      </c>
    </row>
    <row r="454">
      <c r="B454" s="0" t="inlineStr">
        <is>
          <t xml:space="preserve">N0010425CF017</t>
        </is>
      </c>
      <c r="D454" s="0" t="inlineStr">
        <is>
          <t xml:space="preserve">small_craft</t>
        </is>
      </c>
      <c r="E454" s="0" t="inlineStr">
        <is>
          <t xml:space="preserve">DEFENSE MARITIME SOLUTIONS, INC.</t>
        </is>
      </c>
      <c r="F454" s="0" t="inlineStr">
        <is>
          <t xml:space="preserve">D</t>
        </is>
      </c>
      <c r="G454" s="4">
        <v>0.8145</v>
      </c>
      <c r="H454" s="0" t="inlineStr">
        <is>
          <t xml:space="preserve">2025-09-11</t>
        </is>
      </c>
      <c r="I454" s="0" t="inlineStr">
        <is>
          <t xml:space="preserve">yes</t>
        </is>
      </c>
      <c r="J454" s="0" t="inlineStr">
        <is>
          <t xml:space="preserve">N0010425RF016</t>
        </is>
      </c>
      <c r="K454" s="0" t="inlineStr">
        <is>
          <t xml:space="preserve">NONE</t>
        </is>
      </c>
    </row>
    <row r="455">
      <c r="B455" s="0" t="inlineStr">
        <is>
          <t xml:space="preserve">0003</t>
        </is>
      </c>
      <c r="C455" s="0" t="inlineStr">
        <is>
          <t xml:space="preserve">N0002414D4409</t>
        </is>
      </c>
      <c r="D455" s="0" t="inlineStr">
        <is>
          <t xml:space="preserve">small_craft</t>
        </is>
      </c>
      <c r="E455" s="0" t="inlineStr">
        <is>
          <t xml:space="preserve">VIGOR KVICHAK LLC</t>
        </is>
      </c>
      <c r="F455" s="0" t="inlineStr">
        <is>
          <t xml:space="preserve">C</t>
        </is>
      </c>
      <c r="G455" s="4">
        <v>0.8079689999999999</v>
      </c>
      <c r="H455" s="0" t="inlineStr">
        <is>
          <t xml:space="preserve">2016-02-23</t>
        </is>
      </c>
      <c r="I455" s="0" t="inlineStr">
        <is>
          <t xml:space="preserve">no</t>
        </is>
      </c>
      <c r="J455" s="0" t="inlineStr">
        <is>
          <t xml:space="preserve">N0002414R2214</t>
        </is>
      </c>
      <c r="K455" s="0" t="inlineStr">
        <is>
          <t xml:space="preserve">NONE</t>
        </is>
      </c>
    </row>
    <row r="456">
      <c r="B456" s="0" t="inlineStr">
        <is>
          <t xml:space="preserve">N0016424PX005</t>
        </is>
      </c>
      <c r="D456" s="0" t="inlineStr">
        <is>
          <t xml:space="preserve">small_craft</t>
        </is>
      </c>
      <c r="E456" s="0" t="inlineStr">
        <is>
          <t xml:space="preserve">OCEAN AERO, INC.</t>
        </is>
      </c>
      <c r="F456" s="0" t="inlineStr">
        <is>
          <t xml:space="preserve">B</t>
        </is>
      </c>
      <c r="G456" s="4">
        <v>0.7999999999999999</v>
      </c>
      <c r="H456" s="0" t="inlineStr">
        <is>
          <t xml:space="preserve">2024-06-12</t>
        </is>
      </c>
      <c r="I456" s="0" t="inlineStr">
        <is>
          <t xml:space="preserve">no</t>
        </is>
      </c>
      <c r="K456" s="0" t="inlineStr">
        <is>
          <t xml:space="preserve">NONE</t>
        </is>
      </c>
    </row>
    <row r="457">
      <c r="B457" s="0" t="inlineStr">
        <is>
          <t xml:space="preserve">0017</t>
        </is>
      </c>
      <c r="C457" s="0" t="inlineStr">
        <is>
          <t xml:space="preserve">N6230613D9S01</t>
        </is>
      </c>
      <c r="D457" s="0" t="inlineStr">
        <is>
          <t xml:space="preserve">small_craft</t>
        </is>
      </c>
      <c r="E457" s="0" t="inlineStr">
        <is>
          <t xml:space="preserve">SAUNDERS ENGINE &amp; EQUIPMENT CO INC</t>
        </is>
      </c>
      <c r="F457" s="0" t="inlineStr">
        <is>
          <t xml:space="preserve">C</t>
        </is>
      </c>
      <c r="G457" s="4">
        <v>0.799999</v>
      </c>
      <c r="H457" s="0" t="inlineStr">
        <is>
          <t xml:space="preserve">2015-09-22</t>
        </is>
      </c>
      <c r="I457" s="0" t="inlineStr">
        <is>
          <t xml:space="preserve">no</t>
        </is>
      </c>
      <c r="J457" s="0" t="inlineStr">
        <is>
          <t xml:space="preserve">N6230612R9S01</t>
        </is>
      </c>
      <c r="K457" s="0" t="inlineStr">
        <is>
          <t xml:space="preserve">NONE</t>
        </is>
      </c>
    </row>
    <row r="458">
      <c r="B458" s="0" t="inlineStr">
        <is>
          <t xml:space="preserve">N0010425FY701</t>
        </is>
      </c>
      <c r="C458" s="0" t="inlineStr">
        <is>
          <t xml:space="preserve">N0010422GY701</t>
        </is>
      </c>
      <c r="D458" s="0" t="inlineStr">
        <is>
          <t xml:space="preserve">small_craft</t>
        </is>
      </c>
      <c r="E458" s="0" t="inlineStr">
        <is>
          <t xml:space="preserve">L3 TECHNOLOGIES, INC.</t>
        </is>
      </c>
      <c r="F458" s="0" t="inlineStr">
        <is>
          <t xml:space="preserve">C</t>
        </is>
      </c>
      <c r="G458" s="4">
        <v>0.7946</v>
      </c>
      <c r="H458" s="0" t="inlineStr">
        <is>
          <t xml:space="preserve">2025-02-21</t>
        </is>
      </c>
      <c r="I458" s="0" t="inlineStr">
        <is>
          <t xml:space="preserve">no</t>
        </is>
      </c>
      <c r="K458" s="0" t="inlineStr">
        <is>
          <t xml:space="preserve">NONE</t>
        </is>
      </c>
    </row>
    <row r="459">
      <c r="B459" s="0" t="inlineStr">
        <is>
          <t xml:space="preserve">N0010423PBT76</t>
        </is>
      </c>
      <c r="D459" s="0" t="inlineStr">
        <is>
          <t xml:space="preserve">small_craft</t>
        </is>
      </c>
      <c r="E459" s="0" t="inlineStr">
        <is>
          <t xml:space="preserve">HYSPAN PRECISION PRODUCTS, INC.</t>
        </is>
      </c>
      <c r="F459" s="0" t="inlineStr">
        <is>
          <t xml:space="preserve">B</t>
        </is>
      </c>
      <c r="G459" s="4">
        <v>0.791472</v>
      </c>
      <c r="H459" s="0" t="inlineStr">
        <is>
          <t xml:space="preserve">2023-03-31</t>
        </is>
      </c>
      <c r="I459" s="0" t="inlineStr">
        <is>
          <t xml:space="preserve">no</t>
        </is>
      </c>
      <c r="K459" s="0" t="inlineStr">
        <is>
          <t xml:space="preserve">NONE</t>
        </is>
      </c>
    </row>
    <row r="460">
      <c r="B460" s="0" t="inlineStr">
        <is>
          <t xml:space="preserve">N0002418C2229</t>
        </is>
      </c>
      <c r="D460" s="0" t="inlineStr">
        <is>
          <t xml:space="preserve">small_craft</t>
        </is>
      </c>
      <c r="E460" s="0" t="inlineStr">
        <is>
          <t xml:space="preserve">GRAVOIS ALUMINUM BOATS LLC</t>
        </is>
      </c>
      <c r="F460" s="0" t="inlineStr">
        <is>
          <t xml:space="preserve">D</t>
        </is>
      </c>
      <c r="G460" s="4">
        <v>0.7851234399999999</v>
      </c>
      <c r="H460" s="0" t="inlineStr">
        <is>
          <t xml:space="preserve">2018-01-19</t>
        </is>
      </c>
      <c r="I460" s="0" t="inlineStr">
        <is>
          <t xml:space="preserve">no</t>
        </is>
      </c>
      <c r="J460" s="0" t="inlineStr">
        <is>
          <t xml:space="preserve">N0002417Q2229</t>
        </is>
      </c>
      <c r="K460" s="0" t="inlineStr">
        <is>
          <t xml:space="preserve">NONE</t>
        </is>
      </c>
    </row>
    <row r="461">
      <c r="B461" s="0" t="inlineStr">
        <is>
          <t xml:space="preserve">N0010421PNC29</t>
        </is>
      </c>
      <c r="D461" s="0" t="inlineStr">
        <is>
          <t xml:space="preserve">small_craft</t>
        </is>
      </c>
      <c r="E461" s="0" t="inlineStr">
        <is>
          <t xml:space="preserve">MOOG INC.</t>
        </is>
      </c>
      <c r="F461" s="0" t="inlineStr">
        <is>
          <t xml:space="preserve">B</t>
        </is>
      </c>
      <c r="G461" s="4">
        <v>0.7735</v>
      </c>
      <c r="H461" s="0" t="inlineStr">
        <is>
          <t xml:space="preserve">2021-07-22</t>
        </is>
      </c>
      <c r="I461" s="0" t="inlineStr">
        <is>
          <t xml:space="preserve">no</t>
        </is>
      </c>
      <c r="K461" s="0" t="inlineStr">
        <is>
          <t xml:space="preserve">NONE</t>
        </is>
      </c>
    </row>
    <row r="462">
      <c r="B462" s="0" t="inlineStr">
        <is>
          <t xml:space="preserve">N0002420F22Q2</t>
        </is>
      </c>
      <c r="C462" s="0" t="inlineStr">
        <is>
          <t xml:space="preserve">N0002416D2211</t>
        </is>
      </c>
      <c r="D462" s="0" t="inlineStr">
        <is>
          <t xml:space="preserve">small_craft</t>
        </is>
      </c>
      <c r="E462" s="0" t="inlineStr">
        <is>
          <t xml:space="preserve">MODUTECH MARINE, INC.</t>
        </is>
      </c>
      <c r="F462" s="0" t="inlineStr">
        <is>
          <t xml:space="preserve">C</t>
        </is>
      </c>
      <c r="G462" s="4">
        <v>0.76821014</v>
      </c>
      <c r="H462" s="0" t="inlineStr">
        <is>
          <t xml:space="preserve">2020-02-03</t>
        </is>
      </c>
      <c r="I462" s="0" t="inlineStr">
        <is>
          <t xml:space="preserve">no</t>
        </is>
      </c>
      <c r="J462" s="0" t="inlineStr">
        <is>
          <t xml:space="preserve">N0002416R2211</t>
        </is>
      </c>
      <c r="K462" s="0" t="inlineStr">
        <is>
          <t xml:space="preserve">NONE</t>
        </is>
      </c>
    </row>
    <row r="463">
      <c r="B463" s="0" t="inlineStr">
        <is>
          <t xml:space="preserve">N0002415C2204</t>
        </is>
      </c>
      <c r="D463" s="0" t="inlineStr">
        <is>
          <t xml:space="preserve">small_craft</t>
        </is>
      </c>
      <c r="E463" s="0" t="inlineStr">
        <is>
          <t xml:space="preserve">WILLARD MARINE, INC.</t>
        </is>
      </c>
      <c r="F463" s="0" t="inlineStr">
        <is>
          <t xml:space="preserve">D</t>
        </is>
      </c>
      <c r="G463" s="4">
        <v>0.76578</v>
      </c>
      <c r="H463" s="0" t="inlineStr">
        <is>
          <t xml:space="preserve">2015-03-26</t>
        </is>
      </c>
      <c r="I463" s="0" t="inlineStr">
        <is>
          <t xml:space="preserve">no</t>
        </is>
      </c>
      <c r="J463" s="0" t="inlineStr">
        <is>
          <t xml:space="preserve">N0002414R2219</t>
        </is>
      </c>
      <c r="K463" s="0" t="inlineStr">
        <is>
          <t xml:space="preserve">NONE</t>
        </is>
      </c>
    </row>
    <row r="464">
      <c r="B464" s="0" t="inlineStr">
        <is>
          <t xml:space="preserve">N0010425FCQ03</t>
        </is>
      </c>
      <c r="C464" s="0" t="inlineStr">
        <is>
          <t xml:space="preserve">N0010424GCQ01</t>
        </is>
      </c>
      <c r="D464" s="0" t="inlineStr">
        <is>
          <t xml:space="preserve">small_craft</t>
        </is>
      </c>
      <c r="E464" s="0" t="inlineStr">
        <is>
          <t xml:space="preserve">BIRD-JOHNSON PROPELLER COMPANY, LLC</t>
        </is>
      </c>
      <c r="F464" s="0" t="inlineStr">
        <is>
          <t xml:space="preserve">C</t>
        </is>
      </c>
      <c r="G464" s="4">
        <v>0.7654799999999999</v>
      </c>
      <c r="H464" s="0" t="inlineStr">
        <is>
          <t xml:space="preserve">2025-09-29</t>
        </is>
      </c>
      <c r="I464" s="0" t="inlineStr">
        <is>
          <t xml:space="preserve">yes</t>
        </is>
      </c>
      <c r="K464" s="0" t="inlineStr">
        <is>
          <t xml:space="preserve">NONE</t>
        </is>
      </c>
    </row>
    <row r="465">
      <c r="B465" s="0" t="inlineStr">
        <is>
          <t xml:space="preserve">N0002423F23A3</t>
        </is>
      </c>
      <c r="C465" s="0" t="inlineStr">
        <is>
          <t xml:space="preserve">N0002420D2222</t>
        </is>
      </c>
      <c r="D465" s="0" t="inlineStr">
        <is>
          <t xml:space="preserve">small_craft</t>
        </is>
      </c>
      <c r="E465" s="0" t="inlineStr">
        <is>
          <t xml:space="preserve">LAKE ASSAULT BOATS, LLC</t>
        </is>
      </c>
      <c r="F465" s="0" t="inlineStr">
        <is>
          <t xml:space="preserve">C</t>
        </is>
      </c>
      <c r="G465" s="4">
        <v>0.75991491</v>
      </c>
      <c r="H465" s="0" t="inlineStr">
        <is>
          <t xml:space="preserve">2023-06-30</t>
        </is>
      </c>
      <c r="I465" s="0" t="inlineStr">
        <is>
          <t xml:space="preserve">no</t>
        </is>
      </c>
      <c r="J465" s="0" t="inlineStr">
        <is>
          <t xml:space="preserve">N0002419R2222</t>
        </is>
      </c>
      <c r="K465" s="0" t="inlineStr">
        <is>
          <t xml:space="preserve">NONE</t>
        </is>
      </c>
    </row>
    <row r="466">
      <c r="B466" s="0" t="inlineStr">
        <is>
          <t xml:space="preserve">N0002419F22Q1</t>
        </is>
      </c>
      <c r="C466" s="0" t="inlineStr">
        <is>
          <t xml:space="preserve">N0002416D2211</t>
        </is>
      </c>
      <c r="D466" s="0" t="inlineStr">
        <is>
          <t xml:space="preserve">small_craft</t>
        </is>
      </c>
      <c r="E466" s="0" t="inlineStr">
        <is>
          <t xml:space="preserve">MODUTECH MARINE, INC.</t>
        </is>
      </c>
      <c r="F466" s="0" t="inlineStr">
        <is>
          <t xml:space="preserve">C</t>
        </is>
      </c>
      <c r="G466" s="4">
        <v>0.74097214</v>
      </c>
      <c r="H466" s="0" t="inlineStr">
        <is>
          <t xml:space="preserve">2018-10-11</t>
        </is>
      </c>
      <c r="I466" s="0" t="inlineStr">
        <is>
          <t xml:space="preserve">no</t>
        </is>
      </c>
      <c r="J466" s="0" t="inlineStr">
        <is>
          <t xml:space="preserve">N0002416R2211</t>
        </is>
      </c>
      <c r="K466" s="0" t="inlineStr">
        <is>
          <t xml:space="preserve">NONE</t>
        </is>
      </c>
    </row>
    <row r="467">
      <c r="B467" s="0" t="inlineStr">
        <is>
          <t xml:space="preserve">N0002423F22C3</t>
        </is>
      </c>
      <c r="C467" s="0" t="inlineStr">
        <is>
          <t xml:space="preserve">N0002419D2220</t>
        </is>
      </c>
      <c r="D467" s="0" t="inlineStr">
        <is>
          <t xml:space="preserve">small_craft</t>
        </is>
      </c>
      <c r="E467" s="0" t="inlineStr">
        <is>
          <t xml:space="preserve">RIBCRAFT USA, LLC</t>
        </is>
      </c>
      <c r="F467" s="0" t="inlineStr">
        <is>
          <t xml:space="preserve">C</t>
        </is>
      </c>
      <c r="G467" s="4">
        <v>0.73242428</v>
      </c>
      <c r="H467" s="0" t="inlineStr">
        <is>
          <t xml:space="preserve">2023-09-26</t>
        </is>
      </c>
      <c r="I467" s="0" t="inlineStr">
        <is>
          <t xml:space="preserve">no</t>
        </is>
      </c>
      <c r="J467" s="0" t="inlineStr">
        <is>
          <t xml:space="preserve">N0002418R2220</t>
        </is>
      </c>
      <c r="K467" s="0" t="inlineStr">
        <is>
          <t xml:space="preserve">NONE</t>
        </is>
      </c>
    </row>
    <row r="468">
      <c r="B468" s="0" t="inlineStr">
        <is>
          <t xml:space="preserve">N0010422CFA06</t>
        </is>
      </c>
      <c r="D468" s="0" t="inlineStr">
        <is>
          <t xml:space="preserve">small_craft</t>
        </is>
      </c>
      <c r="E468" s="0" t="inlineStr">
        <is>
          <t xml:space="preserve">U.S.A. SPARES INC.</t>
        </is>
      </c>
      <c r="F468" s="0" t="inlineStr">
        <is>
          <t xml:space="preserve">D</t>
        </is>
      </c>
      <c r="G468" s="4">
        <v>0.7283749399999999</v>
      </c>
      <c r="H468" s="0" t="inlineStr">
        <is>
          <t xml:space="preserve">2022-06-03</t>
        </is>
      </c>
      <c r="I468" s="0" t="inlineStr">
        <is>
          <t xml:space="preserve">no</t>
        </is>
      </c>
      <c r="J468" s="0" t="inlineStr">
        <is>
          <t xml:space="preserve">N0010422QFC28</t>
        </is>
      </c>
      <c r="K468" s="0" t="inlineStr">
        <is>
          <t xml:space="preserve">NONE</t>
        </is>
      </c>
    </row>
    <row r="469">
      <c r="B469" s="0" t="inlineStr">
        <is>
          <t xml:space="preserve">N0010422CFA05</t>
        </is>
      </c>
      <c r="D469" s="0" t="inlineStr">
        <is>
          <t xml:space="preserve">small_craft</t>
        </is>
      </c>
      <c r="E469" s="0" t="inlineStr">
        <is>
          <t xml:space="preserve">U.S.A. SPARES INC.</t>
        </is>
      </c>
      <c r="F469" s="0" t="inlineStr">
        <is>
          <t xml:space="preserve">D</t>
        </is>
      </c>
      <c r="G469" s="4">
        <v>0.7283749399999999</v>
      </c>
      <c r="H469" s="0" t="inlineStr">
        <is>
          <t xml:space="preserve">2022-06-03</t>
        </is>
      </c>
      <c r="I469" s="0" t="inlineStr">
        <is>
          <t xml:space="preserve">no</t>
        </is>
      </c>
      <c r="J469" s="0" t="inlineStr">
        <is>
          <t xml:space="preserve">N0010422QFC23</t>
        </is>
      </c>
      <c r="K469" s="0" t="inlineStr">
        <is>
          <t xml:space="preserve">NONE</t>
        </is>
      </c>
    </row>
    <row r="470">
      <c r="B470" s="0" t="inlineStr">
        <is>
          <t xml:space="preserve">N0010422PLC17</t>
        </is>
      </c>
      <c r="D470" s="0" t="inlineStr">
        <is>
          <t xml:space="preserve">small_craft</t>
        </is>
      </c>
      <c r="E470" s="0" t="inlineStr">
        <is>
          <t xml:space="preserve">HY-TEK MANUFACTURING CO., INC.</t>
        </is>
      </c>
      <c r="F470" s="0" t="inlineStr">
        <is>
          <t xml:space="preserve">B</t>
        </is>
      </c>
      <c r="G470" s="4">
        <v>0.7120390999999999</v>
      </c>
      <c r="H470" s="0" t="inlineStr">
        <is>
          <t xml:space="preserve">2022-05-19</t>
        </is>
      </c>
      <c r="I470" s="0" t="inlineStr">
        <is>
          <t xml:space="preserve">no</t>
        </is>
      </c>
      <c r="J470" s="0" t="inlineStr">
        <is>
          <t xml:space="preserve">N0010422QLC47</t>
        </is>
      </c>
      <c r="K470" s="0" t="inlineStr">
        <is>
          <t xml:space="preserve">NONE</t>
        </is>
      </c>
    </row>
    <row r="471">
      <c r="B471" s="0" t="inlineStr">
        <is>
          <t xml:space="preserve">N0010424PFD79</t>
        </is>
      </c>
      <c r="D471" s="0" t="inlineStr">
        <is>
          <t xml:space="preserve">small_craft</t>
        </is>
      </c>
      <c r="E471" s="0" t="inlineStr">
        <is>
          <t xml:space="preserve">CEPEDA ASSOCIATES, INC.</t>
        </is>
      </c>
      <c r="F471" s="0" t="inlineStr">
        <is>
          <t xml:space="preserve">B</t>
        </is>
      </c>
      <c r="G471" s="4">
        <v>0.6983649399999999</v>
      </c>
      <c r="H471" s="0" t="inlineStr">
        <is>
          <t xml:space="preserve">2024-09-24</t>
        </is>
      </c>
      <c r="I471" s="0" t="inlineStr">
        <is>
          <t xml:space="preserve">no</t>
        </is>
      </c>
      <c r="J471" s="0" t="inlineStr">
        <is>
          <t xml:space="preserve">N0010424QFB29</t>
        </is>
      </c>
      <c r="K471" s="0" t="inlineStr">
        <is>
          <t xml:space="preserve">NONE</t>
        </is>
      </c>
    </row>
    <row r="472">
      <c r="B472" s="0" t="inlineStr">
        <is>
          <t xml:space="preserve">N0002418F22T1</t>
        </is>
      </c>
      <c r="C472" s="0" t="inlineStr">
        <is>
          <t xml:space="preserve">N0002416G2218</t>
        </is>
      </c>
      <c r="D472" s="0" t="inlineStr">
        <is>
          <t xml:space="preserve">other_small</t>
        </is>
      </c>
      <c r="E472" s="0" t="inlineStr">
        <is>
          <t xml:space="preserve">AUSTAL USA, LLC</t>
        </is>
      </c>
      <c r="F472" s="0" t="inlineStr">
        <is>
          <t xml:space="preserve">C</t>
        </is>
      </c>
      <c r="G472" s="4">
        <v>0.69758572</v>
      </c>
      <c r="H472" s="0" t="inlineStr">
        <is>
          <t xml:space="preserve">2017-11-06</t>
        </is>
      </c>
      <c r="I472" s="0" t="inlineStr">
        <is>
          <t xml:space="preserve">no</t>
        </is>
      </c>
      <c r="K472" s="0" t="inlineStr">
        <is>
          <t xml:space="preserve">NONE</t>
        </is>
      </c>
    </row>
    <row r="473">
      <c r="B473" s="0" t="inlineStr">
        <is>
          <t xml:space="preserve">N0010421PDC69</t>
        </is>
      </c>
      <c r="D473" s="0" t="inlineStr">
        <is>
          <t xml:space="preserve">small_craft</t>
        </is>
      </c>
      <c r="E473" s="0" t="inlineStr">
        <is>
          <t xml:space="preserve">KIHOMAC INC</t>
        </is>
      </c>
      <c r="F473" s="0" t="inlineStr">
        <is>
          <t xml:space="preserve">B</t>
        </is>
      </c>
      <c r="G473" s="4">
        <v>0.6920999999999999</v>
      </c>
      <c r="H473" s="0" t="inlineStr">
        <is>
          <t xml:space="preserve">2021-08-05</t>
        </is>
      </c>
      <c r="I473" s="0" t="inlineStr">
        <is>
          <t xml:space="preserve">no</t>
        </is>
      </c>
      <c r="J473" s="0" t="inlineStr">
        <is>
          <t xml:space="preserve">N0010421QDC53</t>
        </is>
      </c>
      <c r="K473" s="0" t="inlineStr">
        <is>
          <t xml:space="preserve">NONE</t>
        </is>
      </c>
    </row>
    <row r="474">
      <c r="B474" s="0" t="inlineStr">
        <is>
          <t xml:space="preserve">N3220517F0702</t>
        </is>
      </c>
      <c r="C474" s="0" t="inlineStr">
        <is>
          <t xml:space="preserve">N3220517D4700</t>
        </is>
      </c>
      <c r="D474" s="0" t="inlineStr">
        <is>
          <t xml:space="preserve">other_small</t>
        </is>
      </c>
      <c r="E474" s="0" t="inlineStr">
        <is>
          <t xml:space="preserve">LAKE SHORE SYSTEMS, INC.</t>
        </is>
      </c>
      <c r="F474" s="0" t="inlineStr">
        <is>
          <t xml:space="preserve">C</t>
        </is>
      </c>
      <c r="G474" s="4">
        <v>0.688542</v>
      </c>
      <c r="H474" s="0" t="inlineStr">
        <is>
          <t xml:space="preserve">2017-05-18</t>
        </is>
      </c>
      <c r="I474" s="0" t="inlineStr">
        <is>
          <t xml:space="preserve">no</t>
        </is>
      </c>
      <c r="K474" s="0" t="inlineStr">
        <is>
          <t xml:space="preserve">NONE</t>
        </is>
      </c>
    </row>
    <row r="475">
      <c r="B475" s="0" t="inlineStr">
        <is>
          <t xml:space="preserve">N0002418F22E1</t>
        </is>
      </c>
      <c r="C475" s="0" t="inlineStr">
        <is>
          <t xml:space="preserve">N0002414D2215</t>
        </is>
      </c>
      <c r="D475" s="0" t="inlineStr">
        <is>
          <t xml:space="preserve">small_craft</t>
        </is>
      </c>
      <c r="E475" s="0" t="inlineStr">
        <is>
          <t xml:space="preserve">SILVER SHIPS, INC</t>
        </is>
      </c>
      <c r="F475" s="0" t="inlineStr">
        <is>
          <t xml:space="preserve">C</t>
        </is>
      </c>
      <c r="G475" s="4">
        <v>0.6854665999999999</v>
      </c>
      <c r="H475" s="0" t="inlineStr">
        <is>
          <t xml:space="preserve">2018-09-27</t>
        </is>
      </c>
      <c r="I475" s="0" t="inlineStr">
        <is>
          <t xml:space="preserve">no</t>
        </is>
      </c>
      <c r="J475" s="0" t="inlineStr">
        <is>
          <t xml:space="preserve">N0002413R2215</t>
        </is>
      </c>
      <c r="K475" s="0" t="inlineStr">
        <is>
          <t xml:space="preserve">NONE</t>
        </is>
      </c>
    </row>
    <row r="476">
      <c r="B476" s="0" t="inlineStr">
        <is>
          <t xml:space="preserve">N0010424PXC29</t>
        </is>
      </c>
      <c r="D476" s="0" t="inlineStr">
        <is>
          <t xml:space="preserve">other_small</t>
        </is>
      </c>
      <c r="E476" s="0" t="inlineStr">
        <is>
          <t xml:space="preserve">L3HARRIS GLOBAL COMMUNICATIONS, INC.</t>
        </is>
      </c>
      <c r="F476" s="0" t="inlineStr">
        <is>
          <t xml:space="preserve">B</t>
        </is>
      </c>
      <c r="G476" s="4">
        <v>0.68465375</v>
      </c>
      <c r="H476" s="0" t="inlineStr">
        <is>
          <t xml:space="preserve">2024-09-20</t>
        </is>
      </c>
      <c r="I476" s="0" t="inlineStr">
        <is>
          <t xml:space="preserve">no</t>
        </is>
      </c>
      <c r="K476" s="0" t="inlineStr">
        <is>
          <t xml:space="preserve">NONE</t>
        </is>
      </c>
    </row>
    <row r="477">
      <c r="B477" s="0" t="inlineStr">
        <is>
          <t xml:space="preserve">7N01</t>
        </is>
      </c>
      <c r="C477" s="0" t="inlineStr">
        <is>
          <t xml:space="preserve">N0017814D7631</t>
        </is>
      </c>
      <c r="D477" s="0" t="inlineStr">
        <is>
          <t xml:space="preserve">usv_core</t>
        </is>
      </c>
      <c r="E477" s="0" t="inlineStr">
        <is>
          <t xml:space="preserve">AUSGAR TECHNOLOGIES, INC.</t>
        </is>
      </c>
      <c r="F477" s="0" t="inlineStr">
        <is>
          <t xml:space="preserve">C</t>
        </is>
      </c>
      <c r="G477" s="4">
        <v>0.68329849</v>
      </c>
      <c r="H477" s="0" t="inlineStr">
        <is>
          <t xml:space="preserve">2015-07-23</t>
        </is>
      </c>
      <c r="I477" s="0" t="inlineStr">
        <is>
          <t xml:space="preserve">no</t>
        </is>
      </c>
      <c r="J477" s="0" t="inlineStr">
        <is>
          <t xml:space="preserve">N0002415R3264</t>
        </is>
      </c>
      <c r="K477" s="0" t="inlineStr">
        <is>
          <t xml:space="preserve">NONE</t>
        </is>
      </c>
    </row>
    <row r="478">
      <c r="B478" s="0" t="inlineStr">
        <is>
          <t xml:space="preserve">N0002415C2226</t>
        </is>
      </c>
      <c r="D478" s="0" t="inlineStr">
        <is>
          <t xml:space="preserve">small_craft</t>
        </is>
      </c>
      <c r="E478" s="0" t="inlineStr">
        <is>
          <t xml:space="preserve">NW BEND BOATS, LLC</t>
        </is>
      </c>
      <c r="F478" s="0" t="inlineStr">
        <is>
          <t xml:space="preserve">D</t>
        </is>
      </c>
      <c r="G478" s="4">
        <v>0.67833797</v>
      </c>
      <c r="H478" s="0" t="inlineStr">
        <is>
          <t xml:space="preserve">2015-09-29</t>
        </is>
      </c>
      <c r="I478" s="0" t="inlineStr">
        <is>
          <t xml:space="preserve">no</t>
        </is>
      </c>
      <c r="J478" s="0" t="inlineStr">
        <is>
          <t xml:space="preserve">N0002415R2226</t>
        </is>
      </c>
      <c r="K478" s="0" t="inlineStr">
        <is>
          <t xml:space="preserve">NONE</t>
        </is>
      </c>
    </row>
    <row r="479">
      <c r="B479" s="0" t="inlineStr">
        <is>
          <t xml:space="preserve">N0010424PXD13</t>
        </is>
      </c>
      <c r="D479" s="0" t="inlineStr">
        <is>
          <t xml:space="preserve">small_craft</t>
        </is>
      </c>
      <c r="E479" s="0" t="inlineStr">
        <is>
          <t xml:space="preserve">SHERWOOD AVIONICS AND ACCESSORIES, INC.</t>
        </is>
      </c>
      <c r="F479" s="0" t="inlineStr">
        <is>
          <t xml:space="preserve">B</t>
        </is>
      </c>
      <c r="G479" s="4">
        <v>0.6733199999999999</v>
      </c>
      <c r="H479" s="0" t="inlineStr">
        <is>
          <t xml:space="preserve">2024-08-30</t>
        </is>
      </c>
      <c r="I479" s="0" t="inlineStr">
        <is>
          <t xml:space="preserve">no</t>
        </is>
      </c>
      <c r="K479" s="0" t="inlineStr">
        <is>
          <t xml:space="preserve">NONE</t>
        </is>
      </c>
    </row>
    <row r="480">
      <c r="B480" s="0" t="inlineStr">
        <is>
          <t xml:space="preserve">N0010425PJC66</t>
        </is>
      </c>
      <c r="D480" s="0" t="inlineStr">
        <is>
          <t xml:space="preserve">small_craft</t>
        </is>
      </c>
      <c r="E480" s="0" t="inlineStr">
        <is>
          <t xml:space="preserve">KINGSBURY INC.</t>
        </is>
      </c>
      <c r="F480" s="0" t="inlineStr">
        <is>
          <t xml:space="preserve">B</t>
        </is>
      </c>
      <c r="G480" s="4">
        <v>0.6549999999999999</v>
      </c>
      <c r="H480" s="0" t="inlineStr">
        <is>
          <t xml:space="preserve">2025-08-08</t>
        </is>
      </c>
      <c r="I480" s="0" t="inlineStr">
        <is>
          <t xml:space="preserve">yes</t>
        </is>
      </c>
      <c r="J480" s="0" t="inlineStr">
        <is>
          <t xml:space="preserve">N0010425QJA86</t>
        </is>
      </c>
      <c r="K480" s="0" t="inlineStr">
        <is>
          <t xml:space="preserve">NONE</t>
        </is>
      </c>
    </row>
    <row r="481">
      <c r="B481" s="0" t="inlineStr">
        <is>
          <t xml:space="preserve">N6893626F5006</t>
        </is>
      </c>
      <c r="C481" s="0" t="inlineStr">
        <is>
          <t xml:space="preserve">GS07F224CA</t>
        </is>
      </c>
      <c r="D481" s="0" t="inlineStr">
        <is>
          <t xml:space="preserve">small_craft</t>
        </is>
      </c>
      <c r="E481" s="0" t="inlineStr">
        <is>
          <t xml:space="preserve">THE MOLDING COMPANY, INC.</t>
        </is>
      </c>
      <c r="F481" s="0" t="inlineStr">
        <is>
          <t xml:space="preserve">C</t>
        </is>
      </c>
      <c r="G481" s="4">
        <v>0.6522443499999999</v>
      </c>
      <c r="H481" s="0" t="inlineStr">
        <is>
          <t xml:space="preserve">2025-10-06</t>
        </is>
      </c>
      <c r="I481" s="0" t="inlineStr">
        <is>
          <t xml:space="preserve">yes</t>
        </is>
      </c>
      <c r="K481" s="0" t="inlineStr">
        <is>
          <t xml:space="preserve">NONE</t>
        </is>
      </c>
    </row>
    <row r="482">
      <c r="B482" s="0" t="inlineStr">
        <is>
          <t xml:space="preserve">N0002415F2203</t>
        </is>
      </c>
      <c r="C482" s="0" t="inlineStr">
        <is>
          <t xml:space="preserve">GS07F0034J</t>
        </is>
      </c>
      <c r="D482" s="0" t="inlineStr">
        <is>
          <t xml:space="preserve">small_craft</t>
        </is>
      </c>
      <c r="E482" s="0" t="inlineStr">
        <is>
          <t xml:space="preserve">SILVER SHIPS, INC</t>
        </is>
      </c>
      <c r="F482" s="0" t="inlineStr">
        <is>
          <t xml:space="preserve">C</t>
        </is>
      </c>
      <c r="G482" s="4">
        <v>0.651565</v>
      </c>
      <c r="H482" s="0" t="inlineStr">
        <is>
          <t xml:space="preserve">2015-09-02</t>
        </is>
      </c>
      <c r="I482" s="0" t="inlineStr">
        <is>
          <t xml:space="preserve">no</t>
        </is>
      </c>
      <c r="K482" s="0" t="inlineStr">
        <is>
          <t xml:space="preserve">NONE</t>
        </is>
      </c>
    </row>
    <row r="483">
      <c r="B483" s="0" t="inlineStr">
        <is>
          <t xml:space="preserve">N0016422CJR93</t>
        </is>
      </c>
      <c r="D483" s="0" t="inlineStr">
        <is>
          <t xml:space="preserve">small_craft</t>
        </is>
      </c>
      <c r="E483" s="0" t="inlineStr">
        <is>
          <t xml:space="preserve">HYDRONALIX INC</t>
        </is>
      </c>
      <c r="F483" s="0" t="inlineStr">
        <is>
          <t xml:space="preserve">D</t>
        </is>
      </c>
      <c r="G483" s="4">
        <v>0.64986216</v>
      </c>
      <c r="H483" s="0" t="inlineStr">
        <is>
          <t xml:space="preserve">2022-04-11</t>
        </is>
      </c>
      <c r="I483" s="0" t="inlineStr">
        <is>
          <t xml:space="preserve">no</t>
        </is>
      </c>
      <c r="K483" s="0" t="inlineStr">
        <is>
          <t xml:space="preserve">NONE</t>
        </is>
      </c>
    </row>
    <row r="484">
      <c r="B484" s="0" t="inlineStr">
        <is>
          <t xml:space="preserve">N0002425F4118</t>
        </is>
      </c>
      <c r="C484" s="0" t="inlineStr">
        <is>
          <t xml:space="preserve">N0002425G4139</t>
        </is>
      </c>
      <c r="D484" s="0" t="inlineStr">
        <is>
          <t xml:space="preserve">small_craft</t>
        </is>
      </c>
      <c r="E484" s="0" t="inlineStr">
        <is>
          <t xml:space="preserve">UNITED STATES MARINE INC</t>
        </is>
      </c>
      <c r="F484" s="0" t="inlineStr">
        <is>
          <t xml:space="preserve">C</t>
        </is>
      </c>
      <c r="G484" s="4">
        <v>0.6486449999999999</v>
      </c>
      <c r="H484" s="0" t="inlineStr">
        <is>
          <t xml:space="preserve">2025-07-16</t>
        </is>
      </c>
      <c r="I484" s="0" t="inlineStr">
        <is>
          <t xml:space="preserve">yes</t>
        </is>
      </c>
      <c r="K484" s="0" t="inlineStr">
        <is>
          <t xml:space="preserve">NONE</t>
        </is>
      </c>
    </row>
    <row r="485">
      <c r="B485" s="0" t="inlineStr">
        <is>
          <t xml:space="preserve">N0010422PLC04</t>
        </is>
      </c>
      <c r="D485" s="0" t="inlineStr">
        <is>
          <t xml:space="preserve">small_craft</t>
        </is>
      </c>
      <c r="E485" s="0" t="inlineStr">
        <is>
          <t xml:space="preserve">ECI DEFENSE GROUP, INC.</t>
        </is>
      </c>
      <c r="F485" s="0" t="inlineStr">
        <is>
          <t xml:space="preserve">B</t>
        </is>
      </c>
      <c r="G485" s="4">
        <v>0.6455995999999999</v>
      </c>
      <c r="H485" s="0" t="inlineStr">
        <is>
          <t xml:space="preserve">2022-09-08</t>
        </is>
      </c>
      <c r="I485" s="0" t="inlineStr">
        <is>
          <t xml:space="preserve">no</t>
        </is>
      </c>
      <c r="K485" s="0" t="inlineStr">
        <is>
          <t xml:space="preserve">NONE</t>
        </is>
      </c>
    </row>
    <row r="486">
      <c r="B486" s="0" t="inlineStr">
        <is>
          <t xml:space="preserve">N0010424PF008</t>
        </is>
      </c>
      <c r="D486" s="0" t="inlineStr">
        <is>
          <t xml:space="preserve">small_craft</t>
        </is>
      </c>
      <c r="E486" s="0" t="inlineStr">
        <is>
          <t xml:space="preserve">DEFENSE MARITIME SOLUTIONS, INC.</t>
        </is>
      </c>
      <c r="F486" s="0" t="inlineStr">
        <is>
          <t xml:space="preserve">B</t>
        </is>
      </c>
      <c r="G486" s="4">
        <v>0.642</v>
      </c>
      <c r="H486" s="0" t="inlineStr">
        <is>
          <t xml:space="preserve">2024-05-28</t>
        </is>
      </c>
      <c r="I486" s="0" t="inlineStr">
        <is>
          <t xml:space="preserve">no</t>
        </is>
      </c>
      <c r="J486" s="0" t="inlineStr">
        <is>
          <t xml:space="preserve">N0010424QF010</t>
        </is>
      </c>
      <c r="K486" s="0" t="inlineStr">
        <is>
          <t xml:space="preserve">NONE</t>
        </is>
      </c>
    </row>
    <row r="487">
      <c r="B487" s="0" t="inlineStr">
        <is>
          <t xml:space="preserve">N0002421C2200</t>
        </is>
      </c>
      <c r="D487" s="0" t="inlineStr">
        <is>
          <t xml:space="preserve">small_craft</t>
        </is>
      </c>
      <c r="E487" s="0" t="inlineStr">
        <is>
          <t xml:space="preserve">THOMAS JENKINS</t>
        </is>
      </c>
      <c r="F487" s="0" t="inlineStr">
        <is>
          <t xml:space="preserve">D</t>
        </is>
      </c>
      <c r="G487" s="4">
        <v>0.642</v>
      </c>
      <c r="H487" s="0" t="inlineStr">
        <is>
          <t xml:space="preserve">2020-11-02</t>
        </is>
      </c>
      <c r="I487" s="0" t="inlineStr">
        <is>
          <t xml:space="preserve">no</t>
        </is>
      </c>
      <c r="J487" s="0" t="inlineStr">
        <is>
          <t xml:space="preserve">N0002420R2200</t>
        </is>
      </c>
      <c r="K487" s="0" t="inlineStr">
        <is>
          <t xml:space="preserve">NONE</t>
        </is>
      </c>
    </row>
    <row r="488">
      <c r="B488" s="0" t="inlineStr">
        <is>
          <t xml:space="preserve">N0010425PF005</t>
        </is>
      </c>
      <c r="D488" s="0" t="inlineStr">
        <is>
          <t xml:space="preserve">small_craft</t>
        </is>
      </c>
      <c r="E488" s="0" t="inlineStr">
        <is>
          <t xml:space="preserve">DEFENSE MARITIME SOLUTIONS, INC.</t>
        </is>
      </c>
      <c r="F488" s="0" t="inlineStr">
        <is>
          <t xml:space="preserve">B</t>
        </is>
      </c>
      <c r="G488" s="4">
        <v>0.639351</v>
      </c>
      <c r="H488" s="0" t="inlineStr">
        <is>
          <t xml:space="preserve">2025-04-25</t>
        </is>
      </c>
      <c r="I488" s="0" t="inlineStr">
        <is>
          <t xml:space="preserve">no</t>
        </is>
      </c>
      <c r="J488" s="0" t="inlineStr">
        <is>
          <t xml:space="preserve">N0010425QF011</t>
        </is>
      </c>
      <c r="K488" s="0" t="inlineStr">
        <is>
          <t xml:space="preserve">NONE</t>
        </is>
      </c>
    </row>
    <row r="489">
      <c r="B489" s="0" t="inlineStr">
        <is>
          <t xml:space="preserve">N0002419F22F2</t>
        </is>
      </c>
      <c r="C489" s="0" t="inlineStr">
        <is>
          <t xml:space="preserve">N0002414D2221</t>
        </is>
      </c>
      <c r="D489" s="0" t="inlineStr">
        <is>
          <t xml:space="preserve">small_craft</t>
        </is>
      </c>
      <c r="E489" s="0" t="inlineStr">
        <is>
          <t xml:space="preserve">WORKSKIFF, INC.</t>
        </is>
      </c>
      <c r="F489" s="0" t="inlineStr">
        <is>
          <t xml:space="preserve">C</t>
        </is>
      </c>
      <c r="G489" s="4">
        <v>0.6364031800000001</v>
      </c>
      <c r="H489" s="0" t="inlineStr">
        <is>
          <t xml:space="preserve">2019-02-26</t>
        </is>
      </c>
      <c r="I489" s="0" t="inlineStr">
        <is>
          <t xml:space="preserve">no</t>
        </is>
      </c>
      <c r="J489" s="0" t="inlineStr">
        <is>
          <t xml:space="preserve">N0002414R2221</t>
        </is>
      </c>
      <c r="K489" s="0" t="inlineStr">
        <is>
          <t xml:space="preserve">NONE</t>
        </is>
      </c>
    </row>
    <row r="490">
      <c r="B490" s="0" t="inlineStr">
        <is>
          <t xml:space="preserve">N6523622F0142</t>
        </is>
      </c>
      <c r="C490" s="0" t="inlineStr">
        <is>
          <t xml:space="preserve">N6523620D8024</t>
        </is>
      </c>
      <c r="D490" s="0" t="inlineStr">
        <is>
          <t xml:space="preserve">usv_core</t>
        </is>
      </c>
      <c r="E490" s="0" t="inlineStr">
        <is>
          <t xml:space="preserve">W R SYSTEMS LTD.</t>
        </is>
      </c>
      <c r="F490" s="0" t="inlineStr">
        <is>
          <t xml:space="preserve">C</t>
        </is>
      </c>
      <c r="G490" s="4">
        <v>0.6348357299999999</v>
      </c>
      <c r="H490" s="0" t="inlineStr">
        <is>
          <t xml:space="preserve">2022-03-03</t>
        </is>
      </c>
      <c r="I490" s="0" t="inlineStr">
        <is>
          <t xml:space="preserve">no</t>
        </is>
      </c>
      <c r="J490" s="0" t="inlineStr">
        <is>
          <t xml:space="preserve">N6523617R0008</t>
        </is>
      </c>
      <c r="K490" s="0" t="inlineStr">
        <is>
          <t xml:space="preserve">NONE</t>
        </is>
      </c>
    </row>
    <row r="491">
      <c r="B491" s="0" t="inlineStr">
        <is>
          <t xml:space="preserve">N0003922F1046</t>
        </is>
      </c>
      <c r="C491" s="0" t="inlineStr">
        <is>
          <t xml:space="preserve">N0003921D6001</t>
        </is>
      </c>
      <c r="D491" s="0" t="inlineStr">
        <is>
          <t xml:space="preserve">small_craft</t>
        </is>
      </c>
      <c r="E491" s="0" t="inlineStr">
        <is>
          <t xml:space="preserve">TELEDYNE BROWN ENGINEERING, INC.</t>
        </is>
      </c>
      <c r="F491" s="0" t="inlineStr">
        <is>
          <t xml:space="preserve">C</t>
        </is>
      </c>
      <c r="G491" s="4">
        <v>0.6347656999999999</v>
      </c>
      <c r="H491" s="0" t="inlineStr">
        <is>
          <t xml:space="preserve">2022-09-26</t>
        </is>
      </c>
      <c r="I491" s="0" t="inlineStr">
        <is>
          <t xml:space="preserve">no</t>
        </is>
      </c>
      <c r="J491" s="0" t="inlineStr">
        <is>
          <t xml:space="preserve">N0003921R1000</t>
        </is>
      </c>
      <c r="K491" s="0" t="inlineStr">
        <is>
          <t xml:space="preserve">NONE</t>
        </is>
      </c>
    </row>
    <row r="492">
      <c r="B492" s="0" t="inlineStr">
        <is>
          <t xml:space="preserve">N0003924F1017</t>
        </is>
      </c>
      <c r="C492" s="0" t="inlineStr">
        <is>
          <t xml:space="preserve">N0003921D6001</t>
        </is>
      </c>
      <c r="D492" s="0" t="inlineStr">
        <is>
          <t xml:space="preserve">small_craft</t>
        </is>
      </c>
      <c r="E492" s="0" t="inlineStr">
        <is>
          <t xml:space="preserve">TELEDYNE BROWN ENGINEERING, INC.</t>
        </is>
      </c>
      <c r="F492" s="0" t="inlineStr">
        <is>
          <t xml:space="preserve">C</t>
        </is>
      </c>
      <c r="G492" s="4">
        <v>0.63367608</v>
      </c>
      <c r="H492" s="0" t="inlineStr">
        <is>
          <t xml:space="preserve">2024-04-22</t>
        </is>
      </c>
      <c r="I492" s="0" t="inlineStr">
        <is>
          <t xml:space="preserve">no</t>
        </is>
      </c>
      <c r="J492" s="0" t="inlineStr">
        <is>
          <t xml:space="preserve">N0003921R1000</t>
        </is>
      </c>
      <c r="K492" s="0" t="inlineStr">
        <is>
          <t xml:space="preserve">NONE</t>
        </is>
      </c>
    </row>
    <row r="493">
      <c r="B493" s="0" t="inlineStr">
        <is>
          <t xml:space="preserve">N0002417C2225</t>
        </is>
      </c>
      <c r="D493" s="0" t="inlineStr">
        <is>
          <t xml:space="preserve">small_craft</t>
        </is>
      </c>
      <c r="E493" s="0" t="inlineStr">
        <is>
          <t xml:space="preserve">DEFENDER INDUSTRIES, INC.</t>
        </is>
      </c>
      <c r="F493" s="0" t="inlineStr">
        <is>
          <t xml:space="preserve">D</t>
        </is>
      </c>
      <c r="G493" s="4">
        <v>0.62651942</v>
      </c>
      <c r="H493" s="0" t="inlineStr">
        <is>
          <t xml:space="preserve">2017-05-05</t>
        </is>
      </c>
      <c r="I493" s="0" t="inlineStr">
        <is>
          <t xml:space="preserve">no</t>
        </is>
      </c>
      <c r="J493" s="0" t="inlineStr">
        <is>
          <t xml:space="preserve">N0002417R2225</t>
        </is>
      </c>
      <c r="K493" s="0" t="inlineStr">
        <is>
          <t xml:space="preserve">NONE</t>
        </is>
      </c>
    </row>
    <row r="494">
      <c r="B494" s="0" t="inlineStr">
        <is>
          <t xml:space="preserve">N0003921F6009</t>
        </is>
      </c>
      <c r="C494" s="0" t="inlineStr">
        <is>
          <t xml:space="preserve">N0003921D1003</t>
        </is>
      </c>
      <c r="D494" s="0" t="inlineStr">
        <is>
          <t xml:space="preserve">other_small</t>
        </is>
      </c>
      <c r="E494" s="0" t="inlineStr">
        <is>
          <t xml:space="preserve">TELEDYNE BROWN ENGINEERING, INC.</t>
        </is>
      </c>
      <c r="F494" s="0" t="inlineStr">
        <is>
          <t xml:space="preserve">C</t>
        </is>
      </c>
      <c r="G494" s="4">
        <v>0.6209984399999999</v>
      </c>
      <c r="H494" s="0" t="inlineStr">
        <is>
          <t xml:space="preserve">2021-04-20</t>
        </is>
      </c>
      <c r="I494" s="0" t="inlineStr">
        <is>
          <t xml:space="preserve">no</t>
        </is>
      </c>
      <c r="J494" s="0" t="inlineStr">
        <is>
          <t xml:space="preserve">N0003920R0083</t>
        </is>
      </c>
      <c r="K494" s="0" t="inlineStr">
        <is>
          <t xml:space="preserve">NONE</t>
        </is>
      </c>
    </row>
    <row r="495">
      <c r="B495" s="0" t="inlineStr">
        <is>
          <t xml:space="preserve">0001</t>
        </is>
      </c>
      <c r="C495" s="0" t="inlineStr">
        <is>
          <t xml:space="preserve">N0002414D2221</t>
        </is>
      </c>
      <c r="D495" s="0" t="inlineStr">
        <is>
          <t xml:space="preserve">small_craft</t>
        </is>
      </c>
      <c r="E495" s="0" t="inlineStr">
        <is>
          <t xml:space="preserve">WORKSKIFF, INC.</t>
        </is>
      </c>
      <c r="F495" s="0" t="inlineStr">
        <is>
          <t xml:space="preserve">C</t>
        </is>
      </c>
      <c r="G495" s="4">
        <v>0.61737088</v>
      </c>
      <c r="H495" s="0" t="inlineStr">
        <is>
          <t xml:space="preserve">2014-07-22</t>
        </is>
      </c>
      <c r="I495" s="0" t="inlineStr">
        <is>
          <t xml:space="preserve">no</t>
        </is>
      </c>
      <c r="J495" s="0" t="inlineStr">
        <is>
          <t xml:space="preserve">N0002414R2221</t>
        </is>
      </c>
      <c r="K495" s="0" t="inlineStr">
        <is>
          <t xml:space="preserve">NONE</t>
        </is>
      </c>
    </row>
    <row r="496">
      <c r="B496" s="0" t="inlineStr">
        <is>
          <t xml:space="preserve">0002</t>
        </is>
      </c>
      <c r="C496" s="0" t="inlineStr">
        <is>
          <t xml:space="preserve">N6893615D0002</t>
        </is>
      </c>
      <c r="D496" s="0" t="inlineStr">
        <is>
          <t xml:space="preserve">small_craft</t>
        </is>
      </c>
      <c r="E496" s="0" t="inlineStr">
        <is>
          <t xml:space="preserve">THE MOLDING COMPANY, INC.</t>
        </is>
      </c>
      <c r="F496" s="0" t="inlineStr">
        <is>
          <t xml:space="preserve">C</t>
        </is>
      </c>
      <c r="G496" s="4">
        <v>0.6160108799999999</v>
      </c>
      <c r="H496" s="0" t="inlineStr">
        <is>
          <t xml:space="preserve">2015-03-23</t>
        </is>
      </c>
      <c r="I496" s="0" t="inlineStr">
        <is>
          <t xml:space="preserve">no</t>
        </is>
      </c>
      <c r="J496" s="0" t="inlineStr">
        <is>
          <t xml:space="preserve">N6893614R0112</t>
        </is>
      </c>
      <c r="K496" s="0" t="inlineStr">
        <is>
          <t xml:space="preserve">NONE</t>
        </is>
      </c>
    </row>
    <row r="497">
      <c r="B497" s="0" t="inlineStr">
        <is>
          <t xml:space="preserve">N0010425PF003</t>
        </is>
      </c>
      <c r="D497" s="0" t="inlineStr">
        <is>
          <t xml:space="preserve">small_craft</t>
        </is>
      </c>
      <c r="E497" s="0" t="inlineStr">
        <is>
          <t xml:space="preserve">DEFENSE MARITIME SOLUTIONS, INC.</t>
        </is>
      </c>
      <c r="F497" s="0" t="inlineStr">
        <is>
          <t xml:space="preserve">B</t>
        </is>
      </c>
      <c r="G497" s="4">
        <v>0.61277324</v>
      </c>
      <c r="H497" s="0" t="inlineStr">
        <is>
          <t xml:space="preserve">2025-02-10</t>
        </is>
      </c>
      <c r="I497" s="0" t="inlineStr">
        <is>
          <t xml:space="preserve">no</t>
        </is>
      </c>
      <c r="J497" s="0" t="inlineStr">
        <is>
          <t xml:space="preserve">N0010425QF003</t>
        </is>
      </c>
      <c r="K497" s="0" t="inlineStr">
        <is>
          <t xml:space="preserve">NONE</t>
        </is>
      </c>
    </row>
    <row r="498">
      <c r="B498" s="0" t="inlineStr">
        <is>
          <t xml:space="preserve">N0010425PJB97</t>
        </is>
      </c>
      <c r="D498" s="0" t="inlineStr">
        <is>
          <t xml:space="preserve">small_craft</t>
        </is>
      </c>
      <c r="E498" s="0" t="inlineStr">
        <is>
          <t xml:space="preserve">DEFENSE MARITIME SOLUTIONS, INC.</t>
        </is>
      </c>
      <c r="F498" s="0" t="inlineStr">
        <is>
          <t xml:space="preserve">B</t>
        </is>
      </c>
      <c r="G498" s="4">
        <v>0.60782956</v>
      </c>
      <c r="H498" s="0" t="inlineStr">
        <is>
          <t xml:space="preserve">2025-05-22</t>
        </is>
      </c>
      <c r="I498" s="0" t="inlineStr">
        <is>
          <t xml:space="preserve">no</t>
        </is>
      </c>
      <c r="J498" s="0" t="inlineStr">
        <is>
          <t xml:space="preserve">N0010425QJB77</t>
        </is>
      </c>
      <c r="K498" s="0" t="inlineStr">
        <is>
          <t xml:space="preserve">NONE</t>
        </is>
      </c>
    </row>
    <row r="499">
      <c r="B499" s="0" t="inlineStr">
        <is>
          <t xml:space="preserve">N6660425FC849</t>
        </is>
      </c>
      <c r="C499" s="0" t="inlineStr">
        <is>
          <t xml:space="preserve">N6660418DC815</t>
        </is>
      </c>
      <c r="D499" s="0" t="inlineStr">
        <is>
          <t xml:space="preserve">small_craft</t>
        </is>
      </c>
      <c r="E499" s="0" t="inlineStr">
        <is>
          <t xml:space="preserve">LOCKHEED MARTIN CORPORATION</t>
        </is>
      </c>
      <c r="F499" s="0" t="inlineStr">
        <is>
          <t xml:space="preserve">C</t>
        </is>
      </c>
      <c r="G499" s="4">
        <v>0.599</v>
      </c>
      <c r="H499" s="0" t="inlineStr">
        <is>
          <t xml:space="preserve">2025-06-17</t>
        </is>
      </c>
      <c r="I499" s="0" t="inlineStr">
        <is>
          <t xml:space="preserve">no</t>
        </is>
      </c>
      <c r="K499" s="0" t="inlineStr">
        <is>
          <t xml:space="preserve">NONE</t>
        </is>
      </c>
    </row>
    <row r="500">
      <c r="B500" s="0" t="inlineStr">
        <is>
          <t xml:space="preserve">N0010423PZB37</t>
        </is>
      </c>
      <c r="D500" s="0" t="inlineStr">
        <is>
          <t xml:space="preserve">small_craft</t>
        </is>
      </c>
      <c r="E500" s="0" t="inlineStr">
        <is>
          <t xml:space="preserve">GK MECHANICAL SYSTEMS LLC</t>
        </is>
      </c>
      <c r="F500" s="0" t="inlineStr">
        <is>
          <t xml:space="preserve">B</t>
        </is>
      </c>
      <c r="G500" s="4">
        <v>0.592128</v>
      </c>
      <c r="H500" s="0" t="inlineStr">
        <is>
          <t xml:space="preserve">2023-08-30</t>
        </is>
      </c>
      <c r="I500" s="0" t="inlineStr">
        <is>
          <t xml:space="preserve">no</t>
        </is>
      </c>
      <c r="J500" s="0" t="inlineStr">
        <is>
          <t xml:space="preserve">N0010423QZB92</t>
        </is>
      </c>
      <c r="K500" s="0" t="inlineStr">
        <is>
          <t xml:space="preserve">NONE</t>
        </is>
      </c>
    </row>
    <row r="501">
      <c r="B501" s="0" t="inlineStr">
        <is>
          <t xml:space="preserve">N0010416CFA60</t>
        </is>
      </c>
      <c r="D501" s="0" t="inlineStr">
        <is>
          <t xml:space="preserve">small_craft</t>
        </is>
      </c>
      <c r="E501" s="0" t="inlineStr">
        <is>
          <t xml:space="preserve">MENDENHALL TECHNICAL SERVICES, INC.</t>
        </is>
      </c>
      <c r="F501" s="0" t="inlineStr">
        <is>
          <t xml:space="preserve">D</t>
        </is>
      </c>
      <c r="G501" s="4">
        <v>0.59</v>
      </c>
      <c r="H501" s="0" t="inlineStr">
        <is>
          <t xml:space="preserve">2016-09-15</t>
        </is>
      </c>
      <c r="I501" s="0" t="inlineStr">
        <is>
          <t xml:space="preserve">no</t>
        </is>
      </c>
      <c r="J501" s="0" t="inlineStr">
        <is>
          <t xml:space="preserve">N0010416RFA55</t>
        </is>
      </c>
      <c r="K501" s="0" t="inlineStr">
        <is>
          <t xml:space="preserve">NONE</t>
        </is>
      </c>
    </row>
    <row r="502">
      <c r="B502" s="0" t="inlineStr">
        <is>
          <t xml:space="preserve">N0010424CBA42</t>
        </is>
      </c>
      <c r="D502" s="0" t="inlineStr">
        <is>
          <t xml:space="preserve">small_craft</t>
        </is>
      </c>
      <c r="E502" s="0" t="inlineStr">
        <is>
          <t xml:space="preserve">NATSTAR DEFENSE INC</t>
        </is>
      </c>
      <c r="F502" s="0" t="inlineStr">
        <is>
          <t xml:space="preserve">D</t>
        </is>
      </c>
      <c r="G502" s="4">
        <v>0.576166</v>
      </c>
      <c r="H502" s="0" t="inlineStr">
        <is>
          <t xml:space="preserve">2024-09-12</t>
        </is>
      </c>
      <c r="I502" s="0" t="inlineStr">
        <is>
          <t xml:space="preserve">no</t>
        </is>
      </c>
      <c r="J502" s="0" t="inlineStr">
        <is>
          <t xml:space="preserve">N0010424RBX05</t>
        </is>
      </c>
      <c r="K502" s="0" t="inlineStr">
        <is>
          <t xml:space="preserve">NONE</t>
        </is>
      </c>
    </row>
    <row r="503">
      <c r="B503" s="0" t="inlineStr">
        <is>
          <t xml:space="preserve">N0010423PCC42</t>
        </is>
      </c>
      <c r="D503" s="0" t="inlineStr">
        <is>
          <t xml:space="preserve">small_craft</t>
        </is>
      </c>
      <c r="E503" s="0" t="inlineStr">
        <is>
          <t xml:space="preserve">CURTISS-WRIGHT ELECTRO-MECHANICAL CORP</t>
        </is>
      </c>
      <c r="F503" s="0" t="inlineStr">
        <is>
          <t xml:space="preserve">B</t>
        </is>
      </c>
      <c r="G503" s="4">
        <v>0.569184</v>
      </c>
      <c r="H503" s="0" t="inlineStr">
        <is>
          <t xml:space="preserve">2023-07-20</t>
        </is>
      </c>
      <c r="I503" s="0" t="inlineStr">
        <is>
          <t xml:space="preserve">no</t>
        </is>
      </c>
      <c r="K503" s="0" t="inlineStr">
        <is>
          <t xml:space="preserve">NONE</t>
        </is>
      </c>
    </row>
    <row r="504">
      <c r="B504" s="0" t="inlineStr">
        <is>
          <t xml:space="preserve">N0002419F22F3</t>
        </is>
      </c>
      <c r="C504" s="0" t="inlineStr">
        <is>
          <t xml:space="preserve">N0002414D2221</t>
        </is>
      </c>
      <c r="D504" s="0" t="inlineStr">
        <is>
          <t xml:space="preserve">small_craft</t>
        </is>
      </c>
      <c r="E504" s="0" t="inlineStr">
        <is>
          <t xml:space="preserve">WORKSKIFF, INC.</t>
        </is>
      </c>
      <c r="F504" s="0" t="inlineStr">
        <is>
          <t xml:space="preserve">C</t>
        </is>
      </c>
      <c r="G504" s="4">
        <v>0.56498066</v>
      </c>
      <c r="H504" s="0" t="inlineStr">
        <is>
          <t xml:space="preserve">2019-02-26</t>
        </is>
      </c>
      <c r="I504" s="0" t="inlineStr">
        <is>
          <t xml:space="preserve">no</t>
        </is>
      </c>
      <c r="J504" s="0" t="inlineStr">
        <is>
          <t xml:space="preserve">N0002414R2221</t>
        </is>
      </c>
      <c r="K504" s="0" t="inlineStr">
        <is>
          <t xml:space="preserve">NONE</t>
        </is>
      </c>
    </row>
    <row r="505">
      <c r="B505" s="0" t="inlineStr">
        <is>
          <t xml:space="preserve">N0010420PFB61</t>
        </is>
      </c>
      <c r="D505" s="0" t="inlineStr">
        <is>
          <t xml:space="preserve">small_craft</t>
        </is>
      </c>
      <c r="E505" s="0" t="inlineStr">
        <is>
          <t xml:space="preserve">CEPEDA ASSOCIATES, INC.</t>
        </is>
      </c>
      <c r="F505" s="0" t="inlineStr">
        <is>
          <t xml:space="preserve">B</t>
        </is>
      </c>
      <c r="G505" s="4">
        <v>0.564916</v>
      </c>
      <c r="H505" s="0" t="inlineStr">
        <is>
          <t xml:space="preserve">2020-04-30</t>
        </is>
      </c>
      <c r="I505" s="0" t="inlineStr">
        <is>
          <t xml:space="preserve">no</t>
        </is>
      </c>
      <c r="J505" s="0" t="inlineStr">
        <is>
          <t xml:space="preserve">N0010420QFB14</t>
        </is>
      </c>
      <c r="K505" s="0" t="inlineStr">
        <is>
          <t xml:space="preserve">NONE</t>
        </is>
      </c>
    </row>
    <row r="506">
      <c r="B506" s="0" t="inlineStr">
        <is>
          <t xml:space="preserve">N6600125F0657</t>
        </is>
      </c>
      <c r="C506" s="0" t="inlineStr">
        <is>
          <t xml:space="preserve">N6600120D3423</t>
        </is>
      </c>
      <c r="D506" s="0" t="inlineStr">
        <is>
          <t xml:space="preserve">usv_core</t>
        </is>
      </c>
      <c r="E506" s="0" t="inlineStr">
        <is>
          <t xml:space="preserve">SYSTEMS TECHNOLOGY FORUM, LTD.</t>
        </is>
      </c>
      <c r="F506" s="0" t="inlineStr">
        <is>
          <t xml:space="preserve">C</t>
        </is>
      </c>
      <c r="G506" s="4">
        <v>0.5562054</v>
      </c>
      <c r="H506" s="0" t="inlineStr">
        <is>
          <t xml:space="preserve">2025-06-30</t>
        </is>
      </c>
      <c r="I506" s="0" t="inlineStr">
        <is>
          <t xml:space="preserve">yes</t>
        </is>
      </c>
      <c r="J506" s="0" t="inlineStr">
        <is>
          <t xml:space="preserve">N6600119R0001</t>
        </is>
      </c>
      <c r="K506" s="0" t="inlineStr">
        <is>
          <t xml:space="preserve">NONE</t>
        </is>
      </c>
    </row>
    <row r="507">
      <c r="B507" s="0" t="inlineStr">
        <is>
          <t xml:space="preserve">N0003923F1023</t>
        </is>
      </c>
      <c r="C507" s="0" t="inlineStr">
        <is>
          <t xml:space="preserve">N0003921D6001</t>
        </is>
      </c>
      <c r="D507" s="0" t="inlineStr">
        <is>
          <t xml:space="preserve">small_craft</t>
        </is>
      </c>
      <c r="E507" s="0" t="inlineStr">
        <is>
          <t xml:space="preserve">TELEDYNE BROWN ENGINEERING, INC.</t>
        </is>
      </c>
      <c r="F507" s="0" t="inlineStr">
        <is>
          <t xml:space="preserve">C</t>
        </is>
      </c>
      <c r="G507" s="4">
        <v>0.5532511</v>
      </c>
      <c r="H507" s="0" t="inlineStr">
        <is>
          <t xml:space="preserve">2023-04-27</t>
        </is>
      </c>
      <c r="I507" s="0" t="inlineStr">
        <is>
          <t xml:space="preserve">no</t>
        </is>
      </c>
      <c r="J507" s="0" t="inlineStr">
        <is>
          <t xml:space="preserve">N0003921R1000</t>
        </is>
      </c>
      <c r="K507" s="0" t="inlineStr">
        <is>
          <t xml:space="preserve">NONE</t>
        </is>
      </c>
    </row>
    <row r="508">
      <c r="B508" s="0" t="inlineStr">
        <is>
          <t xml:space="preserve">N6600118F0094</t>
        </is>
      </c>
      <c r="C508" s="0" t="inlineStr">
        <is>
          <t xml:space="preserve">N6600116D0025</t>
        </is>
      </c>
      <c r="D508" s="0" t="inlineStr">
        <is>
          <t xml:space="preserve">usv_core</t>
        </is>
      </c>
      <c r="E508" s="0" t="inlineStr">
        <is>
          <t xml:space="preserve">COLSA CORP</t>
        </is>
      </c>
      <c r="F508" s="0" t="inlineStr">
        <is>
          <t xml:space="preserve">C</t>
        </is>
      </c>
      <c r="G508" s="4">
        <v>0.5499999999999999</v>
      </c>
      <c r="H508" s="0" t="inlineStr">
        <is>
          <t xml:space="preserve">2017-11-16</t>
        </is>
      </c>
      <c r="I508" s="0" t="inlineStr">
        <is>
          <t xml:space="preserve">no</t>
        </is>
      </c>
      <c r="J508" s="0" t="inlineStr">
        <is>
          <t xml:space="preserve">N6600115R0003</t>
        </is>
      </c>
      <c r="K508" s="0" t="inlineStr">
        <is>
          <t xml:space="preserve">NONE</t>
        </is>
      </c>
    </row>
    <row r="509">
      <c r="B509" s="0" t="inlineStr">
        <is>
          <t xml:space="preserve">N0010424PLD95</t>
        </is>
      </c>
      <c r="D509" s="0" t="inlineStr">
        <is>
          <t xml:space="preserve">small_craft</t>
        </is>
      </c>
      <c r="E509" s="0" t="inlineStr">
        <is>
          <t xml:space="preserve">INTEGRATED PROCUREMENT TECHNOLOGIES</t>
        </is>
      </c>
      <c r="F509" s="0" t="inlineStr">
        <is>
          <t xml:space="preserve">B</t>
        </is>
      </c>
      <c r="G509" s="4">
        <v>0.5499999999999999</v>
      </c>
      <c r="H509" s="0" t="inlineStr">
        <is>
          <t xml:space="preserve">2024-09-05</t>
        </is>
      </c>
      <c r="I509" s="0" t="inlineStr">
        <is>
          <t xml:space="preserve">no</t>
        </is>
      </c>
      <c r="K509" s="0" t="inlineStr">
        <is>
          <t xml:space="preserve">NONE</t>
        </is>
      </c>
    </row>
    <row r="510">
      <c r="B510" s="0" t="inlineStr">
        <is>
          <t xml:space="preserve">N4044207P5273</t>
        </is>
      </c>
      <c r="D510" s="0" t="inlineStr">
        <is>
          <t xml:space="preserve">other_small</t>
        </is>
      </c>
      <c r="E510" s="0" t="inlineStr">
        <is>
          <t xml:space="preserve">MI-TECH INC</t>
        </is>
      </c>
      <c r="F510" s="0" t="inlineStr">
        <is>
          <t xml:space="preserve">B</t>
        </is>
      </c>
      <c r="G510" s="4">
        <v>0.54896927</v>
      </c>
      <c r="H510" s="0" t="inlineStr">
        <is>
          <t xml:space="preserve">2007-02-09</t>
        </is>
      </c>
      <c r="I510" s="0" t="inlineStr">
        <is>
          <t xml:space="preserve">no</t>
        </is>
      </c>
      <c r="J510" s="0" t="inlineStr">
        <is>
          <t xml:space="preserve">N4044207T5180</t>
        </is>
      </c>
      <c r="K510" s="0" t="inlineStr">
        <is>
          <t xml:space="preserve">NONE</t>
        </is>
      </c>
    </row>
    <row r="511">
      <c r="B511" s="0" t="inlineStr">
        <is>
          <t xml:space="preserve">N0010422PNC20</t>
        </is>
      </c>
      <c r="D511" s="0" t="inlineStr">
        <is>
          <t xml:space="preserve">small_craft</t>
        </is>
      </c>
      <c r="E511" s="0" t="inlineStr">
        <is>
          <t xml:space="preserve">RADIO DESIGN GROUP, INC.</t>
        </is>
      </c>
      <c r="F511" s="0" t="inlineStr">
        <is>
          <t xml:space="preserve">B</t>
        </is>
      </c>
      <c r="G511" s="4">
        <v>0.54705417</v>
      </c>
      <c r="H511" s="0" t="inlineStr">
        <is>
          <t xml:space="preserve">2022-06-14</t>
        </is>
      </c>
      <c r="I511" s="0" t="inlineStr">
        <is>
          <t xml:space="preserve">no</t>
        </is>
      </c>
      <c r="J511" s="0" t="inlineStr">
        <is>
          <t xml:space="preserve">N0010422QND68</t>
        </is>
      </c>
      <c r="K511" s="0" t="inlineStr">
        <is>
          <t xml:space="preserve">NONE</t>
        </is>
      </c>
    </row>
    <row r="512">
      <c r="B512" s="0" t="inlineStr">
        <is>
          <t xml:space="preserve">N6600119F0881</t>
        </is>
      </c>
      <c r="C512" s="0" t="inlineStr">
        <is>
          <t xml:space="preserve">N6600116D0025</t>
        </is>
      </c>
      <c r="D512" s="0" t="inlineStr">
        <is>
          <t xml:space="preserve">usv_core</t>
        </is>
      </c>
      <c r="E512" s="0" t="inlineStr">
        <is>
          <t xml:space="preserve">COLSA CORP</t>
        </is>
      </c>
      <c r="F512" s="0" t="inlineStr">
        <is>
          <t xml:space="preserve">C</t>
        </is>
      </c>
      <c r="G512" s="4">
        <v>0.5392125799999999</v>
      </c>
      <c r="H512" s="0" t="inlineStr">
        <is>
          <t xml:space="preserve">2019-07-18</t>
        </is>
      </c>
      <c r="I512" s="0" t="inlineStr">
        <is>
          <t xml:space="preserve">no</t>
        </is>
      </c>
      <c r="J512" s="0" t="inlineStr">
        <is>
          <t xml:space="preserve">N6600115R0003</t>
        </is>
      </c>
      <c r="K512" s="0" t="inlineStr">
        <is>
          <t xml:space="preserve">NONE</t>
        </is>
      </c>
    </row>
    <row r="513">
      <c r="B513" s="0" t="inlineStr">
        <is>
          <t xml:space="preserve">N3220520F8368</t>
        </is>
      </c>
      <c r="C513" s="0" t="inlineStr">
        <is>
          <t xml:space="preserve">N3220517D4700</t>
        </is>
      </c>
      <c r="D513" s="0" t="inlineStr">
        <is>
          <t xml:space="preserve">other_small</t>
        </is>
      </c>
      <c r="E513" s="0" t="inlineStr">
        <is>
          <t xml:space="preserve">LAKE SHORE SYSTEMS, INC.</t>
        </is>
      </c>
      <c r="F513" s="0" t="inlineStr">
        <is>
          <t xml:space="preserve">C</t>
        </is>
      </c>
      <c r="G513" s="4">
        <v>0.5372504699999999</v>
      </c>
      <c r="H513" s="0" t="inlineStr">
        <is>
          <t xml:space="preserve">2020-09-28</t>
        </is>
      </c>
      <c r="I513" s="0" t="inlineStr">
        <is>
          <t xml:space="preserve">no</t>
        </is>
      </c>
      <c r="K513" s="0" t="inlineStr">
        <is>
          <t xml:space="preserve">NONE</t>
        </is>
      </c>
    </row>
    <row r="514">
      <c r="B514" s="0" t="inlineStr">
        <is>
          <t xml:space="preserve">N6833515C0084</t>
        </is>
      </c>
      <c r="D514" s="0" t="inlineStr">
        <is>
          <t xml:space="preserve">small_craft</t>
        </is>
      </c>
      <c r="E514" s="0" t="inlineStr">
        <is>
          <t xml:space="preserve">BRUNSWICK COMMERCIAL &amp; GOVERNMENT PRODUCTS, INC.</t>
        </is>
      </c>
      <c r="F514" s="0" t="inlineStr">
        <is>
          <t xml:space="preserve">D</t>
        </is>
      </c>
      <c r="G514" s="4">
        <v>0.53704</v>
      </c>
      <c r="H514" s="0" t="inlineStr">
        <is>
          <t xml:space="preserve">2014-12-04</t>
        </is>
      </c>
      <c r="I514" s="0" t="inlineStr">
        <is>
          <t xml:space="preserve">no</t>
        </is>
      </c>
      <c r="K514" s="0" t="inlineStr">
        <is>
          <t xml:space="preserve">NONE</t>
        </is>
      </c>
    </row>
    <row r="515">
      <c r="B515" s="0" t="inlineStr">
        <is>
          <t xml:space="preserve">0007</t>
        </is>
      </c>
      <c r="C515" s="0" t="inlineStr">
        <is>
          <t xml:space="preserve">N0002413D2253</t>
        </is>
      </c>
      <c r="D515" s="0" t="inlineStr">
        <is>
          <t xml:space="preserve">small_craft</t>
        </is>
      </c>
      <c r="E515" s="0" t="inlineStr">
        <is>
          <t xml:space="preserve">GRAVOIS ALUMINUM BOATS LLC</t>
        </is>
      </c>
      <c r="F515" s="0" t="inlineStr">
        <is>
          <t xml:space="preserve">C</t>
        </is>
      </c>
      <c r="G515" s="4">
        <v>0.53636</v>
      </c>
      <c r="H515" s="0" t="inlineStr">
        <is>
          <t xml:space="preserve">2016-09-21</t>
        </is>
      </c>
      <c r="I515" s="0" t="inlineStr">
        <is>
          <t xml:space="preserve">no</t>
        </is>
      </c>
      <c r="J515" s="0" t="inlineStr">
        <is>
          <t xml:space="preserve">N0002412R2253</t>
        </is>
      </c>
      <c r="K515" s="0" t="inlineStr">
        <is>
          <t xml:space="preserve">NONE</t>
        </is>
      </c>
    </row>
    <row r="516">
      <c r="B516" s="0" t="inlineStr">
        <is>
          <t xml:space="preserve">N0002426F22A3</t>
        </is>
      </c>
      <c r="C516" s="0" t="inlineStr">
        <is>
          <t xml:space="preserve">N0002422D2287</t>
        </is>
      </c>
      <c r="D516" s="0" t="inlineStr">
        <is>
          <t xml:space="preserve">small_craft</t>
        </is>
      </c>
      <c r="E516" s="0" t="inlineStr">
        <is>
          <t xml:space="preserve">LAKE ASSAULT BOATS, LLC</t>
        </is>
      </c>
      <c r="F516" s="0" t="inlineStr">
        <is>
          <t xml:space="preserve">C</t>
        </is>
      </c>
      <c r="G516" s="4">
        <v>0.5362173</v>
      </c>
      <c r="H516" s="0" t="inlineStr">
        <is>
          <t xml:space="preserve">2026-01-14</t>
        </is>
      </c>
      <c r="I516" s="0" t="inlineStr">
        <is>
          <t xml:space="preserve">yes</t>
        </is>
      </c>
      <c r="J516" s="0" t="inlineStr">
        <is>
          <t xml:space="preserve">N0002422R2287</t>
        </is>
      </c>
      <c r="K516" s="0" t="inlineStr">
        <is>
          <t xml:space="preserve">NONE</t>
        </is>
      </c>
    </row>
    <row r="517">
      <c r="B517" s="0" t="inlineStr">
        <is>
          <t xml:space="preserve">N0017317C6014</t>
        </is>
      </c>
      <c r="D517" s="0" t="inlineStr">
        <is>
          <t xml:space="preserve">usv_core</t>
        </is>
      </c>
      <c r="E517" s="0" t="inlineStr">
        <is>
          <t xml:space="preserve">SEAROBOTICS CORPORATION</t>
        </is>
      </c>
      <c r="F517" s="0" t="inlineStr">
        <is>
          <t xml:space="preserve">D</t>
        </is>
      </c>
      <c r="G517" s="4">
        <v>0.535</v>
      </c>
      <c r="H517" s="0" t="inlineStr">
        <is>
          <t xml:space="preserve">2017-09-07</t>
        </is>
      </c>
      <c r="I517" s="0" t="inlineStr">
        <is>
          <t xml:space="preserve">no</t>
        </is>
      </c>
      <c r="J517" s="0" t="inlineStr">
        <is>
          <t xml:space="preserve">N0017317RRS02</t>
        </is>
      </c>
      <c r="K517" s="0" t="inlineStr">
        <is>
          <t xml:space="preserve">NONE</t>
        </is>
      </c>
    </row>
    <row r="518">
      <c r="B518" s="0" t="inlineStr">
        <is>
          <t xml:space="preserve">N0010424FY704</t>
        </is>
      </c>
      <c r="C518" s="0" t="inlineStr">
        <is>
          <t xml:space="preserve">N0010422GY701</t>
        </is>
      </c>
      <c r="D518" s="0" t="inlineStr">
        <is>
          <t xml:space="preserve">small_craft</t>
        </is>
      </c>
      <c r="E518" s="0" t="inlineStr">
        <is>
          <t xml:space="preserve">L3 TECHNOLOGIES, INC.</t>
        </is>
      </c>
      <c r="F518" s="0" t="inlineStr">
        <is>
          <t xml:space="preserve">C</t>
        </is>
      </c>
      <c r="G518" s="4">
        <v>0.534111</v>
      </c>
      <c r="H518" s="0" t="inlineStr">
        <is>
          <t xml:space="preserve">2024-07-09</t>
        </is>
      </c>
      <c r="I518" s="0" t="inlineStr">
        <is>
          <t xml:space="preserve">no</t>
        </is>
      </c>
      <c r="K518" s="0" t="inlineStr">
        <is>
          <t xml:space="preserve">NONE</t>
        </is>
      </c>
    </row>
    <row r="519">
      <c r="B519" s="0" t="inlineStr">
        <is>
          <t xml:space="preserve">N0010422PLD41</t>
        </is>
      </c>
      <c r="D519" s="0" t="inlineStr">
        <is>
          <t xml:space="preserve">small_craft</t>
        </is>
      </c>
      <c r="E519" s="0" t="inlineStr">
        <is>
          <t xml:space="preserve">LAKE SHORE SYSTEMS, INC.</t>
        </is>
      </c>
      <c r="F519" s="0" t="inlineStr">
        <is>
          <t xml:space="preserve">B</t>
        </is>
      </c>
      <c r="G519" s="4">
        <v>0.5301683</v>
      </c>
      <c r="H519" s="0" t="inlineStr">
        <is>
          <t xml:space="preserve">2022-07-15</t>
        </is>
      </c>
      <c r="I519" s="0" t="inlineStr">
        <is>
          <t xml:space="preserve">no</t>
        </is>
      </c>
      <c r="K519" s="0" t="inlineStr">
        <is>
          <t xml:space="preserve">NONE</t>
        </is>
      </c>
    </row>
    <row r="520">
      <c r="B520" s="0" t="inlineStr">
        <is>
          <t xml:space="preserve">N0010422PJA11</t>
        </is>
      </c>
      <c r="D520" s="0" t="inlineStr">
        <is>
          <t xml:space="preserve">small_craft</t>
        </is>
      </c>
      <c r="E520" s="0" t="inlineStr">
        <is>
          <t xml:space="preserve">LAKE SHORE SYSTEMS, INC.</t>
        </is>
      </c>
      <c r="F520" s="0" t="inlineStr">
        <is>
          <t xml:space="preserve">B</t>
        </is>
      </c>
      <c r="G520" s="4">
        <v>0.5301683</v>
      </c>
      <c r="H520" s="0" t="inlineStr">
        <is>
          <t xml:space="preserve">2022-01-03</t>
        </is>
      </c>
      <c r="I520" s="0" t="inlineStr">
        <is>
          <t xml:space="preserve">no</t>
        </is>
      </c>
      <c r="K520" s="0" t="inlineStr">
        <is>
          <t xml:space="preserve">NONE</t>
        </is>
      </c>
    </row>
    <row r="521">
      <c r="B521" s="0" t="inlineStr">
        <is>
          <t xml:space="preserve">N0010423CLA08</t>
        </is>
      </c>
      <c r="D521" s="0" t="inlineStr">
        <is>
          <t xml:space="preserve">small_craft</t>
        </is>
      </c>
      <c r="E521" s="0" t="inlineStr">
        <is>
          <t xml:space="preserve">A3 SYSTEMS CORPORATION</t>
        </is>
      </c>
      <c r="F521" s="0" t="inlineStr">
        <is>
          <t xml:space="preserve">D</t>
        </is>
      </c>
      <c r="G521" s="4">
        <v>0.5293124</v>
      </c>
      <c r="H521" s="0" t="inlineStr">
        <is>
          <t xml:space="preserve">2023-02-21</t>
        </is>
      </c>
      <c r="I521" s="0" t="inlineStr">
        <is>
          <t xml:space="preserve">no</t>
        </is>
      </c>
      <c r="J521" s="0" t="inlineStr">
        <is>
          <t xml:space="preserve">N0010422QLE97</t>
        </is>
      </c>
      <c r="K521" s="0" t="inlineStr">
        <is>
          <t xml:space="preserve">NONE</t>
        </is>
      </c>
    </row>
    <row r="522">
      <c r="B522" s="0" t="inlineStr">
        <is>
          <t xml:space="preserve">N0024421P0125</t>
        </is>
      </c>
      <c r="D522" s="0" t="inlineStr">
        <is>
          <t xml:space="preserve">small_craft</t>
        </is>
      </c>
      <c r="E522" s="0" t="inlineStr">
        <is>
          <t xml:space="preserve">TELEDYNE INSTRUMENTS, INC.</t>
        </is>
      </c>
      <c r="F522" s="0" t="inlineStr">
        <is>
          <t xml:space="preserve">B</t>
        </is>
      </c>
      <c r="G522" s="4">
        <v>0.5280507099999999</v>
      </c>
      <c r="H522" s="0" t="inlineStr">
        <is>
          <t xml:space="preserve">2021-03-04</t>
        </is>
      </c>
      <c r="I522" s="0" t="inlineStr">
        <is>
          <t xml:space="preserve">no</t>
        </is>
      </c>
      <c r="J522" s="0" t="inlineStr">
        <is>
          <t xml:space="preserve">N0024421T0002</t>
        </is>
      </c>
      <c r="K522" s="0" t="inlineStr">
        <is>
          <t xml:space="preserve">NONE</t>
        </is>
      </c>
    </row>
    <row r="523">
      <c r="B523" s="0" t="inlineStr">
        <is>
          <t xml:space="preserve">N6600119F0027</t>
        </is>
      </c>
      <c r="C523" s="0" t="inlineStr">
        <is>
          <t xml:space="preserve">N6600116D0025</t>
        </is>
      </c>
      <c r="D523" s="0" t="inlineStr">
        <is>
          <t xml:space="preserve">usv_core</t>
        </is>
      </c>
      <c r="E523" s="0" t="inlineStr">
        <is>
          <t xml:space="preserve">COLSA CORP</t>
        </is>
      </c>
      <c r="F523" s="0" t="inlineStr">
        <is>
          <t xml:space="preserve">C</t>
        </is>
      </c>
      <c r="G523" s="4">
        <v>0.52489586</v>
      </c>
      <c r="H523" s="0" t="inlineStr">
        <is>
          <t xml:space="preserve">2018-10-31</t>
        </is>
      </c>
      <c r="I523" s="0" t="inlineStr">
        <is>
          <t xml:space="preserve">no</t>
        </is>
      </c>
      <c r="J523" s="0" t="inlineStr">
        <is>
          <t xml:space="preserve">N6600115R0003</t>
        </is>
      </c>
      <c r="K523" s="0" t="inlineStr">
        <is>
          <t xml:space="preserve">NONE</t>
        </is>
      </c>
    </row>
    <row r="524">
      <c r="B524" s="0" t="inlineStr">
        <is>
          <t xml:space="preserve">0002</t>
        </is>
      </c>
      <c r="C524" s="0" t="inlineStr">
        <is>
          <t xml:space="preserve">N6230613D9S01</t>
        </is>
      </c>
      <c r="D524" s="0" t="inlineStr">
        <is>
          <t xml:space="preserve">small_craft</t>
        </is>
      </c>
      <c r="E524" s="0" t="inlineStr">
        <is>
          <t xml:space="preserve">SAUNDERS ENGINE &amp; EQUIPMENT CO INC</t>
        </is>
      </c>
      <c r="F524" s="0" t="inlineStr">
        <is>
          <t xml:space="preserve">C</t>
        </is>
      </c>
      <c r="G524" s="4">
        <v>0.52404664</v>
      </c>
      <c r="H524" s="0" t="inlineStr">
        <is>
          <t xml:space="preserve">2013-04-16</t>
        </is>
      </c>
      <c r="I524" s="0" t="inlineStr">
        <is>
          <t xml:space="preserve">no</t>
        </is>
      </c>
      <c r="J524" s="0" t="inlineStr">
        <is>
          <t xml:space="preserve">N6230612R9S01</t>
        </is>
      </c>
      <c r="K524" s="0" t="inlineStr">
        <is>
          <t xml:space="preserve">NONE</t>
        </is>
      </c>
    </row>
    <row r="525">
      <c r="B525" s="0" t="inlineStr">
        <is>
          <t xml:space="preserve">N0003921F4032</t>
        </is>
      </c>
      <c r="C525" s="0" t="inlineStr">
        <is>
          <t xml:space="preserve">N6600117D0013</t>
        </is>
      </c>
      <c r="D525" s="0" t="inlineStr">
        <is>
          <t xml:space="preserve">small_craft</t>
        </is>
      </c>
      <c r="E525" s="0" t="inlineStr">
        <is>
          <t xml:space="preserve">HII UNMANNED SYSTEMS, INC</t>
        </is>
      </c>
      <c r="F525" s="0" t="inlineStr">
        <is>
          <t xml:space="preserve">C</t>
        </is>
      </c>
      <c r="G525" s="4">
        <v>0.52285576</v>
      </c>
      <c r="H525" s="0" t="inlineStr">
        <is>
          <t xml:space="preserve">2021-06-15</t>
        </is>
      </c>
      <c r="I525" s="0" t="inlineStr">
        <is>
          <t xml:space="preserve">no</t>
        </is>
      </c>
      <c r="J525" s="0" t="inlineStr">
        <is>
          <t xml:space="preserve">N6600117R0013</t>
        </is>
      </c>
      <c r="K525" s="0" t="inlineStr">
        <is>
          <t xml:space="preserve">NONE</t>
        </is>
      </c>
    </row>
    <row r="526">
      <c r="B526" s="0" t="inlineStr">
        <is>
          <t xml:space="preserve">N0002425F22A3</t>
        </is>
      </c>
      <c r="C526" s="0" t="inlineStr">
        <is>
          <t xml:space="preserve">N0002422D2287</t>
        </is>
      </c>
      <c r="D526" s="0" t="inlineStr">
        <is>
          <t xml:space="preserve">small_craft</t>
        </is>
      </c>
      <c r="E526" s="0" t="inlineStr">
        <is>
          <t xml:space="preserve">LAKE ASSAULT BOATS, LLC</t>
        </is>
      </c>
      <c r="F526" s="0" t="inlineStr">
        <is>
          <t xml:space="preserve">C</t>
        </is>
      </c>
      <c r="G526" s="4">
        <v>0.5157242999999999</v>
      </c>
      <c r="H526" s="0" t="inlineStr">
        <is>
          <t xml:space="preserve">2024-11-06</t>
        </is>
      </c>
      <c r="I526" s="0" t="inlineStr">
        <is>
          <t xml:space="preserve">no</t>
        </is>
      </c>
      <c r="J526" s="0" t="inlineStr">
        <is>
          <t xml:space="preserve">N0002422R2287</t>
        </is>
      </c>
      <c r="K526" s="0" t="inlineStr">
        <is>
          <t xml:space="preserve">NONE</t>
        </is>
      </c>
    </row>
    <row r="527">
      <c r="B527" s="0" t="inlineStr">
        <is>
          <t xml:space="preserve">N0010423PFB38</t>
        </is>
      </c>
      <c r="D527" s="0" t="inlineStr">
        <is>
          <t xml:space="preserve">small_craft</t>
        </is>
      </c>
      <c r="E527" s="0" t="inlineStr">
        <is>
          <t xml:space="preserve">L3 TECHNOLOGIES, INC.</t>
        </is>
      </c>
      <c r="F527" s="0" t="inlineStr">
        <is>
          <t xml:space="preserve">B</t>
        </is>
      </c>
      <c r="G527" s="4">
        <v>0.506589</v>
      </c>
      <c r="H527" s="0" t="inlineStr">
        <is>
          <t xml:space="preserve">2023-03-06</t>
        </is>
      </c>
      <c r="I527" s="0" t="inlineStr">
        <is>
          <t xml:space="preserve">no</t>
        </is>
      </c>
      <c r="J527" s="0" t="inlineStr">
        <is>
          <t xml:space="preserve">N0010422QFA85</t>
        </is>
      </c>
      <c r="K527" s="0" t="inlineStr">
        <is>
          <t xml:space="preserve">NONE</t>
        </is>
      </c>
    </row>
    <row r="528">
      <c r="B528" s="0" t="inlineStr">
        <is>
          <t xml:space="preserve">N6247325F0413</t>
        </is>
      </c>
      <c r="C528" s="0" t="inlineStr">
        <is>
          <t xml:space="preserve">N6247322D1202</t>
        </is>
      </c>
      <c r="D528" s="0" t="inlineStr">
        <is>
          <t xml:space="preserve">usv_core</t>
        </is>
      </c>
      <c r="E528" s="0" t="inlineStr">
        <is>
          <t xml:space="preserve">MAKERS ARCHITECTURE AND URBAN DESIGN LLP</t>
        </is>
      </c>
      <c r="F528" s="0" t="inlineStr">
        <is>
          <t xml:space="preserve">C</t>
        </is>
      </c>
      <c r="G528" s="4">
        <v>0.5043951099999999</v>
      </c>
      <c r="H528" s="0" t="inlineStr">
        <is>
          <t xml:space="preserve">2025-07-31</t>
        </is>
      </c>
      <c r="I528" s="0" t="inlineStr">
        <is>
          <t xml:space="preserve">yes</t>
        </is>
      </c>
      <c r="K528" s="0" t="inlineStr">
        <is>
          <t xml:space="preserve">NONE</t>
        </is>
      </c>
    </row>
    <row r="529">
      <c r="B529" s="0" t="inlineStr">
        <is>
          <t xml:space="preserve">N0010424PJC25</t>
        </is>
      </c>
      <c r="D529" s="0" t="inlineStr">
        <is>
          <t xml:space="preserve">small_craft</t>
        </is>
      </c>
      <c r="E529" s="0" t="inlineStr">
        <is>
          <t xml:space="preserve">SCIENCE APPLICATIONS INTERNATIONAL CORPORATION</t>
        </is>
      </c>
      <c r="F529" s="0" t="inlineStr">
        <is>
          <t xml:space="preserve">B</t>
        </is>
      </c>
      <c r="G529" s="4">
        <v>0.50392912</v>
      </c>
      <c r="H529" s="0" t="inlineStr">
        <is>
          <t xml:space="preserve">2024-07-25</t>
        </is>
      </c>
      <c r="I529" s="0" t="inlineStr">
        <is>
          <t xml:space="preserve">no</t>
        </is>
      </c>
      <c r="J529" s="0" t="inlineStr">
        <is>
          <t xml:space="preserve">N0010424QJA81</t>
        </is>
      </c>
      <c r="K529" s="0" t="inlineStr">
        <is>
          <t xml:space="preserve">NONE</t>
        </is>
      </c>
    </row>
    <row r="530">
      <c r="B530" s="0" t="inlineStr">
        <is>
          <t xml:space="preserve">N0010424FY703</t>
        </is>
      </c>
      <c r="C530" s="0" t="inlineStr">
        <is>
          <t xml:space="preserve">N0010422GY701</t>
        </is>
      </c>
      <c r="D530" s="0" t="inlineStr">
        <is>
          <t xml:space="preserve">small_craft</t>
        </is>
      </c>
      <c r="E530" s="0" t="inlineStr">
        <is>
          <t xml:space="preserve">L3 TECHNOLOGIES, INC.</t>
        </is>
      </c>
      <c r="F530" s="0" t="inlineStr">
        <is>
          <t xml:space="preserve">C</t>
        </is>
      </c>
      <c r="G530" s="4">
        <v>0.50383071</v>
      </c>
      <c r="H530" s="0" t="inlineStr">
        <is>
          <t xml:space="preserve">2024-05-31</t>
        </is>
      </c>
      <c r="I530" s="0" t="inlineStr">
        <is>
          <t xml:space="preserve">no</t>
        </is>
      </c>
      <c r="K530" s="0" t="inlineStr">
        <is>
          <t xml:space="preserve">NONE</t>
        </is>
      </c>
    </row>
    <row r="531">
      <c r="B531" s="0" t="inlineStr">
        <is>
          <t xml:space="preserve">N6600115F7179</t>
        </is>
      </c>
      <c r="C531" s="0" t="inlineStr">
        <is>
          <t xml:space="preserve">GS07F0034J</t>
        </is>
      </c>
      <c r="D531" s="0" t="inlineStr">
        <is>
          <t xml:space="preserve">small_craft</t>
        </is>
      </c>
      <c r="E531" s="0" t="inlineStr">
        <is>
          <t xml:space="preserve">SILVER SHIPS, INC</t>
        </is>
      </c>
      <c r="F531" s="0" t="inlineStr">
        <is>
          <t xml:space="preserve">C</t>
        </is>
      </c>
      <c r="G531" s="4">
        <v>0.50147</v>
      </c>
      <c r="H531" s="0" t="inlineStr">
        <is>
          <t xml:space="preserve">2015-08-11</t>
        </is>
      </c>
      <c r="I531" s="0" t="inlineStr">
        <is>
          <t xml:space="preserve">no</t>
        </is>
      </c>
      <c r="J531" s="0" t="inlineStr">
        <is>
          <t xml:space="preserve">N6600115T7179</t>
        </is>
      </c>
      <c r="K531" s="0" t="inlineStr">
        <is>
          <t xml:space="preserve">NONE</t>
        </is>
      </c>
    </row>
    <row r="532">
      <c r="B532" s="0" t="inlineStr">
        <is>
          <t xml:space="preserve">N6600120F0581</t>
        </is>
      </c>
      <c r="C532" s="0" t="inlineStr">
        <is>
          <t xml:space="preserve">N6600116D0025</t>
        </is>
      </c>
      <c r="D532" s="0" t="inlineStr">
        <is>
          <t xml:space="preserve">usv_core</t>
        </is>
      </c>
      <c r="E532" s="0" t="inlineStr">
        <is>
          <t xml:space="preserve">COLSA CORP</t>
        </is>
      </c>
      <c r="F532" s="0" t="inlineStr">
        <is>
          <t xml:space="preserve">C</t>
        </is>
      </c>
      <c r="G532" s="4">
        <v>0.50070805</v>
      </c>
      <c r="H532" s="0" t="inlineStr">
        <is>
          <t xml:space="preserve">2020-05-05</t>
        </is>
      </c>
      <c r="I532" s="0" t="inlineStr">
        <is>
          <t xml:space="preserve">no</t>
        </is>
      </c>
      <c r="J532" s="0" t="inlineStr">
        <is>
          <t xml:space="preserve">N6600115R0003</t>
        </is>
      </c>
      <c r="K532" s="0" t="inlineStr">
        <is>
          <t xml:space="preserve">NONE</t>
        </is>
      </c>
    </row>
    <row r="533">
      <c r="B533" s="0" t="inlineStr">
        <is>
          <t xml:space="preserve">N0003924F1053</t>
        </is>
      </c>
      <c r="C533" s="0" t="inlineStr">
        <is>
          <t xml:space="preserve">N0003921D6001</t>
        </is>
      </c>
      <c r="D533" s="0" t="inlineStr">
        <is>
          <t xml:space="preserve">small_craft</t>
        </is>
      </c>
      <c r="E533" s="0" t="inlineStr">
        <is>
          <t xml:space="preserve">TELEDYNE BROWN ENGINEERING, INC.</t>
        </is>
      </c>
      <c r="F533" s="0" t="inlineStr">
        <is>
          <t xml:space="preserve">C</t>
        </is>
      </c>
      <c r="G533" s="4">
        <v>0.49999845</v>
      </c>
      <c r="H533" s="0" t="inlineStr">
        <is>
          <t xml:space="preserve">2024-09-25</t>
        </is>
      </c>
      <c r="I533" s="0" t="inlineStr">
        <is>
          <t xml:space="preserve">no</t>
        </is>
      </c>
      <c r="J533" s="0" t="inlineStr">
        <is>
          <t xml:space="preserve">N0003921R1000</t>
        </is>
      </c>
      <c r="K533" s="0" t="inlineStr">
        <is>
          <t xml:space="preserve">NONE</t>
        </is>
      </c>
    </row>
    <row r="534">
      <c r="B534" s="0" t="inlineStr">
        <is>
          <t xml:space="preserve">N0040616P3670</t>
        </is>
      </c>
      <c r="D534" s="0" t="inlineStr">
        <is>
          <t xml:space="preserve">small_craft</t>
        </is>
      </c>
      <c r="E534" s="0" t="inlineStr">
        <is>
          <t xml:space="preserve">TIMKEN GEARS &amp; SERVICES INC.</t>
        </is>
      </c>
      <c r="F534" s="0" t="inlineStr">
        <is>
          <t xml:space="preserve">B</t>
        </is>
      </c>
      <c r="G534" s="4">
        <v>0.49967999999999996</v>
      </c>
      <c r="H534" s="0" t="inlineStr">
        <is>
          <t xml:space="preserve">2016-09-28</t>
        </is>
      </c>
      <c r="I534" s="0" t="inlineStr">
        <is>
          <t xml:space="preserve">no</t>
        </is>
      </c>
      <c r="K534" s="0" t="inlineStr">
        <is>
          <t xml:space="preserve">NONE</t>
        </is>
      </c>
    </row>
    <row r="535">
      <c r="B535" s="0" t="inlineStr">
        <is>
          <t xml:space="preserve">N0018915PZ486</t>
        </is>
      </c>
      <c r="D535" s="0" t="inlineStr">
        <is>
          <t xml:space="preserve">small_craft</t>
        </is>
      </c>
      <c r="E535" s="0" t="inlineStr">
        <is>
          <t xml:space="preserve">OFFSHORE SAILING SCHOOL, LTD., INC.</t>
        </is>
      </c>
      <c r="F535" s="0" t="inlineStr">
        <is>
          <t xml:space="preserve">B</t>
        </is>
      </c>
      <c r="G535" s="4">
        <v>0.498</v>
      </c>
      <c r="H535" s="0" t="inlineStr">
        <is>
          <t xml:space="preserve">2015-07-07</t>
        </is>
      </c>
      <c r="I535" s="0" t="inlineStr">
        <is>
          <t xml:space="preserve">no</t>
        </is>
      </c>
      <c r="K535" s="0" t="inlineStr">
        <is>
          <t xml:space="preserve">NONE</t>
        </is>
      </c>
    </row>
    <row r="536">
      <c r="B536" s="0" t="inlineStr">
        <is>
          <t xml:space="preserve">N0002424F22A1</t>
        </is>
      </c>
      <c r="C536" s="0" t="inlineStr">
        <is>
          <t xml:space="preserve">N0002422D2287</t>
        </is>
      </c>
      <c r="D536" s="0" t="inlineStr">
        <is>
          <t xml:space="preserve">small_craft</t>
        </is>
      </c>
      <c r="E536" s="0" t="inlineStr">
        <is>
          <t xml:space="preserve">LAKE ASSAULT BOATS, LLC</t>
        </is>
      </c>
      <c r="F536" s="0" t="inlineStr">
        <is>
          <t xml:space="preserve">C</t>
        </is>
      </c>
      <c r="G536" s="4">
        <v>0.4974863</v>
      </c>
      <c r="H536" s="0" t="inlineStr">
        <is>
          <t xml:space="preserve">2024-01-23</t>
        </is>
      </c>
      <c r="I536" s="0" t="inlineStr">
        <is>
          <t xml:space="preserve">no</t>
        </is>
      </c>
      <c r="J536" s="0" t="inlineStr">
        <is>
          <t xml:space="preserve">N0002422R2287</t>
        </is>
      </c>
      <c r="K536" s="0" t="inlineStr">
        <is>
          <t xml:space="preserve">NONE</t>
        </is>
      </c>
    </row>
    <row r="537">
      <c r="B537" s="0" t="inlineStr">
        <is>
          <t xml:space="preserve">W31P4Q22F0172</t>
        </is>
      </c>
      <c r="C537" s="0" t="inlineStr">
        <is>
          <t xml:space="preserve">W31P4Q18D0002</t>
        </is>
      </c>
      <c r="D537" s="0" t="inlineStr">
        <is>
          <t xml:space="preserve">usv_core</t>
        </is>
      </c>
      <c r="E537" s="0" t="inlineStr">
        <is>
          <t xml:space="preserve">GEORGIA TECH APPLIED RESEARCH CORP</t>
        </is>
      </c>
      <c r="F537" s="0" t="inlineStr">
        <is>
          <t xml:space="preserve">C</t>
        </is>
      </c>
      <c r="G537" s="4">
        <v>0.49569599999999997</v>
      </c>
      <c r="H537" s="0" t="inlineStr">
        <is>
          <t xml:space="preserve">2022-09-20</t>
        </is>
      </c>
      <c r="I537" s="0" t="inlineStr">
        <is>
          <t xml:space="preserve">no</t>
        </is>
      </c>
      <c r="K537" s="0" t="inlineStr">
        <is>
          <t xml:space="preserve">NONE</t>
        </is>
      </c>
    </row>
    <row r="538">
      <c r="B538" s="0" t="inlineStr">
        <is>
          <t xml:space="preserve">N0010426PYA29</t>
        </is>
      </c>
      <c r="D538" s="0" t="inlineStr">
        <is>
          <t xml:space="preserve">small_craft</t>
        </is>
      </c>
      <c r="E538" s="0" t="inlineStr">
        <is>
          <t xml:space="preserve">DURAMAX MARINE, LLC</t>
        </is>
      </c>
      <c r="F538" s="0" t="inlineStr">
        <is>
          <t xml:space="preserve">B</t>
        </is>
      </c>
      <c r="G538" s="4">
        <v>0.49412</v>
      </c>
      <c r="H538" s="0" t="inlineStr">
        <is>
          <t xml:space="preserve">2025-10-17</t>
        </is>
      </c>
      <c r="I538" s="0" t="inlineStr">
        <is>
          <t xml:space="preserve">yes</t>
        </is>
      </c>
      <c r="J538" s="0" t="inlineStr">
        <is>
          <t xml:space="preserve">N0010425QYF33</t>
        </is>
      </c>
      <c r="K538" s="0" t="inlineStr">
        <is>
          <t xml:space="preserve">NONE</t>
        </is>
      </c>
    </row>
    <row r="539">
      <c r="B539" s="0" t="inlineStr">
        <is>
          <t xml:space="preserve">N0017317P2006</t>
        </is>
      </c>
      <c r="D539" s="0" t="inlineStr">
        <is>
          <t xml:space="preserve">small_craft</t>
        </is>
      </c>
      <c r="E539" s="0" t="inlineStr">
        <is>
          <t xml:space="preserve">TELEDYNE INSTRUMENTS, INC.</t>
        </is>
      </c>
      <c r="F539" s="0" t="inlineStr">
        <is>
          <t xml:space="preserve">B</t>
        </is>
      </c>
      <c r="G539" s="4">
        <v>0.49209699999999995</v>
      </c>
      <c r="H539" s="0" t="inlineStr">
        <is>
          <t xml:space="preserve">2017-03-16</t>
        </is>
      </c>
      <c r="I539" s="0" t="inlineStr">
        <is>
          <t xml:space="preserve">no</t>
        </is>
      </c>
      <c r="J539" s="0" t="inlineStr">
        <is>
          <t xml:space="preserve">N0017317QCP06</t>
        </is>
      </c>
      <c r="K539" s="0" t="inlineStr">
        <is>
          <t xml:space="preserve">NONE</t>
        </is>
      </c>
    </row>
    <row r="540">
      <c r="B540" s="0" t="inlineStr">
        <is>
          <t xml:space="preserve">N0010416PFG21</t>
        </is>
      </c>
      <c r="D540" s="0" t="inlineStr">
        <is>
          <t xml:space="preserve">small_craft</t>
        </is>
      </c>
      <c r="E540" s="0" t="inlineStr">
        <is>
          <t xml:space="preserve">ROLLS-ROYCE MARINE NORTH AMERICA INC.</t>
        </is>
      </c>
      <c r="F540" s="0" t="inlineStr">
        <is>
          <t xml:space="preserve">B</t>
        </is>
      </c>
      <c r="G540" s="4">
        <v>0.49039562</v>
      </c>
      <c r="H540" s="0" t="inlineStr">
        <is>
          <t xml:space="preserve">2016-09-29</t>
        </is>
      </c>
      <c r="I540" s="0" t="inlineStr">
        <is>
          <t xml:space="preserve">no</t>
        </is>
      </c>
      <c r="J540" s="0" t="inlineStr">
        <is>
          <t xml:space="preserve">N0010416RFE55</t>
        </is>
      </c>
      <c r="K540" s="0" t="inlineStr">
        <is>
          <t xml:space="preserve">NONE</t>
        </is>
      </c>
    </row>
    <row r="541">
      <c r="B541" s="0" t="inlineStr">
        <is>
          <t xml:space="preserve">N0010424PLD29</t>
        </is>
      </c>
      <c r="D541" s="0" t="inlineStr">
        <is>
          <t xml:space="preserve">small_craft</t>
        </is>
      </c>
      <c r="E541" s="0" t="inlineStr">
        <is>
          <t xml:space="preserve">AEF-PERFORMANCE LLC</t>
        </is>
      </c>
      <c r="F541" s="0" t="inlineStr">
        <is>
          <t xml:space="preserve">B</t>
        </is>
      </c>
      <c r="G541" s="4">
        <v>0.49027615999999996</v>
      </c>
      <c r="H541" s="0" t="inlineStr">
        <is>
          <t xml:space="preserve">2024-07-09</t>
        </is>
      </c>
      <c r="I541" s="0" t="inlineStr">
        <is>
          <t xml:space="preserve">no</t>
        </is>
      </c>
      <c r="J541" s="0" t="inlineStr">
        <is>
          <t xml:space="preserve">N0010424QLD52</t>
        </is>
      </c>
      <c r="K541" s="0" t="inlineStr">
        <is>
          <t xml:space="preserve">NONE</t>
        </is>
      </c>
    </row>
    <row r="542">
      <c r="B542" s="0" t="inlineStr">
        <is>
          <t xml:space="preserve">N0002425F22B3</t>
        </is>
      </c>
      <c r="C542" s="0" t="inlineStr">
        <is>
          <t xml:space="preserve">N0002422D2270</t>
        </is>
      </c>
      <c r="D542" s="0" t="inlineStr">
        <is>
          <t xml:space="preserve">small_craft</t>
        </is>
      </c>
      <c r="E542" s="0" t="inlineStr">
        <is>
          <t xml:space="preserve">METALCRAFT MARINE US, INC.</t>
        </is>
      </c>
      <c r="F542" s="0" t="inlineStr">
        <is>
          <t xml:space="preserve">C</t>
        </is>
      </c>
      <c r="G542" s="4">
        <v>0.4894522</v>
      </c>
      <c r="H542" s="0" t="inlineStr">
        <is>
          <t xml:space="preserve">2025-07-22</t>
        </is>
      </c>
      <c r="I542" s="0" t="inlineStr">
        <is>
          <t xml:space="preserve">yes</t>
        </is>
      </c>
      <c r="J542" s="0" t="inlineStr">
        <is>
          <t xml:space="preserve">N0002422R2270</t>
        </is>
      </c>
      <c r="K542" s="0" t="inlineStr">
        <is>
          <t xml:space="preserve">NONE</t>
        </is>
      </c>
    </row>
    <row r="543">
      <c r="B543" s="0" t="inlineStr">
        <is>
          <t xml:space="preserve">N0002421C2254</t>
        </is>
      </c>
      <c r="D543" s="0" t="inlineStr">
        <is>
          <t xml:space="preserve">small_craft</t>
        </is>
      </c>
      <c r="E543" s="0" t="inlineStr">
        <is>
          <t xml:space="preserve">ZODIAC OF NORTH AMERICA, INC.</t>
        </is>
      </c>
      <c r="F543" s="0" t="inlineStr">
        <is>
          <t xml:space="preserve">D</t>
        </is>
      </c>
      <c r="G543" s="4">
        <v>0.48897315</v>
      </c>
      <c r="H543" s="0" t="inlineStr">
        <is>
          <t xml:space="preserve">2021-08-19</t>
        </is>
      </c>
      <c r="I543" s="0" t="inlineStr">
        <is>
          <t xml:space="preserve">no</t>
        </is>
      </c>
      <c r="J543" s="0" t="inlineStr">
        <is>
          <t xml:space="preserve">N0002421R2254</t>
        </is>
      </c>
      <c r="K543" s="0" t="inlineStr">
        <is>
          <t xml:space="preserve">NONE</t>
        </is>
      </c>
    </row>
    <row r="544">
      <c r="B544" s="0" t="inlineStr">
        <is>
          <t xml:space="preserve">N0010421PNA04</t>
        </is>
      </c>
      <c r="D544" s="0" t="inlineStr">
        <is>
          <t xml:space="preserve">small_craft</t>
        </is>
      </c>
      <c r="E544" s="0" t="inlineStr">
        <is>
          <t xml:space="preserve">CONTROL COMPONENTS INC.</t>
        </is>
      </c>
      <c r="F544" s="0" t="inlineStr">
        <is>
          <t xml:space="preserve">B</t>
        </is>
      </c>
      <c r="G544" s="4">
        <v>0.4875</v>
      </c>
      <c r="H544" s="0" t="inlineStr">
        <is>
          <t xml:space="preserve">2020-11-18</t>
        </is>
      </c>
      <c r="I544" s="0" t="inlineStr">
        <is>
          <t xml:space="preserve">no</t>
        </is>
      </c>
      <c r="K544" s="0" t="inlineStr">
        <is>
          <t xml:space="preserve">NONE</t>
        </is>
      </c>
    </row>
    <row r="545">
      <c r="B545" s="0" t="inlineStr">
        <is>
          <t xml:space="preserve">N0003920F0185</t>
        </is>
      </c>
      <c r="C545" s="0" t="inlineStr">
        <is>
          <t xml:space="preserve">N6600117D0013</t>
        </is>
      </c>
      <c r="D545" s="0" t="inlineStr">
        <is>
          <t xml:space="preserve">small_craft</t>
        </is>
      </c>
      <c r="E545" s="0" t="inlineStr">
        <is>
          <t xml:space="preserve">HII UNMANNED SYSTEMS, INC</t>
        </is>
      </c>
      <c r="F545" s="0" t="inlineStr">
        <is>
          <t xml:space="preserve">C</t>
        </is>
      </c>
      <c r="G545" s="4">
        <v>0.484232</v>
      </c>
      <c r="H545" s="0" t="inlineStr">
        <is>
          <t xml:space="preserve">2020-04-06</t>
        </is>
      </c>
      <c r="I545" s="0" t="inlineStr">
        <is>
          <t xml:space="preserve">no</t>
        </is>
      </c>
      <c r="J545" s="0" t="inlineStr">
        <is>
          <t xml:space="preserve">N6600117R0013</t>
        </is>
      </c>
      <c r="K545" s="0" t="inlineStr">
        <is>
          <t xml:space="preserve">NONE</t>
        </is>
      </c>
    </row>
    <row r="546">
      <c r="B546" s="0" t="inlineStr">
        <is>
          <t xml:space="preserve">N0010420PDA82</t>
        </is>
      </c>
      <c r="D546" s="0" t="inlineStr">
        <is>
          <t xml:space="preserve">small_craft</t>
        </is>
      </c>
      <c r="E546" s="0" t="inlineStr">
        <is>
          <t xml:space="preserve">WILDCAT PROPELLERS, INC</t>
        </is>
      </c>
      <c r="F546" s="0" t="inlineStr">
        <is>
          <t xml:space="preserve">B</t>
        </is>
      </c>
      <c r="G546" s="4">
        <v>0.48263079999999997</v>
      </c>
      <c r="H546" s="0" t="inlineStr">
        <is>
          <t xml:space="preserve">2019-12-17</t>
        </is>
      </c>
      <c r="I546" s="0" t="inlineStr">
        <is>
          <t xml:space="preserve">no</t>
        </is>
      </c>
      <c r="J546" s="0" t="inlineStr">
        <is>
          <t xml:space="preserve">N0010419QDD32</t>
        </is>
      </c>
      <c r="K546" s="0" t="inlineStr">
        <is>
          <t xml:space="preserve">NONE</t>
        </is>
      </c>
    </row>
    <row r="547">
      <c r="B547" s="0" t="inlineStr">
        <is>
          <t xml:space="preserve">N0010420PDA81</t>
        </is>
      </c>
      <c r="D547" s="0" t="inlineStr">
        <is>
          <t xml:space="preserve">small_craft</t>
        </is>
      </c>
      <c r="E547" s="0" t="inlineStr">
        <is>
          <t xml:space="preserve">WILDCAT PROPELLERS, INC</t>
        </is>
      </c>
      <c r="F547" s="0" t="inlineStr">
        <is>
          <t xml:space="preserve">B</t>
        </is>
      </c>
      <c r="G547" s="4">
        <v>0.48263079999999997</v>
      </c>
      <c r="H547" s="0" t="inlineStr">
        <is>
          <t xml:space="preserve">2019-12-11</t>
        </is>
      </c>
      <c r="I547" s="0" t="inlineStr">
        <is>
          <t xml:space="preserve">no</t>
        </is>
      </c>
      <c r="J547" s="0" t="inlineStr">
        <is>
          <t xml:space="preserve">N0010419QDD49</t>
        </is>
      </c>
      <c r="K547" s="0" t="inlineStr">
        <is>
          <t xml:space="preserve">NONE</t>
        </is>
      </c>
    </row>
    <row r="548">
      <c r="B548" s="0" t="inlineStr">
        <is>
          <t xml:space="preserve">N0010423PND95</t>
        </is>
      </c>
      <c r="D548" s="0" t="inlineStr">
        <is>
          <t xml:space="preserve">small_craft</t>
        </is>
      </c>
      <c r="E548" s="0" t="inlineStr">
        <is>
          <t xml:space="preserve">GK MECHANICAL SYSTEMS LLC</t>
        </is>
      </c>
      <c r="F548" s="0" t="inlineStr">
        <is>
          <t xml:space="preserve">B</t>
        </is>
      </c>
      <c r="G548" s="4">
        <v>0.481104</v>
      </c>
      <c r="H548" s="0" t="inlineStr">
        <is>
          <t xml:space="preserve">2023-08-28</t>
        </is>
      </c>
      <c r="I548" s="0" t="inlineStr">
        <is>
          <t xml:space="preserve">no</t>
        </is>
      </c>
      <c r="K548" s="0" t="inlineStr">
        <is>
          <t xml:space="preserve">NONE</t>
        </is>
      </c>
    </row>
    <row r="549">
      <c r="B549" s="0" t="inlineStr">
        <is>
          <t xml:space="preserve">N0002417F22E1</t>
        </is>
      </c>
      <c r="C549" s="0" t="inlineStr">
        <is>
          <t xml:space="preserve">N0002414D2215</t>
        </is>
      </c>
      <c r="D549" s="0" t="inlineStr">
        <is>
          <t xml:space="preserve">small_craft</t>
        </is>
      </c>
      <c r="E549" s="0" t="inlineStr">
        <is>
          <t xml:space="preserve">SILVER SHIPS, INC</t>
        </is>
      </c>
      <c r="F549" s="0" t="inlineStr">
        <is>
          <t xml:space="preserve">C</t>
        </is>
      </c>
      <c r="G549" s="4">
        <v>0.47920672999999997</v>
      </c>
      <c r="H549" s="0" t="inlineStr">
        <is>
          <t xml:space="preserve">2017-09-06</t>
        </is>
      </c>
      <c r="I549" s="0" t="inlineStr">
        <is>
          <t xml:space="preserve">no</t>
        </is>
      </c>
      <c r="J549" s="0" t="inlineStr">
        <is>
          <t xml:space="preserve">N0002413R2215</t>
        </is>
      </c>
      <c r="K549" s="0" t="inlineStr">
        <is>
          <t xml:space="preserve">NONE</t>
        </is>
      </c>
    </row>
    <row r="550">
      <c r="B550" s="0" t="inlineStr">
        <is>
          <t xml:space="preserve">N0003924F1036</t>
        </is>
      </c>
      <c r="C550" s="0" t="inlineStr">
        <is>
          <t xml:space="preserve">N0003921D6001</t>
        </is>
      </c>
      <c r="D550" s="0" t="inlineStr">
        <is>
          <t xml:space="preserve">small_craft</t>
        </is>
      </c>
      <c r="E550" s="0" t="inlineStr">
        <is>
          <t xml:space="preserve">TELEDYNE BROWN ENGINEERING, INC.</t>
        </is>
      </c>
      <c r="F550" s="0" t="inlineStr">
        <is>
          <t xml:space="preserve">C</t>
        </is>
      </c>
      <c r="G550" s="4">
        <v>0.47827852</v>
      </c>
      <c r="H550" s="0" t="inlineStr">
        <is>
          <t xml:space="preserve">2024-06-26</t>
        </is>
      </c>
      <c r="I550" s="0" t="inlineStr">
        <is>
          <t xml:space="preserve">no</t>
        </is>
      </c>
      <c r="J550" s="0" t="inlineStr">
        <is>
          <t xml:space="preserve">N0003921R1000</t>
        </is>
      </c>
      <c r="K550" s="0" t="inlineStr">
        <is>
          <t xml:space="preserve">NONE</t>
        </is>
      </c>
    </row>
    <row r="551">
      <c r="B551" s="0" t="inlineStr">
        <is>
          <t xml:space="preserve">N3220519F4100</t>
        </is>
      </c>
      <c r="C551" s="0" t="inlineStr">
        <is>
          <t xml:space="preserve">N3220517D4700</t>
        </is>
      </c>
      <c r="D551" s="0" t="inlineStr">
        <is>
          <t xml:space="preserve">other_small</t>
        </is>
      </c>
      <c r="E551" s="0" t="inlineStr">
        <is>
          <t xml:space="preserve">LAKE SHORE SYSTEMS, INC.</t>
        </is>
      </c>
      <c r="F551" s="0" t="inlineStr">
        <is>
          <t xml:space="preserve">C</t>
        </is>
      </c>
      <c r="G551" s="4">
        <v>0.47061979</v>
      </c>
      <c r="H551" s="0" t="inlineStr">
        <is>
          <t xml:space="preserve">2018-10-01</t>
        </is>
      </c>
      <c r="I551" s="0" t="inlineStr">
        <is>
          <t xml:space="preserve">no</t>
        </is>
      </c>
      <c r="K551" s="0" t="inlineStr">
        <is>
          <t xml:space="preserve">NONE</t>
        </is>
      </c>
    </row>
    <row r="552">
      <c r="B552" s="0" t="inlineStr">
        <is>
          <t xml:space="preserve">N0002419C2206</t>
        </is>
      </c>
      <c r="D552" s="0" t="inlineStr">
        <is>
          <t xml:space="preserve">small_craft</t>
        </is>
      </c>
      <c r="E552" s="0" t="inlineStr">
        <is>
          <t xml:space="preserve">ZODIAC OF NORTH AMERICA, INC.</t>
        </is>
      </c>
      <c r="F552" s="0" t="inlineStr">
        <is>
          <t xml:space="preserve">D</t>
        </is>
      </c>
      <c r="G552" s="4">
        <v>0.47006603</v>
      </c>
      <c r="H552" s="0" t="inlineStr">
        <is>
          <t xml:space="preserve">2019-06-27</t>
        </is>
      </c>
      <c r="I552" s="0" t="inlineStr">
        <is>
          <t xml:space="preserve">no</t>
        </is>
      </c>
      <c r="J552" s="0" t="inlineStr">
        <is>
          <t xml:space="preserve">N0002419R2206</t>
        </is>
      </c>
      <c r="K552" s="0" t="inlineStr">
        <is>
          <t xml:space="preserve">NONE</t>
        </is>
      </c>
    </row>
    <row r="553">
      <c r="B553" s="0" t="inlineStr">
        <is>
          <t xml:space="preserve">N0002424F22A4</t>
        </is>
      </c>
      <c r="C553" s="0" t="inlineStr">
        <is>
          <t xml:space="preserve">N0002422D2270</t>
        </is>
      </c>
      <c r="D553" s="0" t="inlineStr">
        <is>
          <t xml:space="preserve">small_craft</t>
        </is>
      </c>
      <c r="E553" s="0" t="inlineStr">
        <is>
          <t xml:space="preserve">METALCRAFT MARINE US, INC.</t>
        </is>
      </c>
      <c r="F553" s="0" t="inlineStr">
        <is>
          <t xml:space="preserve">C</t>
        </is>
      </c>
      <c r="G553" s="4">
        <v>0.46725122999999996</v>
      </c>
      <c r="H553" s="0" t="inlineStr">
        <is>
          <t xml:space="preserve">2024-04-19</t>
        </is>
      </c>
      <c r="I553" s="0" t="inlineStr">
        <is>
          <t xml:space="preserve">no</t>
        </is>
      </c>
      <c r="J553" s="0" t="inlineStr">
        <is>
          <t xml:space="preserve">N0002422R2270</t>
        </is>
      </c>
      <c r="K553" s="0" t="inlineStr">
        <is>
          <t xml:space="preserve">NONE</t>
        </is>
      </c>
    </row>
    <row r="554">
      <c r="B554" s="0" t="inlineStr">
        <is>
          <t xml:space="preserve">0006</t>
        </is>
      </c>
      <c r="C554" s="0" t="inlineStr">
        <is>
          <t xml:space="preserve">N0017314D2017</t>
        </is>
      </c>
      <c r="D554" s="0" t="inlineStr">
        <is>
          <t xml:space="preserve">other_small</t>
        </is>
      </c>
      <c r="E554" s="0" t="inlineStr">
        <is>
          <t xml:space="preserve">OCEANEERING INTERNATIONAL INC</t>
        </is>
      </c>
      <c r="F554" s="0" t="inlineStr">
        <is>
          <t xml:space="preserve">C</t>
        </is>
      </c>
      <c r="G554" s="4">
        <v>0.46632199999999996</v>
      </c>
      <c r="H554" s="0" t="inlineStr">
        <is>
          <t xml:space="preserve">2016-05-19</t>
        </is>
      </c>
      <c r="I554" s="0" t="inlineStr">
        <is>
          <t xml:space="preserve">no</t>
        </is>
      </c>
      <c r="K554" s="0" t="inlineStr">
        <is>
          <t xml:space="preserve">NONE</t>
        </is>
      </c>
    </row>
    <row r="555">
      <c r="B555" s="0" t="inlineStr">
        <is>
          <t xml:space="preserve">N0010421PND97</t>
        </is>
      </c>
      <c r="D555" s="0" t="inlineStr">
        <is>
          <t xml:space="preserve">small_craft</t>
        </is>
      </c>
      <c r="E555" s="0" t="inlineStr">
        <is>
          <t xml:space="preserve">BAE SYSTEMS INFORMATION AND ELECTRONIC SYSTEMS INTEGRATION INC.</t>
        </is>
      </c>
      <c r="F555" s="0" t="inlineStr">
        <is>
          <t xml:space="preserve">B</t>
        </is>
      </c>
      <c r="G555" s="4">
        <v>0.465788</v>
      </c>
      <c r="H555" s="0" t="inlineStr">
        <is>
          <t xml:space="preserve">2021-09-22</t>
        </is>
      </c>
      <c r="I555" s="0" t="inlineStr">
        <is>
          <t xml:space="preserve">no</t>
        </is>
      </c>
      <c r="K555" s="0" t="inlineStr">
        <is>
          <t xml:space="preserve">NONE</t>
        </is>
      </c>
    </row>
    <row r="556">
      <c r="B556" s="0" t="inlineStr">
        <is>
          <t xml:space="preserve">N0010424FY702</t>
        </is>
      </c>
      <c r="C556" s="0" t="inlineStr">
        <is>
          <t xml:space="preserve">N0010422GY701</t>
        </is>
      </c>
      <c r="D556" s="0" t="inlineStr">
        <is>
          <t xml:space="preserve">small_craft</t>
        </is>
      </c>
      <c r="E556" s="0" t="inlineStr">
        <is>
          <t xml:space="preserve">L3 TECHNOLOGIES, INC.</t>
        </is>
      </c>
      <c r="F556" s="0" t="inlineStr">
        <is>
          <t xml:space="preserve">C</t>
        </is>
      </c>
      <c r="G556" s="4">
        <v>0.46503999999999995</v>
      </c>
      <c r="H556" s="0" t="inlineStr">
        <is>
          <t xml:space="preserve">2024-04-29</t>
        </is>
      </c>
      <c r="I556" s="0" t="inlineStr">
        <is>
          <t xml:space="preserve">no</t>
        </is>
      </c>
      <c r="J556" s="0" t="inlineStr">
        <is>
          <t xml:space="preserve">N0010424QZA56</t>
        </is>
      </c>
      <c r="K556" s="0" t="inlineStr">
        <is>
          <t xml:space="preserve">NONE</t>
        </is>
      </c>
    </row>
    <row r="557">
      <c r="B557" s="0" t="inlineStr">
        <is>
          <t xml:space="preserve">0009</t>
        </is>
      </c>
      <c r="C557" s="0" t="inlineStr">
        <is>
          <t xml:space="preserve">N0002409G2300</t>
        </is>
      </c>
      <c r="D557" s="0" t="inlineStr">
        <is>
          <t xml:space="preserve">other_small</t>
        </is>
      </c>
      <c r="E557" s="0" t="inlineStr">
        <is>
          <t xml:space="preserve">LOCKHEED MARTIN CORPORATION</t>
        </is>
      </c>
      <c r="F557" s="0" t="inlineStr">
        <is>
          <t xml:space="preserve">C</t>
        </is>
      </c>
      <c r="G557" s="4">
        <v>0.464535</v>
      </c>
      <c r="H557" s="0" t="inlineStr">
        <is>
          <t xml:space="preserve">2009-03-23</t>
        </is>
      </c>
      <c r="I557" s="0" t="inlineStr">
        <is>
          <t xml:space="preserve">no</t>
        </is>
      </c>
      <c r="K557" s="0" t="inlineStr">
        <is>
          <t xml:space="preserve">NONE</t>
        </is>
      </c>
    </row>
    <row r="558">
      <c r="B558" s="0" t="inlineStr">
        <is>
          <t xml:space="preserve">N0010421PDD14</t>
        </is>
      </c>
      <c r="D558" s="0" t="inlineStr">
        <is>
          <t xml:space="preserve">small_craft</t>
        </is>
      </c>
      <c r="E558" s="0" t="inlineStr">
        <is>
          <t xml:space="preserve">TIMKEN GEARS &amp; SERVICES INC.</t>
        </is>
      </c>
      <c r="F558" s="0" t="inlineStr">
        <is>
          <t xml:space="preserve">B</t>
        </is>
      </c>
      <c r="G558" s="4">
        <v>0.461555</v>
      </c>
      <c r="H558" s="0" t="inlineStr">
        <is>
          <t xml:space="preserve">2021-08-30</t>
        </is>
      </c>
      <c r="I558" s="0" t="inlineStr">
        <is>
          <t xml:space="preserve">no</t>
        </is>
      </c>
      <c r="K558" s="0" t="inlineStr">
        <is>
          <t xml:space="preserve">NONE</t>
        </is>
      </c>
    </row>
    <row r="559">
      <c r="B559" s="0" t="inlineStr">
        <is>
          <t xml:space="preserve">N0010425FY700</t>
        </is>
      </c>
      <c r="C559" s="0" t="inlineStr">
        <is>
          <t xml:space="preserve">N0010422GY701</t>
        </is>
      </c>
      <c r="D559" s="0" t="inlineStr">
        <is>
          <t xml:space="preserve">small_craft</t>
        </is>
      </c>
      <c r="E559" s="0" t="inlineStr">
        <is>
          <t xml:space="preserve">L3 TECHNOLOGIES, INC.</t>
        </is>
      </c>
      <c r="F559" s="0" t="inlineStr">
        <is>
          <t xml:space="preserve">C</t>
        </is>
      </c>
      <c r="G559" s="4">
        <v>0.46080503999999994</v>
      </c>
      <c r="H559" s="0" t="inlineStr">
        <is>
          <t xml:space="preserve">2024-10-24</t>
        </is>
      </c>
      <c r="I559" s="0" t="inlineStr">
        <is>
          <t xml:space="preserve">no</t>
        </is>
      </c>
      <c r="K559" s="0" t="inlineStr">
        <is>
          <t xml:space="preserve">NONE</t>
        </is>
      </c>
    </row>
    <row r="560">
      <c r="B560" s="0" t="inlineStr">
        <is>
          <t xml:space="preserve">N0016419F0209</t>
        </is>
      </c>
      <c r="C560" s="0" t="inlineStr">
        <is>
          <t xml:space="preserve">GS07F5965P</t>
        </is>
      </c>
      <c r="D560" s="0" t="inlineStr">
        <is>
          <t xml:space="preserve">small_craft</t>
        </is>
      </c>
      <c r="E560" s="0" t="inlineStr">
        <is>
          <t xml:space="preserve">ATLANTIC DIVING SUPPLY, INC.</t>
        </is>
      </c>
      <c r="F560" s="0" t="inlineStr">
        <is>
          <t xml:space="preserve">C</t>
        </is>
      </c>
      <c r="G560" s="4">
        <v>0.45851411999999997</v>
      </c>
      <c r="H560" s="0" t="inlineStr">
        <is>
          <t xml:space="preserve">2019-09-16</t>
        </is>
      </c>
      <c r="I560" s="0" t="inlineStr">
        <is>
          <t xml:space="preserve">no</t>
        </is>
      </c>
      <c r="J560" s="0" t="inlineStr">
        <is>
          <t xml:space="preserve">N0016419Q0331</t>
        </is>
      </c>
      <c r="K560" s="0" t="inlineStr">
        <is>
          <t xml:space="preserve">NONE</t>
        </is>
      </c>
    </row>
    <row r="561">
      <c r="B561" s="0" t="inlineStr">
        <is>
          <t xml:space="preserve">N0010420PXB84</t>
        </is>
      </c>
      <c r="D561" s="0" t="inlineStr">
        <is>
          <t xml:space="preserve">small_craft</t>
        </is>
      </c>
      <c r="E561" s="0" t="inlineStr">
        <is>
          <t xml:space="preserve">HENSOLDT INC</t>
        </is>
      </c>
      <c r="F561" s="0" t="inlineStr">
        <is>
          <t xml:space="preserve">B</t>
        </is>
      </c>
      <c r="G561" s="4">
        <v>0.454823</v>
      </c>
      <c r="H561" s="0" t="inlineStr">
        <is>
          <t xml:space="preserve">2020-07-21</t>
        </is>
      </c>
      <c r="I561" s="0" t="inlineStr">
        <is>
          <t xml:space="preserve">no</t>
        </is>
      </c>
      <c r="J561" s="0" t="inlineStr">
        <is>
          <t xml:space="preserve">N0010420QXA78</t>
        </is>
      </c>
      <c r="K561" s="0" t="inlineStr">
        <is>
          <t xml:space="preserve">NONE</t>
        </is>
      </c>
    </row>
    <row r="562">
      <c r="B562" s="0" t="inlineStr">
        <is>
          <t xml:space="preserve">N0010422PUB25</t>
        </is>
      </c>
      <c r="D562" s="0" t="inlineStr">
        <is>
          <t xml:space="preserve">small_craft</t>
        </is>
      </c>
      <c r="E562" s="0" t="inlineStr">
        <is>
          <t xml:space="preserve">REX SYSTEMS INCORPORATED</t>
        </is>
      </c>
      <c r="F562" s="0" t="inlineStr">
        <is>
          <t xml:space="preserve">B</t>
        </is>
      </c>
      <c r="G562" s="4">
        <v>0.44887499999999997</v>
      </c>
      <c r="H562" s="0" t="inlineStr">
        <is>
          <t xml:space="preserve">2022-07-27</t>
        </is>
      </c>
      <c r="I562" s="0" t="inlineStr">
        <is>
          <t xml:space="preserve">no</t>
        </is>
      </c>
      <c r="J562" s="0" t="inlineStr">
        <is>
          <t xml:space="preserve">N0010422QUB92</t>
        </is>
      </c>
      <c r="K562" s="0" t="inlineStr">
        <is>
          <t xml:space="preserve">NONE</t>
        </is>
      </c>
    </row>
    <row r="563">
      <c r="B563" s="0" t="inlineStr">
        <is>
          <t xml:space="preserve">0003</t>
        </is>
      </c>
      <c r="C563" s="0" t="inlineStr">
        <is>
          <t xml:space="preserve">N0002415D2211</t>
        </is>
      </c>
      <c r="D563" s="0" t="inlineStr">
        <is>
          <t xml:space="preserve">small_craft</t>
        </is>
      </c>
      <c r="E563" s="0" t="inlineStr">
        <is>
          <t xml:space="preserve">GRAVOIS ALUMINUM BOATS LLC</t>
        </is>
      </c>
      <c r="F563" s="0" t="inlineStr">
        <is>
          <t xml:space="preserve">C</t>
        </is>
      </c>
      <c r="G563" s="4">
        <v>0.442081</v>
      </c>
      <c r="H563" s="0" t="inlineStr">
        <is>
          <t xml:space="preserve">2016-09-20</t>
        </is>
      </c>
      <c r="I563" s="0" t="inlineStr">
        <is>
          <t xml:space="preserve">no</t>
        </is>
      </c>
      <c r="J563" s="0" t="inlineStr">
        <is>
          <t xml:space="preserve">N0002413R2211</t>
        </is>
      </c>
      <c r="K563" s="0" t="inlineStr">
        <is>
          <t xml:space="preserve">NONE</t>
        </is>
      </c>
    </row>
    <row r="564">
      <c r="B564" s="0" t="inlineStr">
        <is>
          <t xml:space="preserve">N0002419F22J4</t>
        </is>
      </c>
      <c r="C564" s="0" t="inlineStr">
        <is>
          <t xml:space="preserve">N0002416D2215</t>
        </is>
      </c>
      <c r="D564" s="0" t="inlineStr">
        <is>
          <t xml:space="preserve">small_craft</t>
        </is>
      </c>
      <c r="E564" s="0" t="inlineStr">
        <is>
          <t xml:space="preserve">UNITED STATES MARINE INC</t>
        </is>
      </c>
      <c r="F564" s="0" t="inlineStr">
        <is>
          <t xml:space="preserve">C</t>
        </is>
      </c>
      <c r="G564" s="4">
        <v>0.44157303999999997</v>
      </c>
      <c r="H564" s="0" t="inlineStr">
        <is>
          <t xml:space="preserve">2019-07-10</t>
        </is>
      </c>
      <c r="I564" s="0" t="inlineStr">
        <is>
          <t xml:space="preserve">no</t>
        </is>
      </c>
      <c r="J564" s="0" t="inlineStr">
        <is>
          <t xml:space="preserve">N0002416R2215</t>
        </is>
      </c>
      <c r="K564" s="0" t="inlineStr">
        <is>
          <t xml:space="preserve">NONE</t>
        </is>
      </c>
    </row>
    <row r="565">
      <c r="B565" s="0" t="inlineStr">
        <is>
          <t xml:space="preserve">N0002418F22R1</t>
        </is>
      </c>
      <c r="C565" s="0" t="inlineStr">
        <is>
          <t xml:space="preserve">N0002415D2211</t>
        </is>
      </c>
      <c r="D565" s="0" t="inlineStr">
        <is>
          <t xml:space="preserve">small_craft</t>
        </is>
      </c>
      <c r="E565" s="0" t="inlineStr">
        <is>
          <t xml:space="preserve">GRAVOIS ALUMINUM BOATS LLC</t>
        </is>
      </c>
      <c r="F565" s="0" t="inlineStr">
        <is>
          <t xml:space="preserve">C</t>
        </is>
      </c>
      <c r="G565" s="4">
        <v>0.44097132</v>
      </c>
      <c r="H565" s="0" t="inlineStr">
        <is>
          <t xml:space="preserve">2018-02-02</t>
        </is>
      </c>
      <c r="I565" s="0" t="inlineStr">
        <is>
          <t xml:space="preserve">no</t>
        </is>
      </c>
      <c r="J565" s="0" t="inlineStr">
        <is>
          <t xml:space="preserve">N0002413R2211</t>
        </is>
      </c>
      <c r="K565" s="0" t="inlineStr">
        <is>
          <t xml:space="preserve">NONE</t>
        </is>
      </c>
    </row>
    <row r="566">
      <c r="B566" s="0" t="inlineStr">
        <is>
          <t xml:space="preserve">N6133121F0015</t>
        </is>
      </c>
      <c r="C566" s="0" t="inlineStr">
        <is>
          <t xml:space="preserve">N6133118D0007</t>
        </is>
      </c>
      <c r="D566" s="0" t="inlineStr">
        <is>
          <t xml:space="preserve">usv_core</t>
        </is>
      </c>
      <c r="E566" s="0" t="inlineStr">
        <is>
          <t xml:space="preserve">SERCO INC</t>
        </is>
      </c>
      <c r="F566" s="0" t="inlineStr">
        <is>
          <t xml:space="preserve">C</t>
        </is>
      </c>
      <c r="G566" s="4">
        <v>0.44</v>
      </c>
      <c r="H566" s="0" t="inlineStr">
        <is>
          <t xml:space="preserve">2020-12-15</t>
        </is>
      </c>
      <c r="I566" s="0" t="inlineStr">
        <is>
          <t xml:space="preserve">no</t>
        </is>
      </c>
      <c r="J566" s="0" t="inlineStr">
        <is>
          <t xml:space="preserve">N6133117R0001</t>
        </is>
      </c>
      <c r="K566" s="0" t="inlineStr">
        <is>
          <t xml:space="preserve">NONE</t>
        </is>
      </c>
    </row>
    <row r="567">
      <c r="B567" s="0" t="inlineStr">
        <is>
          <t xml:space="preserve">N0016720F1086</t>
        </is>
      </c>
      <c r="C567" s="0" t="inlineStr">
        <is>
          <t xml:space="preserve">N0016720D0005</t>
        </is>
      </c>
      <c r="D567" s="0" t="inlineStr">
        <is>
          <t xml:space="preserve">small_craft</t>
        </is>
      </c>
      <c r="E567" s="0" t="inlineStr">
        <is>
          <t xml:space="preserve">GRYPHON TECHNOLOGIES, L.C.</t>
        </is>
      </c>
      <c r="F567" s="0" t="inlineStr">
        <is>
          <t xml:space="preserve">C</t>
        </is>
      </c>
      <c r="G567" s="4">
        <v>0.43092127</v>
      </c>
      <c r="H567" s="0" t="inlineStr">
        <is>
          <t xml:space="preserve">2020-09-25</t>
        </is>
      </c>
      <c r="I567" s="0" t="inlineStr">
        <is>
          <t xml:space="preserve">no</t>
        </is>
      </c>
      <c r="J567" s="0" t="inlineStr">
        <is>
          <t xml:space="preserve">N0016719R0012</t>
        </is>
      </c>
      <c r="K567" s="0" t="inlineStr">
        <is>
          <t xml:space="preserve">NONE</t>
        </is>
      </c>
    </row>
    <row r="568">
      <c r="B568" s="0" t="inlineStr">
        <is>
          <t xml:space="preserve">N0002419F22U2</t>
        </is>
      </c>
      <c r="C568" s="0" t="inlineStr">
        <is>
          <t xml:space="preserve">N0002414D4409</t>
        </is>
      </c>
      <c r="D568" s="0" t="inlineStr">
        <is>
          <t xml:space="preserve">small_craft</t>
        </is>
      </c>
      <c r="E568" s="0" t="inlineStr">
        <is>
          <t xml:space="preserve">VIGOR KVICHAK LLC</t>
        </is>
      </c>
      <c r="F568" s="0" t="inlineStr">
        <is>
          <t xml:space="preserve">C</t>
        </is>
      </c>
      <c r="G568" s="4">
        <v>0.42886690999999993</v>
      </c>
      <c r="H568" s="0" t="inlineStr">
        <is>
          <t xml:space="preserve">2019-02-05</t>
        </is>
      </c>
      <c r="I568" s="0" t="inlineStr">
        <is>
          <t xml:space="preserve">no</t>
        </is>
      </c>
      <c r="J568" s="0" t="inlineStr">
        <is>
          <t xml:space="preserve">N0002414R2214</t>
        </is>
      </c>
      <c r="K568" s="0" t="inlineStr">
        <is>
          <t xml:space="preserve">NONE</t>
        </is>
      </c>
    </row>
    <row r="569">
      <c r="B569" s="0" t="inlineStr">
        <is>
          <t xml:space="preserve">N6833516C0338</t>
        </is>
      </c>
      <c r="D569" s="0" t="inlineStr">
        <is>
          <t xml:space="preserve">small_craft</t>
        </is>
      </c>
      <c r="E569" s="0" t="inlineStr">
        <is>
          <t xml:space="preserve">BRUNSWICK COMMERCIAL &amp; GOVERNMENT PRODUCTS, INC.</t>
        </is>
      </c>
      <c r="F569" s="0" t="inlineStr">
        <is>
          <t xml:space="preserve">D</t>
        </is>
      </c>
      <c r="G569" s="4">
        <v>0.42774599999999996</v>
      </c>
      <c r="H569" s="0" t="inlineStr">
        <is>
          <t xml:space="preserve">2016-06-21</t>
        </is>
      </c>
      <c r="I569" s="0" t="inlineStr">
        <is>
          <t xml:space="preserve">no</t>
        </is>
      </c>
      <c r="K569" s="0" t="inlineStr">
        <is>
          <t xml:space="preserve">NONE</t>
        </is>
      </c>
    </row>
    <row r="570">
      <c r="B570" s="0" t="inlineStr">
        <is>
          <t xml:space="preserve">N0010424CBA37</t>
        </is>
      </c>
      <c r="D570" s="0" t="inlineStr">
        <is>
          <t xml:space="preserve">small_craft</t>
        </is>
      </c>
      <c r="E570" s="0" t="inlineStr">
        <is>
          <t xml:space="preserve">SFC VALVE CORPORATION</t>
        </is>
      </c>
      <c r="F570" s="0" t="inlineStr">
        <is>
          <t xml:space="preserve">D</t>
        </is>
      </c>
      <c r="G570" s="4">
        <v>0.42695809999999995</v>
      </c>
      <c r="H570" s="0" t="inlineStr">
        <is>
          <t xml:space="preserve">2024-08-29</t>
        </is>
      </c>
      <c r="I570" s="0" t="inlineStr">
        <is>
          <t xml:space="preserve">no</t>
        </is>
      </c>
      <c r="J570" s="0" t="inlineStr">
        <is>
          <t xml:space="preserve">N0010424RBX86</t>
        </is>
      </c>
      <c r="K570" s="0" t="inlineStr">
        <is>
          <t xml:space="preserve">NONE</t>
        </is>
      </c>
    </row>
    <row r="571">
      <c r="B571" s="0" t="inlineStr">
        <is>
          <t xml:space="preserve">N0010424PNC34</t>
        </is>
      </c>
      <c r="D571" s="0" t="inlineStr">
        <is>
          <t xml:space="preserve">small_craft</t>
        </is>
      </c>
      <c r="E571" s="0" t="inlineStr">
        <is>
          <t xml:space="preserve">ORDNANCE TECHNOLOGY SERVICE, INC.</t>
        </is>
      </c>
      <c r="F571" s="0" t="inlineStr">
        <is>
          <t xml:space="preserve">B</t>
        </is>
      </c>
      <c r="G571" s="4">
        <v>0.42209599999999997</v>
      </c>
      <c r="H571" s="0" t="inlineStr">
        <is>
          <t xml:space="preserve">2024-08-15</t>
        </is>
      </c>
      <c r="I571" s="0" t="inlineStr">
        <is>
          <t xml:space="preserve">no</t>
        </is>
      </c>
      <c r="J571" s="0" t="inlineStr">
        <is>
          <t xml:space="preserve">N0010423QFA82</t>
        </is>
      </c>
      <c r="K571" s="0" t="inlineStr">
        <is>
          <t xml:space="preserve">NONE</t>
        </is>
      </c>
    </row>
    <row r="572">
      <c r="B572" s="0" t="inlineStr">
        <is>
          <t xml:space="preserve">N0002418F22U1</t>
        </is>
      </c>
      <c r="C572" s="0" t="inlineStr">
        <is>
          <t xml:space="preserve">N0002414D4409</t>
        </is>
      </c>
      <c r="D572" s="0" t="inlineStr">
        <is>
          <t xml:space="preserve">small_craft</t>
        </is>
      </c>
      <c r="E572" s="0" t="inlineStr">
        <is>
          <t xml:space="preserve">VIGOR KVICHAK LLC</t>
        </is>
      </c>
      <c r="F572" s="0" t="inlineStr">
        <is>
          <t xml:space="preserve">C</t>
        </is>
      </c>
      <c r="G572" s="4">
        <v>0.42169538</v>
      </c>
      <c r="H572" s="0" t="inlineStr">
        <is>
          <t xml:space="preserve">2017-12-19</t>
        </is>
      </c>
      <c r="I572" s="0" t="inlineStr">
        <is>
          <t xml:space="preserve">no</t>
        </is>
      </c>
      <c r="J572" s="0" t="inlineStr">
        <is>
          <t xml:space="preserve">N0002414R2214</t>
        </is>
      </c>
      <c r="K572" s="0" t="inlineStr">
        <is>
          <t xml:space="preserve">NONE</t>
        </is>
      </c>
    </row>
    <row r="573">
      <c r="B573" s="0" t="inlineStr">
        <is>
          <t xml:space="preserve">N3220520F2470</t>
        </is>
      </c>
      <c r="C573" s="0" t="inlineStr">
        <is>
          <t xml:space="preserve">N3220517D4700</t>
        </is>
      </c>
      <c r="D573" s="0" t="inlineStr">
        <is>
          <t xml:space="preserve">other_small</t>
        </is>
      </c>
      <c r="E573" s="0" t="inlineStr">
        <is>
          <t xml:space="preserve">LAKE SHORE SYSTEMS, INC.</t>
        </is>
      </c>
      <c r="F573" s="0" t="inlineStr">
        <is>
          <t xml:space="preserve">C</t>
        </is>
      </c>
      <c r="G573" s="4">
        <v>0.41866451</v>
      </c>
      <c r="H573" s="0" t="inlineStr">
        <is>
          <t xml:space="preserve">2020-08-13</t>
        </is>
      </c>
      <c r="I573" s="0" t="inlineStr">
        <is>
          <t xml:space="preserve">no</t>
        </is>
      </c>
      <c r="K573" s="0" t="inlineStr">
        <is>
          <t xml:space="preserve">NONE</t>
        </is>
      </c>
    </row>
    <row r="574">
      <c r="B574" s="0" t="inlineStr">
        <is>
          <t xml:space="preserve">N0010425PLA16</t>
        </is>
      </c>
      <c r="D574" s="0" t="inlineStr">
        <is>
          <t xml:space="preserve">small_craft</t>
        </is>
      </c>
      <c r="E574" s="0" t="inlineStr">
        <is>
          <t xml:space="preserve">GLOBAL INCORPORATED</t>
        </is>
      </c>
      <c r="F574" s="0" t="inlineStr">
        <is>
          <t xml:space="preserve">B</t>
        </is>
      </c>
      <c r="G574" s="4">
        <v>0.41566337999999997</v>
      </c>
      <c r="H574" s="0" t="inlineStr">
        <is>
          <t xml:space="preserve">2024-10-23</t>
        </is>
      </c>
      <c r="I574" s="0" t="inlineStr">
        <is>
          <t xml:space="preserve">no</t>
        </is>
      </c>
      <c r="K574" s="0" t="inlineStr">
        <is>
          <t xml:space="preserve">NONE</t>
        </is>
      </c>
    </row>
    <row r="575">
      <c r="B575" s="0" t="inlineStr">
        <is>
          <t xml:space="preserve">N0010424PYC41</t>
        </is>
      </c>
      <c r="D575" s="0" t="inlineStr">
        <is>
          <t xml:space="preserve">small_craft</t>
        </is>
      </c>
      <c r="E575" s="0" t="inlineStr">
        <is>
          <t xml:space="preserve">SARGENT AEROSPACE &amp; DEFENSE, LLC</t>
        </is>
      </c>
      <c r="F575" s="0" t="inlineStr">
        <is>
          <t xml:space="preserve">B</t>
        </is>
      </c>
      <c r="G575" s="4">
        <v>0.41517699999999996</v>
      </c>
      <c r="H575" s="0" t="inlineStr">
        <is>
          <t xml:space="preserve">2024-08-29</t>
        </is>
      </c>
      <c r="I575" s="0" t="inlineStr">
        <is>
          <t xml:space="preserve">no</t>
        </is>
      </c>
      <c r="J575" s="0" t="inlineStr">
        <is>
          <t xml:space="preserve">N0010424QYB03</t>
        </is>
      </c>
      <c r="K575" s="0" t="inlineStr">
        <is>
          <t xml:space="preserve">NONE</t>
        </is>
      </c>
    </row>
    <row r="576">
      <c r="B576" s="0" t="inlineStr">
        <is>
          <t xml:space="preserve">N6600117P6642</t>
        </is>
      </c>
      <c r="D576" s="0" t="inlineStr">
        <is>
          <t xml:space="preserve">small_craft</t>
        </is>
      </c>
      <c r="E576" s="0" t="inlineStr">
        <is>
          <t xml:space="preserve">WELLER RECREATION, INC</t>
        </is>
      </c>
      <c r="F576" s="0" t="inlineStr">
        <is>
          <t xml:space="preserve">B</t>
        </is>
      </c>
      <c r="G576" s="4">
        <v>0.41405</v>
      </c>
      <c r="H576" s="0" t="inlineStr">
        <is>
          <t xml:space="preserve">2016-12-29</t>
        </is>
      </c>
      <c r="I576" s="0" t="inlineStr">
        <is>
          <t xml:space="preserve">no</t>
        </is>
      </c>
      <c r="J576" s="0" t="inlineStr">
        <is>
          <t xml:space="preserve">N6600117T6642</t>
        </is>
      </c>
      <c r="K576" s="0" t="inlineStr">
        <is>
          <t xml:space="preserve">NONE</t>
        </is>
      </c>
    </row>
    <row r="577">
      <c r="B577" s="0" t="inlineStr">
        <is>
          <t xml:space="preserve">N3220517P4004</t>
        </is>
      </c>
      <c r="D577" s="0" t="inlineStr">
        <is>
          <t xml:space="preserve">small_craft</t>
        </is>
      </c>
      <c r="E577" s="0" t="inlineStr">
        <is>
          <t xml:space="preserve">WILLARD MARINE, INC.</t>
        </is>
      </c>
      <c r="F577" s="0" t="inlineStr">
        <is>
          <t xml:space="preserve">B</t>
        </is>
      </c>
      <c r="G577" s="4">
        <v>0.40868</v>
      </c>
      <c r="H577" s="0" t="inlineStr">
        <is>
          <t xml:space="preserve">2016-12-01</t>
        </is>
      </c>
      <c r="I577" s="0" t="inlineStr">
        <is>
          <t xml:space="preserve">no</t>
        </is>
      </c>
      <c r="K577" s="0" t="inlineStr">
        <is>
          <t xml:space="preserve">NONE</t>
        </is>
      </c>
    </row>
    <row r="578">
      <c r="B578" s="0" t="inlineStr">
        <is>
          <t xml:space="preserve">N0016425PX001</t>
        </is>
      </c>
      <c r="D578" s="0" t="inlineStr">
        <is>
          <t xml:space="preserve">small_craft</t>
        </is>
      </c>
      <c r="E578" s="0" t="inlineStr">
        <is>
          <t xml:space="preserve">WORKSKIFF, INC.</t>
        </is>
      </c>
      <c r="F578" s="0" t="inlineStr">
        <is>
          <t xml:space="preserve">B</t>
        </is>
      </c>
      <c r="G578" s="4">
        <v>0.407532</v>
      </c>
      <c r="H578" s="0" t="inlineStr">
        <is>
          <t xml:space="preserve">2025-09-24</t>
        </is>
      </c>
      <c r="I578" s="0" t="inlineStr">
        <is>
          <t xml:space="preserve">yes</t>
        </is>
      </c>
      <c r="K578" s="0" t="inlineStr">
        <is>
          <t xml:space="preserve">NONE</t>
        </is>
      </c>
    </row>
    <row r="579">
      <c r="B579" s="0" t="inlineStr">
        <is>
          <t xml:space="preserve">N0010424CBA38</t>
        </is>
      </c>
      <c r="D579" s="0" t="inlineStr">
        <is>
          <t xml:space="preserve">small_craft</t>
        </is>
      </c>
      <c r="E579" s="0" t="inlineStr">
        <is>
          <t xml:space="preserve">JO-KELL INC.</t>
        </is>
      </c>
      <c r="F579" s="0" t="inlineStr">
        <is>
          <t xml:space="preserve">D</t>
        </is>
      </c>
      <c r="G579" s="4">
        <v>0.406128</v>
      </c>
      <c r="H579" s="0" t="inlineStr">
        <is>
          <t xml:space="preserve">2024-08-30</t>
        </is>
      </c>
      <c r="I579" s="0" t="inlineStr">
        <is>
          <t xml:space="preserve">no</t>
        </is>
      </c>
      <c r="K579" s="0" t="inlineStr">
        <is>
          <t xml:space="preserve">NONE</t>
        </is>
      </c>
    </row>
    <row r="580">
      <c r="B580" s="0" t="inlineStr">
        <is>
          <t xml:space="preserve">N0003925F1003</t>
        </is>
      </c>
      <c r="C580" s="0" t="inlineStr">
        <is>
          <t xml:space="preserve">N0003921D6001</t>
        </is>
      </c>
      <c r="D580" s="0" t="inlineStr">
        <is>
          <t xml:space="preserve">small_craft</t>
        </is>
      </c>
      <c r="E580" s="0" t="inlineStr">
        <is>
          <t xml:space="preserve">TELEDYNE BROWN ENGINEERING, INC.</t>
        </is>
      </c>
      <c r="F580" s="0" t="inlineStr">
        <is>
          <t xml:space="preserve">C</t>
        </is>
      </c>
      <c r="G580" s="4">
        <v>0.40099049</v>
      </c>
      <c r="H580" s="0" t="inlineStr">
        <is>
          <t xml:space="preserve">2024-11-19</t>
        </is>
      </c>
      <c r="I580" s="0" t="inlineStr">
        <is>
          <t xml:space="preserve">no</t>
        </is>
      </c>
      <c r="J580" s="0" t="inlineStr">
        <is>
          <t xml:space="preserve">N0003921R1000</t>
        </is>
      </c>
      <c r="K580" s="0" t="inlineStr">
        <is>
          <t xml:space="preserve">NONE</t>
        </is>
      </c>
    </row>
    <row r="581">
      <c r="B581" s="0" t="inlineStr">
        <is>
          <t xml:space="preserve">N0010425PCB47</t>
        </is>
      </c>
      <c r="D581" s="0" t="inlineStr">
        <is>
          <t xml:space="preserve">small_craft</t>
        </is>
      </c>
      <c r="E581" s="0" t="inlineStr">
        <is>
          <t xml:space="preserve">ENGINE SYSTEMS, INC.</t>
        </is>
      </c>
      <c r="F581" s="0" t="inlineStr">
        <is>
          <t xml:space="preserve">B</t>
        </is>
      </c>
      <c r="G581" s="4">
        <v>0.39999999999999997</v>
      </c>
      <c r="H581" s="0" t="inlineStr">
        <is>
          <t xml:space="preserve">2025-05-27</t>
        </is>
      </c>
      <c r="I581" s="0" t="inlineStr">
        <is>
          <t xml:space="preserve">no</t>
        </is>
      </c>
      <c r="J581" s="0" t="inlineStr">
        <is>
          <t xml:space="preserve">N0010425QCB29</t>
        </is>
      </c>
      <c r="K581" s="0" t="inlineStr">
        <is>
          <t xml:space="preserve">NONE</t>
        </is>
      </c>
    </row>
    <row r="582">
      <c r="B582" s="0" t="inlineStr">
        <is>
          <t xml:space="preserve">N6660420FC827</t>
        </is>
      </c>
      <c r="C582" s="0" t="inlineStr">
        <is>
          <t xml:space="preserve">N6660418DC815</t>
        </is>
      </c>
      <c r="D582" s="0" t="inlineStr">
        <is>
          <t xml:space="preserve">small_craft</t>
        </is>
      </c>
      <c r="E582" s="0" t="inlineStr">
        <is>
          <t xml:space="preserve">LOCKHEED MARTIN CORPORATION</t>
        </is>
      </c>
      <c r="F582" s="0" t="inlineStr">
        <is>
          <t xml:space="preserve">C</t>
        </is>
      </c>
      <c r="G582" s="4">
        <v>0.39897</v>
      </c>
      <c r="H582" s="0" t="inlineStr">
        <is>
          <t xml:space="preserve">2020-05-29</t>
        </is>
      </c>
      <c r="I582" s="0" t="inlineStr">
        <is>
          <t xml:space="preserve">no</t>
        </is>
      </c>
      <c r="J582" s="0" t="inlineStr">
        <is>
          <t xml:space="preserve">N6660417R0350</t>
        </is>
      </c>
      <c r="K582" s="0" t="inlineStr">
        <is>
          <t xml:space="preserve">NONE</t>
        </is>
      </c>
    </row>
    <row r="583">
      <c r="B583" s="0" t="inlineStr">
        <is>
          <t xml:space="preserve">0004</t>
        </is>
      </c>
      <c r="C583" s="0" t="inlineStr">
        <is>
          <t xml:space="preserve">N0002414D4409</t>
        </is>
      </c>
      <c r="D583" s="0" t="inlineStr">
        <is>
          <t xml:space="preserve">small_craft</t>
        </is>
      </c>
      <c r="E583" s="0" t="inlineStr">
        <is>
          <t xml:space="preserve">VIGOR KVICHAK LLC</t>
        </is>
      </c>
      <c r="F583" s="0" t="inlineStr">
        <is>
          <t xml:space="preserve">C</t>
        </is>
      </c>
      <c r="G583" s="4">
        <v>0.396744</v>
      </c>
      <c r="H583" s="0" t="inlineStr">
        <is>
          <t xml:space="preserve">2016-08-23</t>
        </is>
      </c>
      <c r="I583" s="0" t="inlineStr">
        <is>
          <t xml:space="preserve">no</t>
        </is>
      </c>
      <c r="J583" s="0" t="inlineStr">
        <is>
          <t xml:space="preserve">N0002414R2214</t>
        </is>
      </c>
      <c r="K583" s="0" t="inlineStr">
        <is>
          <t xml:space="preserve">NONE</t>
        </is>
      </c>
    </row>
    <row r="584">
      <c r="B584" s="0" t="inlineStr">
        <is>
          <t xml:space="preserve">1009</t>
        </is>
      </c>
      <c r="C584" s="0" t="inlineStr">
        <is>
          <t xml:space="preserve">N0010416DX004</t>
        </is>
      </c>
      <c r="D584" s="0" t="inlineStr">
        <is>
          <t xml:space="preserve">small_craft</t>
        </is>
      </c>
      <c r="E584" s="0" t="inlineStr">
        <is>
          <t xml:space="preserve">WING INFLATABLES INC</t>
        </is>
      </c>
      <c r="F584" s="0" t="inlineStr">
        <is>
          <t xml:space="preserve">C</t>
        </is>
      </c>
      <c r="G584" s="4">
        <v>0.39413079999999995</v>
      </c>
      <c r="H584" s="0" t="inlineStr">
        <is>
          <t xml:space="preserve">2017-08-04</t>
        </is>
      </c>
      <c r="I584" s="0" t="inlineStr">
        <is>
          <t xml:space="preserve">no</t>
        </is>
      </c>
      <c r="K584" s="0" t="inlineStr">
        <is>
          <t xml:space="preserve">NONE</t>
        </is>
      </c>
    </row>
    <row r="585">
      <c r="B585" s="0" t="inlineStr">
        <is>
          <t xml:space="preserve">N0002421C2210</t>
        </is>
      </c>
      <c r="D585" s="0" t="inlineStr">
        <is>
          <t xml:space="preserve">small_craft</t>
        </is>
      </c>
      <c r="E585" s="0" t="inlineStr">
        <is>
          <t xml:space="preserve">MODUTECH MARINE, INC.</t>
        </is>
      </c>
      <c r="F585" s="0" t="inlineStr">
        <is>
          <t xml:space="preserve">D</t>
        </is>
      </c>
      <c r="G585" s="4">
        <v>0.39316542</v>
      </c>
      <c r="H585" s="0" t="inlineStr">
        <is>
          <t xml:space="preserve">2021-08-24</t>
        </is>
      </c>
      <c r="I585" s="0" t="inlineStr">
        <is>
          <t xml:space="preserve">no</t>
        </is>
      </c>
      <c r="J585" s="0" t="inlineStr">
        <is>
          <t xml:space="preserve">N0002421R2210</t>
        </is>
      </c>
      <c r="K585" s="0" t="inlineStr">
        <is>
          <t xml:space="preserve">NONE</t>
        </is>
      </c>
    </row>
    <row r="586">
      <c r="B586" s="0" t="inlineStr">
        <is>
          <t xml:space="preserve">0010</t>
        </is>
      </c>
      <c r="C586" s="0" t="inlineStr">
        <is>
          <t xml:space="preserve">N0002409G2300</t>
        </is>
      </c>
      <c r="D586" s="0" t="inlineStr">
        <is>
          <t xml:space="preserve">other_small</t>
        </is>
      </c>
      <c r="E586" s="0" t="inlineStr">
        <is>
          <t xml:space="preserve">LOCKHEED MARTIN CORPORATION</t>
        </is>
      </c>
      <c r="F586" s="0" t="inlineStr">
        <is>
          <t xml:space="preserve">C</t>
        </is>
      </c>
      <c r="G586" s="4">
        <v>0.390685</v>
      </c>
      <c r="H586" s="0" t="inlineStr">
        <is>
          <t xml:space="preserve">2009-03-31</t>
        </is>
      </c>
      <c r="I586" s="0" t="inlineStr">
        <is>
          <t xml:space="preserve">no</t>
        </is>
      </c>
      <c r="K586" s="0" t="inlineStr">
        <is>
          <t xml:space="preserve">NONE</t>
        </is>
      </c>
    </row>
    <row r="587">
      <c r="B587" s="0" t="inlineStr">
        <is>
          <t xml:space="preserve">N0010424PXD14</t>
        </is>
      </c>
      <c r="D587" s="0" t="inlineStr">
        <is>
          <t xml:space="preserve">small_craft</t>
        </is>
      </c>
      <c r="E587" s="0" t="inlineStr">
        <is>
          <t xml:space="preserve">DEFENSE MARITIME SOLUTIONS, INC.</t>
        </is>
      </c>
      <c r="F587" s="0" t="inlineStr">
        <is>
          <t xml:space="preserve">B</t>
        </is>
      </c>
      <c r="G587" s="4">
        <v>0.38904025</v>
      </c>
      <c r="H587" s="0" t="inlineStr">
        <is>
          <t xml:space="preserve">2024-09-12</t>
        </is>
      </c>
      <c r="I587" s="0" t="inlineStr">
        <is>
          <t xml:space="preserve">no</t>
        </is>
      </c>
      <c r="K587" s="0" t="inlineStr">
        <is>
          <t xml:space="preserve">NONE</t>
        </is>
      </c>
    </row>
    <row r="588">
      <c r="B588" s="0" t="inlineStr">
        <is>
          <t xml:space="preserve">N0010425PFC59</t>
        </is>
      </c>
      <c r="D588" s="0" t="inlineStr">
        <is>
          <t xml:space="preserve">small_craft</t>
        </is>
      </c>
      <c r="E588" s="0" t="inlineStr">
        <is>
          <t xml:space="preserve">U.S.A. SPARES INC.</t>
        </is>
      </c>
      <c r="F588" s="0" t="inlineStr">
        <is>
          <t xml:space="preserve">B</t>
        </is>
      </c>
      <c r="G588" s="4">
        <v>0.38699999999999996</v>
      </c>
      <c r="H588" s="0" t="inlineStr">
        <is>
          <t xml:space="preserve">2025-05-14</t>
        </is>
      </c>
      <c r="I588" s="0" t="inlineStr">
        <is>
          <t xml:space="preserve">no</t>
        </is>
      </c>
      <c r="J588" s="0" t="inlineStr">
        <is>
          <t xml:space="preserve">N0010425QFB79</t>
        </is>
      </c>
      <c r="K588" s="0" t="inlineStr">
        <is>
          <t xml:space="preserve">NONE</t>
        </is>
      </c>
    </row>
    <row r="589">
      <c r="B589" s="0" t="inlineStr">
        <is>
          <t xml:space="preserve">N0010421CLA02</t>
        </is>
      </c>
      <c r="D589" s="0" t="inlineStr">
        <is>
          <t xml:space="preserve">small_craft</t>
        </is>
      </c>
      <c r="E589" s="0" t="inlineStr">
        <is>
          <t xml:space="preserve">CORNET TECHNOLOGY, INC.</t>
        </is>
      </c>
      <c r="F589" s="0" t="inlineStr">
        <is>
          <t xml:space="preserve">D</t>
        </is>
      </c>
      <c r="G589" s="4">
        <v>0.3826077</v>
      </c>
      <c r="H589" s="0" t="inlineStr">
        <is>
          <t xml:space="preserve">2020-12-30</t>
        </is>
      </c>
      <c r="I589" s="0" t="inlineStr">
        <is>
          <t xml:space="preserve">no</t>
        </is>
      </c>
      <c r="J589" s="0" t="inlineStr">
        <is>
          <t xml:space="preserve">N0010420RLC14</t>
        </is>
      </c>
      <c r="K589" s="0" t="inlineStr">
        <is>
          <t xml:space="preserve">NONE</t>
        </is>
      </c>
    </row>
    <row r="590">
      <c r="B590" s="0" t="inlineStr">
        <is>
          <t xml:space="preserve">N0002424F22B5</t>
        </is>
      </c>
      <c r="C590" s="0" t="inlineStr">
        <is>
          <t xml:space="preserve">N0002423D2260</t>
        </is>
      </c>
      <c r="D590" s="0" t="inlineStr">
        <is>
          <t xml:space="preserve">small_craft</t>
        </is>
      </c>
      <c r="E590" s="0" t="inlineStr">
        <is>
          <t xml:space="preserve">METALCRAFT MARINE US, INC.</t>
        </is>
      </c>
      <c r="F590" s="0" t="inlineStr">
        <is>
          <t xml:space="preserve">C</t>
        </is>
      </c>
      <c r="G590" s="4">
        <v>0.3822629</v>
      </c>
      <c r="H590" s="0" t="inlineStr">
        <is>
          <t xml:space="preserve">2024-09-24</t>
        </is>
      </c>
      <c r="I590" s="0" t="inlineStr">
        <is>
          <t xml:space="preserve">no</t>
        </is>
      </c>
      <c r="J590" s="0" t="inlineStr">
        <is>
          <t xml:space="preserve">N0002423R2260</t>
        </is>
      </c>
      <c r="K590" s="0" t="inlineStr">
        <is>
          <t xml:space="preserve">NONE</t>
        </is>
      </c>
    </row>
    <row r="591">
      <c r="B591" s="0" t="inlineStr">
        <is>
          <t xml:space="preserve">N3220520F1017</t>
        </is>
      </c>
      <c r="C591" s="0" t="inlineStr">
        <is>
          <t xml:space="preserve">N3220517D4700</t>
        </is>
      </c>
      <c r="D591" s="0" t="inlineStr">
        <is>
          <t xml:space="preserve">other_small</t>
        </is>
      </c>
      <c r="E591" s="0" t="inlineStr">
        <is>
          <t xml:space="preserve">LAKE SHORE SYSTEMS, INC.</t>
        </is>
      </c>
      <c r="F591" s="0" t="inlineStr">
        <is>
          <t xml:space="preserve">C</t>
        </is>
      </c>
      <c r="G591" s="4">
        <v>0.3791172</v>
      </c>
      <c r="H591" s="0" t="inlineStr">
        <is>
          <t xml:space="preserve">2020-01-30</t>
        </is>
      </c>
      <c r="I591" s="0" t="inlineStr">
        <is>
          <t xml:space="preserve">no</t>
        </is>
      </c>
      <c r="K591" s="0" t="inlineStr">
        <is>
          <t xml:space="preserve">NONE</t>
        </is>
      </c>
    </row>
    <row r="592">
      <c r="B592" s="0" t="inlineStr">
        <is>
          <t xml:space="preserve">N0010421PLC75</t>
        </is>
      </c>
      <c r="D592" s="0" t="inlineStr">
        <is>
          <t xml:space="preserve">small_craft</t>
        </is>
      </c>
      <c r="E592" s="0" t="inlineStr">
        <is>
          <t xml:space="preserve">GENERAL DYNAMICS-OTS, INC.</t>
        </is>
      </c>
      <c r="F592" s="0" t="inlineStr">
        <is>
          <t xml:space="preserve">B</t>
        </is>
      </c>
      <c r="G592" s="4">
        <v>0.37885737999999997</v>
      </c>
      <c r="H592" s="0" t="inlineStr">
        <is>
          <t xml:space="preserve">2021-09-30</t>
        </is>
      </c>
      <c r="I592" s="0" t="inlineStr">
        <is>
          <t xml:space="preserve">no</t>
        </is>
      </c>
      <c r="K592" s="0" t="inlineStr">
        <is>
          <t xml:space="preserve">NONE</t>
        </is>
      </c>
    </row>
    <row r="593">
      <c r="B593" s="0" t="inlineStr">
        <is>
          <t xml:space="preserve">N0010425CBA35</t>
        </is>
      </c>
      <c r="D593" s="0" t="inlineStr">
        <is>
          <t xml:space="preserve">small_craft</t>
        </is>
      </c>
      <c r="E593" s="0" t="inlineStr">
        <is>
          <t xml:space="preserve">NORTHROP GRUMMAN SYSTEMS CORPORATION</t>
        </is>
      </c>
      <c r="F593" s="0" t="inlineStr">
        <is>
          <t xml:space="preserve">D</t>
        </is>
      </c>
      <c r="G593" s="4">
        <v>0.3776</v>
      </c>
      <c r="H593" s="0" t="inlineStr">
        <is>
          <t xml:space="preserve">2025-08-25</t>
        </is>
      </c>
      <c r="I593" s="0" t="inlineStr">
        <is>
          <t xml:space="preserve">yes</t>
        </is>
      </c>
      <c r="J593" s="0" t="inlineStr">
        <is>
          <t xml:space="preserve">N0010423REC67</t>
        </is>
      </c>
      <c r="K593" s="0" t="inlineStr">
        <is>
          <t xml:space="preserve">NONE</t>
        </is>
      </c>
    </row>
    <row r="594">
      <c r="B594" s="0" t="inlineStr">
        <is>
          <t xml:space="preserve">N3220519F8225</t>
        </is>
      </c>
      <c r="C594" s="0" t="inlineStr">
        <is>
          <t xml:space="preserve">N3220517D4700</t>
        </is>
      </c>
      <c r="D594" s="0" t="inlineStr">
        <is>
          <t xml:space="preserve">other_small</t>
        </is>
      </c>
      <c r="E594" s="0" t="inlineStr">
        <is>
          <t xml:space="preserve">LAKE SHORE SYSTEMS, INC.</t>
        </is>
      </c>
      <c r="F594" s="0" t="inlineStr">
        <is>
          <t xml:space="preserve">C</t>
        </is>
      </c>
      <c r="G594" s="4">
        <v>0.37701446999999993</v>
      </c>
      <c r="H594" s="0" t="inlineStr">
        <is>
          <t xml:space="preserve">2019-09-02</t>
        </is>
      </c>
      <c r="I594" s="0" t="inlineStr">
        <is>
          <t xml:space="preserve">no</t>
        </is>
      </c>
      <c r="K594" s="0" t="inlineStr">
        <is>
          <t xml:space="preserve">NONE</t>
        </is>
      </c>
    </row>
    <row r="595">
      <c r="B595" s="0" t="inlineStr">
        <is>
          <t xml:space="preserve">N0018916PZ649</t>
        </is>
      </c>
      <c r="D595" s="0" t="inlineStr">
        <is>
          <t xml:space="preserve">other_small</t>
        </is>
      </c>
      <c r="E595" s="0" t="inlineStr">
        <is>
          <t xml:space="preserve">MRV SYSTEMS, LLC</t>
        </is>
      </c>
      <c r="F595" s="0" t="inlineStr">
        <is>
          <t xml:space="preserve">B</t>
        </is>
      </c>
      <c r="G595" s="4">
        <v>0.37664</v>
      </c>
      <c r="H595" s="0" t="inlineStr">
        <is>
          <t xml:space="preserve">2016-09-15</t>
        </is>
      </c>
      <c r="I595" s="0" t="inlineStr">
        <is>
          <t xml:space="preserve">no</t>
        </is>
      </c>
      <c r="J595" s="0" t="inlineStr">
        <is>
          <t xml:space="preserve">N0018916TZ319</t>
        </is>
      </c>
      <c r="K595" s="0" t="inlineStr">
        <is>
          <t xml:space="preserve">NONE</t>
        </is>
      </c>
    </row>
    <row r="596">
      <c r="B596" s="0" t="inlineStr">
        <is>
          <t xml:space="preserve">N0001415C5116</t>
        </is>
      </c>
      <c r="D596" s="0" t="inlineStr">
        <is>
          <t xml:space="preserve">usv_core</t>
        </is>
      </c>
      <c r="E596" s="0" t="inlineStr">
        <is>
          <t xml:space="preserve">WOODS HOLE OCEANOGRAPHIC INSTITUTION</t>
        </is>
      </c>
      <c r="F596" s="0" t="inlineStr">
        <is>
          <t xml:space="preserve">D</t>
        </is>
      </c>
      <c r="G596" s="4">
        <v>0.37141096999999995</v>
      </c>
      <c r="H596" s="0" t="inlineStr">
        <is>
          <t xml:space="preserve">2015-09-16</t>
        </is>
      </c>
      <c r="I596" s="0" t="inlineStr">
        <is>
          <t xml:space="preserve">no</t>
        </is>
      </c>
      <c r="J596" s="0" t="inlineStr">
        <is>
          <t xml:space="preserve">N0001415RBA01</t>
        </is>
      </c>
      <c r="K596" s="0" t="inlineStr">
        <is>
          <t xml:space="preserve">NONE</t>
        </is>
      </c>
    </row>
    <row r="597">
      <c r="B597" s="0" t="inlineStr">
        <is>
          <t xml:space="preserve">0004</t>
        </is>
      </c>
      <c r="C597" s="0" t="inlineStr">
        <is>
          <t xml:space="preserve">N0002413D2253</t>
        </is>
      </c>
      <c r="D597" s="0" t="inlineStr">
        <is>
          <t xml:space="preserve">small_craft</t>
        </is>
      </c>
      <c r="E597" s="0" t="inlineStr">
        <is>
          <t xml:space="preserve">GRAVOIS ALUMINUM BOATS LLC</t>
        </is>
      </c>
      <c r="F597" s="0" t="inlineStr">
        <is>
          <t xml:space="preserve">C</t>
        </is>
      </c>
      <c r="G597" s="4">
        <v>0.36588499999999996</v>
      </c>
      <c r="H597" s="0" t="inlineStr">
        <is>
          <t xml:space="preserve">2014-08-28</t>
        </is>
      </c>
      <c r="I597" s="0" t="inlineStr">
        <is>
          <t xml:space="preserve">no</t>
        </is>
      </c>
      <c r="J597" s="0" t="inlineStr">
        <is>
          <t xml:space="preserve">N0002412R2253</t>
        </is>
      </c>
      <c r="K597" s="0" t="inlineStr">
        <is>
          <t xml:space="preserve">NONE</t>
        </is>
      </c>
    </row>
    <row r="598">
      <c r="B598" s="0" t="inlineStr">
        <is>
          <t xml:space="preserve">N0010422PJC49</t>
        </is>
      </c>
      <c r="D598" s="0" t="inlineStr">
        <is>
          <t xml:space="preserve">small_craft</t>
        </is>
      </c>
      <c r="E598" s="0" t="inlineStr">
        <is>
          <t xml:space="preserve">ADMARTEC, INC</t>
        </is>
      </c>
      <c r="F598" s="0" t="inlineStr">
        <is>
          <t xml:space="preserve">B</t>
        </is>
      </c>
      <c r="G598" s="4">
        <v>0.356985</v>
      </c>
      <c r="H598" s="0" t="inlineStr">
        <is>
          <t xml:space="preserve">2022-07-26</t>
        </is>
      </c>
      <c r="I598" s="0" t="inlineStr">
        <is>
          <t xml:space="preserve">no</t>
        </is>
      </c>
      <c r="J598" s="0" t="inlineStr">
        <is>
          <t xml:space="preserve">N0010422QJD31</t>
        </is>
      </c>
      <c r="K598" s="0" t="inlineStr">
        <is>
          <t xml:space="preserve">NONE</t>
        </is>
      </c>
    </row>
    <row r="599">
      <c r="B599" s="0" t="inlineStr">
        <is>
          <t xml:space="preserve">N0010425PLC10</t>
        </is>
      </c>
      <c r="D599" s="0" t="inlineStr">
        <is>
          <t xml:space="preserve">small_craft</t>
        </is>
      </c>
      <c r="E599" s="0" t="inlineStr">
        <is>
          <t xml:space="preserve">D. P. BROWN OF PENNSYLVANIA, CORP</t>
        </is>
      </c>
      <c r="F599" s="0" t="inlineStr">
        <is>
          <t xml:space="preserve">B</t>
        </is>
      </c>
      <c r="G599" s="4">
        <v>0.353025</v>
      </c>
      <c r="H599" s="0" t="inlineStr">
        <is>
          <t xml:space="preserve">2025-06-09</t>
        </is>
      </c>
      <c r="I599" s="0" t="inlineStr">
        <is>
          <t xml:space="preserve">no</t>
        </is>
      </c>
      <c r="K599" s="0" t="inlineStr">
        <is>
          <t xml:space="preserve">NONE</t>
        </is>
      </c>
    </row>
    <row r="600">
      <c r="B600" s="0" t="inlineStr">
        <is>
          <t xml:space="preserve">N6278615P0050</t>
        </is>
      </c>
      <c r="D600" s="0" t="inlineStr">
        <is>
          <t xml:space="preserve">other_small</t>
        </is>
      </c>
      <c r="E600" s="0" t="inlineStr">
        <is>
          <t xml:space="preserve">KYODO SHIPPING &amp; TRADING CORP USA</t>
        </is>
      </c>
      <c r="F600" s="0" t="inlineStr">
        <is>
          <t xml:space="preserve">B</t>
        </is>
      </c>
      <c r="G600" s="4">
        <v>0.34618867</v>
      </c>
      <c r="H600" s="0" t="inlineStr">
        <is>
          <t xml:space="preserve">2015-09-25</t>
        </is>
      </c>
      <c r="I600" s="0" t="inlineStr">
        <is>
          <t xml:space="preserve">no</t>
        </is>
      </c>
      <c r="J600" s="0" t="inlineStr">
        <is>
          <t xml:space="preserve">N6278615T0006</t>
        </is>
      </c>
      <c r="K600" s="0" t="inlineStr">
        <is>
          <t xml:space="preserve">NONE</t>
        </is>
      </c>
    </row>
    <row r="601">
      <c r="B601" s="0" t="inlineStr">
        <is>
          <t xml:space="preserve">N0010424PCC11</t>
        </is>
      </c>
      <c r="D601" s="0" t="inlineStr">
        <is>
          <t xml:space="preserve">small_craft</t>
        </is>
      </c>
      <c r="E601" s="0" t="inlineStr">
        <is>
          <t xml:space="preserve">ELECTRIC MOTOR AND CONTRACTING COMPANY</t>
        </is>
      </c>
      <c r="F601" s="0" t="inlineStr">
        <is>
          <t xml:space="preserve">B</t>
        </is>
      </c>
      <c r="G601" s="4">
        <v>0.32894999999999996</v>
      </c>
      <c r="H601" s="0" t="inlineStr">
        <is>
          <t xml:space="preserve">2024-08-29</t>
        </is>
      </c>
      <c r="I601" s="0" t="inlineStr">
        <is>
          <t xml:space="preserve">no</t>
        </is>
      </c>
      <c r="J601" s="0" t="inlineStr">
        <is>
          <t xml:space="preserve">N0010424QCD44</t>
        </is>
      </c>
      <c r="K601" s="0" t="inlineStr">
        <is>
          <t xml:space="preserve">NONE</t>
        </is>
      </c>
    </row>
    <row r="602">
      <c r="B602" s="0" t="inlineStr">
        <is>
          <t xml:space="preserve">N0024417P0258</t>
        </is>
      </c>
      <c r="D602" s="0" t="inlineStr">
        <is>
          <t xml:space="preserve">small_craft</t>
        </is>
      </c>
      <c r="E602" s="0" t="inlineStr">
        <is>
          <t xml:space="preserve">CENTRAL FLORIDA YAMAHA INC</t>
        </is>
      </c>
      <c r="F602" s="0" t="inlineStr">
        <is>
          <t xml:space="preserve">B</t>
        </is>
      </c>
      <c r="G602" s="4">
        <v>0.32872191999999995</v>
      </c>
      <c r="H602" s="0" t="inlineStr">
        <is>
          <t xml:space="preserve">2017-03-31</t>
        </is>
      </c>
      <c r="I602" s="0" t="inlineStr">
        <is>
          <t xml:space="preserve">no</t>
        </is>
      </c>
      <c r="J602" s="0" t="inlineStr">
        <is>
          <t xml:space="preserve">N0024417T0074</t>
        </is>
      </c>
      <c r="K602" s="0" t="inlineStr">
        <is>
          <t xml:space="preserve">NONE</t>
        </is>
      </c>
    </row>
    <row r="603">
      <c r="B603" s="0" t="inlineStr">
        <is>
          <t xml:space="preserve">N0002421C2214</t>
        </is>
      </c>
      <c r="D603" s="0" t="inlineStr">
        <is>
          <t xml:space="preserve">small_craft</t>
        </is>
      </c>
      <c r="E603" s="0" t="inlineStr">
        <is>
          <t xml:space="preserve">VIGOR WORKS LLC</t>
        </is>
      </c>
      <c r="F603" s="0" t="inlineStr">
        <is>
          <t xml:space="preserve">D</t>
        </is>
      </c>
      <c r="G603" s="4">
        <v>0.328717</v>
      </c>
      <c r="H603" s="0" t="inlineStr">
        <is>
          <t xml:space="preserve">2021-08-24</t>
        </is>
      </c>
      <c r="I603" s="0" t="inlineStr">
        <is>
          <t xml:space="preserve">no</t>
        </is>
      </c>
      <c r="J603" s="0" t="inlineStr">
        <is>
          <t xml:space="preserve">N0002421R2214</t>
        </is>
      </c>
      <c r="K603" s="0" t="inlineStr">
        <is>
          <t xml:space="preserve">NONE</t>
        </is>
      </c>
    </row>
    <row r="604">
      <c r="B604" s="0" t="inlineStr">
        <is>
          <t xml:space="preserve">0004</t>
        </is>
      </c>
      <c r="C604" s="0" t="inlineStr">
        <is>
          <t xml:space="preserve">N0002414D2215</t>
        </is>
      </c>
      <c r="D604" s="0" t="inlineStr">
        <is>
          <t xml:space="preserve">small_craft</t>
        </is>
      </c>
      <c r="E604" s="0" t="inlineStr">
        <is>
          <t xml:space="preserve">SILVER SHIPS, INC</t>
        </is>
      </c>
      <c r="F604" s="0" t="inlineStr">
        <is>
          <t xml:space="preserve">C</t>
        </is>
      </c>
      <c r="G604" s="4">
        <v>0.32472696999999995</v>
      </c>
      <c r="H604" s="0" t="inlineStr">
        <is>
          <t xml:space="preserve">2015-02-19</t>
        </is>
      </c>
      <c r="I604" s="0" t="inlineStr">
        <is>
          <t xml:space="preserve">no</t>
        </is>
      </c>
      <c r="J604" s="0" t="inlineStr">
        <is>
          <t xml:space="preserve">N0002413R2215</t>
        </is>
      </c>
      <c r="K604" s="0" t="inlineStr">
        <is>
          <t xml:space="preserve">NONE</t>
        </is>
      </c>
    </row>
    <row r="605">
      <c r="B605" s="0" t="inlineStr">
        <is>
          <t xml:space="preserve">0014</t>
        </is>
      </c>
      <c r="C605" s="0" t="inlineStr">
        <is>
          <t xml:space="preserve">N6600114D0094</t>
        </is>
      </c>
      <c r="D605" s="0" t="inlineStr">
        <is>
          <t xml:space="preserve">usv_core</t>
        </is>
      </c>
      <c r="E605" s="0" t="inlineStr">
        <is>
          <t xml:space="preserve">G 2 SOFTWARE SYSTEMS, INC.</t>
        </is>
      </c>
      <c r="F605" s="0" t="inlineStr">
        <is>
          <t xml:space="preserve">C</t>
        </is>
      </c>
      <c r="G605" s="4">
        <v>0.32343978999999995</v>
      </c>
      <c r="H605" s="0" t="inlineStr">
        <is>
          <t xml:space="preserve">2015-04-16</t>
        </is>
      </c>
      <c r="I605" s="0" t="inlineStr">
        <is>
          <t xml:space="preserve">no</t>
        </is>
      </c>
      <c r="J605" s="0" t="inlineStr">
        <is>
          <t xml:space="preserve">N6600113R0004</t>
        </is>
      </c>
      <c r="K605" s="0" t="inlineStr">
        <is>
          <t xml:space="preserve">NONE</t>
        </is>
      </c>
    </row>
    <row r="606">
      <c r="B606" s="0" t="inlineStr">
        <is>
          <t xml:space="preserve">N0010426PJA42</t>
        </is>
      </c>
      <c r="D606" s="0" t="inlineStr">
        <is>
          <t xml:space="preserve">small_craft</t>
        </is>
      </c>
      <c r="E606" s="0" t="inlineStr">
        <is>
          <t xml:space="preserve">EVAC NORTH AMERICA INC</t>
        </is>
      </c>
      <c r="F606" s="0" t="inlineStr">
        <is>
          <t xml:space="preserve">B</t>
        </is>
      </c>
      <c r="G606" s="4">
        <v>0.3164109</v>
      </c>
      <c r="H606" s="0" t="inlineStr">
        <is>
          <t xml:space="preserve">2025-11-13</t>
        </is>
      </c>
      <c r="I606" s="0" t="inlineStr">
        <is>
          <t xml:space="preserve">yes</t>
        </is>
      </c>
      <c r="J606" s="0" t="inlineStr">
        <is>
          <t xml:space="preserve">N0010426QJA10</t>
        </is>
      </c>
      <c r="K606" s="0" t="inlineStr">
        <is>
          <t xml:space="preserve">NONE</t>
        </is>
      </c>
    </row>
    <row r="607">
      <c r="B607" s="0" t="inlineStr">
        <is>
          <t xml:space="preserve">N0002421F22Q2</t>
        </is>
      </c>
      <c r="C607" s="0" t="inlineStr">
        <is>
          <t xml:space="preserve">N0002416D2211</t>
        </is>
      </c>
      <c r="D607" s="0" t="inlineStr">
        <is>
          <t xml:space="preserve">small_craft</t>
        </is>
      </c>
      <c r="E607" s="0" t="inlineStr">
        <is>
          <t xml:space="preserve">MODUTECH MARINE, INC.</t>
        </is>
      </c>
      <c r="F607" s="0" t="inlineStr">
        <is>
          <t xml:space="preserve">C</t>
        </is>
      </c>
      <c r="G607" s="4">
        <v>0.31489606</v>
      </c>
      <c r="H607" s="0" t="inlineStr">
        <is>
          <t xml:space="preserve">2021-06-14</t>
        </is>
      </c>
      <c r="I607" s="0" t="inlineStr">
        <is>
          <t xml:space="preserve">no</t>
        </is>
      </c>
      <c r="J607" s="0" t="inlineStr">
        <is>
          <t xml:space="preserve">N0002416R2211</t>
        </is>
      </c>
      <c r="K607" s="0" t="inlineStr">
        <is>
          <t xml:space="preserve">NONE</t>
        </is>
      </c>
    </row>
    <row r="608">
      <c r="B608" s="0" t="inlineStr">
        <is>
          <t xml:space="preserve">N6230619P0014</t>
        </is>
      </c>
      <c r="D608" s="0" t="inlineStr">
        <is>
          <t xml:space="preserve">usv_core</t>
        </is>
      </c>
      <c r="E608" s="0" t="inlineStr">
        <is>
          <t xml:space="preserve">THE UNIVERSITY OF SOUTHERN MISSISSIPPI</t>
        </is>
      </c>
      <c r="F608" s="0" t="inlineStr">
        <is>
          <t xml:space="preserve">B</t>
        </is>
      </c>
      <c r="G608" s="4">
        <v>0.31396909999999995</v>
      </c>
      <c r="H608" s="0" t="inlineStr">
        <is>
          <t xml:space="preserve">2019-03-29</t>
        </is>
      </c>
      <c r="I608" s="0" t="inlineStr">
        <is>
          <t xml:space="preserve">no</t>
        </is>
      </c>
      <c r="J608" s="0" t="inlineStr">
        <is>
          <t xml:space="preserve">N6230619Q0001</t>
        </is>
      </c>
      <c r="K608" s="0" t="inlineStr">
        <is>
          <t xml:space="preserve">NONE</t>
        </is>
      </c>
    </row>
    <row r="609">
      <c r="B609" s="0" t="inlineStr">
        <is>
          <t xml:space="preserve">N0002415F2204</t>
        </is>
      </c>
      <c r="C609" s="0" t="inlineStr">
        <is>
          <t xml:space="preserve">GS07F0362T</t>
        </is>
      </c>
      <c r="D609" s="0" t="inlineStr">
        <is>
          <t xml:space="preserve">small_craft</t>
        </is>
      </c>
      <c r="E609" s="0" t="inlineStr">
        <is>
          <t xml:space="preserve">GRAVOIS ALUMINUM BOATS LLC</t>
        </is>
      </c>
      <c r="F609" s="0" t="inlineStr">
        <is>
          <t xml:space="preserve">C</t>
        </is>
      </c>
      <c r="G609" s="4">
        <v>0.3114975</v>
      </c>
      <c r="H609" s="0" t="inlineStr">
        <is>
          <t xml:space="preserve">2015-08-17</t>
        </is>
      </c>
      <c r="I609" s="0" t="inlineStr">
        <is>
          <t xml:space="preserve">no</t>
        </is>
      </c>
      <c r="J609" s="0" t="inlineStr">
        <is>
          <t xml:space="preserve">N0002415T2204</t>
        </is>
      </c>
      <c r="K609" s="0" t="inlineStr">
        <is>
          <t xml:space="preserve">NONE</t>
        </is>
      </c>
    </row>
    <row r="610">
      <c r="B610" s="0" t="inlineStr">
        <is>
          <t xml:space="preserve">N3220515P4376</t>
        </is>
      </c>
      <c r="D610" s="0" t="inlineStr">
        <is>
          <t xml:space="preserve">other_small</t>
        </is>
      </c>
      <c r="E610" s="0" t="inlineStr">
        <is>
          <t xml:space="preserve">QUALITY REFRIGERATION COMPANY, INC.</t>
        </is>
      </c>
      <c r="F610" s="0" t="inlineStr">
        <is>
          <t xml:space="preserve">B</t>
        </is>
      </c>
      <c r="G610" s="4">
        <v>0.3096</v>
      </c>
      <c r="H610" s="0" t="inlineStr">
        <is>
          <t xml:space="preserve">2015-09-30</t>
        </is>
      </c>
      <c r="I610" s="0" t="inlineStr">
        <is>
          <t xml:space="preserve">no</t>
        </is>
      </c>
      <c r="J610" s="0" t="inlineStr">
        <is>
          <t xml:space="preserve">N3220515T4329</t>
        </is>
      </c>
      <c r="K610" s="0" t="inlineStr">
        <is>
          <t xml:space="preserve">NONE</t>
        </is>
      </c>
    </row>
    <row r="611">
      <c r="B611" s="0" t="inlineStr">
        <is>
          <t xml:space="preserve">N0010422PXC04</t>
        </is>
      </c>
      <c r="D611" s="0" t="inlineStr">
        <is>
          <t xml:space="preserve">small_craft</t>
        </is>
      </c>
      <c r="E611" s="0" t="inlineStr">
        <is>
          <t xml:space="preserve">WING INFLATABLES INC</t>
        </is>
      </c>
      <c r="F611" s="0" t="inlineStr">
        <is>
          <t xml:space="preserve">B</t>
        </is>
      </c>
      <c r="G611" s="4">
        <v>0.30721593999999997</v>
      </c>
      <c r="H611" s="0" t="inlineStr">
        <is>
          <t xml:space="preserve">2022-07-22</t>
        </is>
      </c>
      <c r="I611" s="0" t="inlineStr">
        <is>
          <t xml:space="preserve">no</t>
        </is>
      </c>
      <c r="J611" s="0" t="inlineStr">
        <is>
          <t xml:space="preserve">N0010422QXC35</t>
        </is>
      </c>
      <c r="K611" s="0" t="inlineStr">
        <is>
          <t xml:space="preserve">NONE</t>
        </is>
      </c>
    </row>
    <row r="612">
      <c r="B612" s="0" t="inlineStr">
        <is>
          <t xml:space="preserve">N0010424PQC77</t>
        </is>
      </c>
      <c r="D612" s="0" t="inlineStr">
        <is>
          <t xml:space="preserve">small_craft</t>
        </is>
      </c>
      <c r="E612" s="0" t="inlineStr">
        <is>
          <t xml:space="preserve">RAYTHEON COMPANY</t>
        </is>
      </c>
      <c r="F612" s="0" t="inlineStr">
        <is>
          <t xml:space="preserve">B</t>
        </is>
      </c>
      <c r="G612" s="4">
        <v>0.30627075</v>
      </c>
      <c r="H612" s="0" t="inlineStr">
        <is>
          <t xml:space="preserve">2024-09-09</t>
        </is>
      </c>
      <c r="I612" s="0" t="inlineStr">
        <is>
          <t xml:space="preserve">no</t>
        </is>
      </c>
      <c r="K612" s="0" t="inlineStr">
        <is>
          <t xml:space="preserve">NONE</t>
        </is>
      </c>
    </row>
    <row r="613">
      <c r="B613" s="0" t="inlineStr">
        <is>
          <t xml:space="preserve">N0010416CFA30</t>
        </is>
      </c>
      <c r="D613" s="0" t="inlineStr">
        <is>
          <t xml:space="preserve">small_craft</t>
        </is>
      </c>
      <c r="E613" s="0" t="inlineStr">
        <is>
          <t xml:space="preserve">COGITIC CORPORATION</t>
        </is>
      </c>
      <c r="F613" s="0" t="inlineStr">
        <is>
          <t xml:space="preserve">D</t>
        </is>
      </c>
      <c r="G613" s="4">
        <v>0.30531688</v>
      </c>
      <c r="H613" s="0" t="inlineStr">
        <is>
          <t xml:space="preserve">2016-03-28</t>
        </is>
      </c>
      <c r="I613" s="0" t="inlineStr">
        <is>
          <t xml:space="preserve">no</t>
        </is>
      </c>
      <c r="J613" s="0" t="inlineStr">
        <is>
          <t xml:space="preserve">N0010415RFK95</t>
        </is>
      </c>
      <c r="K613" s="0" t="inlineStr">
        <is>
          <t xml:space="preserve">NONE</t>
        </is>
      </c>
    </row>
    <row r="614">
      <c r="B614" s="0" t="inlineStr">
        <is>
          <t xml:space="preserve">N0002416C2234</t>
        </is>
      </c>
      <c r="D614" s="0" t="inlineStr">
        <is>
          <t xml:space="preserve">small_craft</t>
        </is>
      </c>
      <c r="E614" s="0" t="inlineStr">
        <is>
          <t xml:space="preserve">WILLARD MARINE, INC.</t>
        </is>
      </c>
      <c r="F614" s="0" t="inlineStr">
        <is>
          <t xml:space="preserve">D</t>
        </is>
      </c>
      <c r="G614" s="4">
        <v>0.30520296</v>
      </c>
      <c r="H614" s="0" t="inlineStr">
        <is>
          <t xml:space="preserve">2016-09-30</t>
        </is>
      </c>
      <c r="I614" s="0" t="inlineStr">
        <is>
          <t xml:space="preserve">no</t>
        </is>
      </c>
      <c r="J614" s="0" t="inlineStr">
        <is>
          <t xml:space="preserve">N0002416R2234</t>
        </is>
      </c>
      <c r="K614" s="0" t="inlineStr">
        <is>
          <t xml:space="preserve">NONE</t>
        </is>
      </c>
    </row>
    <row r="615">
      <c r="B615" s="0" t="inlineStr">
        <is>
          <t xml:space="preserve">N0010424PNA41</t>
        </is>
      </c>
      <c r="D615" s="0" t="inlineStr">
        <is>
          <t xml:space="preserve">small_craft</t>
        </is>
      </c>
      <c r="E615" s="0" t="inlineStr">
        <is>
          <t xml:space="preserve">FRONTGRADE TECHNOLOGIES INC.</t>
        </is>
      </c>
      <c r="F615" s="0" t="inlineStr">
        <is>
          <t xml:space="preserve">B</t>
        </is>
      </c>
      <c r="G615" s="4">
        <v>0.30458799999999997</v>
      </c>
      <c r="H615" s="0" t="inlineStr">
        <is>
          <t xml:space="preserve">2024-01-03</t>
        </is>
      </c>
      <c r="I615" s="0" t="inlineStr">
        <is>
          <t xml:space="preserve">no</t>
        </is>
      </c>
      <c r="K615" s="0" t="inlineStr">
        <is>
          <t xml:space="preserve">NONE</t>
        </is>
      </c>
    </row>
    <row r="616">
      <c r="B616" s="0" t="inlineStr">
        <is>
          <t xml:space="preserve">N0010421PDD50</t>
        </is>
      </c>
      <c r="D616" s="0" t="inlineStr">
        <is>
          <t xml:space="preserve">small_craft</t>
        </is>
      </c>
      <c r="E616" s="0" t="inlineStr">
        <is>
          <t xml:space="preserve">AMERICAN METAL BEARING CO</t>
        </is>
      </c>
      <c r="F616" s="0" t="inlineStr">
        <is>
          <t xml:space="preserve">B</t>
        </is>
      </c>
      <c r="G616" s="4">
        <v>0.30417943999999997</v>
      </c>
      <c r="H616" s="0" t="inlineStr">
        <is>
          <t xml:space="preserve">2021-09-02</t>
        </is>
      </c>
      <c r="I616" s="0" t="inlineStr">
        <is>
          <t xml:space="preserve">no</t>
        </is>
      </c>
      <c r="J616" s="0" t="inlineStr">
        <is>
          <t xml:space="preserve">N0010421QDC62</t>
        </is>
      </c>
      <c r="K616" s="0" t="inlineStr">
        <is>
          <t xml:space="preserve">NONE</t>
        </is>
      </c>
    </row>
    <row r="617">
      <c r="B617" s="0" t="inlineStr">
        <is>
          <t xml:space="preserve">N0010423PCC67</t>
        </is>
      </c>
      <c r="D617" s="0" t="inlineStr">
        <is>
          <t xml:space="preserve">small_craft</t>
        </is>
      </c>
      <c r="E617" s="0" t="inlineStr">
        <is>
          <t xml:space="preserve">L3HARRIS TECHNOLOGIES, INC</t>
        </is>
      </c>
      <c r="F617" s="0" t="inlineStr">
        <is>
          <t xml:space="preserve">B</t>
        </is>
      </c>
      <c r="G617" s="4">
        <v>0.297798</v>
      </c>
      <c r="H617" s="0" t="inlineStr">
        <is>
          <t xml:space="preserve">2023-08-24</t>
        </is>
      </c>
      <c r="I617" s="0" t="inlineStr">
        <is>
          <t xml:space="preserve">no</t>
        </is>
      </c>
      <c r="K617" s="0" t="inlineStr">
        <is>
          <t xml:space="preserve">NONE</t>
        </is>
      </c>
    </row>
    <row r="618">
      <c r="B618" s="0" t="inlineStr">
        <is>
          <t xml:space="preserve">N0010426PYB66</t>
        </is>
      </c>
      <c r="D618" s="0" t="inlineStr">
        <is>
          <t xml:space="preserve">small_craft</t>
        </is>
      </c>
      <c r="E618" s="0" t="inlineStr">
        <is>
          <t xml:space="preserve">LOCKHEED MARTIN CORPORATION</t>
        </is>
      </c>
      <c r="F618" s="0" t="inlineStr">
        <is>
          <t xml:space="preserve">B</t>
        </is>
      </c>
      <c r="G618" s="4">
        <v>0.2968092</v>
      </c>
      <c r="H618" s="0" t="inlineStr">
        <is>
          <t xml:space="preserve">2026-02-03</t>
        </is>
      </c>
      <c r="I618" s="0" t="inlineStr">
        <is>
          <t xml:space="preserve">yes</t>
        </is>
      </c>
      <c r="J618" s="0" t="inlineStr">
        <is>
          <t xml:space="preserve">N0010425QYF34</t>
        </is>
      </c>
      <c r="K618" s="0" t="inlineStr">
        <is>
          <t xml:space="preserve">NONE</t>
        </is>
      </c>
    </row>
    <row r="619">
      <c r="B619" s="0" t="inlineStr">
        <is>
          <t xml:space="preserve">N0010421PXD29</t>
        </is>
      </c>
      <c r="D619" s="0" t="inlineStr">
        <is>
          <t xml:space="preserve">small_craft</t>
        </is>
      </c>
      <c r="E619" s="0" t="inlineStr">
        <is>
          <t xml:space="preserve">ROLLS-ROYCE MARINE NORTH AMERICA INC.</t>
        </is>
      </c>
      <c r="F619" s="0" t="inlineStr">
        <is>
          <t xml:space="preserve">B</t>
        </is>
      </c>
      <c r="G619" s="4">
        <v>0.294308</v>
      </c>
      <c r="H619" s="0" t="inlineStr">
        <is>
          <t xml:space="preserve">2021-09-17</t>
        </is>
      </c>
      <c r="I619" s="0" t="inlineStr">
        <is>
          <t xml:space="preserve">no</t>
        </is>
      </c>
      <c r="K619" s="0" t="inlineStr">
        <is>
          <t xml:space="preserve">NONE</t>
        </is>
      </c>
    </row>
    <row r="620">
      <c r="B620" s="0" t="inlineStr">
        <is>
          <t xml:space="preserve">N6133114C0016</t>
        </is>
      </c>
      <c r="D620" s="0" t="inlineStr">
        <is>
          <t xml:space="preserve">small_craft</t>
        </is>
      </c>
      <c r="E620" s="0" t="inlineStr">
        <is>
          <t xml:space="preserve">HII UNMANNED SYSTEMS, INC.</t>
        </is>
      </c>
      <c r="F620" s="0" t="inlineStr">
        <is>
          <t xml:space="preserve">D</t>
        </is>
      </c>
      <c r="G620" s="4">
        <v>0.2938017</v>
      </c>
      <c r="H620" s="0" t="inlineStr">
        <is>
          <t xml:space="preserve">2014-04-24</t>
        </is>
      </c>
      <c r="I620" s="0" t="inlineStr">
        <is>
          <t xml:space="preserve">no</t>
        </is>
      </c>
      <c r="J620" s="0" t="inlineStr">
        <is>
          <t xml:space="preserve">N6133114R0016</t>
        </is>
      </c>
      <c r="K620" s="0" t="inlineStr">
        <is>
          <t xml:space="preserve">NONE</t>
        </is>
      </c>
    </row>
    <row r="621">
      <c r="B621" s="0" t="inlineStr">
        <is>
          <t xml:space="preserve">0005</t>
        </is>
      </c>
      <c r="C621" s="0" t="inlineStr">
        <is>
          <t xml:space="preserve">N0002409G2300</t>
        </is>
      </c>
      <c r="D621" s="0" t="inlineStr">
        <is>
          <t xml:space="preserve">other_small</t>
        </is>
      </c>
      <c r="E621" s="0" t="inlineStr">
        <is>
          <t xml:space="preserve">LOCKHEED MARTIN CORPORATION</t>
        </is>
      </c>
      <c r="F621" s="0" t="inlineStr">
        <is>
          <t xml:space="preserve">C</t>
        </is>
      </c>
      <c r="G621" s="4">
        <v>0.291064</v>
      </c>
      <c r="H621" s="0" t="inlineStr">
        <is>
          <t xml:space="preserve">2009-02-23</t>
        </is>
      </c>
      <c r="I621" s="0" t="inlineStr">
        <is>
          <t xml:space="preserve">no</t>
        </is>
      </c>
      <c r="K621" s="0" t="inlineStr">
        <is>
          <t xml:space="preserve">NONE</t>
        </is>
      </c>
    </row>
    <row r="622">
      <c r="B622" s="0" t="inlineStr">
        <is>
          <t xml:space="preserve">N0002420F22G2</t>
        </is>
      </c>
      <c r="C622" s="0" t="inlineStr">
        <is>
          <t xml:space="preserve">N0002415D2214</t>
        </is>
      </c>
      <c r="D622" s="0" t="inlineStr">
        <is>
          <t xml:space="preserve">small_craft</t>
        </is>
      </c>
      <c r="E622" s="0" t="inlineStr">
        <is>
          <t xml:space="preserve">METALCRAFT MARINE US, INC.</t>
        </is>
      </c>
      <c r="F622" s="0" t="inlineStr">
        <is>
          <t xml:space="preserve">C</t>
        </is>
      </c>
      <c r="G622" s="4">
        <v>0.28867854</v>
      </c>
      <c r="H622" s="0" t="inlineStr">
        <is>
          <t xml:space="preserve">2020-09-08</t>
        </is>
      </c>
      <c r="I622" s="0" t="inlineStr">
        <is>
          <t xml:space="preserve">no</t>
        </is>
      </c>
      <c r="J622" s="0" t="inlineStr">
        <is>
          <t xml:space="preserve">N0002415R2214</t>
        </is>
      </c>
      <c r="K622" s="0" t="inlineStr">
        <is>
          <t xml:space="preserve">NONE</t>
        </is>
      </c>
    </row>
    <row r="623">
      <c r="B623" s="0" t="inlineStr">
        <is>
          <t xml:space="preserve">N0010426PUA32</t>
        </is>
      </c>
      <c r="D623" s="0" t="inlineStr">
        <is>
          <t xml:space="preserve">small_craft</t>
        </is>
      </c>
      <c r="E623" s="0" t="inlineStr">
        <is>
          <t xml:space="preserve">W R SYSTEMS LTD</t>
        </is>
      </c>
      <c r="F623" s="0" t="inlineStr">
        <is>
          <t xml:space="preserve">B</t>
        </is>
      </c>
      <c r="G623" s="4">
        <v>0.28838128</v>
      </c>
      <c r="H623" s="0" t="inlineStr">
        <is>
          <t xml:space="preserve">2025-11-17</t>
        </is>
      </c>
      <c r="I623" s="0" t="inlineStr">
        <is>
          <t xml:space="preserve">yes</t>
        </is>
      </c>
      <c r="J623" s="0" t="inlineStr">
        <is>
          <t xml:space="preserve">N0010426QUA04</t>
        </is>
      </c>
      <c r="K623" s="0" t="inlineStr">
        <is>
          <t xml:space="preserve">NONE</t>
        </is>
      </c>
    </row>
    <row r="624">
      <c r="B624" s="0" t="inlineStr">
        <is>
          <t xml:space="preserve">0003</t>
        </is>
      </c>
      <c r="C624" s="0" t="inlineStr">
        <is>
          <t xml:space="preserve">N0002414D2221</t>
        </is>
      </c>
      <c r="D624" s="0" t="inlineStr">
        <is>
          <t xml:space="preserve">small_craft</t>
        </is>
      </c>
      <c r="E624" s="0" t="inlineStr">
        <is>
          <t xml:space="preserve">WORKSKIFF, INC.</t>
        </is>
      </c>
      <c r="F624" s="0" t="inlineStr">
        <is>
          <t xml:space="preserve">C</t>
        </is>
      </c>
      <c r="G624" s="4">
        <v>0.28806264</v>
      </c>
      <c r="H624" s="0" t="inlineStr">
        <is>
          <t xml:space="preserve">2016-01-08</t>
        </is>
      </c>
      <c r="I624" s="0" t="inlineStr">
        <is>
          <t xml:space="preserve">no</t>
        </is>
      </c>
      <c r="J624" s="0" t="inlineStr">
        <is>
          <t xml:space="preserve">N0002414R2221</t>
        </is>
      </c>
      <c r="K624" s="0" t="inlineStr">
        <is>
          <t xml:space="preserve">NONE</t>
        </is>
      </c>
    </row>
    <row r="625">
      <c r="B625" s="0" t="inlineStr">
        <is>
          <t xml:space="preserve">N0010421PCE56</t>
        </is>
      </c>
      <c r="D625" s="0" t="inlineStr">
        <is>
          <t xml:space="preserve">small_craft</t>
        </is>
      </c>
      <c r="E625" s="0" t="inlineStr">
        <is>
          <t xml:space="preserve">KINGSBURY INC.</t>
        </is>
      </c>
      <c r="F625" s="0" t="inlineStr">
        <is>
          <t xml:space="preserve">B</t>
        </is>
      </c>
      <c r="G625" s="4">
        <v>0.2842</v>
      </c>
      <c r="H625" s="0" t="inlineStr">
        <is>
          <t xml:space="preserve">2021-08-18</t>
        </is>
      </c>
      <c r="I625" s="0" t="inlineStr">
        <is>
          <t xml:space="preserve">no</t>
        </is>
      </c>
      <c r="J625" s="0" t="inlineStr">
        <is>
          <t xml:space="preserve">N0010421QCB18</t>
        </is>
      </c>
      <c r="K625" s="0" t="inlineStr">
        <is>
          <t xml:space="preserve">NONE</t>
        </is>
      </c>
    </row>
    <row r="626">
      <c r="B626" s="0" t="inlineStr">
        <is>
          <t xml:space="preserve">M0026322P0060</t>
        </is>
      </c>
      <c r="D626" s="0" t="inlineStr">
        <is>
          <t xml:space="preserve">small_craft</t>
        </is>
      </c>
      <c r="E626" s="0" t="inlineStr">
        <is>
          <t xml:space="preserve">GRAVOIS ALUMINUM BOATS LLC</t>
        </is>
      </c>
      <c r="F626" s="0" t="inlineStr">
        <is>
          <t xml:space="preserve">B</t>
        </is>
      </c>
      <c r="G626" s="4">
        <v>0.2822014</v>
      </c>
      <c r="H626" s="0" t="inlineStr">
        <is>
          <t xml:space="preserve">2022-09-09</t>
        </is>
      </c>
      <c r="I626" s="0" t="inlineStr">
        <is>
          <t xml:space="preserve">no</t>
        </is>
      </c>
      <c r="J626" s="0" t="inlineStr">
        <is>
          <t xml:space="preserve">M0026322Q0040</t>
        </is>
      </c>
      <c r="K626" s="0" t="inlineStr">
        <is>
          <t xml:space="preserve">NONE</t>
        </is>
      </c>
    </row>
    <row r="627">
      <c r="B627" s="0" t="inlineStr">
        <is>
          <t xml:space="preserve">N0010423PNE21</t>
        </is>
      </c>
      <c r="D627" s="0" t="inlineStr">
        <is>
          <t xml:space="preserve">small_craft</t>
        </is>
      </c>
      <c r="E627" s="0" t="inlineStr">
        <is>
          <t xml:space="preserve">L3HARRIS MARITIME SERVICES INC</t>
        </is>
      </c>
      <c r="F627" s="0" t="inlineStr">
        <is>
          <t xml:space="preserve">B</t>
        </is>
      </c>
      <c r="G627" s="4">
        <v>0.27999999999999997</v>
      </c>
      <c r="H627" s="0" t="inlineStr">
        <is>
          <t xml:space="preserve">2023-09-20</t>
        </is>
      </c>
      <c r="I627" s="0" t="inlineStr">
        <is>
          <t xml:space="preserve">no</t>
        </is>
      </c>
      <c r="J627" s="0" t="inlineStr">
        <is>
          <t xml:space="preserve">N0010423QNF67</t>
        </is>
      </c>
      <c r="K627" s="0" t="inlineStr">
        <is>
          <t xml:space="preserve">NONE</t>
        </is>
      </c>
    </row>
    <row r="628">
      <c r="B628" s="0" t="inlineStr">
        <is>
          <t xml:space="preserve">N6600120P6444</t>
        </is>
      </c>
      <c r="D628" s="0" t="inlineStr">
        <is>
          <t xml:space="preserve">small_craft</t>
        </is>
      </c>
      <c r="E628" s="0" t="inlineStr">
        <is>
          <t xml:space="preserve">VETPOWERED, LLC</t>
        </is>
      </c>
      <c r="F628" s="0" t="inlineStr">
        <is>
          <t xml:space="preserve">B</t>
        </is>
      </c>
      <c r="G628" s="4">
        <v>0.27893842999999996</v>
      </c>
      <c r="H628" s="0" t="inlineStr">
        <is>
          <t xml:space="preserve">2020-06-17</t>
        </is>
      </c>
      <c r="I628" s="0" t="inlineStr">
        <is>
          <t xml:space="preserve">no</t>
        </is>
      </c>
      <c r="J628" s="0" t="inlineStr">
        <is>
          <t xml:space="preserve">N6600120Q6444</t>
        </is>
      </c>
      <c r="K628" s="0" t="inlineStr">
        <is>
          <t xml:space="preserve">NONE</t>
        </is>
      </c>
    </row>
    <row r="629">
      <c r="B629" s="0" t="inlineStr">
        <is>
          <t xml:space="preserve">N0018918PG117</t>
        </is>
      </c>
      <c r="D629" s="0" t="inlineStr">
        <is>
          <t xml:space="preserve">small_craft</t>
        </is>
      </c>
      <c r="E629" s="0" t="inlineStr">
        <is>
          <t xml:space="preserve">MARITIME SOLUTIONS INC</t>
        </is>
      </c>
      <c r="F629" s="0" t="inlineStr">
        <is>
          <t xml:space="preserve">B</t>
        </is>
      </c>
      <c r="G629" s="4">
        <v>0.275821</v>
      </c>
      <c r="H629" s="0" t="inlineStr">
        <is>
          <t xml:space="preserve">2018-06-14</t>
        </is>
      </c>
      <c r="I629" s="0" t="inlineStr">
        <is>
          <t xml:space="preserve">no</t>
        </is>
      </c>
      <c r="J629" s="0" t="inlineStr">
        <is>
          <t xml:space="preserve">N0018918QG118</t>
        </is>
      </c>
      <c r="K629" s="0" t="inlineStr">
        <is>
          <t xml:space="preserve">NONE</t>
        </is>
      </c>
    </row>
    <row r="630">
      <c r="B630" s="0" t="inlineStr">
        <is>
          <t xml:space="preserve">N0010422FY705</t>
        </is>
      </c>
      <c r="C630" s="0" t="inlineStr">
        <is>
          <t xml:space="preserve">N0010422GY701</t>
        </is>
      </c>
      <c r="D630" s="0" t="inlineStr">
        <is>
          <t xml:space="preserve">small_craft</t>
        </is>
      </c>
      <c r="E630" s="0" t="inlineStr">
        <is>
          <t xml:space="preserve">L3 TECHNOLOGIES, INC.</t>
        </is>
      </c>
      <c r="F630" s="0" t="inlineStr">
        <is>
          <t xml:space="preserve">C</t>
        </is>
      </c>
      <c r="G630" s="4">
        <v>0.27405108</v>
      </c>
      <c r="H630" s="0" t="inlineStr">
        <is>
          <t xml:space="preserve">2022-09-22</t>
        </is>
      </c>
      <c r="I630" s="0" t="inlineStr">
        <is>
          <t xml:space="preserve">no</t>
        </is>
      </c>
      <c r="J630" s="0" t="inlineStr">
        <is>
          <t xml:space="preserve">N0010419QNG14</t>
        </is>
      </c>
      <c r="K630" s="0" t="inlineStr">
        <is>
          <t xml:space="preserve">NONE</t>
        </is>
      </c>
    </row>
    <row r="631">
      <c r="B631" s="0" t="inlineStr">
        <is>
          <t xml:space="preserve">N0010425PNB78</t>
        </is>
      </c>
      <c r="D631" s="0" t="inlineStr">
        <is>
          <t xml:space="preserve">small_craft</t>
        </is>
      </c>
      <c r="E631" s="0" t="inlineStr">
        <is>
          <t xml:space="preserve">SARGENT AEROSPACE &amp; DEFENSE, LLC</t>
        </is>
      </c>
      <c r="F631" s="0" t="inlineStr">
        <is>
          <t xml:space="preserve">B</t>
        </is>
      </c>
      <c r="G631" s="4">
        <v>0.272874</v>
      </c>
      <c r="H631" s="0" t="inlineStr">
        <is>
          <t xml:space="preserve">2025-07-17</t>
        </is>
      </c>
      <c r="I631" s="0" t="inlineStr">
        <is>
          <t xml:space="preserve">yes</t>
        </is>
      </c>
      <c r="K631" s="0" t="inlineStr">
        <is>
          <t xml:space="preserve">NONE</t>
        </is>
      </c>
    </row>
    <row r="632">
      <c r="B632" s="0" t="inlineStr">
        <is>
          <t xml:space="preserve">N0010421PCF42</t>
        </is>
      </c>
      <c r="D632" s="0" t="inlineStr">
        <is>
          <t xml:space="preserve">small_craft</t>
        </is>
      </c>
      <c r="E632" s="0" t="inlineStr">
        <is>
          <t xml:space="preserve">VERICOR POWER SYSTEMS LLC</t>
        </is>
      </c>
      <c r="F632" s="0" t="inlineStr">
        <is>
          <t xml:space="preserve">B</t>
        </is>
      </c>
      <c r="G632" s="4">
        <v>0.271812</v>
      </c>
      <c r="H632" s="0" t="inlineStr">
        <is>
          <t xml:space="preserve">2021-09-17</t>
        </is>
      </c>
      <c r="I632" s="0" t="inlineStr">
        <is>
          <t xml:space="preserve">no</t>
        </is>
      </c>
      <c r="J632" s="0" t="inlineStr">
        <is>
          <t xml:space="preserve">N0010421QCC72</t>
        </is>
      </c>
      <c r="K632" s="0" t="inlineStr">
        <is>
          <t xml:space="preserve">NONE</t>
        </is>
      </c>
    </row>
    <row r="633">
      <c r="B633" s="0" t="inlineStr">
        <is>
          <t xml:space="preserve">N0010421PNB56</t>
        </is>
      </c>
      <c r="D633" s="0" t="inlineStr">
        <is>
          <t xml:space="preserve">small_craft</t>
        </is>
      </c>
      <c r="E633" s="0" t="inlineStr">
        <is>
          <t xml:space="preserve">L3 TECHNOLOGIES, INC.</t>
        </is>
      </c>
      <c r="F633" s="0" t="inlineStr">
        <is>
          <t xml:space="preserve">B</t>
        </is>
      </c>
      <c r="G633" s="4">
        <v>0.270314</v>
      </c>
      <c r="H633" s="0" t="inlineStr">
        <is>
          <t xml:space="preserve">2021-05-12</t>
        </is>
      </c>
      <c r="I633" s="0" t="inlineStr">
        <is>
          <t xml:space="preserve">no</t>
        </is>
      </c>
      <c r="K633" s="0" t="inlineStr">
        <is>
          <t xml:space="preserve">NONE</t>
        </is>
      </c>
    </row>
    <row r="634">
      <c r="B634" s="0" t="inlineStr">
        <is>
          <t xml:space="preserve">N0002418F8311</t>
        </is>
      </c>
      <c r="C634" s="0" t="inlineStr">
        <is>
          <t xml:space="preserve">N0002412D6404</t>
        </is>
      </c>
      <c r="D634" s="0" t="inlineStr">
        <is>
          <t xml:space="preserve">usv_core</t>
        </is>
      </c>
      <c r="E634" s="0" t="inlineStr">
        <is>
          <t xml:space="preserve">THE PENNSYLVANIA STATE UNIVERSITY</t>
        </is>
      </c>
      <c r="F634" s="0" t="inlineStr">
        <is>
          <t xml:space="preserve">C</t>
        </is>
      </c>
      <c r="G634" s="4">
        <v>0.26999999999999996</v>
      </c>
      <c r="H634" s="0" t="inlineStr">
        <is>
          <t xml:space="preserve">2018-08-21</t>
        </is>
      </c>
      <c r="I634" s="0" t="inlineStr">
        <is>
          <t xml:space="preserve">no</t>
        </is>
      </c>
      <c r="K634" s="0" t="inlineStr">
        <is>
          <t xml:space="preserve">NONE</t>
        </is>
      </c>
    </row>
    <row r="635">
      <c r="B635" s="0" t="inlineStr">
        <is>
          <t xml:space="preserve">N0010421PNC51</t>
        </is>
      </c>
      <c r="D635" s="0" t="inlineStr">
        <is>
          <t xml:space="preserve">small_craft</t>
        </is>
      </c>
      <c r="E635" s="0" t="inlineStr">
        <is>
          <t xml:space="preserve">RADIO DESIGN GROUP, INC.</t>
        </is>
      </c>
      <c r="F635" s="0" t="inlineStr">
        <is>
          <t xml:space="preserve">B</t>
        </is>
      </c>
      <c r="G635" s="4">
        <v>0.26903821</v>
      </c>
      <c r="H635" s="0" t="inlineStr">
        <is>
          <t xml:space="preserve">2021-07-12</t>
        </is>
      </c>
      <c r="I635" s="0" t="inlineStr">
        <is>
          <t xml:space="preserve">no</t>
        </is>
      </c>
      <c r="K635" s="0" t="inlineStr">
        <is>
          <t xml:space="preserve">NONE</t>
        </is>
      </c>
    </row>
    <row r="636">
      <c r="B636" s="0" t="inlineStr">
        <is>
          <t xml:space="preserve">N3220518P4155</t>
        </is>
      </c>
      <c r="D636" s="0" t="inlineStr">
        <is>
          <t xml:space="preserve">other_small</t>
        </is>
      </c>
      <c r="E636" s="0" t="inlineStr">
        <is>
          <t xml:space="preserve">AIR &amp; LIQUID SYSTEMS CORPORATION</t>
        </is>
      </c>
      <c r="F636" s="0" t="inlineStr">
        <is>
          <t xml:space="preserve">B</t>
        </is>
      </c>
      <c r="G636" s="4">
        <v>0.261482</v>
      </c>
      <c r="H636" s="0" t="inlineStr">
        <is>
          <t xml:space="preserve">2018-01-30</t>
        </is>
      </c>
      <c r="I636" s="0" t="inlineStr">
        <is>
          <t xml:space="preserve">no</t>
        </is>
      </c>
      <c r="J636" s="0" t="inlineStr">
        <is>
          <t xml:space="preserve">N3220518Q4153</t>
        </is>
      </c>
      <c r="K636" s="0" t="inlineStr">
        <is>
          <t xml:space="preserve">NONE</t>
        </is>
      </c>
    </row>
    <row r="637">
      <c r="B637" s="0" t="inlineStr">
        <is>
          <t xml:space="preserve">0894</t>
        </is>
      </c>
      <c r="C637" s="0" t="inlineStr">
        <is>
          <t xml:space="preserve">N0002407D6200</t>
        </is>
      </c>
      <c r="D637" s="0" t="inlineStr">
        <is>
          <t xml:space="preserve">usv_core</t>
        </is>
      </c>
      <c r="E637" s="0" t="inlineStr">
        <is>
          <t xml:space="preserve">UNIVERSITY OF TEXAS AT AUSTIN</t>
        </is>
      </c>
      <c r="F637" s="0" t="inlineStr">
        <is>
          <t xml:space="preserve">C</t>
        </is>
      </c>
      <c r="G637" s="4">
        <v>0.25983902999999997</v>
      </c>
      <c r="H637" s="0" t="inlineStr">
        <is>
          <t xml:space="preserve">2016-08-31</t>
        </is>
      </c>
      <c r="I637" s="0" t="inlineStr">
        <is>
          <t xml:space="preserve">no</t>
        </is>
      </c>
      <c r="K637" s="0" t="inlineStr">
        <is>
          <t xml:space="preserve">NONE</t>
        </is>
      </c>
    </row>
    <row r="638">
      <c r="B638" s="0" t="inlineStr">
        <is>
          <t xml:space="preserve">N5005419P1046</t>
        </is>
      </c>
      <c r="D638" s="0" t="inlineStr">
        <is>
          <t xml:space="preserve">small_craft</t>
        </is>
      </c>
      <c r="E638" s="0" t="inlineStr">
        <is>
          <t xml:space="preserve">LAKE SHORE SYSTEMS, INC.</t>
        </is>
      </c>
      <c r="F638" s="0" t="inlineStr">
        <is>
          <t xml:space="preserve">B</t>
        </is>
      </c>
      <c r="G638" s="4">
        <v>0.2597582</v>
      </c>
      <c r="H638" s="0" t="inlineStr">
        <is>
          <t xml:space="preserve">2019-09-13</t>
        </is>
      </c>
      <c r="I638" s="0" t="inlineStr">
        <is>
          <t xml:space="preserve">no</t>
        </is>
      </c>
      <c r="J638" s="0" t="inlineStr">
        <is>
          <t xml:space="preserve">N5005419R0034</t>
        </is>
      </c>
      <c r="K638" s="0" t="inlineStr">
        <is>
          <t xml:space="preserve">NONE</t>
        </is>
      </c>
    </row>
    <row r="639">
      <c r="B639" s="0" t="inlineStr">
        <is>
          <t xml:space="preserve">N0010421FCV03</t>
        </is>
      </c>
      <c r="C639" s="0" t="inlineStr">
        <is>
          <t xml:space="preserve">SPRMM118DCV01</t>
        </is>
      </c>
      <c r="D639" s="0" t="inlineStr">
        <is>
          <t xml:space="preserve">small_craft</t>
        </is>
      </c>
      <c r="E639" s="0" t="inlineStr">
        <is>
          <t xml:space="preserve">WING INFLATABLES INC</t>
        </is>
      </c>
      <c r="F639" s="0" t="inlineStr">
        <is>
          <t xml:space="preserve">C</t>
        </is>
      </c>
      <c r="G639" s="4">
        <v>0.2568</v>
      </c>
      <c r="H639" s="0" t="inlineStr">
        <is>
          <t xml:space="preserve">2021-09-30</t>
        </is>
      </c>
      <c r="I639" s="0" t="inlineStr">
        <is>
          <t xml:space="preserve">no</t>
        </is>
      </c>
      <c r="J639" s="0" t="inlineStr">
        <is>
          <t xml:space="preserve">SPRMM116RYP84</t>
        </is>
      </c>
      <c r="K639" s="0" t="inlineStr">
        <is>
          <t xml:space="preserve">NONE</t>
        </is>
      </c>
    </row>
    <row r="640">
      <c r="B640" s="0" t="inlineStr">
        <is>
          <t xml:space="preserve">N0010423PFE47</t>
        </is>
      </c>
      <c r="D640" s="0" t="inlineStr">
        <is>
          <t xml:space="preserve">small_craft</t>
        </is>
      </c>
      <c r="E640" s="0" t="inlineStr">
        <is>
          <t xml:space="preserve">DERBYSHIRE MACHINE &amp; TOOL CO</t>
        </is>
      </c>
      <c r="F640" s="0" t="inlineStr">
        <is>
          <t xml:space="preserve">B</t>
        </is>
      </c>
      <c r="G640" s="4">
        <v>0.25554</v>
      </c>
      <c r="H640" s="0" t="inlineStr">
        <is>
          <t xml:space="preserve">2023-09-22</t>
        </is>
      </c>
      <c r="I640" s="0" t="inlineStr">
        <is>
          <t xml:space="preserve">no</t>
        </is>
      </c>
      <c r="J640" s="0" t="inlineStr">
        <is>
          <t xml:space="preserve">N0010423QFE71</t>
        </is>
      </c>
      <c r="K640" s="0" t="inlineStr">
        <is>
          <t xml:space="preserve">NONE</t>
        </is>
      </c>
    </row>
    <row r="641">
      <c r="B641" s="0" t="inlineStr">
        <is>
          <t xml:space="preserve">N0002419F22A1</t>
        </is>
      </c>
      <c r="C641" s="0" t="inlineStr">
        <is>
          <t xml:space="preserve">N0002416G2214</t>
        </is>
      </c>
      <c r="D641" s="0" t="inlineStr">
        <is>
          <t xml:space="preserve">other_small</t>
        </is>
      </c>
      <c r="E641" s="0" t="inlineStr">
        <is>
          <t xml:space="preserve">NATIONAL STEEL AND SHIPBUILDING COMPANY</t>
        </is>
      </c>
      <c r="F641" s="0" t="inlineStr">
        <is>
          <t xml:space="preserve">C</t>
        </is>
      </c>
      <c r="G641" s="4">
        <v>0.254083</v>
      </c>
      <c r="H641" s="0" t="inlineStr">
        <is>
          <t xml:space="preserve">2019-04-11</t>
        </is>
      </c>
      <c r="I641" s="0" t="inlineStr">
        <is>
          <t xml:space="preserve">no</t>
        </is>
      </c>
      <c r="K641" s="0" t="inlineStr">
        <is>
          <t xml:space="preserve">NONE</t>
        </is>
      </c>
    </row>
    <row r="642">
      <c r="B642" s="0" t="inlineStr">
        <is>
          <t xml:space="preserve">N0010420PEA2B</t>
        </is>
      </c>
      <c r="D642" s="0" t="inlineStr">
        <is>
          <t xml:space="preserve">small_craft</t>
        </is>
      </c>
      <c r="E642" s="0" t="inlineStr">
        <is>
          <t xml:space="preserve">ISA (WYOMING) CORP</t>
        </is>
      </c>
      <c r="F642" s="0" t="inlineStr">
        <is>
          <t xml:space="preserve">B</t>
        </is>
      </c>
      <c r="G642" s="4">
        <v>0.250985</v>
      </c>
      <c r="H642" s="0" t="inlineStr">
        <is>
          <t xml:space="preserve">2020-04-30</t>
        </is>
      </c>
      <c r="I642" s="0" t="inlineStr">
        <is>
          <t xml:space="preserve">no</t>
        </is>
      </c>
      <c r="J642" s="0" t="inlineStr">
        <is>
          <t xml:space="preserve">N0010420QBW70</t>
        </is>
      </c>
      <c r="K642" s="0" t="inlineStr">
        <is>
          <t xml:space="preserve">NONE</t>
        </is>
      </c>
    </row>
    <row r="643">
      <c r="B643" s="0" t="inlineStr">
        <is>
          <t xml:space="preserve">N6893619F0424</t>
        </is>
      </c>
      <c r="C643" s="0" t="inlineStr">
        <is>
          <t xml:space="preserve">N6893615D0002</t>
        </is>
      </c>
      <c r="D643" s="0" t="inlineStr">
        <is>
          <t xml:space="preserve">small_craft</t>
        </is>
      </c>
      <c r="E643" s="0" t="inlineStr">
        <is>
          <t xml:space="preserve">THE MOLDING COMPANY, INC.</t>
        </is>
      </c>
      <c r="F643" s="0" t="inlineStr">
        <is>
          <t xml:space="preserve">C</t>
        </is>
      </c>
      <c r="G643" s="4">
        <v>0.25068996</v>
      </c>
      <c r="H643" s="0" t="inlineStr">
        <is>
          <t xml:space="preserve">2019-05-09</t>
        </is>
      </c>
      <c r="I643" s="0" t="inlineStr">
        <is>
          <t xml:space="preserve">no</t>
        </is>
      </c>
      <c r="J643" s="0" t="inlineStr">
        <is>
          <t xml:space="preserve">N6893614R0112</t>
        </is>
      </c>
      <c r="K643" s="0" t="inlineStr">
        <is>
          <t xml:space="preserve">NONE</t>
        </is>
      </c>
    </row>
    <row r="644">
      <c r="B644" s="0" t="inlineStr">
        <is>
          <t xml:space="preserve">N0002415C2215</t>
        </is>
      </c>
      <c r="D644" s="0" t="inlineStr">
        <is>
          <t xml:space="preserve">small_craft</t>
        </is>
      </c>
      <c r="E644" s="0" t="inlineStr">
        <is>
          <t xml:space="preserve">ZODIAC OF NORTH AMERICA, INC.</t>
        </is>
      </c>
      <c r="F644" s="0" t="inlineStr">
        <is>
          <t xml:space="preserve">D</t>
        </is>
      </c>
      <c r="G644" s="4">
        <v>0.25036579999999997</v>
      </c>
      <c r="H644" s="0" t="inlineStr">
        <is>
          <t xml:space="preserve">2014-11-14</t>
        </is>
      </c>
      <c r="I644" s="0" t="inlineStr">
        <is>
          <t xml:space="preserve">no</t>
        </is>
      </c>
      <c r="J644" s="0" t="inlineStr">
        <is>
          <t xml:space="preserve">N0002414T2215</t>
        </is>
      </c>
      <c r="K644" s="0" t="inlineStr">
        <is>
          <t xml:space="preserve">NONE</t>
        </is>
      </c>
    </row>
    <row r="645">
      <c r="B645" s="0" t="inlineStr">
        <is>
          <t xml:space="preserve">N0001423P1005</t>
        </is>
      </c>
      <c r="D645" s="0" t="inlineStr">
        <is>
          <t xml:space="preserve">usv_core</t>
        </is>
      </c>
      <c r="E645" s="0" t="inlineStr">
        <is>
          <t xml:space="preserve">FLORIDA INSTITUTE FOR HUMAN &amp; MACHINE COGNITION INC</t>
        </is>
      </c>
      <c r="F645" s="0" t="inlineStr">
        <is>
          <t xml:space="preserve">B</t>
        </is>
      </c>
      <c r="G645" s="4">
        <v>0.25</v>
      </c>
      <c r="H645" s="0" t="inlineStr">
        <is>
          <t xml:space="preserve">2023-08-02</t>
        </is>
      </c>
      <c r="I645" s="0" t="inlineStr">
        <is>
          <t xml:space="preserve">no</t>
        </is>
      </c>
      <c r="J645" s="0" t="inlineStr">
        <is>
          <t xml:space="preserve">N0001423SBC09</t>
        </is>
      </c>
      <c r="K645" s="0" t="inlineStr">
        <is>
          <t xml:space="preserve">NONE</t>
        </is>
      </c>
    </row>
    <row r="646">
      <c r="B646" s="0" t="inlineStr">
        <is>
          <t xml:space="preserve">N0003924F1004</t>
        </is>
      </c>
      <c r="C646" s="0" t="inlineStr">
        <is>
          <t xml:space="preserve">N0003921D6001</t>
        </is>
      </c>
      <c r="D646" s="0" t="inlineStr">
        <is>
          <t xml:space="preserve">small_craft</t>
        </is>
      </c>
      <c r="E646" s="0" t="inlineStr">
        <is>
          <t xml:space="preserve">TELEDYNE BROWN ENGINEERING, INC.</t>
        </is>
      </c>
      <c r="F646" s="0" t="inlineStr">
        <is>
          <t xml:space="preserve">C</t>
        </is>
      </c>
      <c r="G646" s="4">
        <v>0.24934976999999997</v>
      </c>
      <c r="H646" s="0" t="inlineStr">
        <is>
          <t xml:space="preserve">2023-11-07</t>
        </is>
      </c>
      <c r="I646" s="0" t="inlineStr">
        <is>
          <t xml:space="preserve">no</t>
        </is>
      </c>
      <c r="J646" s="0" t="inlineStr">
        <is>
          <t xml:space="preserve">N0003921R1000</t>
        </is>
      </c>
      <c r="K646" s="0" t="inlineStr">
        <is>
          <t xml:space="preserve">NONE</t>
        </is>
      </c>
    </row>
    <row r="647">
      <c r="B647" s="0" t="inlineStr">
        <is>
          <t xml:space="preserve">N0016425PJ567</t>
        </is>
      </c>
      <c r="D647" s="0" t="inlineStr">
        <is>
          <t xml:space="preserve">small_craft</t>
        </is>
      </c>
      <c r="E647" s="0" t="inlineStr">
        <is>
          <t xml:space="preserve">VATN SYSTEMS, INC.</t>
        </is>
      </c>
      <c r="F647" s="0" t="inlineStr">
        <is>
          <t xml:space="preserve">B</t>
        </is>
      </c>
      <c r="G647" s="4">
        <v>0.24932717999999998</v>
      </c>
      <c r="H647" s="0" t="inlineStr">
        <is>
          <t xml:space="preserve">2025-05-09</t>
        </is>
      </c>
      <c r="I647" s="0" t="inlineStr">
        <is>
          <t xml:space="preserve">no</t>
        </is>
      </c>
      <c r="K647" s="0" t="inlineStr">
        <is>
          <t xml:space="preserve">NONE</t>
        </is>
      </c>
    </row>
    <row r="648">
      <c r="B648" s="0" t="inlineStr">
        <is>
          <t xml:space="preserve">N0017321P1229</t>
        </is>
      </c>
      <c r="D648" s="0" t="inlineStr">
        <is>
          <t xml:space="preserve">small_craft</t>
        </is>
      </c>
      <c r="E648" s="0" t="inlineStr">
        <is>
          <t xml:space="preserve">DEEP OCEAN ENGINEERING, INCORPORATED</t>
        </is>
      </c>
      <c r="F648" s="0" t="inlineStr">
        <is>
          <t xml:space="preserve">B</t>
        </is>
      </c>
      <c r="G648" s="4">
        <v>0.24814599999999998</v>
      </c>
      <c r="H648" s="0" t="inlineStr">
        <is>
          <t xml:space="preserve">2021-03-30</t>
        </is>
      </c>
      <c r="I648" s="0" t="inlineStr">
        <is>
          <t xml:space="preserve">no</t>
        </is>
      </c>
      <c r="K648" s="0" t="inlineStr">
        <is>
          <t xml:space="preserve">NONE</t>
        </is>
      </c>
    </row>
    <row r="649">
      <c r="B649" s="0" t="inlineStr">
        <is>
          <t xml:space="preserve">N0010425PXB16</t>
        </is>
      </c>
      <c r="D649" s="0" t="inlineStr">
        <is>
          <t xml:space="preserve">small_craft</t>
        </is>
      </c>
      <c r="E649" s="0" t="inlineStr">
        <is>
          <t xml:space="preserve">VIRGINIA ELECTRONIC SYSTEMS, INC.</t>
        </is>
      </c>
      <c r="F649" s="0" t="inlineStr">
        <is>
          <t xml:space="preserve">B</t>
        </is>
      </c>
      <c r="G649" s="4">
        <v>0.24633</v>
      </c>
      <c r="H649" s="0" t="inlineStr">
        <is>
          <t xml:space="preserve">2025-01-30</t>
        </is>
      </c>
      <c r="I649" s="0" t="inlineStr">
        <is>
          <t xml:space="preserve">no</t>
        </is>
      </c>
      <c r="K649" s="0" t="inlineStr">
        <is>
          <t xml:space="preserve">NONE</t>
        </is>
      </c>
    </row>
    <row r="650">
      <c r="B650" s="0" t="inlineStr">
        <is>
          <t xml:space="preserve">N0010421PAD67</t>
        </is>
      </c>
      <c r="D650" s="0" t="inlineStr">
        <is>
          <t xml:space="preserve">small_craft</t>
        </is>
      </c>
      <c r="E650" s="0" t="inlineStr">
        <is>
          <t xml:space="preserve">FLOWER HOLDINGS CORPORATION</t>
        </is>
      </c>
      <c r="F650" s="0" t="inlineStr">
        <is>
          <t xml:space="preserve">B</t>
        </is>
      </c>
      <c r="G650" s="4">
        <v>0.24572999999999998</v>
      </c>
      <c r="H650" s="0" t="inlineStr">
        <is>
          <t xml:space="preserve">2021-07-13</t>
        </is>
      </c>
      <c r="I650" s="0" t="inlineStr">
        <is>
          <t xml:space="preserve">no</t>
        </is>
      </c>
      <c r="K650" s="0" t="inlineStr">
        <is>
          <t xml:space="preserve">NONE</t>
        </is>
      </c>
    </row>
    <row r="651">
      <c r="B651" s="0" t="inlineStr">
        <is>
          <t xml:space="preserve">N0010421PDE09</t>
        </is>
      </c>
      <c r="D651" s="0" t="inlineStr">
        <is>
          <t xml:space="preserve">small_craft</t>
        </is>
      </c>
      <c r="E651" s="0" t="inlineStr">
        <is>
          <t xml:space="preserve">SECHAN ELECTRONICS INC</t>
        </is>
      </c>
      <c r="F651" s="0" t="inlineStr">
        <is>
          <t xml:space="preserve">B</t>
        </is>
      </c>
      <c r="G651" s="4">
        <v>0.24495</v>
      </c>
      <c r="H651" s="0" t="inlineStr">
        <is>
          <t xml:space="preserve">2021-09-24</t>
        </is>
      </c>
      <c r="I651" s="0" t="inlineStr">
        <is>
          <t xml:space="preserve">no</t>
        </is>
      </c>
      <c r="K651" s="0" t="inlineStr">
        <is>
          <t xml:space="preserve">NONE</t>
        </is>
      </c>
    </row>
    <row r="652">
      <c r="B652" s="0" t="inlineStr">
        <is>
          <t xml:space="preserve">0002</t>
        </is>
      </c>
      <c r="C652" s="0" t="inlineStr">
        <is>
          <t xml:space="preserve">N0002415D2211</t>
        </is>
      </c>
      <c r="D652" s="0" t="inlineStr">
        <is>
          <t xml:space="preserve">small_craft</t>
        </is>
      </c>
      <c r="E652" s="0" t="inlineStr">
        <is>
          <t xml:space="preserve">GRAVOIS ALUMINUM BOATS LLC</t>
        </is>
      </c>
      <c r="F652" s="0" t="inlineStr">
        <is>
          <t xml:space="preserve">C</t>
        </is>
      </c>
      <c r="G652" s="4">
        <v>0.240667</v>
      </c>
      <c r="H652" s="0" t="inlineStr">
        <is>
          <t xml:space="preserve">2016-06-08</t>
        </is>
      </c>
      <c r="I652" s="0" t="inlineStr">
        <is>
          <t xml:space="preserve">no</t>
        </is>
      </c>
      <c r="J652" s="0" t="inlineStr">
        <is>
          <t xml:space="preserve">N0002413R2211</t>
        </is>
      </c>
      <c r="K652" s="0" t="inlineStr">
        <is>
          <t xml:space="preserve">NONE</t>
        </is>
      </c>
    </row>
    <row r="653">
      <c r="B653" s="0" t="inlineStr">
        <is>
          <t xml:space="preserve">N0010418PFD20</t>
        </is>
      </c>
      <c r="D653" s="0" t="inlineStr">
        <is>
          <t xml:space="preserve">small_craft</t>
        </is>
      </c>
      <c r="E653" s="0" t="inlineStr">
        <is>
          <t xml:space="preserve">ROLLS-ROYCE MARINE NORTH AMERICA INC.</t>
        </is>
      </c>
      <c r="F653" s="0" t="inlineStr">
        <is>
          <t xml:space="preserve">B</t>
        </is>
      </c>
      <c r="G653" s="4">
        <v>0.2404</v>
      </c>
      <c r="H653" s="0" t="inlineStr">
        <is>
          <t xml:space="preserve">2018-02-28</t>
        </is>
      </c>
      <c r="I653" s="0" t="inlineStr">
        <is>
          <t xml:space="preserve">no</t>
        </is>
      </c>
      <c r="J653" s="0" t="inlineStr">
        <is>
          <t xml:space="preserve">N0010418QFC09</t>
        </is>
      </c>
      <c r="K653" s="0" t="inlineStr">
        <is>
          <t xml:space="preserve">NONE</t>
        </is>
      </c>
    </row>
    <row r="654">
      <c r="B654" s="0" t="inlineStr">
        <is>
          <t xml:space="preserve">N5005424P0026</t>
        </is>
      </c>
      <c r="D654" s="0" t="inlineStr">
        <is>
          <t xml:space="preserve">small_craft</t>
        </is>
      </c>
      <c r="E654" s="0" t="inlineStr">
        <is>
          <t xml:space="preserve">COLONNA'S SHIP YARD, INCORPORATED</t>
        </is>
      </c>
      <c r="F654" s="0" t="inlineStr">
        <is>
          <t xml:space="preserve">B</t>
        </is>
      </c>
      <c r="G654" s="4">
        <v>0.2400476</v>
      </c>
      <c r="H654" s="0" t="inlineStr">
        <is>
          <t xml:space="preserve">2023-12-19</t>
        </is>
      </c>
      <c r="I654" s="0" t="inlineStr">
        <is>
          <t xml:space="preserve">no</t>
        </is>
      </c>
      <c r="J654" s="0" t="inlineStr">
        <is>
          <t xml:space="preserve">N5005423Q0023</t>
        </is>
      </c>
      <c r="K654" s="0" t="inlineStr">
        <is>
          <t xml:space="preserve">NONE</t>
        </is>
      </c>
    </row>
    <row r="655">
      <c r="B655" s="0" t="inlineStr">
        <is>
          <t xml:space="preserve">N3220524P2143</t>
        </is>
      </c>
      <c r="D655" s="0" t="inlineStr">
        <is>
          <t xml:space="preserve">small_craft</t>
        </is>
      </c>
      <c r="E655" s="0" t="inlineStr">
        <is>
          <t xml:space="preserve">LIFERAFT SYSTEMS AUSTRALIA PTY LTD</t>
        </is>
      </c>
      <c r="F655" s="0" t="inlineStr">
        <is>
          <t xml:space="preserve">B</t>
        </is>
      </c>
      <c r="G655" s="4">
        <v>0.24</v>
      </c>
      <c r="H655" s="0" t="inlineStr">
        <is>
          <t xml:space="preserve">2024-06-27</t>
        </is>
      </c>
      <c r="I655" s="0" t="inlineStr">
        <is>
          <t xml:space="preserve">no</t>
        </is>
      </c>
      <c r="J655" s="0" t="inlineStr">
        <is>
          <t xml:space="preserve">N3220524Q0251</t>
        </is>
      </c>
      <c r="K655" s="0" t="inlineStr">
        <is>
          <t xml:space="preserve">NONE</t>
        </is>
      </c>
    </row>
    <row r="656">
      <c r="B656" s="0" t="inlineStr">
        <is>
          <t xml:space="preserve">N0003923F1018</t>
        </is>
      </c>
      <c r="C656" s="0" t="inlineStr">
        <is>
          <t xml:space="preserve">N0003921D6001</t>
        </is>
      </c>
      <c r="D656" s="0" t="inlineStr">
        <is>
          <t xml:space="preserve">small_craft</t>
        </is>
      </c>
      <c r="E656" s="0" t="inlineStr">
        <is>
          <t xml:space="preserve">TELEDYNE BROWN ENGINEERING, INC.</t>
        </is>
      </c>
      <c r="F656" s="0" t="inlineStr">
        <is>
          <t xml:space="preserve">C</t>
        </is>
      </c>
      <c r="G656" s="4">
        <v>0.23993481</v>
      </c>
      <c r="H656" s="0" t="inlineStr">
        <is>
          <t xml:space="preserve">2023-03-20</t>
        </is>
      </c>
      <c r="I656" s="0" t="inlineStr">
        <is>
          <t xml:space="preserve">no</t>
        </is>
      </c>
      <c r="J656" s="0" t="inlineStr">
        <is>
          <t xml:space="preserve">N0003921R1000</t>
        </is>
      </c>
      <c r="K656" s="0" t="inlineStr">
        <is>
          <t xml:space="preserve">NONE</t>
        </is>
      </c>
    </row>
    <row r="657">
      <c r="B657" s="0" t="inlineStr">
        <is>
          <t xml:space="preserve">N3220518F0008</t>
        </is>
      </c>
      <c r="C657" s="0" t="inlineStr">
        <is>
          <t xml:space="preserve">N3220517D4700</t>
        </is>
      </c>
      <c r="D657" s="0" t="inlineStr">
        <is>
          <t xml:space="preserve">other_small</t>
        </is>
      </c>
      <c r="E657" s="0" t="inlineStr">
        <is>
          <t xml:space="preserve">LAKE SHORE SYSTEMS, INC.</t>
        </is>
      </c>
      <c r="F657" s="0" t="inlineStr">
        <is>
          <t xml:space="preserve">C</t>
        </is>
      </c>
      <c r="G657" s="4">
        <v>0.2386835</v>
      </c>
      <c r="H657" s="0" t="inlineStr">
        <is>
          <t xml:space="preserve">2017-10-02</t>
        </is>
      </c>
      <c r="I657" s="0" t="inlineStr">
        <is>
          <t xml:space="preserve">no</t>
        </is>
      </c>
      <c r="K657" s="0" t="inlineStr">
        <is>
          <t xml:space="preserve">NONE</t>
        </is>
      </c>
    </row>
    <row r="658">
      <c r="B658" s="0" t="inlineStr">
        <is>
          <t xml:space="preserve">N0010421PND09</t>
        </is>
      </c>
      <c r="D658" s="0" t="inlineStr">
        <is>
          <t xml:space="preserve">small_craft</t>
        </is>
      </c>
      <c r="E658" s="0" t="inlineStr">
        <is>
          <t xml:space="preserve">ELECTRIC BOAT CORPORATION</t>
        </is>
      </c>
      <c r="F658" s="0" t="inlineStr">
        <is>
          <t xml:space="preserve">B</t>
        </is>
      </c>
      <c r="G658" s="4">
        <v>0.237811</v>
      </c>
      <c r="H658" s="0" t="inlineStr">
        <is>
          <t xml:space="preserve">2021-08-24</t>
        </is>
      </c>
      <c r="I658" s="0" t="inlineStr">
        <is>
          <t xml:space="preserve">no</t>
        </is>
      </c>
      <c r="K658" s="0" t="inlineStr">
        <is>
          <t xml:space="preserve">NONE</t>
        </is>
      </c>
    </row>
    <row r="659">
      <c r="B659" s="0" t="inlineStr">
        <is>
          <t xml:space="preserve">N0010421PFA01</t>
        </is>
      </c>
      <c r="D659" s="0" t="inlineStr">
        <is>
          <t xml:space="preserve">small_craft</t>
        </is>
      </c>
      <c r="E659" s="0" t="inlineStr">
        <is>
          <t xml:space="preserve">U.S.A. SPARES INC.</t>
        </is>
      </c>
      <c r="F659" s="0" t="inlineStr">
        <is>
          <t xml:space="preserve">B</t>
        </is>
      </c>
      <c r="G659" s="4">
        <v>0.235005</v>
      </c>
      <c r="H659" s="0" t="inlineStr">
        <is>
          <t xml:space="preserve">2020-10-21</t>
        </is>
      </c>
      <c r="I659" s="0" t="inlineStr">
        <is>
          <t xml:space="preserve">no</t>
        </is>
      </c>
      <c r="K659" s="0" t="inlineStr">
        <is>
          <t xml:space="preserve">NONE</t>
        </is>
      </c>
    </row>
    <row r="660">
      <c r="B660" s="0" t="inlineStr">
        <is>
          <t xml:space="preserve">N0010419PFE96</t>
        </is>
      </c>
      <c r="D660" s="0" t="inlineStr">
        <is>
          <t xml:space="preserve">small_craft</t>
        </is>
      </c>
      <c r="E660" s="0" t="inlineStr">
        <is>
          <t xml:space="preserve">U.S.A. SPARES INC.</t>
        </is>
      </c>
      <c r="F660" s="0" t="inlineStr">
        <is>
          <t xml:space="preserve">B</t>
        </is>
      </c>
      <c r="G660" s="4">
        <v>0.235005</v>
      </c>
      <c r="H660" s="0" t="inlineStr">
        <is>
          <t xml:space="preserve">2019-09-12</t>
        </is>
      </c>
      <c r="I660" s="0" t="inlineStr">
        <is>
          <t xml:space="preserve">no</t>
        </is>
      </c>
      <c r="K660" s="0" t="inlineStr">
        <is>
          <t xml:space="preserve">NONE</t>
        </is>
      </c>
    </row>
    <row r="661">
      <c r="B661" s="0" t="inlineStr">
        <is>
          <t xml:space="preserve">N0010421PDE39</t>
        </is>
      </c>
      <c r="D661" s="0" t="inlineStr">
        <is>
          <t xml:space="preserve">small_craft</t>
        </is>
      </c>
      <c r="E661" s="0" t="inlineStr">
        <is>
          <t xml:space="preserve">DEFENSE MARITIME SOLUTIONS, INC.</t>
        </is>
      </c>
      <c r="F661" s="0" t="inlineStr">
        <is>
          <t xml:space="preserve">B</t>
        </is>
      </c>
      <c r="G661" s="4">
        <v>0.23406151999999997</v>
      </c>
      <c r="H661" s="0" t="inlineStr">
        <is>
          <t xml:space="preserve">2021-09-29</t>
        </is>
      </c>
      <c r="I661" s="0" t="inlineStr">
        <is>
          <t xml:space="preserve">no</t>
        </is>
      </c>
      <c r="K661" s="0" t="inlineStr">
        <is>
          <t xml:space="preserve">NONE</t>
        </is>
      </c>
    </row>
    <row r="662">
      <c r="B662" s="0" t="inlineStr">
        <is>
          <t xml:space="preserve">N0002415F2206</t>
        </is>
      </c>
      <c r="C662" s="0" t="inlineStr">
        <is>
          <t xml:space="preserve">GS07F0011J</t>
        </is>
      </c>
      <c r="D662" s="0" t="inlineStr">
        <is>
          <t xml:space="preserve">small_craft</t>
        </is>
      </c>
      <c r="E662" s="0" t="inlineStr">
        <is>
          <t xml:space="preserve">BRUNSWICK COMMERCIAL &amp; GOVERNMENT PRODUCTS, INC.</t>
        </is>
      </c>
      <c r="F662" s="0" t="inlineStr">
        <is>
          <t xml:space="preserve">C</t>
        </is>
      </c>
      <c r="G662" s="4">
        <v>0.232974</v>
      </c>
      <c r="H662" s="0" t="inlineStr">
        <is>
          <t xml:space="preserve">2015-06-17</t>
        </is>
      </c>
      <c r="I662" s="0" t="inlineStr">
        <is>
          <t xml:space="preserve">no</t>
        </is>
      </c>
      <c r="K662" s="0" t="inlineStr">
        <is>
          <t xml:space="preserve">NONE</t>
        </is>
      </c>
    </row>
    <row r="663">
      <c r="B663" s="0" t="inlineStr">
        <is>
          <t xml:space="preserve">N6600123P6454</t>
        </is>
      </c>
      <c r="D663" s="0" t="inlineStr">
        <is>
          <t xml:space="preserve">usv_core</t>
        </is>
      </c>
      <c r="E663" s="0" t="inlineStr">
        <is>
          <t xml:space="preserve">OCEAN POWER TECHNOLOGIES, INC.</t>
        </is>
      </c>
      <c r="F663" s="0" t="inlineStr">
        <is>
          <t xml:space="preserve">B</t>
        </is>
      </c>
      <c r="G663" s="4">
        <v>0.231367</v>
      </c>
      <c r="H663" s="0" t="inlineStr">
        <is>
          <t xml:space="preserve">2023-08-25</t>
        </is>
      </c>
      <c r="I663" s="0" t="inlineStr">
        <is>
          <t xml:space="preserve">no</t>
        </is>
      </c>
      <c r="J663" s="0" t="inlineStr">
        <is>
          <t xml:space="preserve">N6600123Q6454</t>
        </is>
      </c>
      <c r="K663" s="0" t="inlineStr">
        <is>
          <t xml:space="preserve">NONE</t>
        </is>
      </c>
    </row>
    <row r="664">
      <c r="B664" s="0" t="inlineStr">
        <is>
          <t xml:space="preserve">N0010421PDC70</t>
        </is>
      </c>
      <c r="D664" s="0" t="inlineStr">
        <is>
          <t xml:space="preserve">small_craft</t>
        </is>
      </c>
      <c r="E664" s="0" t="inlineStr">
        <is>
          <t xml:space="preserve">KIHOMAC INC</t>
        </is>
      </c>
      <c r="F664" s="0" t="inlineStr">
        <is>
          <t xml:space="preserve">B</t>
        </is>
      </c>
      <c r="G664" s="4">
        <v>0.2307</v>
      </c>
      <c r="H664" s="0" t="inlineStr">
        <is>
          <t xml:space="preserve">2021-08-06</t>
        </is>
      </c>
      <c r="I664" s="0" t="inlineStr">
        <is>
          <t xml:space="preserve">no</t>
        </is>
      </c>
      <c r="J664" s="0" t="inlineStr">
        <is>
          <t xml:space="preserve">N0010421QDC65</t>
        </is>
      </c>
      <c r="K664" s="0" t="inlineStr">
        <is>
          <t xml:space="preserve">NONE</t>
        </is>
      </c>
    </row>
    <row r="665">
      <c r="B665" s="0" t="inlineStr">
        <is>
          <t xml:space="preserve">N0010423PCB28</t>
        </is>
      </c>
      <c r="D665" s="0" t="inlineStr">
        <is>
          <t xml:space="preserve">small_craft</t>
        </is>
      </c>
      <c r="E665" s="0" t="inlineStr">
        <is>
          <t xml:space="preserve">L3HARRIS TECHNOLOGIES, INC</t>
        </is>
      </c>
      <c r="F665" s="0" t="inlineStr">
        <is>
          <t xml:space="preserve">B</t>
        </is>
      </c>
      <c r="G665" s="4">
        <v>0.22966199999999998</v>
      </c>
      <c r="H665" s="0" t="inlineStr">
        <is>
          <t xml:space="preserve">2023-02-09</t>
        </is>
      </c>
      <c r="I665" s="0" t="inlineStr">
        <is>
          <t xml:space="preserve">no</t>
        </is>
      </c>
      <c r="K665" s="0" t="inlineStr">
        <is>
          <t xml:space="preserve">NONE</t>
        </is>
      </c>
    </row>
    <row r="666">
      <c r="B666" s="0" t="inlineStr">
        <is>
          <t xml:space="preserve">N0010424PNC77</t>
        </is>
      </c>
      <c r="D666" s="0" t="inlineStr">
        <is>
          <t xml:space="preserve">small_craft</t>
        </is>
      </c>
      <c r="E666" s="0" t="inlineStr">
        <is>
          <t xml:space="preserve">L3 TECHNOLOGIES, INC.</t>
        </is>
      </c>
      <c r="F666" s="0" t="inlineStr">
        <is>
          <t xml:space="preserve">B</t>
        </is>
      </c>
      <c r="G666" s="4">
        <v>0.228596</v>
      </c>
      <c r="H666" s="0" t="inlineStr">
        <is>
          <t xml:space="preserve">2024-09-16</t>
        </is>
      </c>
      <c r="I666" s="0" t="inlineStr">
        <is>
          <t xml:space="preserve">no</t>
        </is>
      </c>
      <c r="K666" s="0" t="inlineStr">
        <is>
          <t xml:space="preserve">NONE</t>
        </is>
      </c>
    </row>
    <row r="667">
      <c r="B667" s="0" t="inlineStr">
        <is>
          <t xml:space="preserve">N0003924F1035</t>
        </is>
      </c>
      <c r="C667" s="0" t="inlineStr">
        <is>
          <t xml:space="preserve">N0003921D6001</t>
        </is>
      </c>
      <c r="D667" s="0" t="inlineStr">
        <is>
          <t xml:space="preserve">small_craft</t>
        </is>
      </c>
      <c r="E667" s="0" t="inlineStr">
        <is>
          <t xml:space="preserve">TELEDYNE BROWN ENGINEERING, INC.</t>
        </is>
      </c>
      <c r="F667" s="0" t="inlineStr">
        <is>
          <t xml:space="preserve">C</t>
        </is>
      </c>
      <c r="G667" s="4">
        <v>0.22807944</v>
      </c>
      <c r="H667" s="0" t="inlineStr">
        <is>
          <t xml:space="preserve">2024-07-02</t>
        </is>
      </c>
      <c r="I667" s="0" t="inlineStr">
        <is>
          <t xml:space="preserve">no</t>
        </is>
      </c>
      <c r="J667" s="0" t="inlineStr">
        <is>
          <t xml:space="preserve">N0003921R1000</t>
        </is>
      </c>
      <c r="K667" s="0" t="inlineStr">
        <is>
          <t xml:space="preserve">NONE</t>
        </is>
      </c>
    </row>
    <row r="668">
      <c r="B668" s="0" t="inlineStr">
        <is>
          <t xml:space="preserve">N0010425PDB63</t>
        </is>
      </c>
      <c r="D668" s="0" t="inlineStr">
        <is>
          <t xml:space="preserve">small_craft</t>
        </is>
      </c>
      <c r="E668" s="0" t="inlineStr">
        <is>
          <t xml:space="preserve">FRONTGRADE TECHNOLOGIES INC.</t>
        </is>
      </c>
      <c r="F668" s="0" t="inlineStr">
        <is>
          <t xml:space="preserve">B</t>
        </is>
      </c>
      <c r="G668" s="4">
        <v>0.2220876</v>
      </c>
      <c r="H668" s="0" t="inlineStr">
        <is>
          <t xml:space="preserve">2025-06-11</t>
        </is>
      </c>
      <c r="I668" s="0" t="inlineStr">
        <is>
          <t xml:space="preserve">no</t>
        </is>
      </c>
      <c r="K668" s="0" t="inlineStr">
        <is>
          <t xml:space="preserve">NONE</t>
        </is>
      </c>
    </row>
    <row r="669">
      <c r="B669" s="0" t="inlineStr">
        <is>
          <t xml:space="preserve">N6660421FC837</t>
        </is>
      </c>
      <c r="C669" s="0" t="inlineStr">
        <is>
          <t xml:space="preserve">N6660418DC802</t>
        </is>
      </c>
      <c r="D669" s="0" t="inlineStr">
        <is>
          <t xml:space="preserve">small_craft</t>
        </is>
      </c>
      <c r="E669" s="0" t="inlineStr">
        <is>
          <t xml:space="preserve">SERCO INC</t>
        </is>
      </c>
      <c r="F669" s="0" t="inlineStr">
        <is>
          <t xml:space="preserve">C</t>
        </is>
      </c>
      <c r="G669" s="4">
        <v>0.22203972</v>
      </c>
      <c r="H669" s="0" t="inlineStr">
        <is>
          <t xml:space="preserve">2021-06-30</t>
        </is>
      </c>
      <c r="I669" s="0" t="inlineStr">
        <is>
          <t xml:space="preserve">no</t>
        </is>
      </c>
      <c r="J669" s="0" t="inlineStr">
        <is>
          <t xml:space="preserve">N6660417R0350</t>
        </is>
      </c>
      <c r="K669" s="0" t="inlineStr">
        <is>
          <t xml:space="preserve">NONE</t>
        </is>
      </c>
    </row>
    <row r="670">
      <c r="B670" s="0" t="inlineStr">
        <is>
          <t xml:space="preserve">N6824623P0140</t>
        </is>
      </c>
      <c r="D670" s="0" t="inlineStr">
        <is>
          <t xml:space="preserve">small_craft</t>
        </is>
      </c>
      <c r="E670" s="0" t="inlineStr">
        <is>
          <t xml:space="preserve">OPS CORPORATION</t>
        </is>
      </c>
      <c r="F670" s="0" t="inlineStr">
        <is>
          <t xml:space="preserve">B</t>
        </is>
      </c>
      <c r="G670" s="4">
        <v>0.2216</v>
      </c>
      <c r="H670" s="0" t="inlineStr">
        <is>
          <t xml:space="preserve">2023-07-03</t>
        </is>
      </c>
      <c r="I670" s="0" t="inlineStr">
        <is>
          <t xml:space="preserve">no</t>
        </is>
      </c>
      <c r="J670" s="0" t="inlineStr">
        <is>
          <t xml:space="preserve">N6824623Q0087</t>
        </is>
      </c>
      <c r="K670" s="0" t="inlineStr">
        <is>
          <t xml:space="preserve">NONE</t>
        </is>
      </c>
    </row>
    <row r="671">
      <c r="B671" s="0" t="inlineStr">
        <is>
          <t xml:space="preserve">N0010425PNA41</t>
        </is>
      </c>
      <c r="D671" s="0" t="inlineStr">
        <is>
          <t xml:space="preserve">small_craft</t>
        </is>
      </c>
      <c r="E671" s="0" t="inlineStr">
        <is>
          <t xml:space="preserve">U.S.A. SPARES INC.</t>
        </is>
      </c>
      <c r="F671" s="0" t="inlineStr">
        <is>
          <t xml:space="preserve">B</t>
        </is>
      </c>
      <c r="G671" s="4">
        <v>0.21925999999999998</v>
      </c>
      <c r="H671" s="0" t="inlineStr">
        <is>
          <t xml:space="preserve">2025-02-13</t>
        </is>
      </c>
      <c r="I671" s="0" t="inlineStr">
        <is>
          <t xml:space="preserve">no</t>
        </is>
      </c>
      <c r="J671" s="0" t="inlineStr">
        <is>
          <t xml:space="preserve">N0010425QNB07</t>
        </is>
      </c>
      <c r="K671" s="0" t="inlineStr">
        <is>
          <t xml:space="preserve">NONE</t>
        </is>
      </c>
    </row>
    <row r="672">
      <c r="B672" s="0" t="inlineStr">
        <is>
          <t xml:space="preserve">0020</t>
        </is>
      </c>
      <c r="C672" s="0" t="inlineStr">
        <is>
          <t xml:space="preserve">N6230613D9S01</t>
        </is>
      </c>
      <c r="D672" s="0" t="inlineStr">
        <is>
          <t xml:space="preserve">small_craft</t>
        </is>
      </c>
      <c r="E672" s="0" t="inlineStr">
        <is>
          <t xml:space="preserve">SAUNDERS ENGINE &amp; EQUIPMENT CO INC</t>
        </is>
      </c>
      <c r="F672" s="0" t="inlineStr">
        <is>
          <t xml:space="preserve">C</t>
        </is>
      </c>
      <c r="G672" s="4">
        <v>0.21651595</v>
      </c>
      <c r="H672" s="0" t="inlineStr">
        <is>
          <t xml:space="preserve">2016-03-31</t>
        </is>
      </c>
      <c r="I672" s="0" t="inlineStr">
        <is>
          <t xml:space="preserve">no</t>
        </is>
      </c>
      <c r="J672" s="0" t="inlineStr">
        <is>
          <t xml:space="preserve">N6230612R9S01</t>
        </is>
      </c>
      <c r="K672" s="0" t="inlineStr">
        <is>
          <t xml:space="preserve">NONE</t>
        </is>
      </c>
    </row>
    <row r="673">
      <c r="B673" s="0" t="inlineStr">
        <is>
          <t xml:space="preserve">N0010426PXA65</t>
        </is>
      </c>
      <c r="D673" s="0" t="inlineStr">
        <is>
          <t xml:space="preserve">small_craft</t>
        </is>
      </c>
      <c r="E673" s="0" t="inlineStr">
        <is>
          <t xml:space="preserve">VIRGINIA ELECTRONIC SYSTEMS, INC.</t>
        </is>
      </c>
      <c r="F673" s="0" t="inlineStr">
        <is>
          <t xml:space="preserve">B</t>
        </is>
      </c>
      <c r="G673" s="4">
        <v>0.21590905999999999</v>
      </c>
      <c r="H673" s="0" t="inlineStr">
        <is>
          <t xml:space="preserve">2025-12-16</t>
        </is>
      </c>
      <c r="I673" s="0" t="inlineStr">
        <is>
          <t xml:space="preserve">yes</t>
        </is>
      </c>
      <c r="K673" s="0" t="inlineStr">
        <is>
          <t xml:space="preserve">NONE</t>
        </is>
      </c>
    </row>
    <row r="674">
      <c r="B674" s="0" t="inlineStr">
        <is>
          <t xml:space="preserve">N0010423FY703</t>
        </is>
      </c>
      <c r="C674" s="0" t="inlineStr">
        <is>
          <t xml:space="preserve">N0010422GY701</t>
        </is>
      </c>
      <c r="D674" s="0" t="inlineStr">
        <is>
          <t xml:space="preserve">small_craft</t>
        </is>
      </c>
      <c r="E674" s="0" t="inlineStr">
        <is>
          <t xml:space="preserve">L3 TECHNOLOGIES, INC.</t>
        </is>
      </c>
      <c r="F674" s="0" t="inlineStr">
        <is>
          <t xml:space="preserve">C</t>
        </is>
      </c>
      <c r="G674" s="4">
        <v>0.213941</v>
      </c>
      <c r="H674" s="0" t="inlineStr">
        <is>
          <t xml:space="preserve">2022-12-22</t>
        </is>
      </c>
      <c r="I674" s="0" t="inlineStr">
        <is>
          <t xml:space="preserve">no</t>
        </is>
      </c>
      <c r="J674" s="0" t="inlineStr">
        <is>
          <t xml:space="preserve">N0010422QNE76</t>
        </is>
      </c>
      <c r="K674" s="0" t="inlineStr">
        <is>
          <t xml:space="preserve">NONE</t>
        </is>
      </c>
    </row>
    <row r="675">
      <c r="B675" s="0" t="inlineStr">
        <is>
          <t xml:space="preserve">N0025323P0022</t>
        </is>
      </c>
      <c r="D675" s="0" t="inlineStr">
        <is>
          <t xml:space="preserve">other_small</t>
        </is>
      </c>
      <c r="E675" s="0" t="inlineStr">
        <is>
          <t xml:space="preserve">PLATYPUS MARINE INC</t>
        </is>
      </c>
      <c r="F675" s="0" t="inlineStr">
        <is>
          <t xml:space="preserve">B</t>
        </is>
      </c>
      <c r="G675" s="4">
        <v>0.212643</v>
      </c>
      <c r="H675" s="0" t="inlineStr">
        <is>
          <t xml:space="preserve">2023-03-30</t>
        </is>
      </c>
      <c r="I675" s="0" t="inlineStr">
        <is>
          <t xml:space="preserve">no</t>
        </is>
      </c>
      <c r="J675" s="0" t="inlineStr">
        <is>
          <t xml:space="preserve">N0025323Q0028</t>
        </is>
      </c>
      <c r="K675" s="0" t="inlineStr">
        <is>
          <t xml:space="preserve">NONE</t>
        </is>
      </c>
    </row>
    <row r="676">
      <c r="B676" s="0" t="inlineStr">
        <is>
          <t xml:space="preserve">N0010425PYE23</t>
        </is>
      </c>
      <c r="D676" s="0" t="inlineStr">
        <is>
          <t xml:space="preserve">small_craft</t>
        </is>
      </c>
      <c r="E676" s="0" t="inlineStr">
        <is>
          <t xml:space="preserve">MOOG INC</t>
        </is>
      </c>
      <c r="F676" s="0" t="inlineStr">
        <is>
          <t xml:space="preserve">B</t>
        </is>
      </c>
      <c r="G676" s="4">
        <v>0.21095999999999998</v>
      </c>
      <c r="H676" s="0" t="inlineStr">
        <is>
          <t xml:space="preserve">2025-08-21</t>
        </is>
      </c>
      <c r="I676" s="0" t="inlineStr">
        <is>
          <t xml:space="preserve">yes</t>
        </is>
      </c>
      <c r="K676" s="0" t="inlineStr">
        <is>
          <t xml:space="preserve">NONE</t>
        </is>
      </c>
    </row>
    <row r="677">
      <c r="B677" s="0" t="inlineStr">
        <is>
          <t xml:space="preserve">N0010419FK401</t>
        </is>
      </c>
      <c r="C677" s="0" t="inlineStr">
        <is>
          <t xml:space="preserve">N0010416DX004</t>
        </is>
      </c>
      <c r="D677" s="0" t="inlineStr">
        <is>
          <t xml:space="preserve">small_craft</t>
        </is>
      </c>
      <c r="E677" s="0" t="inlineStr">
        <is>
          <t xml:space="preserve">WING INFLATABLES INC</t>
        </is>
      </c>
      <c r="F677" s="0" t="inlineStr">
        <is>
          <t xml:space="preserve">C</t>
        </is>
      </c>
      <c r="G677" s="4">
        <v>0.21090203999999999</v>
      </c>
      <c r="H677" s="0" t="inlineStr">
        <is>
          <t xml:space="preserve">2019-01-17</t>
        </is>
      </c>
      <c r="I677" s="0" t="inlineStr">
        <is>
          <t xml:space="preserve">no</t>
        </is>
      </c>
      <c r="K677" s="0" t="inlineStr">
        <is>
          <t xml:space="preserve">NONE</t>
        </is>
      </c>
    </row>
    <row r="678">
      <c r="B678" s="0" t="inlineStr">
        <is>
          <t xml:space="preserve">N0010425PZA36</t>
        </is>
      </c>
      <c r="D678" s="0" t="inlineStr">
        <is>
          <t xml:space="preserve">small_craft</t>
        </is>
      </c>
      <c r="E678" s="0" t="inlineStr">
        <is>
          <t xml:space="preserve">SARGENT AEROSPACE &amp; DEFENSE, LLC</t>
        </is>
      </c>
      <c r="F678" s="0" t="inlineStr">
        <is>
          <t xml:space="preserve">B</t>
        </is>
      </c>
      <c r="G678" s="4">
        <v>0.21040499999999998</v>
      </c>
      <c r="H678" s="0" t="inlineStr">
        <is>
          <t xml:space="preserve">2025-04-02</t>
        </is>
      </c>
      <c r="I678" s="0" t="inlineStr">
        <is>
          <t xml:space="preserve">no</t>
        </is>
      </c>
      <c r="J678" s="0" t="inlineStr">
        <is>
          <t xml:space="preserve">N0010425QZA62</t>
        </is>
      </c>
      <c r="K678" s="0" t="inlineStr">
        <is>
          <t xml:space="preserve">NONE</t>
        </is>
      </c>
    </row>
    <row r="679">
      <c r="B679" s="0" t="inlineStr">
        <is>
          <t xml:space="preserve">N0010423PCB62</t>
        </is>
      </c>
      <c r="D679" s="0" t="inlineStr">
        <is>
          <t xml:space="preserve">small_craft</t>
        </is>
      </c>
      <c r="E679" s="0" t="inlineStr">
        <is>
          <t xml:space="preserve">DEFENSE MARITIME SOLUTIONS, INC.</t>
        </is>
      </c>
      <c r="F679" s="0" t="inlineStr">
        <is>
          <t xml:space="preserve">B</t>
        </is>
      </c>
      <c r="G679" s="4">
        <v>0.20263016</v>
      </c>
      <c r="H679" s="0" t="inlineStr">
        <is>
          <t xml:space="preserve">2023-03-20</t>
        </is>
      </c>
      <c r="I679" s="0" t="inlineStr">
        <is>
          <t xml:space="preserve">no</t>
        </is>
      </c>
      <c r="J679" s="0" t="inlineStr">
        <is>
          <t xml:space="preserve">N0010423QCB66</t>
        </is>
      </c>
      <c r="K679" s="0" t="inlineStr">
        <is>
          <t xml:space="preserve">NONE</t>
        </is>
      </c>
    </row>
    <row r="680">
      <c r="B680" s="0" t="inlineStr">
        <is>
          <t xml:space="preserve">N3220516P4000</t>
        </is>
      </c>
      <c r="D680" s="0" t="inlineStr">
        <is>
          <t xml:space="preserve">small_craft</t>
        </is>
      </c>
      <c r="E680" s="0" t="inlineStr">
        <is>
          <t xml:space="preserve">WILLARD MARINE, INC.</t>
        </is>
      </c>
      <c r="F680" s="0" t="inlineStr">
        <is>
          <t xml:space="preserve">B</t>
        </is>
      </c>
      <c r="G680" s="4">
        <v>0.20024499999999998</v>
      </c>
      <c r="H680" s="0" t="inlineStr">
        <is>
          <t xml:space="preserve">2015-10-01</t>
        </is>
      </c>
      <c r="I680" s="0" t="inlineStr">
        <is>
          <t xml:space="preserve">no</t>
        </is>
      </c>
      <c r="K680" s="0" t="inlineStr">
        <is>
          <t xml:space="preserve">NONE</t>
        </is>
      </c>
    </row>
    <row r="681">
      <c r="B681" s="0" t="inlineStr">
        <is>
          <t xml:space="preserve">N6600120F0621</t>
        </is>
      </c>
      <c r="C681" s="0" t="inlineStr">
        <is>
          <t xml:space="preserve">N6600117D0024</t>
        </is>
      </c>
      <c r="D681" s="0" t="inlineStr">
        <is>
          <t xml:space="preserve">usv_core</t>
        </is>
      </c>
      <c r="E681" s="0" t="inlineStr">
        <is>
          <t xml:space="preserve">MONTEREY TECHNOLOGIES INC</t>
        </is>
      </c>
      <c r="F681" s="0" t="inlineStr">
        <is>
          <t xml:space="preserve">C</t>
        </is>
      </c>
      <c r="G681" s="4">
        <v>0.199767</v>
      </c>
      <c r="H681" s="0" t="inlineStr">
        <is>
          <t xml:space="preserve">2020-05-15</t>
        </is>
      </c>
      <c r="I681" s="0" t="inlineStr">
        <is>
          <t xml:space="preserve">no</t>
        </is>
      </c>
      <c r="J681" s="0" t="inlineStr">
        <is>
          <t xml:space="preserve">N6600117R0024</t>
        </is>
      </c>
      <c r="K681" s="0" t="inlineStr">
        <is>
          <t xml:space="preserve">NONE</t>
        </is>
      </c>
    </row>
    <row r="682">
      <c r="B682" s="0" t="inlineStr">
        <is>
          <t xml:space="preserve">N3220515P1002</t>
        </is>
      </c>
      <c r="D682" s="0" t="inlineStr">
        <is>
          <t xml:space="preserve">small_craft</t>
        </is>
      </c>
      <c r="E682" s="0" t="inlineStr">
        <is>
          <t xml:space="preserve">WILLARD MARINE, INC.</t>
        </is>
      </c>
      <c r="F682" s="0" t="inlineStr">
        <is>
          <t xml:space="preserve">B</t>
        </is>
      </c>
      <c r="G682" s="4">
        <v>0.19900099999999998</v>
      </c>
      <c r="H682" s="0" t="inlineStr">
        <is>
          <t xml:space="preserve">2015-04-08</t>
        </is>
      </c>
      <c r="I682" s="0" t="inlineStr">
        <is>
          <t xml:space="preserve">no</t>
        </is>
      </c>
      <c r="J682" s="0" t="inlineStr">
        <is>
          <t xml:space="preserve">N3220515T1002</t>
        </is>
      </c>
      <c r="K682" s="0" t="inlineStr">
        <is>
          <t xml:space="preserve">NONE</t>
        </is>
      </c>
    </row>
    <row r="683">
      <c r="B683" s="0" t="inlineStr">
        <is>
          <t xml:space="preserve">N0010425PFB90</t>
        </is>
      </c>
      <c r="D683" s="0" t="inlineStr">
        <is>
          <t xml:space="preserve">small_craft</t>
        </is>
      </c>
      <c r="E683" s="0" t="inlineStr">
        <is>
          <t xml:space="preserve">DERBYSHIRE MACHINE &amp; TOOL CO</t>
        </is>
      </c>
      <c r="F683" s="0" t="inlineStr">
        <is>
          <t xml:space="preserve">B</t>
        </is>
      </c>
      <c r="G683" s="4">
        <v>0.198992</v>
      </c>
      <c r="H683" s="0" t="inlineStr">
        <is>
          <t xml:space="preserve">2025-04-07</t>
        </is>
      </c>
      <c r="I683" s="0" t="inlineStr">
        <is>
          <t xml:space="preserve">no</t>
        </is>
      </c>
      <c r="J683" s="0" t="inlineStr">
        <is>
          <t xml:space="preserve">N0010425QFB67</t>
        </is>
      </c>
      <c r="K683" s="0" t="inlineStr">
        <is>
          <t xml:space="preserve">NONE</t>
        </is>
      </c>
    </row>
    <row r="684">
      <c r="B684" s="0" t="inlineStr">
        <is>
          <t xml:space="preserve">N0010424PFA92</t>
        </is>
      </c>
      <c r="D684" s="0" t="inlineStr">
        <is>
          <t xml:space="preserve">small_craft</t>
        </is>
      </c>
      <c r="E684" s="0" t="inlineStr">
        <is>
          <t xml:space="preserve">NATSTAR DEFENSE INC</t>
        </is>
      </c>
      <c r="F684" s="0" t="inlineStr">
        <is>
          <t xml:space="preserve">B</t>
        </is>
      </c>
      <c r="G684" s="4">
        <v>0.19819984999999998</v>
      </c>
      <c r="H684" s="0" t="inlineStr">
        <is>
          <t xml:space="preserve">2024-02-27</t>
        </is>
      </c>
      <c r="I684" s="0" t="inlineStr">
        <is>
          <t xml:space="preserve">no</t>
        </is>
      </c>
      <c r="K684" s="0" t="inlineStr">
        <is>
          <t xml:space="preserve">NONE</t>
        </is>
      </c>
    </row>
    <row r="685">
      <c r="B685" s="0" t="inlineStr">
        <is>
          <t xml:space="preserve">N0018916PZ112</t>
        </is>
      </c>
      <c r="D685" s="0" t="inlineStr">
        <is>
          <t xml:space="preserve">small_craft</t>
        </is>
      </c>
      <c r="E685" s="0" t="inlineStr">
        <is>
          <t xml:space="preserve">YSI INC</t>
        </is>
      </c>
      <c r="F685" s="0" t="inlineStr">
        <is>
          <t xml:space="preserve">B</t>
        </is>
      </c>
      <c r="G685" s="4">
        <v>0.196961</v>
      </c>
      <c r="H685" s="0" t="inlineStr">
        <is>
          <t xml:space="preserve">2015-12-22</t>
        </is>
      </c>
      <c r="I685" s="0" t="inlineStr">
        <is>
          <t xml:space="preserve">no</t>
        </is>
      </c>
      <c r="J685" s="0" t="inlineStr">
        <is>
          <t xml:space="preserve">N0018916TZ054</t>
        </is>
      </c>
      <c r="K685" s="0" t="inlineStr">
        <is>
          <t xml:space="preserve">NONE</t>
        </is>
      </c>
    </row>
    <row r="686">
      <c r="B686" s="0" t="inlineStr">
        <is>
          <t xml:space="preserve">N3220519F8228</t>
        </is>
      </c>
      <c r="C686" s="0" t="inlineStr">
        <is>
          <t xml:space="preserve">N3220517D4700</t>
        </is>
      </c>
      <c r="D686" s="0" t="inlineStr">
        <is>
          <t xml:space="preserve">other_small</t>
        </is>
      </c>
      <c r="E686" s="0" t="inlineStr">
        <is>
          <t xml:space="preserve">LAKE SHORE SYSTEMS, INC.</t>
        </is>
      </c>
      <c r="F686" s="0" t="inlineStr">
        <is>
          <t xml:space="preserve">C</t>
        </is>
      </c>
      <c r="G686" s="4">
        <v>0.19687674</v>
      </c>
      <c r="H686" s="0" t="inlineStr">
        <is>
          <t xml:space="preserve">2019-08-21</t>
        </is>
      </c>
      <c r="I686" s="0" t="inlineStr">
        <is>
          <t xml:space="preserve">no</t>
        </is>
      </c>
      <c r="K686" s="0" t="inlineStr">
        <is>
          <t xml:space="preserve">NONE</t>
        </is>
      </c>
    </row>
    <row r="687">
      <c r="B687" s="0" t="inlineStr">
        <is>
          <t xml:space="preserve">N6893625F0057</t>
        </is>
      </c>
      <c r="C687" s="0" t="inlineStr">
        <is>
          <t xml:space="preserve">GS07F224CA</t>
        </is>
      </c>
      <c r="D687" s="0" t="inlineStr">
        <is>
          <t xml:space="preserve">small_craft</t>
        </is>
      </c>
      <c r="E687" s="0" t="inlineStr">
        <is>
          <t xml:space="preserve">THE MOLDING COMPANY, INC.</t>
        </is>
      </c>
      <c r="F687" s="0" t="inlineStr">
        <is>
          <t xml:space="preserve">C</t>
        </is>
      </c>
      <c r="G687" s="4">
        <v>0.19596249999999998</v>
      </c>
      <c r="H687" s="0" t="inlineStr">
        <is>
          <t xml:space="preserve">2024-11-18</t>
        </is>
      </c>
      <c r="I687" s="0" t="inlineStr">
        <is>
          <t xml:space="preserve">no</t>
        </is>
      </c>
      <c r="K687" s="0" t="inlineStr">
        <is>
          <t xml:space="preserve">NONE</t>
        </is>
      </c>
    </row>
    <row r="688">
      <c r="B688" s="0" t="inlineStr">
        <is>
          <t xml:space="preserve">N0010422PNC09</t>
        </is>
      </c>
      <c r="D688" s="0" t="inlineStr">
        <is>
          <t xml:space="preserve">small_craft</t>
        </is>
      </c>
      <c r="E688" s="0" t="inlineStr">
        <is>
          <t xml:space="preserve">ELECTRIC BOAT CORPORATION</t>
        </is>
      </c>
      <c r="F688" s="0" t="inlineStr">
        <is>
          <t xml:space="preserve">B</t>
        </is>
      </c>
      <c r="G688" s="4">
        <v>0.19471201</v>
      </c>
      <c r="H688" s="0" t="inlineStr">
        <is>
          <t xml:space="preserve">2022-05-26</t>
        </is>
      </c>
      <c r="I688" s="0" t="inlineStr">
        <is>
          <t xml:space="preserve">no</t>
        </is>
      </c>
      <c r="K688" s="0" t="inlineStr">
        <is>
          <t xml:space="preserve">NONE</t>
        </is>
      </c>
    </row>
    <row r="689">
      <c r="B689" s="0" t="inlineStr">
        <is>
          <t xml:space="preserve">N0010417CFA33</t>
        </is>
      </c>
      <c r="D689" s="0" t="inlineStr">
        <is>
          <t xml:space="preserve">small_craft</t>
        </is>
      </c>
      <c r="E689" s="0" t="inlineStr">
        <is>
          <t xml:space="preserve">L3 TECHNOLOGIES, INC.</t>
        </is>
      </c>
      <c r="F689" s="0" t="inlineStr">
        <is>
          <t xml:space="preserve">D</t>
        </is>
      </c>
      <c r="G689" s="4">
        <v>0.19419071999999998</v>
      </c>
      <c r="H689" s="0" t="inlineStr">
        <is>
          <t xml:space="preserve">2017-06-15</t>
        </is>
      </c>
      <c r="I689" s="0" t="inlineStr">
        <is>
          <t xml:space="preserve">no</t>
        </is>
      </c>
      <c r="J689" s="0" t="inlineStr">
        <is>
          <t xml:space="preserve">N0010416QFF47</t>
        </is>
      </c>
      <c r="K689" s="0" t="inlineStr">
        <is>
          <t xml:space="preserve">NONE</t>
        </is>
      </c>
    </row>
    <row r="690">
      <c r="B690" s="0" t="inlineStr">
        <is>
          <t xml:space="preserve">N0003922F1013</t>
        </is>
      </c>
      <c r="C690" s="0" t="inlineStr">
        <is>
          <t xml:space="preserve">N0003921D6001</t>
        </is>
      </c>
      <c r="D690" s="0" t="inlineStr">
        <is>
          <t xml:space="preserve">small_craft</t>
        </is>
      </c>
      <c r="E690" s="0" t="inlineStr">
        <is>
          <t xml:space="preserve">TELEDYNE BROWN ENGINEERING, INC.</t>
        </is>
      </c>
      <c r="F690" s="0" t="inlineStr">
        <is>
          <t xml:space="preserve">C</t>
        </is>
      </c>
      <c r="G690" s="4">
        <v>0.19199597</v>
      </c>
      <c r="H690" s="0" t="inlineStr">
        <is>
          <t xml:space="preserve">2022-04-04</t>
        </is>
      </c>
      <c r="I690" s="0" t="inlineStr">
        <is>
          <t xml:space="preserve">no</t>
        </is>
      </c>
      <c r="J690" s="0" t="inlineStr">
        <is>
          <t xml:space="preserve">N0003921R1000</t>
        </is>
      </c>
      <c r="K690" s="0" t="inlineStr">
        <is>
          <t xml:space="preserve">NONE</t>
        </is>
      </c>
    </row>
    <row r="691">
      <c r="B691" s="0" t="inlineStr">
        <is>
          <t xml:space="preserve">N3220516P4504</t>
        </is>
      </c>
      <c r="D691" s="0" t="inlineStr">
        <is>
          <t xml:space="preserve">other_small</t>
        </is>
      </c>
      <c r="E691" s="0" t="inlineStr">
        <is>
          <t xml:space="preserve">CDK MOBILE SYSTEMS INC</t>
        </is>
      </c>
      <c r="F691" s="0" t="inlineStr">
        <is>
          <t xml:space="preserve">B</t>
        </is>
      </c>
      <c r="G691" s="4">
        <v>0.1905</v>
      </c>
      <c r="H691" s="0" t="inlineStr">
        <is>
          <t xml:space="preserve">2016-02-29</t>
        </is>
      </c>
      <c r="I691" s="0" t="inlineStr">
        <is>
          <t xml:space="preserve">no</t>
        </is>
      </c>
      <c r="J691" s="0" t="inlineStr">
        <is>
          <t xml:space="preserve">N3220516R4504</t>
        </is>
      </c>
      <c r="K691" s="0" t="inlineStr">
        <is>
          <t xml:space="preserve">NONE</t>
        </is>
      </c>
    </row>
    <row r="692">
      <c r="B692" s="0" t="inlineStr">
        <is>
          <t xml:space="preserve">N0010424FY705</t>
        </is>
      </c>
      <c r="C692" s="0" t="inlineStr">
        <is>
          <t xml:space="preserve">N0010422GY701</t>
        </is>
      </c>
      <c r="D692" s="0" t="inlineStr">
        <is>
          <t xml:space="preserve">small_craft</t>
        </is>
      </c>
      <c r="E692" s="0" t="inlineStr">
        <is>
          <t xml:space="preserve">L3 TECHNOLOGIES, INC.</t>
        </is>
      </c>
      <c r="F692" s="0" t="inlineStr">
        <is>
          <t xml:space="preserve">C</t>
        </is>
      </c>
      <c r="G692" s="4">
        <v>0.189823</v>
      </c>
      <c r="H692" s="0" t="inlineStr">
        <is>
          <t xml:space="preserve">2024-08-20</t>
        </is>
      </c>
      <c r="I692" s="0" t="inlineStr">
        <is>
          <t xml:space="preserve">no</t>
        </is>
      </c>
      <c r="K692" s="0" t="inlineStr">
        <is>
          <t xml:space="preserve">NONE</t>
        </is>
      </c>
    </row>
    <row r="693">
      <c r="B693" s="0" t="inlineStr">
        <is>
          <t xml:space="preserve">N0010425PDB57</t>
        </is>
      </c>
      <c r="D693" s="0" t="inlineStr">
        <is>
          <t xml:space="preserve">small_craft</t>
        </is>
      </c>
      <c r="E693" s="0" t="inlineStr">
        <is>
          <t xml:space="preserve">DAISY DATA DISPLAYS INC</t>
        </is>
      </c>
      <c r="F693" s="0" t="inlineStr">
        <is>
          <t xml:space="preserve">B</t>
        </is>
      </c>
      <c r="G693" s="4">
        <v>0.18897999999999998</v>
      </c>
      <c r="H693" s="0" t="inlineStr">
        <is>
          <t xml:space="preserve">2025-06-04</t>
        </is>
      </c>
      <c r="I693" s="0" t="inlineStr">
        <is>
          <t xml:space="preserve">no</t>
        </is>
      </c>
      <c r="K693" s="0" t="inlineStr">
        <is>
          <t xml:space="preserve">NONE</t>
        </is>
      </c>
    </row>
    <row r="694">
      <c r="B694" s="0" t="inlineStr">
        <is>
          <t xml:space="preserve">N0010423PBS06</t>
        </is>
      </c>
      <c r="D694" s="0" t="inlineStr">
        <is>
          <t xml:space="preserve">small_craft</t>
        </is>
      </c>
      <c r="E694" s="0" t="inlineStr">
        <is>
          <t xml:space="preserve">IN SPECK CORP</t>
        </is>
      </c>
      <c r="F694" s="0" t="inlineStr">
        <is>
          <t xml:space="preserve">B</t>
        </is>
      </c>
      <c r="G694" s="4">
        <v>0.18647999999999998</v>
      </c>
      <c r="H694" s="0" t="inlineStr">
        <is>
          <t xml:space="preserve">2023-03-16</t>
        </is>
      </c>
      <c r="I694" s="0" t="inlineStr">
        <is>
          <t xml:space="preserve">no</t>
        </is>
      </c>
      <c r="K694" s="0" t="inlineStr">
        <is>
          <t xml:space="preserve">NONE</t>
        </is>
      </c>
    </row>
    <row r="695">
      <c r="B695" s="0" t="inlineStr">
        <is>
          <t xml:space="preserve">N0010423PLC34</t>
        </is>
      </c>
      <c r="D695" s="0" t="inlineStr">
        <is>
          <t xml:space="preserve">small_craft</t>
        </is>
      </c>
      <c r="E695" s="0" t="inlineStr">
        <is>
          <t xml:space="preserve">JA MOODY LLC</t>
        </is>
      </c>
      <c r="F695" s="0" t="inlineStr">
        <is>
          <t xml:space="preserve">B</t>
        </is>
      </c>
      <c r="G695" s="4">
        <v>0.1863</v>
      </c>
      <c r="H695" s="0" t="inlineStr">
        <is>
          <t xml:space="preserve">2023-03-22</t>
        </is>
      </c>
      <c r="I695" s="0" t="inlineStr">
        <is>
          <t xml:space="preserve">no</t>
        </is>
      </c>
      <c r="J695" s="0" t="inlineStr">
        <is>
          <t xml:space="preserve">N0010423QLB94</t>
        </is>
      </c>
      <c r="K695" s="0" t="inlineStr">
        <is>
          <t xml:space="preserve">NONE</t>
        </is>
      </c>
    </row>
    <row r="696">
      <c r="B696" s="0" t="inlineStr">
        <is>
          <t xml:space="preserve">N6893619F0403</t>
        </is>
      </c>
      <c r="C696" s="0" t="inlineStr">
        <is>
          <t xml:space="preserve">N6893615D0001</t>
        </is>
      </c>
      <c r="D696" s="0" t="inlineStr">
        <is>
          <t xml:space="preserve">small_craft</t>
        </is>
      </c>
      <c r="E696" s="0" t="inlineStr">
        <is>
          <t xml:space="preserve">CUSTOM ROTO-MOLD, INC.</t>
        </is>
      </c>
      <c r="F696" s="0" t="inlineStr">
        <is>
          <t xml:space="preserve">C</t>
        </is>
      </c>
      <c r="G696" s="4">
        <v>0.18574144</v>
      </c>
      <c r="H696" s="0" t="inlineStr">
        <is>
          <t xml:space="preserve">2019-04-26</t>
        </is>
      </c>
      <c r="I696" s="0" t="inlineStr">
        <is>
          <t xml:space="preserve">no</t>
        </is>
      </c>
      <c r="J696" s="0" t="inlineStr">
        <is>
          <t xml:space="preserve">N6893614R0115</t>
        </is>
      </c>
      <c r="K696" s="0" t="inlineStr">
        <is>
          <t xml:space="preserve">NONE</t>
        </is>
      </c>
    </row>
    <row r="697">
      <c r="B697" s="0" t="inlineStr">
        <is>
          <t xml:space="preserve">N0010423PFE13</t>
        </is>
      </c>
      <c r="D697" s="0" t="inlineStr">
        <is>
          <t xml:space="preserve">small_craft</t>
        </is>
      </c>
      <c r="E697" s="0" t="inlineStr">
        <is>
          <t xml:space="preserve">METALLOY INDUSTRIES, INC.</t>
        </is>
      </c>
      <c r="F697" s="0" t="inlineStr">
        <is>
          <t xml:space="preserve">B</t>
        </is>
      </c>
      <c r="G697" s="4">
        <v>0.18542999999999998</v>
      </c>
      <c r="H697" s="0" t="inlineStr">
        <is>
          <t xml:space="preserve">2023-09-19</t>
        </is>
      </c>
      <c r="I697" s="0" t="inlineStr">
        <is>
          <t xml:space="preserve">no</t>
        </is>
      </c>
      <c r="J697" s="0" t="inlineStr">
        <is>
          <t xml:space="preserve">N0010423QFE77</t>
        </is>
      </c>
      <c r="K697" s="0" t="inlineStr">
        <is>
          <t xml:space="preserve">NONE</t>
        </is>
      </c>
    </row>
    <row r="698">
      <c r="B698" s="0" t="inlineStr">
        <is>
          <t xml:space="preserve">N6600114P7579</t>
        </is>
      </c>
      <c r="D698" s="0" t="inlineStr">
        <is>
          <t xml:space="preserve">small_craft</t>
        </is>
      </c>
      <c r="E698" s="0" t="inlineStr">
        <is>
          <t xml:space="preserve">LIQUID ROBOTICS FEDERAL, INC.</t>
        </is>
      </c>
      <c r="F698" s="0" t="inlineStr">
        <is>
          <t xml:space="preserve">B</t>
        </is>
      </c>
      <c r="G698" s="4">
        <v>0.18456999999999998</v>
      </c>
      <c r="H698" s="0" t="inlineStr">
        <is>
          <t xml:space="preserve">2014-08-29</t>
        </is>
      </c>
      <c r="I698" s="0" t="inlineStr">
        <is>
          <t xml:space="preserve">no</t>
        </is>
      </c>
      <c r="K698" s="0" t="inlineStr">
        <is>
          <t xml:space="preserve">NONE</t>
        </is>
      </c>
    </row>
    <row r="699">
      <c r="B699" s="0" t="inlineStr">
        <is>
          <t xml:space="preserve">N0040623P0805</t>
        </is>
      </c>
      <c r="D699" s="0" t="inlineStr">
        <is>
          <t xml:space="preserve">small_craft</t>
        </is>
      </c>
      <c r="E699" s="0" t="inlineStr">
        <is>
          <t xml:space="preserve">VANE BROTHERS MARINE SAFETY &amp; SERVICES, INC.</t>
        </is>
      </c>
      <c r="F699" s="0" t="inlineStr">
        <is>
          <t xml:space="preserve">B</t>
        </is>
      </c>
      <c r="G699" s="4">
        <v>0.184256</v>
      </c>
      <c r="H699" s="0" t="inlineStr">
        <is>
          <t xml:space="preserve">2023-08-17</t>
        </is>
      </c>
      <c r="I699" s="0" t="inlineStr">
        <is>
          <t xml:space="preserve">no</t>
        </is>
      </c>
      <c r="J699" s="0" t="inlineStr">
        <is>
          <t xml:space="preserve">N0040623R0020</t>
        </is>
      </c>
      <c r="K699" s="0" t="inlineStr">
        <is>
          <t xml:space="preserve">NONE</t>
        </is>
      </c>
    </row>
    <row r="700">
      <c r="B700" s="0" t="inlineStr">
        <is>
          <t xml:space="preserve">N3220520F0527</t>
        </is>
      </c>
      <c r="C700" s="0" t="inlineStr">
        <is>
          <t xml:space="preserve">N3220517D4700</t>
        </is>
      </c>
      <c r="D700" s="0" t="inlineStr">
        <is>
          <t xml:space="preserve">other_small</t>
        </is>
      </c>
      <c r="E700" s="0" t="inlineStr">
        <is>
          <t xml:space="preserve">LAKE SHORE SYSTEMS, INC.</t>
        </is>
      </c>
      <c r="F700" s="0" t="inlineStr">
        <is>
          <t xml:space="preserve">C</t>
        </is>
      </c>
      <c r="G700" s="4">
        <v>0.18149848</v>
      </c>
      <c r="H700" s="0" t="inlineStr">
        <is>
          <t xml:space="preserve">2019-12-09</t>
        </is>
      </c>
      <c r="I700" s="0" t="inlineStr">
        <is>
          <t xml:space="preserve">no</t>
        </is>
      </c>
      <c r="K700" s="0" t="inlineStr">
        <is>
          <t xml:space="preserve">NONE</t>
        </is>
      </c>
    </row>
    <row r="701">
      <c r="B701" s="0" t="inlineStr">
        <is>
          <t xml:space="preserve">N6264924F0835</t>
        </is>
      </c>
      <c r="C701" s="0" t="inlineStr">
        <is>
          <t xml:space="preserve">N6264923A0001</t>
        </is>
      </c>
      <c r="D701" s="0" t="inlineStr">
        <is>
          <t xml:space="preserve">small_craft</t>
        </is>
      </c>
      <c r="E701" s="0" t="inlineStr">
        <is>
          <t xml:space="preserve">MISCELLANEOUS FOREIGN AWARDEES</t>
        </is>
      </c>
      <c r="F701" s="0" t="inlineStr">
        <is>
          <t xml:space="preserve">A</t>
        </is>
      </c>
      <c r="G701" s="4">
        <v>0.18131601</v>
      </c>
      <c r="H701" s="0" t="inlineStr">
        <is>
          <t xml:space="preserve">2024-09-20</t>
        </is>
      </c>
      <c r="I701" s="0" t="inlineStr">
        <is>
          <t xml:space="preserve">no</t>
        </is>
      </c>
      <c r="J701" s="0" t="inlineStr">
        <is>
          <t xml:space="preserve">N6264924Q0124</t>
        </is>
      </c>
      <c r="K701" s="0" t="inlineStr">
        <is>
          <t xml:space="preserve">NONE</t>
        </is>
      </c>
    </row>
    <row r="702">
      <c r="B702" s="0" t="inlineStr">
        <is>
          <t xml:space="preserve">1002</t>
        </is>
      </c>
      <c r="C702" s="0" t="inlineStr">
        <is>
          <t xml:space="preserve">N0010416DX004</t>
        </is>
      </c>
      <c r="D702" s="0" t="inlineStr">
        <is>
          <t xml:space="preserve">small_craft</t>
        </is>
      </c>
      <c r="E702" s="0" t="inlineStr">
        <is>
          <t xml:space="preserve">WING INFLATABLES INC</t>
        </is>
      </c>
      <c r="F702" s="0" t="inlineStr">
        <is>
          <t xml:space="preserve">C</t>
        </is>
      </c>
      <c r="G702" s="4">
        <v>0.181312</v>
      </c>
      <c r="H702" s="0" t="inlineStr">
        <is>
          <t xml:space="preserve">2016-06-16</t>
        </is>
      </c>
      <c r="I702" s="0" t="inlineStr">
        <is>
          <t xml:space="preserve">no</t>
        </is>
      </c>
      <c r="K702" s="0" t="inlineStr">
        <is>
          <t xml:space="preserve">NONE</t>
        </is>
      </c>
    </row>
    <row r="703">
      <c r="B703" s="0" t="inlineStr">
        <is>
          <t xml:space="preserve">N6230617P0015</t>
        </is>
      </c>
      <c r="D703" s="0" t="inlineStr">
        <is>
          <t xml:space="preserve">usv_core</t>
        </is>
      </c>
      <c r="E703" s="0" t="inlineStr">
        <is>
          <t xml:space="preserve">THE UNIVERSITY OF SOUTHERN MISSISSIPPI</t>
        </is>
      </c>
      <c r="F703" s="0" t="inlineStr">
        <is>
          <t xml:space="preserve">B</t>
        </is>
      </c>
      <c r="G703" s="4">
        <v>0.18</v>
      </c>
      <c r="H703" s="0" t="inlineStr">
        <is>
          <t xml:space="preserve">2017-03-30</t>
        </is>
      </c>
      <c r="I703" s="0" t="inlineStr">
        <is>
          <t xml:space="preserve">no</t>
        </is>
      </c>
      <c r="J703" s="0" t="inlineStr">
        <is>
          <t xml:space="preserve">N6230617Q0003</t>
        </is>
      </c>
      <c r="K703" s="0" t="inlineStr">
        <is>
          <t xml:space="preserve">NONE</t>
        </is>
      </c>
    </row>
    <row r="704">
      <c r="B704" s="0" t="inlineStr">
        <is>
          <t xml:space="preserve">N0010425PCB29</t>
        </is>
      </c>
      <c r="D704" s="0" t="inlineStr">
        <is>
          <t xml:space="preserve">small_craft</t>
        </is>
      </c>
      <c r="E704" s="0" t="inlineStr">
        <is>
          <t xml:space="preserve">ABACO SYSTEMS, INC.</t>
        </is>
      </c>
      <c r="F704" s="0" t="inlineStr">
        <is>
          <t xml:space="preserve">B</t>
        </is>
      </c>
      <c r="G704" s="4">
        <v>0.17994</v>
      </c>
      <c r="H704" s="0" t="inlineStr">
        <is>
          <t xml:space="preserve">2025-06-13</t>
        </is>
      </c>
      <c r="I704" s="0" t="inlineStr">
        <is>
          <t xml:space="preserve">no</t>
        </is>
      </c>
      <c r="K704" s="0" t="inlineStr">
        <is>
          <t xml:space="preserve">NONE</t>
        </is>
      </c>
    </row>
    <row r="705">
      <c r="B705" s="0" t="inlineStr">
        <is>
          <t xml:space="preserve">N3220516P4506</t>
        </is>
      </c>
      <c r="D705" s="0" t="inlineStr">
        <is>
          <t xml:space="preserve">other_small</t>
        </is>
      </c>
      <c r="E705" s="0" t="inlineStr">
        <is>
          <t xml:space="preserve">AUSTAL USA, LLC</t>
        </is>
      </c>
      <c r="F705" s="0" t="inlineStr">
        <is>
          <t xml:space="preserve">B</t>
        </is>
      </c>
      <c r="G705" s="4">
        <v>0.17988804</v>
      </c>
      <c r="H705" s="0" t="inlineStr">
        <is>
          <t xml:space="preserve">2016-04-11</t>
        </is>
      </c>
      <c r="I705" s="0" t="inlineStr">
        <is>
          <t xml:space="preserve">no</t>
        </is>
      </c>
      <c r="J705" s="0" t="inlineStr">
        <is>
          <t xml:space="preserve">N3220516T4502</t>
        </is>
      </c>
      <c r="K705" s="0" t="inlineStr">
        <is>
          <t xml:space="preserve">NONE</t>
        </is>
      </c>
    </row>
    <row r="706">
      <c r="B706" s="0" t="inlineStr">
        <is>
          <t xml:space="preserve">0007</t>
        </is>
      </c>
      <c r="C706" s="0" t="inlineStr">
        <is>
          <t xml:space="preserve">N0002409G2300</t>
        </is>
      </c>
      <c r="D706" s="0" t="inlineStr">
        <is>
          <t xml:space="preserve">other_small</t>
        </is>
      </c>
      <c r="E706" s="0" t="inlineStr">
        <is>
          <t xml:space="preserve">LOCKHEED MARTIN CORPORATION</t>
        </is>
      </c>
      <c r="F706" s="0" t="inlineStr">
        <is>
          <t xml:space="preserve">C</t>
        </is>
      </c>
      <c r="G706" s="4">
        <v>0.17757299999999998</v>
      </c>
      <c r="H706" s="0" t="inlineStr">
        <is>
          <t xml:space="preserve">2009-03-12</t>
        </is>
      </c>
      <c r="I706" s="0" t="inlineStr">
        <is>
          <t xml:space="preserve">no</t>
        </is>
      </c>
      <c r="K706" s="0" t="inlineStr">
        <is>
          <t xml:space="preserve">NONE</t>
        </is>
      </c>
    </row>
    <row r="707">
      <c r="B707" s="0" t="inlineStr">
        <is>
          <t xml:space="preserve">N0010424PXA04</t>
        </is>
      </c>
      <c r="D707" s="0" t="inlineStr">
        <is>
          <t xml:space="preserve">small_craft</t>
        </is>
      </c>
      <c r="E707" s="0" t="inlineStr">
        <is>
          <t xml:space="preserve">VIRGINIA ELECTRONIC SYSTEMS, INC.</t>
        </is>
      </c>
      <c r="F707" s="0" t="inlineStr">
        <is>
          <t xml:space="preserve">B</t>
        </is>
      </c>
      <c r="G707" s="4">
        <v>0.17679999999999998</v>
      </c>
      <c r="H707" s="0" t="inlineStr">
        <is>
          <t xml:space="preserve">2023-11-28</t>
        </is>
      </c>
      <c r="I707" s="0" t="inlineStr">
        <is>
          <t xml:space="preserve">no</t>
        </is>
      </c>
      <c r="K707" s="0" t="inlineStr">
        <is>
          <t xml:space="preserve">NONE</t>
        </is>
      </c>
    </row>
    <row r="708">
      <c r="B708" s="0" t="inlineStr">
        <is>
          <t xml:space="preserve">0002</t>
        </is>
      </c>
      <c r="C708" s="0" t="inlineStr">
        <is>
          <t xml:space="preserve">N6893615D0001</t>
        </is>
      </c>
      <c r="D708" s="0" t="inlineStr">
        <is>
          <t xml:space="preserve">small_craft</t>
        </is>
      </c>
      <c r="E708" s="0" t="inlineStr">
        <is>
          <t xml:space="preserve">CUSTOM ROTO-MOLD, INC.</t>
        </is>
      </c>
      <c r="F708" s="0" t="inlineStr">
        <is>
          <t xml:space="preserve">C</t>
        </is>
      </c>
      <c r="G708" s="4">
        <v>0.17569407999999997</v>
      </c>
      <c r="H708" s="0" t="inlineStr">
        <is>
          <t xml:space="preserve">2016-03-10</t>
        </is>
      </c>
      <c r="I708" s="0" t="inlineStr">
        <is>
          <t xml:space="preserve">no</t>
        </is>
      </c>
      <c r="J708" s="0" t="inlineStr">
        <is>
          <t xml:space="preserve">N6893614R0115</t>
        </is>
      </c>
      <c r="K708" s="0" t="inlineStr">
        <is>
          <t xml:space="preserve">NONE</t>
        </is>
      </c>
    </row>
    <row r="709">
      <c r="B709" s="0" t="inlineStr">
        <is>
          <t xml:space="preserve">N0010421PCF41</t>
        </is>
      </c>
      <c r="D709" s="0" t="inlineStr">
        <is>
          <t xml:space="preserve">small_craft</t>
        </is>
      </c>
      <c r="E709" s="0" t="inlineStr">
        <is>
          <t xml:space="preserve">VERICOR POWER SYSTEMS LLC</t>
        </is>
      </c>
      <c r="F709" s="0" t="inlineStr">
        <is>
          <t xml:space="preserve">B</t>
        </is>
      </c>
      <c r="G709" s="4">
        <v>0.17357999999999998</v>
      </c>
      <c r="H709" s="0" t="inlineStr">
        <is>
          <t xml:space="preserve">2021-09-20</t>
        </is>
      </c>
      <c r="I709" s="0" t="inlineStr">
        <is>
          <t xml:space="preserve">no</t>
        </is>
      </c>
      <c r="J709" s="0" t="inlineStr">
        <is>
          <t xml:space="preserve">N0010421QCB82</t>
        </is>
      </c>
      <c r="K709" s="0" t="inlineStr">
        <is>
          <t xml:space="preserve">NONE</t>
        </is>
      </c>
    </row>
    <row r="710">
      <c r="B710" s="0" t="inlineStr">
        <is>
          <t xml:space="preserve">N0010418FK400</t>
        </is>
      </c>
      <c r="C710" s="0" t="inlineStr">
        <is>
          <t xml:space="preserve">N0010416DX004</t>
        </is>
      </c>
      <c r="D710" s="0" t="inlineStr">
        <is>
          <t xml:space="preserve">small_craft</t>
        </is>
      </c>
      <c r="E710" s="0" t="inlineStr">
        <is>
          <t xml:space="preserve">WING INFLATABLES INC</t>
        </is>
      </c>
      <c r="F710" s="0" t="inlineStr">
        <is>
          <t xml:space="preserve">C</t>
        </is>
      </c>
      <c r="G710" s="4">
        <v>0.17315444</v>
      </c>
      <c r="H710" s="0" t="inlineStr">
        <is>
          <t xml:space="preserve">2018-02-22</t>
        </is>
      </c>
      <c r="I710" s="0" t="inlineStr">
        <is>
          <t xml:space="preserve">no</t>
        </is>
      </c>
      <c r="K710" s="0" t="inlineStr">
        <is>
          <t xml:space="preserve">NONE</t>
        </is>
      </c>
    </row>
    <row r="711">
      <c r="B711" s="0" t="inlineStr">
        <is>
          <t xml:space="preserve">N0010422PSB22</t>
        </is>
      </c>
      <c r="D711" s="0" t="inlineStr">
        <is>
          <t xml:space="preserve">small_craft</t>
        </is>
      </c>
      <c r="E711" s="0" t="inlineStr">
        <is>
          <t xml:space="preserve">UNITED STATES TECHNOLOGIES INC</t>
        </is>
      </c>
      <c r="F711" s="0" t="inlineStr">
        <is>
          <t xml:space="preserve">B</t>
        </is>
      </c>
      <c r="G711" s="4">
        <v>0.173145</v>
      </c>
      <c r="H711" s="0" t="inlineStr">
        <is>
          <t xml:space="preserve">2022-06-03</t>
        </is>
      </c>
      <c r="I711" s="0" t="inlineStr">
        <is>
          <t xml:space="preserve">no</t>
        </is>
      </c>
      <c r="J711" s="0" t="inlineStr">
        <is>
          <t xml:space="preserve">N0010422QSB48</t>
        </is>
      </c>
      <c r="K711" s="0" t="inlineStr">
        <is>
          <t xml:space="preserve">NONE</t>
        </is>
      </c>
    </row>
    <row r="712">
      <c r="B712" s="0" t="inlineStr">
        <is>
          <t xml:space="preserve">N0010426PJA67</t>
        </is>
      </c>
      <c r="D712" s="0" t="inlineStr">
        <is>
          <t xml:space="preserve">small_craft</t>
        </is>
      </c>
      <c r="E712" s="0" t="inlineStr">
        <is>
          <t xml:space="preserve">DOVER PUMPS &amp; PROCESS SOLUTIONS SEGMENT INC</t>
        </is>
      </c>
      <c r="F712" s="0" t="inlineStr">
        <is>
          <t xml:space="preserve">B</t>
        </is>
      </c>
      <c r="G712" s="4">
        <v>0.17302264</v>
      </c>
      <c r="H712" s="0" t="inlineStr">
        <is>
          <t xml:space="preserve">2026-02-05</t>
        </is>
      </c>
      <c r="I712" s="0" t="inlineStr">
        <is>
          <t xml:space="preserve">yes</t>
        </is>
      </c>
      <c r="K712" s="0" t="inlineStr">
        <is>
          <t xml:space="preserve">NONE</t>
        </is>
      </c>
    </row>
    <row r="713">
      <c r="B713" s="0" t="inlineStr">
        <is>
          <t xml:space="preserve">N0010422PXA58</t>
        </is>
      </c>
      <c r="D713" s="0" t="inlineStr">
        <is>
          <t xml:space="preserve">small_craft</t>
        </is>
      </c>
      <c r="E713" s="0" t="inlineStr">
        <is>
          <t xml:space="preserve">WING INFLATABLES INC</t>
        </is>
      </c>
      <c r="F713" s="0" t="inlineStr">
        <is>
          <t xml:space="preserve">B</t>
        </is>
      </c>
      <c r="G713" s="4">
        <v>0.17188799999999999</v>
      </c>
      <c r="H713" s="0" t="inlineStr">
        <is>
          <t xml:space="preserve">2022-02-17</t>
        </is>
      </c>
      <c r="I713" s="0" t="inlineStr">
        <is>
          <t xml:space="preserve">no</t>
        </is>
      </c>
      <c r="J713" s="0" t="inlineStr">
        <is>
          <t xml:space="preserve">N0010422QXA38</t>
        </is>
      </c>
      <c r="K713" s="0" t="inlineStr">
        <is>
          <t xml:space="preserve">NONE</t>
        </is>
      </c>
    </row>
    <row r="714">
      <c r="B714" s="0" t="inlineStr">
        <is>
          <t xml:space="preserve">N0010421PDD35</t>
        </is>
      </c>
      <c r="D714" s="0" t="inlineStr">
        <is>
          <t xml:space="preserve">small_craft</t>
        </is>
      </c>
      <c r="E714" s="0" t="inlineStr">
        <is>
          <t xml:space="preserve">REX SYSTEMS INCORPORATED</t>
        </is>
      </c>
      <c r="F714" s="0" t="inlineStr">
        <is>
          <t xml:space="preserve">B</t>
        </is>
      </c>
      <c r="G714" s="4">
        <v>0.17099999999999999</v>
      </c>
      <c r="H714" s="0" t="inlineStr">
        <is>
          <t xml:space="preserve">2021-08-27</t>
        </is>
      </c>
      <c r="I714" s="0" t="inlineStr">
        <is>
          <t xml:space="preserve">no</t>
        </is>
      </c>
      <c r="K714" s="0" t="inlineStr">
        <is>
          <t xml:space="preserve">NONE</t>
        </is>
      </c>
    </row>
    <row r="715">
      <c r="B715" s="0" t="inlineStr">
        <is>
          <t xml:space="preserve">N3220522P2232</t>
        </is>
      </c>
      <c r="D715" s="0" t="inlineStr">
        <is>
          <t xml:space="preserve">small_craft</t>
        </is>
      </c>
      <c r="E715" s="0" t="inlineStr">
        <is>
          <t xml:space="preserve">FASSMER SERVICE AMERICA LLC</t>
        </is>
      </c>
      <c r="F715" s="0" t="inlineStr">
        <is>
          <t xml:space="preserve">B</t>
        </is>
      </c>
      <c r="G715" s="4">
        <v>0.170955</v>
      </c>
      <c r="H715" s="0" t="inlineStr">
        <is>
          <t xml:space="preserve">2022-09-19</t>
        </is>
      </c>
      <c r="I715" s="0" t="inlineStr">
        <is>
          <t xml:space="preserve">no</t>
        </is>
      </c>
      <c r="J715" s="0" t="inlineStr">
        <is>
          <t xml:space="preserve">N3220522Q2208</t>
        </is>
      </c>
      <c r="K715" s="0" t="inlineStr">
        <is>
          <t xml:space="preserve">NONE</t>
        </is>
      </c>
    </row>
    <row r="716">
      <c r="B716" s="0" t="inlineStr">
        <is>
          <t xml:space="preserve">N3220519F1017</t>
        </is>
      </c>
      <c r="C716" s="0" t="inlineStr">
        <is>
          <t xml:space="preserve">N3220517D4700</t>
        </is>
      </c>
      <c r="D716" s="0" t="inlineStr">
        <is>
          <t xml:space="preserve">other_small</t>
        </is>
      </c>
      <c r="E716" s="0" t="inlineStr">
        <is>
          <t xml:space="preserve">LAKE SHORE SYSTEMS, INC.</t>
        </is>
      </c>
      <c r="F716" s="0" t="inlineStr">
        <is>
          <t xml:space="preserve">C</t>
        </is>
      </c>
      <c r="G716" s="4">
        <v>0.17019929999999997</v>
      </c>
      <c r="H716" s="0" t="inlineStr">
        <is>
          <t xml:space="preserve">2018-10-09</t>
        </is>
      </c>
      <c r="I716" s="0" t="inlineStr">
        <is>
          <t xml:space="preserve">no</t>
        </is>
      </c>
      <c r="K716" s="0" t="inlineStr">
        <is>
          <t xml:space="preserve">NONE</t>
        </is>
      </c>
    </row>
    <row r="717">
      <c r="B717" s="0" t="inlineStr">
        <is>
          <t xml:space="preserve">N0040617P0207</t>
        </is>
      </c>
      <c r="D717" s="0" t="inlineStr">
        <is>
          <t xml:space="preserve">small_craft</t>
        </is>
      </c>
      <c r="E717" s="0" t="inlineStr">
        <is>
          <t xml:space="preserve">TIMKEN GEARS &amp; SERVICES INC.</t>
        </is>
      </c>
      <c r="F717" s="0" t="inlineStr">
        <is>
          <t xml:space="preserve">B</t>
        </is>
      </c>
      <c r="G717" s="4">
        <v>0.16970242</v>
      </c>
      <c r="H717" s="0" t="inlineStr">
        <is>
          <t xml:space="preserve">2016-11-10</t>
        </is>
      </c>
      <c r="I717" s="0" t="inlineStr">
        <is>
          <t xml:space="preserve">no</t>
        </is>
      </c>
      <c r="K717" s="0" t="inlineStr">
        <is>
          <t xml:space="preserve">NONE</t>
        </is>
      </c>
    </row>
    <row r="718">
      <c r="B718" s="0" t="inlineStr">
        <is>
          <t xml:space="preserve">N0010422PCA26</t>
        </is>
      </c>
      <c r="D718" s="0" t="inlineStr">
        <is>
          <t xml:space="preserve">small_craft</t>
        </is>
      </c>
      <c r="E718" s="0" t="inlineStr">
        <is>
          <t xml:space="preserve">WHIPP &amp; BOURNE ASSOCIATES LLC</t>
        </is>
      </c>
      <c r="F718" s="0" t="inlineStr">
        <is>
          <t xml:space="preserve">B</t>
        </is>
      </c>
      <c r="G718" s="4">
        <v>0.16766399999999998</v>
      </c>
      <c r="H718" s="0" t="inlineStr">
        <is>
          <t xml:space="preserve">2021-10-28</t>
        </is>
      </c>
      <c r="I718" s="0" t="inlineStr">
        <is>
          <t xml:space="preserve">no</t>
        </is>
      </c>
      <c r="J718" s="0" t="inlineStr">
        <is>
          <t xml:space="preserve">N0010421QCC54</t>
        </is>
      </c>
      <c r="K718" s="0" t="inlineStr">
        <is>
          <t xml:space="preserve">NONE</t>
        </is>
      </c>
    </row>
    <row r="719">
      <c r="B719" s="0" t="inlineStr">
        <is>
          <t xml:space="preserve">N0010421PEQ35</t>
        </is>
      </c>
      <c r="D719" s="0" t="inlineStr">
        <is>
          <t xml:space="preserve">small_craft</t>
        </is>
      </c>
      <c r="E719" s="0" t="inlineStr">
        <is>
          <t xml:space="preserve">ADIRONDACK ELECTRONICS INC</t>
        </is>
      </c>
      <c r="F719" s="0" t="inlineStr">
        <is>
          <t xml:space="preserve">B</t>
        </is>
      </c>
      <c r="G719" s="4">
        <v>0.16752</v>
      </c>
      <c r="H719" s="0" t="inlineStr">
        <is>
          <t xml:space="preserve">2021-09-13</t>
        </is>
      </c>
      <c r="I719" s="0" t="inlineStr">
        <is>
          <t xml:space="preserve">no</t>
        </is>
      </c>
      <c r="K719" s="0" t="inlineStr">
        <is>
          <t xml:space="preserve">NONE</t>
        </is>
      </c>
    </row>
    <row r="720">
      <c r="B720" s="0" t="inlineStr">
        <is>
          <t xml:space="preserve">N6893619F0481</t>
        </is>
      </c>
      <c r="C720" s="0" t="inlineStr">
        <is>
          <t xml:space="preserve">N6893615D0002</t>
        </is>
      </c>
      <c r="D720" s="0" t="inlineStr">
        <is>
          <t xml:space="preserve">small_craft</t>
        </is>
      </c>
      <c r="E720" s="0" t="inlineStr">
        <is>
          <t xml:space="preserve">THE MOLDING COMPANY, INC.</t>
        </is>
      </c>
      <c r="F720" s="0" t="inlineStr">
        <is>
          <t xml:space="preserve">C</t>
        </is>
      </c>
      <c r="G720" s="4">
        <v>0.16712664</v>
      </c>
      <c r="H720" s="0" t="inlineStr">
        <is>
          <t xml:space="preserve">2019-06-06</t>
        </is>
      </c>
      <c r="I720" s="0" t="inlineStr">
        <is>
          <t xml:space="preserve">no</t>
        </is>
      </c>
      <c r="J720" s="0" t="inlineStr">
        <is>
          <t xml:space="preserve">N6893614R0112</t>
        </is>
      </c>
      <c r="K720" s="0" t="inlineStr">
        <is>
          <t xml:space="preserve">NONE</t>
        </is>
      </c>
    </row>
    <row r="721">
      <c r="B721" s="0" t="inlineStr">
        <is>
          <t xml:space="preserve">N0010422PLD85</t>
        </is>
      </c>
      <c r="D721" s="0" t="inlineStr">
        <is>
          <t xml:space="preserve">small_craft</t>
        </is>
      </c>
      <c r="E721" s="0" t="inlineStr">
        <is>
          <t xml:space="preserve">LOCKHEED MARTIN CORPORATION</t>
        </is>
      </c>
      <c r="F721" s="0" t="inlineStr">
        <is>
          <t xml:space="preserve">B</t>
        </is>
      </c>
      <c r="G721" s="4">
        <v>0.1666</v>
      </c>
      <c r="H721" s="0" t="inlineStr">
        <is>
          <t xml:space="preserve">2022-08-19</t>
        </is>
      </c>
      <c r="I721" s="0" t="inlineStr">
        <is>
          <t xml:space="preserve">no</t>
        </is>
      </c>
      <c r="J721" s="0" t="inlineStr">
        <is>
          <t xml:space="preserve">N0010422QLE13</t>
        </is>
      </c>
      <c r="K721" s="0" t="inlineStr">
        <is>
          <t xml:space="preserve">NONE</t>
        </is>
      </c>
    </row>
    <row r="722">
      <c r="B722" s="0" t="inlineStr">
        <is>
          <t xml:space="preserve">N4008522P0052</t>
        </is>
      </c>
      <c r="D722" s="0" t="inlineStr">
        <is>
          <t xml:space="preserve">small_craft</t>
        </is>
      </c>
      <c r="E722" s="0" t="inlineStr">
        <is>
          <t xml:space="preserve">SEAFLOOR SYSTEMS, INC.</t>
        </is>
      </c>
      <c r="F722" s="0" t="inlineStr">
        <is>
          <t xml:space="preserve">B</t>
        </is>
      </c>
      <c r="G722" s="4">
        <v>0.16621114999999997</v>
      </c>
      <c r="H722" s="0" t="inlineStr">
        <is>
          <t xml:space="preserve">2022-09-25</t>
        </is>
      </c>
      <c r="I722" s="0" t="inlineStr">
        <is>
          <t xml:space="preserve">no</t>
        </is>
      </c>
      <c r="J722" s="0" t="inlineStr">
        <is>
          <t xml:space="preserve">N4008522Q2999</t>
        </is>
      </c>
      <c r="K722" s="0" t="inlineStr">
        <is>
          <t xml:space="preserve">NONE</t>
        </is>
      </c>
    </row>
    <row r="723">
      <c r="B723" s="0" t="inlineStr">
        <is>
          <t xml:space="preserve">N6600124P6159</t>
        </is>
      </c>
      <c r="D723" s="0" t="inlineStr">
        <is>
          <t xml:space="preserve">other_small</t>
        </is>
      </c>
      <c r="E723" s="0" t="inlineStr">
        <is>
          <t xml:space="preserve">L3 TECHNOLOGIES INC</t>
        </is>
      </c>
      <c r="F723" s="0" t="inlineStr">
        <is>
          <t xml:space="preserve">B</t>
        </is>
      </c>
      <c r="G723" s="4">
        <v>0.165498</v>
      </c>
      <c r="H723" s="0" t="inlineStr">
        <is>
          <t xml:space="preserve">2024-05-20</t>
        </is>
      </c>
      <c r="I723" s="0" t="inlineStr">
        <is>
          <t xml:space="preserve">no</t>
        </is>
      </c>
      <c r="J723" s="0" t="inlineStr">
        <is>
          <t xml:space="preserve">N6600124Q6159</t>
        </is>
      </c>
      <c r="K723" s="0" t="inlineStr">
        <is>
          <t xml:space="preserve">NONE</t>
        </is>
      </c>
    </row>
    <row r="724">
      <c r="B724" s="0" t="inlineStr">
        <is>
          <t xml:space="preserve">N0040621P0382</t>
        </is>
      </c>
      <c r="D724" s="0" t="inlineStr">
        <is>
          <t xml:space="preserve">small_craft</t>
        </is>
      </c>
      <c r="E724" s="0" t="inlineStr">
        <is>
          <t xml:space="preserve">KLB ENTERPRISES CORP</t>
        </is>
      </c>
      <c r="F724" s="0" t="inlineStr">
        <is>
          <t xml:space="preserve">B</t>
        </is>
      </c>
      <c r="G724" s="4">
        <v>0.164064</v>
      </c>
      <c r="H724" s="0" t="inlineStr">
        <is>
          <t xml:space="preserve">2021-06-15</t>
        </is>
      </c>
      <c r="I724" s="0" t="inlineStr">
        <is>
          <t xml:space="preserve">no</t>
        </is>
      </c>
      <c r="J724" s="0" t="inlineStr">
        <is>
          <t xml:space="preserve">N0040621Q0312</t>
        </is>
      </c>
      <c r="K724" s="0" t="inlineStr">
        <is>
          <t xml:space="preserve">NONE</t>
        </is>
      </c>
    </row>
    <row r="725">
      <c r="B725" s="0" t="inlineStr">
        <is>
          <t xml:space="preserve">N0010424PQE19</t>
        </is>
      </c>
      <c r="D725" s="0" t="inlineStr">
        <is>
          <t xml:space="preserve">small_craft</t>
        </is>
      </c>
      <c r="E725" s="0" t="inlineStr">
        <is>
          <t xml:space="preserve">TIMKEN CO</t>
        </is>
      </c>
      <c r="F725" s="0" t="inlineStr">
        <is>
          <t xml:space="preserve">B</t>
        </is>
      </c>
      <c r="G725" s="4">
        <v>0.16313695</v>
      </c>
      <c r="H725" s="0" t="inlineStr">
        <is>
          <t xml:space="preserve">2024-09-16</t>
        </is>
      </c>
      <c r="I725" s="0" t="inlineStr">
        <is>
          <t xml:space="preserve">no</t>
        </is>
      </c>
      <c r="K725" s="0" t="inlineStr">
        <is>
          <t xml:space="preserve">NONE</t>
        </is>
      </c>
    </row>
    <row r="726">
      <c r="B726" s="0" t="inlineStr">
        <is>
          <t xml:space="preserve">M6700115P0019</t>
        </is>
      </c>
      <c r="D726" s="0" t="inlineStr">
        <is>
          <t xml:space="preserve">small_craft</t>
        </is>
      </c>
      <c r="E726" s="0" t="inlineStr">
        <is>
          <t xml:space="preserve">US WORKBOATS, INC</t>
        </is>
      </c>
      <c r="F726" s="0" t="inlineStr">
        <is>
          <t xml:space="preserve">B</t>
        </is>
      </c>
      <c r="G726" s="4">
        <v>0.163</v>
      </c>
      <c r="H726" s="0" t="inlineStr">
        <is>
          <t xml:space="preserve">2015-09-16</t>
        </is>
      </c>
      <c r="I726" s="0" t="inlineStr">
        <is>
          <t xml:space="preserve">no</t>
        </is>
      </c>
      <c r="J726" s="0" t="inlineStr">
        <is>
          <t xml:space="preserve">M6700115T0034</t>
        </is>
      </c>
      <c r="K726" s="0" t="inlineStr">
        <is>
          <t xml:space="preserve">NONE</t>
        </is>
      </c>
    </row>
    <row r="727">
      <c r="B727" s="0" t="inlineStr">
        <is>
          <t xml:space="preserve">N6883616P1043</t>
        </is>
      </c>
      <c r="D727" s="0" t="inlineStr">
        <is>
          <t xml:space="preserve">small_craft</t>
        </is>
      </c>
      <c r="E727" s="0" t="inlineStr">
        <is>
          <t xml:space="preserve">PARTTARGET INC.</t>
        </is>
      </c>
      <c r="F727" s="0" t="inlineStr">
        <is>
          <t xml:space="preserve">B</t>
        </is>
      </c>
      <c r="G727" s="4">
        <v>0.16289499999999998</v>
      </c>
      <c r="H727" s="0" t="inlineStr">
        <is>
          <t xml:space="preserve">2016-09-30</t>
        </is>
      </c>
      <c r="I727" s="0" t="inlineStr">
        <is>
          <t xml:space="preserve">no</t>
        </is>
      </c>
      <c r="J727" s="0" t="inlineStr">
        <is>
          <t xml:space="preserve">N6883616T0316</t>
        </is>
      </c>
      <c r="K727" s="0" t="inlineStr">
        <is>
          <t xml:space="preserve">NONE</t>
        </is>
      </c>
    </row>
    <row r="728">
      <c r="B728" s="0" t="inlineStr">
        <is>
          <t xml:space="preserve">N0002418F22P4</t>
        </is>
      </c>
      <c r="C728" s="0" t="inlineStr">
        <is>
          <t xml:space="preserve">N0002417D2201</t>
        </is>
      </c>
      <c r="D728" s="0" t="inlineStr">
        <is>
          <t xml:space="preserve">small_craft</t>
        </is>
      </c>
      <c r="E728" s="0" t="inlineStr">
        <is>
          <t xml:space="preserve">GRAVOIS ALUMINUM BOATS LLC</t>
        </is>
      </c>
      <c r="F728" s="0" t="inlineStr">
        <is>
          <t xml:space="preserve">C</t>
        </is>
      </c>
      <c r="G728" s="4">
        <v>0.161943</v>
      </c>
      <c r="H728" s="0" t="inlineStr">
        <is>
          <t xml:space="preserve">2018-05-25</t>
        </is>
      </c>
      <c r="I728" s="0" t="inlineStr">
        <is>
          <t xml:space="preserve">no</t>
        </is>
      </c>
      <c r="J728" s="0" t="inlineStr">
        <is>
          <t xml:space="preserve">N0002417R2201</t>
        </is>
      </c>
      <c r="K728" s="0" t="inlineStr">
        <is>
          <t xml:space="preserve">NONE</t>
        </is>
      </c>
    </row>
    <row r="729">
      <c r="B729" s="0" t="inlineStr">
        <is>
          <t xml:space="preserve">N0010422PJB16</t>
        </is>
      </c>
      <c r="D729" s="0" t="inlineStr">
        <is>
          <t xml:space="preserve">small_craft</t>
        </is>
      </c>
      <c r="E729" s="0" t="inlineStr">
        <is>
          <t xml:space="preserve">SPECIALTY SEALS &amp; ACCESSORIES, INC.</t>
        </is>
      </c>
      <c r="F729" s="0" t="inlineStr">
        <is>
          <t xml:space="preserve">B</t>
        </is>
      </c>
      <c r="G729" s="4">
        <v>0.1609186</v>
      </c>
      <c r="H729" s="0" t="inlineStr">
        <is>
          <t xml:space="preserve">2022-05-17</t>
        </is>
      </c>
      <c r="I729" s="0" t="inlineStr">
        <is>
          <t xml:space="preserve">no</t>
        </is>
      </c>
      <c r="K729" s="0" t="inlineStr">
        <is>
          <t xml:space="preserve">NONE</t>
        </is>
      </c>
    </row>
    <row r="730">
      <c r="B730" s="0" t="inlineStr">
        <is>
          <t xml:space="preserve">N0018915PZ476</t>
        </is>
      </c>
      <c r="D730" s="0" t="inlineStr">
        <is>
          <t xml:space="preserve">small_craft</t>
        </is>
      </c>
      <c r="E730" s="0" t="inlineStr">
        <is>
          <t xml:space="preserve">L3 TECHNOLOGIES INC</t>
        </is>
      </c>
      <c r="F730" s="0" t="inlineStr">
        <is>
          <t xml:space="preserve">B</t>
        </is>
      </c>
      <c r="G730" s="4">
        <v>0.1605005</v>
      </c>
      <c r="H730" s="0" t="inlineStr">
        <is>
          <t xml:space="preserve">2015-06-30</t>
        </is>
      </c>
      <c r="I730" s="0" t="inlineStr">
        <is>
          <t xml:space="preserve">no</t>
        </is>
      </c>
      <c r="J730" s="0" t="inlineStr">
        <is>
          <t xml:space="preserve">N0018915TZ186</t>
        </is>
      </c>
      <c r="K730" s="0" t="inlineStr">
        <is>
          <t xml:space="preserve">NONE</t>
        </is>
      </c>
    </row>
    <row r="731">
      <c r="B731" s="0" t="inlineStr">
        <is>
          <t xml:space="preserve">N5005421P0071</t>
        </is>
      </c>
      <c r="D731" s="0" t="inlineStr">
        <is>
          <t xml:space="preserve">small_craft</t>
        </is>
      </c>
      <c r="E731" s="0" t="inlineStr">
        <is>
          <t xml:space="preserve">DEFENSE MARITIME SOLUTIONS, INC.</t>
        </is>
      </c>
      <c r="F731" s="0" t="inlineStr">
        <is>
          <t xml:space="preserve">B</t>
        </is>
      </c>
      <c r="G731" s="4">
        <v>0.15911279999999997</v>
      </c>
      <c r="H731" s="0" t="inlineStr">
        <is>
          <t xml:space="preserve">2021-04-01</t>
        </is>
      </c>
      <c r="I731" s="0" t="inlineStr">
        <is>
          <t xml:space="preserve">no</t>
        </is>
      </c>
      <c r="K731" s="0" t="inlineStr">
        <is>
          <t xml:space="preserve">NONE</t>
        </is>
      </c>
    </row>
    <row r="732">
      <c r="B732" s="0" t="inlineStr">
        <is>
          <t xml:space="preserve">N0010422PXA70</t>
        </is>
      </c>
      <c r="D732" s="0" t="inlineStr">
        <is>
          <t xml:space="preserve">small_craft</t>
        </is>
      </c>
      <c r="E732" s="0" t="inlineStr">
        <is>
          <t xml:space="preserve">WING INFLATABLES INC</t>
        </is>
      </c>
      <c r="F732" s="0" t="inlineStr">
        <is>
          <t xml:space="preserve">B</t>
        </is>
      </c>
      <c r="G732" s="4">
        <v>0.1584587</v>
      </c>
      <c r="H732" s="0" t="inlineStr">
        <is>
          <t xml:space="preserve">2022-03-02</t>
        </is>
      </c>
      <c r="I732" s="0" t="inlineStr">
        <is>
          <t xml:space="preserve">no</t>
        </is>
      </c>
      <c r="J732" s="0" t="inlineStr">
        <is>
          <t xml:space="preserve">N0010422QXA45</t>
        </is>
      </c>
      <c r="K732" s="0" t="inlineStr">
        <is>
          <t xml:space="preserve">NONE</t>
        </is>
      </c>
    </row>
    <row r="733">
      <c r="B733" s="0" t="inlineStr">
        <is>
          <t xml:space="preserve">N3220515P4280</t>
        </is>
      </c>
      <c r="D733" s="0" t="inlineStr">
        <is>
          <t xml:space="preserve">other_small</t>
        </is>
      </c>
      <c r="E733" s="0" t="inlineStr">
        <is>
          <t xml:space="preserve">NORTHROP GRUMMAN SYSTEMS CORPORATION</t>
        </is>
      </c>
      <c r="F733" s="0" t="inlineStr">
        <is>
          <t xml:space="preserve">B</t>
        </is>
      </c>
      <c r="G733" s="4">
        <v>0.15835957</v>
      </c>
      <c r="H733" s="0" t="inlineStr">
        <is>
          <t xml:space="preserve">2015-09-30</t>
        </is>
      </c>
      <c r="I733" s="0" t="inlineStr">
        <is>
          <t xml:space="preserve">no</t>
        </is>
      </c>
      <c r="J733" s="0" t="inlineStr">
        <is>
          <t xml:space="preserve">N3220515T2248</t>
        </is>
      </c>
      <c r="K733" s="0" t="inlineStr">
        <is>
          <t xml:space="preserve">NONE</t>
        </is>
      </c>
    </row>
    <row r="734">
      <c r="B734" s="0" t="inlineStr">
        <is>
          <t xml:space="preserve">N0018919P0263</t>
        </is>
      </c>
      <c r="D734" s="0" t="inlineStr">
        <is>
          <t xml:space="preserve">small_craft</t>
        </is>
      </c>
      <c r="E734" s="0" t="inlineStr">
        <is>
          <t xml:space="preserve">WING INFLATABLES INC</t>
        </is>
      </c>
      <c r="F734" s="0" t="inlineStr">
        <is>
          <t xml:space="preserve">B</t>
        </is>
      </c>
      <c r="G734" s="4">
        <v>0.15764726999999998</v>
      </c>
      <c r="H734" s="0" t="inlineStr">
        <is>
          <t xml:space="preserve">2019-03-13</t>
        </is>
      </c>
      <c r="I734" s="0" t="inlineStr">
        <is>
          <t xml:space="preserve">no</t>
        </is>
      </c>
      <c r="J734" s="0" t="inlineStr">
        <is>
          <t xml:space="preserve">N0018919Q0161</t>
        </is>
      </c>
      <c r="K734" s="0" t="inlineStr">
        <is>
          <t xml:space="preserve">NONE</t>
        </is>
      </c>
    </row>
    <row r="735">
      <c r="B735" s="0" t="inlineStr">
        <is>
          <t xml:space="preserve">N0016722P0172</t>
        </is>
      </c>
      <c r="D735" s="0" t="inlineStr">
        <is>
          <t xml:space="preserve">other_small</t>
        </is>
      </c>
      <c r="E735" s="0" t="inlineStr">
        <is>
          <t xml:space="preserve">AIRTECH INTERNATIONAL INC</t>
        </is>
      </c>
      <c r="F735" s="0" t="inlineStr">
        <is>
          <t xml:space="preserve">B</t>
        </is>
      </c>
      <c r="G735" s="4">
        <v>0.15761899999999998</v>
      </c>
      <c r="H735" s="0" t="inlineStr">
        <is>
          <t xml:space="preserve">2022-07-26</t>
        </is>
      </c>
      <c r="I735" s="0" t="inlineStr">
        <is>
          <t xml:space="preserve">no</t>
        </is>
      </c>
      <c r="J735" s="0" t="inlineStr">
        <is>
          <t xml:space="preserve">N0016722Q0167</t>
        </is>
      </c>
      <c r="K735" s="0" t="inlineStr">
        <is>
          <t xml:space="preserve">NONE</t>
        </is>
      </c>
    </row>
    <row r="736">
      <c r="B736" s="0" t="inlineStr">
        <is>
          <t xml:space="preserve">N0010423PLC61</t>
        </is>
      </c>
      <c r="D736" s="0" t="inlineStr">
        <is>
          <t xml:space="preserve">small_craft</t>
        </is>
      </c>
      <c r="E736" s="0" t="inlineStr">
        <is>
          <t xml:space="preserve">BAKER &amp; ASSOCIATES INC</t>
        </is>
      </c>
      <c r="F736" s="0" t="inlineStr">
        <is>
          <t xml:space="preserve">B</t>
        </is>
      </c>
      <c r="G736" s="4">
        <v>0.154974</v>
      </c>
      <c r="H736" s="0" t="inlineStr">
        <is>
          <t xml:space="preserve">2023-04-06</t>
        </is>
      </c>
      <c r="I736" s="0" t="inlineStr">
        <is>
          <t xml:space="preserve">no</t>
        </is>
      </c>
      <c r="J736" s="0" t="inlineStr">
        <is>
          <t xml:space="preserve">N0010423QLC14</t>
        </is>
      </c>
      <c r="K736" s="0" t="inlineStr">
        <is>
          <t xml:space="preserve">NONE</t>
        </is>
      </c>
    </row>
    <row r="737">
      <c r="B737" s="0" t="inlineStr">
        <is>
          <t xml:space="preserve">N3220516P4401</t>
        </is>
      </c>
      <c r="D737" s="0" t="inlineStr">
        <is>
          <t xml:space="preserve">small_craft</t>
        </is>
      </c>
      <c r="E737" s="0" t="inlineStr">
        <is>
          <t xml:space="preserve">J. W. MARINE EQUIPMENT, INC.</t>
        </is>
      </c>
      <c r="F737" s="0" t="inlineStr">
        <is>
          <t xml:space="preserve">B</t>
        </is>
      </c>
      <c r="G737" s="4">
        <v>0.15439999999999998</v>
      </c>
      <c r="H737" s="0" t="inlineStr">
        <is>
          <t xml:space="preserve">2016-02-29</t>
        </is>
      </c>
      <c r="I737" s="0" t="inlineStr">
        <is>
          <t xml:space="preserve">no</t>
        </is>
      </c>
      <c r="J737" s="0" t="inlineStr">
        <is>
          <t xml:space="preserve">N3220516T4017</t>
        </is>
      </c>
      <c r="K737" s="0" t="inlineStr">
        <is>
          <t xml:space="preserve">NONE</t>
        </is>
      </c>
    </row>
    <row r="738">
      <c r="B738" s="0" t="inlineStr">
        <is>
          <t xml:space="preserve">N3220519F6718</t>
        </is>
      </c>
      <c r="C738" s="0" t="inlineStr">
        <is>
          <t xml:space="preserve">N3220517D4700</t>
        </is>
      </c>
      <c r="D738" s="0" t="inlineStr">
        <is>
          <t xml:space="preserve">other_small</t>
        </is>
      </c>
      <c r="E738" s="0" t="inlineStr">
        <is>
          <t xml:space="preserve">LAKE SHORE SYSTEMS, INC.</t>
        </is>
      </c>
      <c r="F738" s="0" t="inlineStr">
        <is>
          <t xml:space="preserve">C</t>
        </is>
      </c>
      <c r="G738" s="4">
        <v>0.15224272</v>
      </c>
      <c r="H738" s="0" t="inlineStr">
        <is>
          <t xml:space="preserve">2019-02-08</t>
        </is>
      </c>
      <c r="I738" s="0" t="inlineStr">
        <is>
          <t xml:space="preserve">no</t>
        </is>
      </c>
      <c r="K738" s="0" t="inlineStr">
        <is>
          <t xml:space="preserve">NONE</t>
        </is>
      </c>
    </row>
    <row r="739">
      <c r="B739" s="0" t="inlineStr">
        <is>
          <t xml:space="preserve">N0003921F2130</t>
        </is>
      </c>
      <c r="C739" s="0" t="inlineStr">
        <is>
          <t xml:space="preserve">N6600117D0013</t>
        </is>
      </c>
      <c r="D739" s="0" t="inlineStr">
        <is>
          <t xml:space="preserve">small_craft</t>
        </is>
      </c>
      <c r="E739" s="0" t="inlineStr">
        <is>
          <t xml:space="preserve">HII UNMANNED SYSTEMS, INC</t>
        </is>
      </c>
      <c r="F739" s="0" t="inlineStr">
        <is>
          <t xml:space="preserve">C</t>
        </is>
      </c>
      <c r="G739" s="4">
        <v>0.15148999999999999</v>
      </c>
      <c r="H739" s="0" t="inlineStr">
        <is>
          <t xml:space="preserve">2021-06-03</t>
        </is>
      </c>
      <c r="I739" s="0" t="inlineStr">
        <is>
          <t xml:space="preserve">no</t>
        </is>
      </c>
      <c r="J739" s="0" t="inlineStr">
        <is>
          <t xml:space="preserve">N6600117R0013</t>
        </is>
      </c>
      <c r="K739" s="0" t="inlineStr">
        <is>
          <t xml:space="preserve">NONE</t>
        </is>
      </c>
    </row>
    <row r="740">
      <c r="B740" s="0" t="inlineStr">
        <is>
          <t xml:space="preserve">N5005424P0217</t>
        </is>
      </c>
      <c r="D740" s="0" t="inlineStr">
        <is>
          <t xml:space="preserve">small_craft</t>
        </is>
      </c>
      <c r="E740" s="0" t="inlineStr">
        <is>
          <t xml:space="preserve">WING INFLATABLES, INC.</t>
        </is>
      </c>
      <c r="F740" s="0" t="inlineStr">
        <is>
          <t xml:space="preserve">B</t>
        </is>
      </c>
      <c r="G740" s="4">
        <v>0.15133</v>
      </c>
      <c r="H740" s="0" t="inlineStr">
        <is>
          <t xml:space="preserve">2024-09-13</t>
        </is>
      </c>
      <c r="I740" s="0" t="inlineStr">
        <is>
          <t xml:space="preserve">no</t>
        </is>
      </c>
      <c r="J740" s="0" t="inlineStr">
        <is>
          <t xml:space="preserve">N5005424Q0191</t>
        </is>
      </c>
      <c r="K740" s="0" t="inlineStr">
        <is>
          <t xml:space="preserve">NONE</t>
        </is>
      </c>
    </row>
    <row r="741">
      <c r="B741" s="0" t="inlineStr">
        <is>
          <t xml:space="preserve">N3220517P4156</t>
        </is>
      </c>
      <c r="D741" s="0" t="inlineStr">
        <is>
          <t xml:space="preserve">other_small</t>
        </is>
      </c>
      <c r="E741" s="0" t="inlineStr">
        <is>
          <t xml:space="preserve">KYODO SHIPPING &amp; TRADING CORP USA</t>
        </is>
      </c>
      <c r="F741" s="0" t="inlineStr">
        <is>
          <t xml:space="preserve">B</t>
        </is>
      </c>
      <c r="G741" s="4">
        <v>0.15089634</v>
      </c>
      <c r="H741" s="0" t="inlineStr">
        <is>
          <t xml:space="preserve">2017-06-23</t>
        </is>
      </c>
      <c r="I741" s="0" t="inlineStr">
        <is>
          <t xml:space="preserve">no</t>
        </is>
      </c>
      <c r="J741" s="0" t="inlineStr">
        <is>
          <t xml:space="preserve">N3220517Q4150</t>
        </is>
      </c>
      <c r="K741" s="0" t="inlineStr">
        <is>
          <t xml:space="preserve">NONE</t>
        </is>
      </c>
    </row>
    <row r="742">
      <c r="B742" s="0" t="inlineStr">
        <is>
          <t xml:space="preserve">N0010422PDB88</t>
        </is>
      </c>
      <c r="D742" s="0" t="inlineStr">
        <is>
          <t xml:space="preserve">small_craft</t>
        </is>
      </c>
      <c r="E742" s="0" t="inlineStr">
        <is>
          <t xml:space="preserve">JUNIPER ELBOW CO. INC.</t>
        </is>
      </c>
      <c r="F742" s="0" t="inlineStr">
        <is>
          <t xml:space="preserve">B</t>
        </is>
      </c>
      <c r="G742" s="4">
        <v>0.150565</v>
      </c>
      <c r="H742" s="0" t="inlineStr">
        <is>
          <t xml:space="preserve">2022-04-13</t>
        </is>
      </c>
      <c r="I742" s="0" t="inlineStr">
        <is>
          <t xml:space="preserve">no</t>
        </is>
      </c>
      <c r="K742" s="0" t="inlineStr">
        <is>
          <t xml:space="preserve">NONE</t>
        </is>
      </c>
    </row>
    <row r="743">
      <c r="B743" s="0" t="inlineStr">
        <is>
          <t xml:space="preserve">N0002421F22G2</t>
        </is>
      </c>
      <c r="C743" s="0" t="inlineStr">
        <is>
          <t xml:space="preserve">N0002415D2214</t>
        </is>
      </c>
      <c r="D743" s="0" t="inlineStr">
        <is>
          <t xml:space="preserve">small_craft</t>
        </is>
      </c>
      <c r="E743" s="0" t="inlineStr">
        <is>
          <t xml:space="preserve">METALCRAFT MARINE US, INC.</t>
        </is>
      </c>
      <c r="F743" s="0" t="inlineStr">
        <is>
          <t xml:space="preserve">C</t>
        </is>
      </c>
      <c r="G743" s="4">
        <v>0.15009673</v>
      </c>
      <c r="H743" s="0" t="inlineStr">
        <is>
          <t xml:space="preserve">2021-05-05</t>
        </is>
      </c>
      <c r="I743" s="0" t="inlineStr">
        <is>
          <t xml:space="preserve">no</t>
        </is>
      </c>
      <c r="J743" s="0" t="inlineStr">
        <is>
          <t xml:space="preserve">N0002415R2214</t>
        </is>
      </c>
      <c r="K743" s="0" t="inlineStr">
        <is>
          <t xml:space="preserve">NONE</t>
        </is>
      </c>
    </row>
    <row r="744">
      <c r="B744" s="0" t="inlineStr">
        <is>
          <t xml:space="preserve">N0010422PLD87</t>
        </is>
      </c>
      <c r="D744" s="0" t="inlineStr">
        <is>
          <t xml:space="preserve">small_craft</t>
        </is>
      </c>
      <c r="E744" s="0" t="inlineStr">
        <is>
          <t xml:space="preserve">LOCKHEED MARTIN CORPORATION</t>
        </is>
      </c>
      <c r="F744" s="0" t="inlineStr">
        <is>
          <t xml:space="preserve">B</t>
        </is>
      </c>
      <c r="G744" s="4">
        <v>0.15</v>
      </c>
      <c r="H744" s="0" t="inlineStr">
        <is>
          <t xml:space="preserve">2022-08-16</t>
        </is>
      </c>
      <c r="I744" s="0" t="inlineStr">
        <is>
          <t xml:space="preserve">no</t>
        </is>
      </c>
      <c r="J744" s="0" t="inlineStr">
        <is>
          <t xml:space="preserve">N0010422QLD45</t>
        </is>
      </c>
      <c r="K744" s="0" t="inlineStr">
        <is>
          <t xml:space="preserve">NONE</t>
        </is>
      </c>
    </row>
    <row r="745">
      <c r="B745" s="0" t="inlineStr">
        <is>
          <t xml:space="preserve">N0002423C2214</t>
        </is>
      </c>
      <c r="D745" s="0" t="inlineStr">
        <is>
          <t xml:space="preserve">small_craft</t>
        </is>
      </c>
      <c r="E745" s="0" t="inlineStr">
        <is>
          <t xml:space="preserve">ZODIAC OF NORTH AMERICA, INC.</t>
        </is>
      </c>
      <c r="F745" s="0" t="inlineStr">
        <is>
          <t xml:space="preserve">D</t>
        </is>
      </c>
      <c r="G745" s="4">
        <v>0.15</v>
      </c>
      <c r="H745" s="0" t="inlineStr">
        <is>
          <t xml:space="preserve">2023-09-15</t>
        </is>
      </c>
      <c r="I745" s="0" t="inlineStr">
        <is>
          <t xml:space="preserve">no</t>
        </is>
      </c>
      <c r="J745" s="0" t="inlineStr">
        <is>
          <t xml:space="preserve">N0002423R2214</t>
        </is>
      </c>
      <c r="K745" s="0" t="inlineStr">
        <is>
          <t xml:space="preserve">NONE</t>
        </is>
      </c>
    </row>
    <row r="746">
      <c r="B746" s="0" t="inlineStr">
        <is>
          <t xml:space="preserve">N0010422CJA13</t>
        </is>
      </c>
      <c r="D746" s="0" t="inlineStr">
        <is>
          <t xml:space="preserve">small_craft</t>
        </is>
      </c>
      <c r="E746" s="0" t="inlineStr">
        <is>
          <t xml:space="preserve">ECI DEFENSE GROUP, INC.</t>
        </is>
      </c>
      <c r="F746" s="0" t="inlineStr">
        <is>
          <t xml:space="preserve">D</t>
        </is>
      </c>
      <c r="G746" s="4">
        <v>0.14965662</v>
      </c>
      <c r="H746" s="0" t="inlineStr">
        <is>
          <t xml:space="preserve">2022-09-08</t>
        </is>
      </c>
      <c r="I746" s="0" t="inlineStr">
        <is>
          <t xml:space="preserve">no</t>
        </is>
      </c>
      <c r="K746" s="0" t="inlineStr">
        <is>
          <t xml:space="preserve">NONE</t>
        </is>
      </c>
    </row>
    <row r="747">
      <c r="B747" s="0" t="inlineStr">
        <is>
          <t xml:space="preserve">N4940013PB016</t>
        </is>
      </c>
      <c r="D747" s="0" t="inlineStr">
        <is>
          <t xml:space="preserve">small_craft</t>
        </is>
      </c>
      <c r="E747" s="0" t="inlineStr">
        <is>
          <t xml:space="preserve">AJM KOOHEJI GROUP BSC CLOSED</t>
        </is>
      </c>
      <c r="F747" s="0" t="inlineStr">
        <is>
          <t xml:space="preserve">B</t>
        </is>
      </c>
      <c r="G747" s="4">
        <v>0.14921332</v>
      </c>
      <c r="H747" s="0" t="inlineStr">
        <is>
          <t xml:space="preserve">2013-01-17</t>
        </is>
      </c>
      <c r="I747" s="0" t="inlineStr">
        <is>
          <t xml:space="preserve">no</t>
        </is>
      </c>
      <c r="J747" s="0" t="inlineStr">
        <is>
          <t xml:space="preserve">N4940013TB049</t>
        </is>
      </c>
      <c r="K747" s="0" t="inlineStr">
        <is>
          <t xml:space="preserve">NONE</t>
        </is>
      </c>
    </row>
    <row r="748">
      <c r="B748" s="0" t="inlineStr">
        <is>
          <t xml:space="preserve">M6785415P1045</t>
        </is>
      </c>
      <c r="D748" s="0" t="inlineStr">
        <is>
          <t xml:space="preserve">small_craft</t>
        </is>
      </c>
      <c r="E748" s="0" t="inlineStr">
        <is>
          <t xml:space="preserve">STIDD SYSTEMS, INC.</t>
        </is>
      </c>
      <c r="F748" s="0" t="inlineStr">
        <is>
          <t xml:space="preserve">B</t>
        </is>
      </c>
      <c r="G748" s="4">
        <v>0.148728</v>
      </c>
      <c r="H748" s="0" t="inlineStr">
        <is>
          <t xml:space="preserve">2015-09-18</t>
        </is>
      </c>
      <c r="I748" s="0" t="inlineStr">
        <is>
          <t xml:space="preserve">no</t>
        </is>
      </c>
      <c r="J748" s="0" t="inlineStr">
        <is>
          <t xml:space="preserve">M6785415Q1045</t>
        </is>
      </c>
      <c r="K748" s="0" t="inlineStr">
        <is>
          <t xml:space="preserve">NONE</t>
        </is>
      </c>
    </row>
    <row r="749">
      <c r="B749" s="0" t="inlineStr">
        <is>
          <t xml:space="preserve">N0010422PDB03</t>
        </is>
      </c>
      <c r="D749" s="0" t="inlineStr">
        <is>
          <t xml:space="preserve">small_craft</t>
        </is>
      </c>
      <c r="E749" s="0" t="inlineStr">
        <is>
          <t xml:space="preserve">JUNIPER ELBOW CO. INC.</t>
        </is>
      </c>
      <c r="F749" s="0" t="inlineStr">
        <is>
          <t xml:space="preserve">B</t>
        </is>
      </c>
      <c r="G749" s="4">
        <v>0.14845</v>
      </c>
      <c r="H749" s="0" t="inlineStr">
        <is>
          <t xml:space="preserve">2021-12-13</t>
        </is>
      </c>
      <c r="I749" s="0" t="inlineStr">
        <is>
          <t xml:space="preserve">no</t>
        </is>
      </c>
      <c r="K749" s="0" t="inlineStr">
        <is>
          <t xml:space="preserve">NONE</t>
        </is>
      </c>
    </row>
    <row r="750">
      <c r="B750" s="0" t="inlineStr">
        <is>
          <t xml:space="preserve">N0010421PEJ32</t>
        </is>
      </c>
      <c r="D750" s="0" t="inlineStr">
        <is>
          <t xml:space="preserve">small_craft</t>
        </is>
      </c>
      <c r="E750" s="0" t="inlineStr">
        <is>
          <t xml:space="preserve">HAN-BOONE INTERNATIONAL, INC.</t>
        </is>
      </c>
      <c r="F750" s="0" t="inlineStr">
        <is>
          <t xml:space="preserve">B</t>
        </is>
      </c>
      <c r="G750" s="4">
        <v>0.14649362</v>
      </c>
      <c r="H750" s="0" t="inlineStr">
        <is>
          <t xml:space="preserve">2021-07-20</t>
        </is>
      </c>
      <c r="I750" s="0" t="inlineStr">
        <is>
          <t xml:space="preserve">no</t>
        </is>
      </c>
      <c r="K750" s="0" t="inlineStr">
        <is>
          <t xml:space="preserve">NONE</t>
        </is>
      </c>
    </row>
    <row r="751">
      <c r="B751" s="0" t="inlineStr">
        <is>
          <t xml:space="preserve">N6833515C0407</t>
        </is>
      </c>
      <c r="D751" s="0" t="inlineStr">
        <is>
          <t xml:space="preserve">small_craft</t>
        </is>
      </c>
      <c r="E751" s="0" t="inlineStr">
        <is>
          <t xml:space="preserve">AIR CRUISERS COMPANY, LLC</t>
        </is>
      </c>
      <c r="F751" s="0" t="inlineStr">
        <is>
          <t xml:space="preserve">D</t>
        </is>
      </c>
      <c r="G751" s="4">
        <v>0.146384</v>
      </c>
      <c r="H751" s="0" t="inlineStr">
        <is>
          <t xml:space="preserve">2015-09-18</t>
        </is>
      </c>
      <c r="I751" s="0" t="inlineStr">
        <is>
          <t xml:space="preserve">no</t>
        </is>
      </c>
      <c r="J751" s="0" t="inlineStr">
        <is>
          <t xml:space="preserve">N6833515T0423</t>
        </is>
      </c>
      <c r="K751" s="0" t="inlineStr">
        <is>
          <t xml:space="preserve">NONE</t>
        </is>
      </c>
    </row>
    <row r="752">
      <c r="B752" s="0" t="inlineStr">
        <is>
          <t xml:space="preserve">N0010422PNA25</t>
        </is>
      </c>
      <c r="D752" s="0" t="inlineStr">
        <is>
          <t xml:space="preserve">small_craft</t>
        </is>
      </c>
      <c r="E752" s="0" t="inlineStr">
        <is>
          <t xml:space="preserve">L3HARRIS TECHNOLOGIES, INC</t>
        </is>
      </c>
      <c r="F752" s="0" t="inlineStr">
        <is>
          <t xml:space="preserve">B</t>
        </is>
      </c>
      <c r="G752" s="4">
        <v>0.142945</v>
      </c>
      <c r="H752" s="0" t="inlineStr">
        <is>
          <t xml:space="preserve">2022-06-06</t>
        </is>
      </c>
      <c r="I752" s="0" t="inlineStr">
        <is>
          <t xml:space="preserve">no</t>
        </is>
      </c>
      <c r="K752" s="0" t="inlineStr">
        <is>
          <t xml:space="preserve">NONE</t>
        </is>
      </c>
    </row>
    <row r="753">
      <c r="B753" s="0" t="inlineStr">
        <is>
          <t xml:space="preserve">N0010423PFE46</t>
        </is>
      </c>
      <c r="D753" s="0" t="inlineStr">
        <is>
          <t xml:space="preserve">small_craft</t>
        </is>
      </c>
      <c r="E753" s="0" t="inlineStr">
        <is>
          <t xml:space="preserve">METALLOY INDUSTRIES, INC.</t>
        </is>
      </c>
      <c r="F753" s="0" t="inlineStr">
        <is>
          <t xml:space="preserve">B</t>
        </is>
      </c>
      <c r="G753" s="4">
        <v>0.142695</v>
      </c>
      <c r="H753" s="0" t="inlineStr">
        <is>
          <t xml:space="preserve">2023-09-19</t>
        </is>
      </c>
      <c r="I753" s="0" t="inlineStr">
        <is>
          <t xml:space="preserve">no</t>
        </is>
      </c>
      <c r="J753" s="0" t="inlineStr">
        <is>
          <t xml:space="preserve">N0010423QFD99</t>
        </is>
      </c>
      <c r="K753" s="0" t="inlineStr">
        <is>
          <t xml:space="preserve">NONE</t>
        </is>
      </c>
    </row>
    <row r="754">
      <c r="B754" s="0" t="inlineStr">
        <is>
          <t xml:space="preserve">N0003925F1037</t>
        </is>
      </c>
      <c r="C754" s="0" t="inlineStr">
        <is>
          <t xml:space="preserve">N0003921D6001</t>
        </is>
      </c>
      <c r="D754" s="0" t="inlineStr">
        <is>
          <t xml:space="preserve">small_craft</t>
        </is>
      </c>
      <c r="E754" s="0" t="inlineStr">
        <is>
          <t xml:space="preserve">TELEDYNE BROWN ENGINEERING, INC.</t>
        </is>
      </c>
      <c r="F754" s="0" t="inlineStr">
        <is>
          <t xml:space="preserve">C</t>
        </is>
      </c>
      <c r="G754" s="4">
        <v>0.14265114999999998</v>
      </c>
      <c r="H754" s="0" t="inlineStr">
        <is>
          <t xml:space="preserve">2025-09-08</t>
        </is>
      </c>
      <c r="I754" s="0" t="inlineStr">
        <is>
          <t xml:space="preserve">yes</t>
        </is>
      </c>
      <c r="J754" s="0" t="inlineStr">
        <is>
          <t xml:space="preserve">N0003921R1000</t>
        </is>
      </c>
      <c r="K754" s="0" t="inlineStr">
        <is>
          <t xml:space="preserve">NONE</t>
        </is>
      </c>
    </row>
    <row r="755">
      <c r="B755" s="0" t="inlineStr">
        <is>
          <t xml:space="preserve">N0010421PCD16</t>
        </is>
      </c>
      <c r="D755" s="0" t="inlineStr">
        <is>
          <t xml:space="preserve">small_craft</t>
        </is>
      </c>
      <c r="E755" s="0" t="inlineStr">
        <is>
          <t xml:space="preserve">VALKYRIE ENTERPRISES, LLC</t>
        </is>
      </c>
      <c r="F755" s="0" t="inlineStr">
        <is>
          <t xml:space="preserve">B</t>
        </is>
      </c>
      <c r="G755" s="4">
        <v>0.14229164</v>
      </c>
      <c r="H755" s="0" t="inlineStr">
        <is>
          <t xml:space="preserve">2021-09-22</t>
        </is>
      </c>
      <c r="I755" s="0" t="inlineStr">
        <is>
          <t xml:space="preserve">no</t>
        </is>
      </c>
      <c r="K755" s="0" t="inlineStr">
        <is>
          <t xml:space="preserve">NONE</t>
        </is>
      </c>
    </row>
    <row r="756">
      <c r="B756" s="0" t="inlineStr">
        <is>
          <t xml:space="preserve">N0017318P0946</t>
        </is>
      </c>
      <c r="D756" s="0" t="inlineStr">
        <is>
          <t xml:space="preserve">usv_core</t>
        </is>
      </c>
      <c r="E756" s="0" t="inlineStr">
        <is>
          <t xml:space="preserve">HII UNMANNED MARITIME SYSTEMS INC.</t>
        </is>
      </c>
      <c r="F756" s="0" t="inlineStr">
        <is>
          <t xml:space="preserve">B</t>
        </is>
      </c>
      <c r="G756" s="4">
        <v>0.14135899999999998</v>
      </c>
      <c r="H756" s="0" t="inlineStr">
        <is>
          <t xml:space="preserve">2018-08-07</t>
        </is>
      </c>
      <c r="I756" s="0" t="inlineStr">
        <is>
          <t xml:space="preserve">no</t>
        </is>
      </c>
      <c r="J756" s="0" t="inlineStr">
        <is>
          <t xml:space="preserve">N0017318Q0177</t>
        </is>
      </c>
      <c r="K756" s="0" t="inlineStr">
        <is>
          <t xml:space="preserve">NONE</t>
        </is>
      </c>
    </row>
    <row r="757">
      <c r="B757" s="0" t="inlineStr">
        <is>
          <t xml:space="preserve">N5532119FJG02</t>
        </is>
      </c>
      <c r="C757" s="0" t="inlineStr">
        <is>
          <t xml:space="preserve">GS07F0298V</t>
        </is>
      </c>
      <c r="D757" s="0" t="inlineStr">
        <is>
          <t xml:space="preserve">small_craft</t>
        </is>
      </c>
      <c r="E757" s="0" t="inlineStr">
        <is>
          <t xml:space="preserve">ZODIAC OF NORTH AMERICA, INC.</t>
        </is>
      </c>
      <c r="F757" s="0" t="inlineStr">
        <is>
          <t xml:space="preserve">C</t>
        </is>
      </c>
      <c r="G757" s="4">
        <v>0.1409846</v>
      </c>
      <c r="H757" s="0" t="inlineStr">
        <is>
          <t xml:space="preserve">2018-12-26</t>
        </is>
      </c>
      <c r="I757" s="0" t="inlineStr">
        <is>
          <t xml:space="preserve">no</t>
        </is>
      </c>
      <c r="K757" s="0" t="inlineStr">
        <is>
          <t xml:space="preserve">NONE</t>
        </is>
      </c>
    </row>
    <row r="758">
      <c r="B758" s="0" t="inlineStr">
        <is>
          <t xml:space="preserve">N0010423FY701</t>
        </is>
      </c>
      <c r="C758" s="0" t="inlineStr">
        <is>
          <t xml:space="preserve">N0010422GY701</t>
        </is>
      </c>
      <c r="D758" s="0" t="inlineStr">
        <is>
          <t xml:space="preserve">small_craft</t>
        </is>
      </c>
      <c r="E758" s="0" t="inlineStr">
        <is>
          <t xml:space="preserve">L3 TECHNOLOGIES, INC.</t>
        </is>
      </c>
      <c r="F758" s="0" t="inlineStr">
        <is>
          <t xml:space="preserve">C</t>
        </is>
      </c>
      <c r="G758" s="4">
        <v>0.139292</v>
      </c>
      <c r="H758" s="0" t="inlineStr">
        <is>
          <t xml:space="preserve">2022-11-02</t>
        </is>
      </c>
      <c r="I758" s="0" t="inlineStr">
        <is>
          <t xml:space="preserve">no</t>
        </is>
      </c>
      <c r="K758" s="0" t="inlineStr">
        <is>
          <t xml:space="preserve">NONE</t>
        </is>
      </c>
    </row>
    <row r="759">
      <c r="B759" s="0" t="inlineStr">
        <is>
          <t xml:space="preserve">N6230618P0015</t>
        </is>
      </c>
      <c r="D759" s="0" t="inlineStr">
        <is>
          <t xml:space="preserve">usv_core</t>
        </is>
      </c>
      <c r="E759" s="0" t="inlineStr">
        <is>
          <t xml:space="preserve">THE UNIVERSITY OF SOUTHERN MISSISSIPPI</t>
        </is>
      </c>
      <c r="F759" s="0" t="inlineStr">
        <is>
          <t xml:space="preserve">B</t>
        </is>
      </c>
      <c r="G759" s="4">
        <v>0.13884666</v>
      </c>
      <c r="H759" s="0" t="inlineStr">
        <is>
          <t xml:space="preserve">2018-03-02</t>
        </is>
      </c>
      <c r="I759" s="0" t="inlineStr">
        <is>
          <t xml:space="preserve">no</t>
        </is>
      </c>
      <c r="K759" s="0" t="inlineStr">
        <is>
          <t xml:space="preserve">NONE</t>
        </is>
      </c>
    </row>
    <row r="760">
      <c r="B760" s="0" t="inlineStr">
        <is>
          <t xml:space="preserve">N0010422PJB52</t>
        </is>
      </c>
      <c r="D760" s="0" t="inlineStr">
        <is>
          <t xml:space="preserve">small_craft</t>
        </is>
      </c>
      <c r="E760" s="0" t="inlineStr">
        <is>
          <t xml:space="preserve">DOVER PUMPS &amp; PROCESS SOLUTIONS SEGMENT INC</t>
        </is>
      </c>
      <c r="F760" s="0" t="inlineStr">
        <is>
          <t xml:space="preserve">B</t>
        </is>
      </c>
      <c r="G760" s="4">
        <v>0.13831816</v>
      </c>
      <c r="H760" s="0" t="inlineStr">
        <is>
          <t xml:space="preserve">2022-05-19</t>
        </is>
      </c>
      <c r="I760" s="0" t="inlineStr">
        <is>
          <t xml:space="preserve">no</t>
        </is>
      </c>
      <c r="K760" s="0" t="inlineStr">
        <is>
          <t xml:space="preserve">NONE</t>
        </is>
      </c>
    </row>
    <row r="761">
      <c r="B761" s="0" t="inlineStr">
        <is>
          <t xml:space="preserve">N6893624F0589</t>
        </is>
      </c>
      <c r="C761" s="0" t="inlineStr">
        <is>
          <t xml:space="preserve">GS07F224CA</t>
        </is>
      </c>
      <c r="D761" s="0" t="inlineStr">
        <is>
          <t xml:space="preserve">small_craft</t>
        </is>
      </c>
      <c r="E761" s="0" t="inlineStr">
        <is>
          <t xml:space="preserve">THE MOLDING COMPANY, INC.</t>
        </is>
      </c>
      <c r="F761" s="0" t="inlineStr">
        <is>
          <t xml:space="preserve">C</t>
        </is>
      </c>
      <c r="G761" s="4">
        <v>0.137254</v>
      </c>
      <c r="H761" s="0" t="inlineStr">
        <is>
          <t xml:space="preserve">2024-07-26</t>
        </is>
      </c>
      <c r="I761" s="0" t="inlineStr">
        <is>
          <t xml:space="preserve">no</t>
        </is>
      </c>
      <c r="K761" s="0" t="inlineStr">
        <is>
          <t xml:space="preserve">NONE</t>
        </is>
      </c>
    </row>
    <row r="762">
      <c r="B762" s="0" t="inlineStr">
        <is>
          <t xml:space="preserve">N6426723P5053</t>
        </is>
      </c>
      <c r="D762" s="0" t="inlineStr">
        <is>
          <t xml:space="preserve">small_craft</t>
        </is>
      </c>
      <c r="E762" s="0" t="inlineStr">
        <is>
          <t xml:space="preserve">ELASTEC INC</t>
        </is>
      </c>
      <c r="F762" s="0" t="inlineStr">
        <is>
          <t xml:space="preserve">B</t>
        </is>
      </c>
      <c r="G762" s="4">
        <v>0.13534173</v>
      </c>
      <c r="H762" s="0" t="inlineStr">
        <is>
          <t xml:space="preserve">2023-08-25</t>
        </is>
      </c>
      <c r="I762" s="0" t="inlineStr">
        <is>
          <t xml:space="preserve">no</t>
        </is>
      </c>
      <c r="J762" s="0" t="inlineStr">
        <is>
          <t xml:space="preserve">N6426723Q5053</t>
        </is>
      </c>
      <c r="K762" s="0" t="inlineStr">
        <is>
          <t xml:space="preserve">NONE</t>
        </is>
      </c>
    </row>
    <row r="763">
      <c r="B763" s="0" t="inlineStr">
        <is>
          <t xml:space="preserve">N6600117P7461</t>
        </is>
      </c>
      <c r="D763" s="0" t="inlineStr">
        <is>
          <t xml:space="preserve">small_craft</t>
        </is>
      </c>
      <c r="E763" s="0" t="inlineStr">
        <is>
          <t xml:space="preserve">WELLER RECREATION, INC</t>
        </is>
      </c>
      <c r="F763" s="0" t="inlineStr">
        <is>
          <t xml:space="preserve">B</t>
        </is>
      </c>
      <c r="G763" s="4">
        <v>0.13533389</v>
      </c>
      <c r="H763" s="0" t="inlineStr">
        <is>
          <t xml:space="preserve">2017-08-02</t>
        </is>
      </c>
      <c r="I763" s="0" t="inlineStr">
        <is>
          <t xml:space="preserve">no</t>
        </is>
      </c>
      <c r="J763" s="0" t="inlineStr">
        <is>
          <t xml:space="preserve">N6600117Q7462</t>
        </is>
      </c>
      <c r="K763" s="0" t="inlineStr">
        <is>
          <t xml:space="preserve">NONE</t>
        </is>
      </c>
    </row>
    <row r="764">
      <c r="B764" s="0" t="inlineStr">
        <is>
          <t xml:space="preserve">N0040622P0165</t>
        </is>
      </c>
      <c r="D764" s="0" t="inlineStr">
        <is>
          <t xml:space="preserve">small_craft</t>
        </is>
      </c>
      <c r="E764" s="0" t="inlineStr">
        <is>
          <t xml:space="preserve">FASSMER SERVICE AMERICA LLC</t>
        </is>
      </c>
      <c r="F764" s="0" t="inlineStr">
        <is>
          <t xml:space="preserve">B</t>
        </is>
      </c>
      <c r="G764" s="4">
        <v>0.13491682</v>
      </c>
      <c r="H764" s="0" t="inlineStr">
        <is>
          <t xml:space="preserve">2022-02-17</t>
        </is>
      </c>
      <c r="I764" s="0" t="inlineStr">
        <is>
          <t xml:space="preserve">no</t>
        </is>
      </c>
      <c r="J764" s="0" t="inlineStr">
        <is>
          <t xml:space="preserve">N0040622Q0159</t>
        </is>
      </c>
      <c r="K764" s="0" t="inlineStr">
        <is>
          <t xml:space="preserve">NONE</t>
        </is>
      </c>
    </row>
    <row r="765">
      <c r="B765" s="0" t="inlineStr">
        <is>
          <t xml:space="preserve">N3220521P2267</t>
        </is>
      </c>
      <c r="D765" s="0" t="inlineStr">
        <is>
          <t xml:space="preserve">small_craft</t>
        </is>
      </c>
      <c r="E765" s="0" t="inlineStr">
        <is>
          <t xml:space="preserve">WILLARD MARINE, INC.</t>
        </is>
      </c>
      <c r="F765" s="0" t="inlineStr">
        <is>
          <t xml:space="preserve">B</t>
        </is>
      </c>
      <c r="G765" s="4">
        <v>0.134874</v>
      </c>
      <c r="H765" s="0" t="inlineStr">
        <is>
          <t xml:space="preserve">2021-03-23</t>
        </is>
      </c>
      <c r="I765" s="0" t="inlineStr">
        <is>
          <t xml:space="preserve">no</t>
        </is>
      </c>
      <c r="J765" s="0" t="inlineStr">
        <is>
          <t xml:space="preserve">N3220521Q2224</t>
        </is>
      </c>
      <c r="K765" s="0" t="inlineStr">
        <is>
          <t xml:space="preserve">NONE</t>
        </is>
      </c>
    </row>
    <row r="766">
      <c r="B766" s="0" t="inlineStr">
        <is>
          <t xml:space="preserve">N0010423PFB98</t>
        </is>
      </c>
      <c r="D766" s="0" t="inlineStr">
        <is>
          <t xml:space="preserve">small_craft</t>
        </is>
      </c>
      <c r="E766" s="0" t="inlineStr">
        <is>
          <t xml:space="preserve">EMERSON AUTOMATION SOLUTIONS FINAL CONTROL US LP</t>
        </is>
      </c>
      <c r="F766" s="0" t="inlineStr">
        <is>
          <t xml:space="preserve">B</t>
        </is>
      </c>
      <c r="G766" s="4">
        <v>0.13455</v>
      </c>
      <c r="H766" s="0" t="inlineStr">
        <is>
          <t xml:space="preserve">2023-03-30</t>
        </is>
      </c>
      <c r="I766" s="0" t="inlineStr">
        <is>
          <t xml:space="preserve">no</t>
        </is>
      </c>
      <c r="K766" s="0" t="inlineStr">
        <is>
          <t xml:space="preserve">NONE</t>
        </is>
      </c>
    </row>
    <row r="767">
      <c r="B767" s="0" t="inlineStr">
        <is>
          <t xml:space="preserve">N6893622P0030</t>
        </is>
      </c>
      <c r="D767" s="0" t="inlineStr">
        <is>
          <t xml:space="preserve">small_craft</t>
        </is>
      </c>
      <c r="E767" s="0" t="inlineStr">
        <is>
          <t xml:space="preserve">SILVER SHIPS, INC</t>
        </is>
      </c>
      <c r="F767" s="0" t="inlineStr">
        <is>
          <t xml:space="preserve">B</t>
        </is>
      </c>
      <c r="G767" s="4">
        <v>0.13384321</v>
      </c>
      <c r="H767" s="0" t="inlineStr">
        <is>
          <t xml:space="preserve">2021-11-09</t>
        </is>
      </c>
      <c r="I767" s="0" t="inlineStr">
        <is>
          <t xml:space="preserve">no</t>
        </is>
      </c>
      <c r="J767" s="0" t="inlineStr">
        <is>
          <t xml:space="preserve">N6893622Q0015</t>
        </is>
      </c>
      <c r="K767" s="0" t="inlineStr">
        <is>
          <t xml:space="preserve">NONE</t>
        </is>
      </c>
    </row>
    <row r="768">
      <c r="B768" s="0" t="inlineStr">
        <is>
          <t xml:space="preserve">N0016722P0095</t>
        </is>
      </c>
      <c r="D768" s="0" t="inlineStr">
        <is>
          <t xml:space="preserve">small_craft</t>
        </is>
      </c>
      <c r="E768" s="0" t="inlineStr">
        <is>
          <t xml:space="preserve">KRAFT POWER CORPORATION</t>
        </is>
      </c>
      <c r="F768" s="0" t="inlineStr">
        <is>
          <t xml:space="preserve">B</t>
        </is>
      </c>
      <c r="G768" s="4">
        <v>0.13345960999999998</v>
      </c>
      <c r="H768" s="0" t="inlineStr">
        <is>
          <t xml:space="preserve">2022-04-25</t>
        </is>
      </c>
      <c r="I768" s="0" t="inlineStr">
        <is>
          <t xml:space="preserve">no</t>
        </is>
      </c>
      <c r="J768" s="0" t="inlineStr">
        <is>
          <t xml:space="preserve">N0016722Q0090</t>
        </is>
      </c>
      <c r="K768" s="0" t="inlineStr">
        <is>
          <t xml:space="preserve">NONE</t>
        </is>
      </c>
    </row>
    <row r="769">
      <c r="B769" s="0" t="inlineStr">
        <is>
          <t xml:space="preserve">N0040625PS191</t>
        </is>
      </c>
      <c r="D769" s="0" t="inlineStr">
        <is>
          <t xml:space="preserve">small_craft</t>
        </is>
      </c>
      <c r="E769" s="0" t="inlineStr">
        <is>
          <t xml:space="preserve">WESTEX GROUP, INC</t>
        </is>
      </c>
      <c r="F769" s="0" t="inlineStr">
        <is>
          <t xml:space="preserve">B</t>
        </is>
      </c>
      <c r="G769" s="4">
        <v>0.133203</v>
      </c>
      <c r="H769" s="0" t="inlineStr">
        <is>
          <t xml:space="preserve">2025-06-12</t>
        </is>
      </c>
      <c r="I769" s="0" t="inlineStr">
        <is>
          <t xml:space="preserve">no</t>
        </is>
      </c>
      <c r="K769" s="0" t="inlineStr">
        <is>
          <t xml:space="preserve">NONE</t>
        </is>
      </c>
    </row>
    <row r="770">
      <c r="B770" s="0" t="inlineStr">
        <is>
          <t xml:space="preserve">N0040616P3206</t>
        </is>
      </c>
      <c r="D770" s="0" t="inlineStr">
        <is>
          <t xml:space="preserve">small_craft</t>
        </is>
      </c>
      <c r="E770" s="0" t="inlineStr">
        <is>
          <t xml:space="preserve">CENTRAL FLORIDA YAMAHA INC</t>
        </is>
      </c>
      <c r="F770" s="0" t="inlineStr">
        <is>
          <t xml:space="preserve">B</t>
        </is>
      </c>
      <c r="G770" s="4">
        <v>0.132956</v>
      </c>
      <c r="H770" s="0" t="inlineStr">
        <is>
          <t xml:space="preserve">2016-09-09</t>
        </is>
      </c>
      <c r="I770" s="0" t="inlineStr">
        <is>
          <t xml:space="preserve">no</t>
        </is>
      </c>
      <c r="J770" s="0" t="inlineStr">
        <is>
          <t xml:space="preserve">N0040616T0525</t>
        </is>
      </c>
      <c r="K770" s="0" t="inlineStr">
        <is>
          <t xml:space="preserve">NONE</t>
        </is>
      </c>
    </row>
    <row r="771">
      <c r="B771" s="0" t="inlineStr">
        <is>
          <t xml:space="preserve">N0010425PSB67</t>
        </is>
      </c>
      <c r="D771" s="0" t="inlineStr">
        <is>
          <t xml:space="preserve">small_craft</t>
        </is>
      </c>
      <c r="E771" s="0" t="inlineStr">
        <is>
          <t xml:space="preserve">CHANNEL COMP, LLC</t>
        </is>
      </c>
      <c r="F771" s="0" t="inlineStr">
        <is>
          <t xml:space="preserve">B</t>
        </is>
      </c>
      <c r="G771" s="4">
        <v>0.132825</v>
      </c>
      <c r="H771" s="0" t="inlineStr">
        <is>
          <t xml:space="preserve">2025-07-22</t>
        </is>
      </c>
      <c r="I771" s="0" t="inlineStr">
        <is>
          <t xml:space="preserve">yes</t>
        </is>
      </c>
      <c r="J771" s="0" t="inlineStr">
        <is>
          <t xml:space="preserve">N0010423QSD92</t>
        </is>
      </c>
      <c r="K771" s="0" t="inlineStr">
        <is>
          <t xml:space="preserve">NONE</t>
        </is>
      </c>
    </row>
    <row r="772">
      <c r="B772" s="0" t="inlineStr">
        <is>
          <t xml:space="preserve">N5005422P0101</t>
        </is>
      </c>
      <c r="D772" s="0" t="inlineStr">
        <is>
          <t xml:space="preserve">small_craft</t>
        </is>
      </c>
      <c r="E772" s="0" t="inlineStr">
        <is>
          <t xml:space="preserve">PKJ INTERNATIONAL LLC</t>
        </is>
      </c>
      <c r="F772" s="0" t="inlineStr">
        <is>
          <t xml:space="preserve">B</t>
        </is>
      </c>
      <c r="G772" s="4">
        <v>0.128999</v>
      </c>
      <c r="H772" s="0" t="inlineStr">
        <is>
          <t xml:space="preserve">2022-03-22</t>
        </is>
      </c>
      <c r="I772" s="0" t="inlineStr">
        <is>
          <t xml:space="preserve">no</t>
        </is>
      </c>
      <c r="J772" s="0" t="inlineStr">
        <is>
          <t xml:space="preserve">N5005422Q0046</t>
        </is>
      </c>
      <c r="K772" s="0" t="inlineStr">
        <is>
          <t xml:space="preserve">NONE</t>
        </is>
      </c>
    </row>
    <row r="773">
      <c r="B773" s="0" t="inlineStr">
        <is>
          <t xml:space="preserve">N0024415P0397</t>
        </is>
      </c>
      <c r="D773" s="0" t="inlineStr">
        <is>
          <t xml:space="preserve">small_craft</t>
        </is>
      </c>
      <c r="E773" s="0" t="inlineStr">
        <is>
          <t xml:space="preserve">SAFE BOATS INTERNATIONAL LLC</t>
        </is>
      </c>
      <c r="F773" s="0" t="inlineStr">
        <is>
          <t xml:space="preserve">B</t>
        </is>
      </c>
      <c r="G773" s="4">
        <v>0.1273948</v>
      </c>
      <c r="H773" s="0" t="inlineStr">
        <is>
          <t xml:space="preserve">2015-07-07</t>
        </is>
      </c>
      <c r="I773" s="0" t="inlineStr">
        <is>
          <t xml:space="preserve">no</t>
        </is>
      </c>
      <c r="J773" s="0" t="inlineStr">
        <is>
          <t xml:space="preserve">N0024415T0130</t>
        </is>
      </c>
      <c r="K773" s="0" t="inlineStr">
        <is>
          <t xml:space="preserve">NONE</t>
        </is>
      </c>
    </row>
    <row r="774">
      <c r="B774" s="0" t="inlineStr">
        <is>
          <t xml:space="preserve">N6883622P0283</t>
        </is>
      </c>
      <c r="D774" s="0" t="inlineStr">
        <is>
          <t xml:space="preserve">small_craft</t>
        </is>
      </c>
      <c r="E774" s="0" t="inlineStr">
        <is>
          <t xml:space="preserve">FOSTER-MILLER, INC.</t>
        </is>
      </c>
      <c r="F774" s="0" t="inlineStr">
        <is>
          <t xml:space="preserve">B</t>
        </is>
      </c>
      <c r="G774" s="4">
        <v>0.12708867999999998</v>
      </c>
      <c r="H774" s="0" t="inlineStr">
        <is>
          <t xml:space="preserve">2022-09-23</t>
        </is>
      </c>
      <c r="I774" s="0" t="inlineStr">
        <is>
          <t xml:space="preserve">no</t>
        </is>
      </c>
      <c r="J774" s="0" t="inlineStr">
        <is>
          <t xml:space="preserve">N6883622Q0346</t>
        </is>
      </c>
      <c r="K774" s="0" t="inlineStr">
        <is>
          <t xml:space="preserve">NONE</t>
        </is>
      </c>
    </row>
    <row r="775">
      <c r="B775" s="0" t="inlineStr">
        <is>
          <t xml:space="preserve">N3220515P4368</t>
        </is>
      </c>
      <c r="D775" s="0" t="inlineStr">
        <is>
          <t xml:space="preserve">other_small</t>
        </is>
      </c>
      <c r="E775" s="0" t="inlineStr">
        <is>
          <t xml:space="preserve">CDK MOBILE SYSTEMS INC</t>
        </is>
      </c>
      <c r="F775" s="0" t="inlineStr">
        <is>
          <t xml:space="preserve">B</t>
        </is>
      </c>
      <c r="G775" s="4">
        <v>0.127</v>
      </c>
      <c r="H775" s="0" t="inlineStr">
        <is>
          <t xml:space="preserve">2015-09-29</t>
        </is>
      </c>
      <c r="I775" s="0" t="inlineStr">
        <is>
          <t xml:space="preserve">no</t>
        </is>
      </c>
      <c r="J775" s="0" t="inlineStr">
        <is>
          <t xml:space="preserve">N3220515T4370</t>
        </is>
      </c>
      <c r="K775" s="0" t="inlineStr">
        <is>
          <t xml:space="preserve">NONE</t>
        </is>
      </c>
    </row>
    <row r="776">
      <c r="B776" s="0" t="inlineStr">
        <is>
          <t xml:space="preserve">N0010425PLA05</t>
        </is>
      </c>
      <c r="D776" s="0" t="inlineStr">
        <is>
          <t xml:space="preserve">small_craft</t>
        </is>
      </c>
      <c r="E776" s="0" t="inlineStr">
        <is>
          <t xml:space="preserve">KAMPI COMPONENTS CO INC</t>
        </is>
      </c>
      <c r="F776" s="0" t="inlineStr">
        <is>
          <t xml:space="preserve">B</t>
        </is>
      </c>
      <c r="G776" s="4">
        <v>0.125752</v>
      </c>
      <c r="H776" s="0" t="inlineStr">
        <is>
          <t xml:space="preserve">2024-10-08</t>
        </is>
      </c>
      <c r="I776" s="0" t="inlineStr">
        <is>
          <t xml:space="preserve">no</t>
        </is>
      </c>
      <c r="J776" s="0" t="inlineStr">
        <is>
          <t xml:space="preserve">N0010424QLE93</t>
        </is>
      </c>
      <c r="K776" s="0" t="inlineStr">
        <is>
          <t xml:space="preserve">NONE</t>
        </is>
      </c>
    </row>
    <row r="777">
      <c r="B777" s="0" t="inlineStr">
        <is>
          <t xml:space="preserve">N0010421PDB28</t>
        </is>
      </c>
      <c r="D777" s="0" t="inlineStr">
        <is>
          <t xml:space="preserve">small_craft</t>
        </is>
      </c>
      <c r="E777" s="0" t="inlineStr">
        <is>
          <t xml:space="preserve">RAYTHEON COMPANY</t>
        </is>
      </c>
      <c r="F777" s="0" t="inlineStr">
        <is>
          <t xml:space="preserve">B</t>
        </is>
      </c>
      <c r="G777" s="4">
        <v>0.12503999999999998</v>
      </c>
      <c r="H777" s="0" t="inlineStr">
        <is>
          <t xml:space="preserve">2021-04-21</t>
        </is>
      </c>
      <c r="I777" s="0" t="inlineStr">
        <is>
          <t xml:space="preserve">no</t>
        </is>
      </c>
      <c r="J777" s="0" t="inlineStr">
        <is>
          <t xml:space="preserve">N0010420QDE64</t>
        </is>
      </c>
      <c r="K777" s="0" t="inlineStr">
        <is>
          <t xml:space="preserve">NONE</t>
        </is>
      </c>
    </row>
    <row r="778">
      <c r="B778" s="0" t="inlineStr">
        <is>
          <t xml:space="preserve">N0010425PFE03</t>
        </is>
      </c>
      <c r="D778" s="0" t="inlineStr">
        <is>
          <t xml:space="preserve">small_craft</t>
        </is>
      </c>
      <c r="E778" s="0" t="inlineStr">
        <is>
          <t xml:space="preserve">ARCOS INDUSTRIES LLC</t>
        </is>
      </c>
      <c r="F778" s="0" t="inlineStr">
        <is>
          <t xml:space="preserve">B</t>
        </is>
      </c>
      <c r="G778" s="4">
        <v>0.1247324</v>
      </c>
      <c r="H778" s="0" t="inlineStr">
        <is>
          <t xml:space="preserve">2025-08-15</t>
        </is>
      </c>
      <c r="I778" s="0" t="inlineStr">
        <is>
          <t xml:space="preserve">yes</t>
        </is>
      </c>
      <c r="J778" s="0" t="inlineStr">
        <is>
          <t xml:space="preserve">N0010425QFE68</t>
        </is>
      </c>
      <c r="K778" s="0" t="inlineStr">
        <is>
          <t xml:space="preserve">NONE</t>
        </is>
      </c>
    </row>
    <row r="779">
      <c r="B779" s="0" t="inlineStr">
        <is>
          <t xml:space="preserve">N0016718P0033</t>
        </is>
      </c>
      <c r="D779" s="0" t="inlineStr">
        <is>
          <t xml:space="preserve">other_small</t>
        </is>
      </c>
      <c r="E779" s="0" t="inlineStr">
        <is>
          <t xml:space="preserve">BAE SYSTEMS INFORMATION AND ELECTRONIC SYSTEMS INTEGRATION INC.</t>
        </is>
      </c>
      <c r="F779" s="0" t="inlineStr">
        <is>
          <t xml:space="preserve">B</t>
        </is>
      </c>
      <c r="G779" s="4">
        <v>0.124634</v>
      </c>
      <c r="H779" s="0" t="inlineStr">
        <is>
          <t xml:space="preserve">2017-12-01</t>
        </is>
      </c>
      <c r="I779" s="0" t="inlineStr">
        <is>
          <t xml:space="preserve">no</t>
        </is>
      </c>
      <c r="J779" s="0" t="inlineStr">
        <is>
          <t xml:space="preserve">N0016717Q0104</t>
        </is>
      </c>
      <c r="K779" s="0" t="inlineStr">
        <is>
          <t xml:space="preserve">NONE</t>
        </is>
      </c>
    </row>
    <row r="780">
      <c r="B780" s="0" t="inlineStr">
        <is>
          <t xml:space="preserve">N0010425PJA66</t>
        </is>
      </c>
      <c r="D780" s="0" t="inlineStr">
        <is>
          <t xml:space="preserve">small_craft</t>
        </is>
      </c>
      <c r="E780" s="0" t="inlineStr">
        <is>
          <t xml:space="preserve">GEORATOR LLC</t>
        </is>
      </c>
      <c r="F780" s="0" t="inlineStr">
        <is>
          <t xml:space="preserve">B</t>
        </is>
      </c>
      <c r="G780" s="4">
        <v>0.12361836</v>
      </c>
      <c r="H780" s="0" t="inlineStr">
        <is>
          <t xml:space="preserve">2024-12-31</t>
        </is>
      </c>
      <c r="I780" s="0" t="inlineStr">
        <is>
          <t xml:space="preserve">no</t>
        </is>
      </c>
      <c r="J780" s="0" t="inlineStr">
        <is>
          <t xml:space="preserve">N0010425QJA13</t>
        </is>
      </c>
      <c r="K780" s="0" t="inlineStr">
        <is>
          <t xml:space="preserve">NONE</t>
        </is>
      </c>
    </row>
    <row r="781">
      <c r="B781" s="0" t="inlineStr">
        <is>
          <t xml:space="preserve">N0024424F0270</t>
        </is>
      </c>
      <c r="C781" s="0" t="inlineStr">
        <is>
          <t xml:space="preserve">N6817121D0029</t>
        </is>
      </c>
      <c r="D781" s="0" t="inlineStr">
        <is>
          <t xml:space="preserve">usv_core</t>
        </is>
      </c>
      <c r="E781" s="0" t="inlineStr">
        <is>
          <t xml:space="preserve">SEABULK LOGISTICS SERVICES LLC</t>
        </is>
      </c>
      <c r="F781" s="0" t="inlineStr">
        <is>
          <t xml:space="preserve">C</t>
        </is>
      </c>
      <c r="G781" s="4">
        <v>0.1231</v>
      </c>
      <c r="H781" s="0" t="inlineStr">
        <is>
          <t xml:space="preserve">2024-05-20</t>
        </is>
      </c>
      <c r="I781" s="0" t="inlineStr">
        <is>
          <t xml:space="preserve">no</t>
        </is>
      </c>
      <c r="J781" s="0" t="inlineStr">
        <is>
          <t xml:space="preserve">N6817120R0001</t>
        </is>
      </c>
      <c r="K781" s="0" t="inlineStr">
        <is>
          <t xml:space="preserve">NONE</t>
        </is>
      </c>
    </row>
    <row r="782">
      <c r="B782" s="0" t="inlineStr">
        <is>
          <t xml:space="preserve">N3220515P1369</t>
        </is>
      </c>
      <c r="D782" s="0" t="inlineStr">
        <is>
          <t xml:space="preserve">small_craft</t>
        </is>
      </c>
      <c r="E782" s="0" t="inlineStr">
        <is>
          <t xml:space="preserve">PALFINGER MARINE USA, LLC</t>
        </is>
      </c>
      <c r="F782" s="0" t="inlineStr">
        <is>
          <t xml:space="preserve">B</t>
        </is>
      </c>
      <c r="G782" s="4">
        <v>0.12250799999999999</v>
      </c>
      <c r="H782" s="0" t="inlineStr">
        <is>
          <t xml:space="preserve">2015-05-11</t>
        </is>
      </c>
      <c r="I782" s="0" t="inlineStr">
        <is>
          <t xml:space="preserve">no</t>
        </is>
      </c>
      <c r="J782" s="0" t="inlineStr">
        <is>
          <t xml:space="preserve">N3220515T1306</t>
        </is>
      </c>
      <c r="K782" s="0" t="inlineStr">
        <is>
          <t xml:space="preserve">NONE</t>
        </is>
      </c>
    </row>
    <row r="783">
      <c r="B783" s="0" t="inlineStr">
        <is>
          <t xml:space="preserve">N0010425PCB09</t>
        </is>
      </c>
      <c r="D783" s="0" t="inlineStr">
        <is>
          <t xml:space="preserve">small_craft</t>
        </is>
      </c>
      <c r="E783" s="0" t="inlineStr">
        <is>
          <t xml:space="preserve">KAMPI COMPONENTS CO INC</t>
        </is>
      </c>
      <c r="F783" s="0" t="inlineStr">
        <is>
          <t xml:space="preserve">B</t>
        </is>
      </c>
      <c r="G783" s="4">
        <v>0.12155711</v>
      </c>
      <c r="H783" s="0" t="inlineStr">
        <is>
          <t xml:space="preserve">2025-04-09</t>
        </is>
      </c>
      <c r="I783" s="0" t="inlineStr">
        <is>
          <t xml:space="preserve">no</t>
        </is>
      </c>
      <c r="J783" s="0" t="inlineStr">
        <is>
          <t xml:space="preserve">N0010425QCA88</t>
        </is>
      </c>
      <c r="K783" s="0" t="inlineStr">
        <is>
          <t xml:space="preserve">NONE</t>
        </is>
      </c>
    </row>
    <row r="784">
      <c r="B784" s="0" t="inlineStr">
        <is>
          <t xml:space="preserve">N0018920P0005</t>
        </is>
      </c>
      <c r="D784" s="0" t="inlineStr">
        <is>
          <t xml:space="preserve">small_craft</t>
        </is>
      </c>
      <c r="E784" s="0" t="inlineStr">
        <is>
          <t xml:space="preserve">WING INFLATABLES INC</t>
        </is>
      </c>
      <c r="F784" s="0" t="inlineStr">
        <is>
          <t xml:space="preserve">B</t>
        </is>
      </c>
      <c r="G784" s="4">
        <v>0.12152846</v>
      </c>
      <c r="H784" s="0" t="inlineStr">
        <is>
          <t xml:space="preserve">2019-11-18</t>
        </is>
      </c>
      <c r="I784" s="0" t="inlineStr">
        <is>
          <t xml:space="preserve">no</t>
        </is>
      </c>
      <c r="K784" s="0" t="inlineStr">
        <is>
          <t xml:space="preserve">NONE</t>
        </is>
      </c>
    </row>
    <row r="785">
      <c r="B785" s="0" t="inlineStr">
        <is>
          <t xml:space="preserve">N0010421PDE18</t>
        </is>
      </c>
      <c r="D785" s="0" t="inlineStr">
        <is>
          <t xml:space="preserve">small_craft</t>
        </is>
      </c>
      <c r="E785" s="0" t="inlineStr">
        <is>
          <t xml:space="preserve">HOWDEN AMERICAN FAN COMPANY</t>
        </is>
      </c>
      <c r="F785" s="0" t="inlineStr">
        <is>
          <t xml:space="preserve">B</t>
        </is>
      </c>
      <c r="G785" s="4">
        <v>0.120655</v>
      </c>
      <c r="H785" s="0" t="inlineStr">
        <is>
          <t xml:space="preserve">2021-09-24</t>
        </is>
      </c>
      <c r="I785" s="0" t="inlineStr">
        <is>
          <t xml:space="preserve">no</t>
        </is>
      </c>
      <c r="J785" s="0" t="inlineStr">
        <is>
          <t xml:space="preserve">N0010421QDB68</t>
        </is>
      </c>
      <c r="K785" s="0" t="inlineStr">
        <is>
          <t xml:space="preserve">NONE</t>
        </is>
      </c>
    </row>
    <row r="786">
      <c r="B786" s="0" t="inlineStr">
        <is>
          <t xml:space="preserve">N0010425PFD68</t>
        </is>
      </c>
      <c r="D786" s="0" t="inlineStr">
        <is>
          <t xml:space="preserve">small_craft</t>
        </is>
      </c>
      <c r="E786" s="0" t="inlineStr">
        <is>
          <t xml:space="preserve">PAINTER TOOL INCORPORATED</t>
        </is>
      </c>
      <c r="F786" s="0" t="inlineStr">
        <is>
          <t xml:space="preserve">B</t>
        </is>
      </c>
      <c r="G786" s="4">
        <v>0.12032999999999999</v>
      </c>
      <c r="H786" s="0" t="inlineStr">
        <is>
          <t xml:space="preserve">2025-07-25</t>
        </is>
      </c>
      <c r="I786" s="0" t="inlineStr">
        <is>
          <t xml:space="preserve">yes</t>
        </is>
      </c>
      <c r="J786" s="0" t="inlineStr">
        <is>
          <t xml:space="preserve">N0010425QFC57</t>
        </is>
      </c>
      <c r="K786" s="0" t="inlineStr">
        <is>
          <t xml:space="preserve">NONE</t>
        </is>
      </c>
    </row>
    <row r="787">
      <c r="B787" s="0" t="inlineStr">
        <is>
          <t xml:space="preserve">N0010424PNC09</t>
        </is>
      </c>
      <c r="D787" s="0" t="inlineStr">
        <is>
          <t xml:space="preserve">small_craft</t>
        </is>
      </c>
      <c r="E787" s="0" t="inlineStr">
        <is>
          <t xml:space="preserve">SARGENT AEROSPACE &amp; DEFENSE, LLC</t>
        </is>
      </c>
      <c r="F787" s="0" t="inlineStr">
        <is>
          <t xml:space="preserve">B</t>
        </is>
      </c>
      <c r="G787" s="4">
        <v>0.119792</v>
      </c>
      <c r="H787" s="0" t="inlineStr">
        <is>
          <t xml:space="preserve">2024-07-16</t>
        </is>
      </c>
      <c r="I787" s="0" t="inlineStr">
        <is>
          <t xml:space="preserve">no</t>
        </is>
      </c>
      <c r="J787" s="0" t="inlineStr">
        <is>
          <t xml:space="preserve">N0010424QNF95</t>
        </is>
      </c>
      <c r="K787" s="0" t="inlineStr">
        <is>
          <t xml:space="preserve">NONE</t>
        </is>
      </c>
    </row>
    <row r="788">
      <c r="B788" s="0" t="inlineStr">
        <is>
          <t xml:space="preserve">N5005423P0111</t>
        </is>
      </c>
      <c r="D788" s="0" t="inlineStr">
        <is>
          <t xml:space="preserve">small_craft</t>
        </is>
      </c>
      <c r="E788" s="0" t="inlineStr">
        <is>
          <t xml:space="preserve">DEFENSE MARITIME SOLUTIONS, INC.</t>
        </is>
      </c>
      <c r="F788" s="0" t="inlineStr">
        <is>
          <t xml:space="preserve">B</t>
        </is>
      </c>
      <c r="G788" s="4">
        <v>0.11810783999999999</v>
      </c>
      <c r="H788" s="0" t="inlineStr">
        <is>
          <t xml:space="preserve">2023-05-02</t>
        </is>
      </c>
      <c r="I788" s="0" t="inlineStr">
        <is>
          <t xml:space="preserve">no</t>
        </is>
      </c>
      <c r="K788" s="0" t="inlineStr">
        <is>
          <t xml:space="preserve">NONE</t>
        </is>
      </c>
    </row>
    <row r="789">
      <c r="B789" s="0" t="inlineStr">
        <is>
          <t xml:space="preserve">N3220519P4401</t>
        </is>
      </c>
      <c r="D789" s="0" t="inlineStr">
        <is>
          <t xml:space="preserve">small_craft</t>
        </is>
      </c>
      <c r="E789" s="0" t="inlineStr">
        <is>
          <t xml:space="preserve">VANE BROTHERS MARINE SAFETY &amp; SERVICES, INC</t>
        </is>
      </c>
      <c r="F789" s="0" t="inlineStr">
        <is>
          <t xml:space="preserve">B</t>
        </is>
      </c>
      <c r="G789" s="4">
        <v>0.11809599999999999</v>
      </c>
      <c r="H789" s="0" t="inlineStr">
        <is>
          <t xml:space="preserve">2019-09-17</t>
        </is>
      </c>
      <c r="I789" s="0" t="inlineStr">
        <is>
          <t xml:space="preserve">no</t>
        </is>
      </c>
      <c r="J789" s="0" t="inlineStr">
        <is>
          <t xml:space="preserve">N3220519Q4401</t>
        </is>
      </c>
      <c r="K789" s="0" t="inlineStr">
        <is>
          <t xml:space="preserve">NONE</t>
        </is>
      </c>
    </row>
    <row r="790">
      <c r="B790" s="0" t="inlineStr">
        <is>
          <t xml:space="preserve">N0010419FK403</t>
        </is>
      </c>
      <c r="C790" s="0" t="inlineStr">
        <is>
          <t xml:space="preserve">N0010416DX004</t>
        </is>
      </c>
      <c r="D790" s="0" t="inlineStr">
        <is>
          <t xml:space="preserve">small_craft</t>
        </is>
      </c>
      <c r="E790" s="0" t="inlineStr">
        <is>
          <t xml:space="preserve">WING INFLATABLES INC</t>
        </is>
      </c>
      <c r="F790" s="0" t="inlineStr">
        <is>
          <t xml:space="preserve">C</t>
        </is>
      </c>
      <c r="G790" s="4">
        <v>0.1171678</v>
      </c>
      <c r="H790" s="0" t="inlineStr">
        <is>
          <t xml:space="preserve">2019-01-18</t>
        </is>
      </c>
      <c r="I790" s="0" t="inlineStr">
        <is>
          <t xml:space="preserve">no</t>
        </is>
      </c>
      <c r="K790" s="0" t="inlineStr">
        <is>
          <t xml:space="preserve">NONE</t>
        </is>
      </c>
    </row>
    <row r="791">
      <c r="B791" s="0" t="inlineStr">
        <is>
          <t xml:space="preserve">N3220520P2165</t>
        </is>
      </c>
      <c r="D791" s="0" t="inlineStr">
        <is>
          <t xml:space="preserve">small_craft</t>
        </is>
      </c>
      <c r="E791" s="0" t="inlineStr">
        <is>
          <t xml:space="preserve">VANE BROTHERS MARINE SAFETY &amp; SERVICES, INC</t>
        </is>
      </c>
      <c r="F791" s="0" t="inlineStr">
        <is>
          <t xml:space="preserve">B</t>
        </is>
      </c>
      <c r="G791" s="4">
        <v>0.116216</v>
      </c>
      <c r="H791" s="0" t="inlineStr">
        <is>
          <t xml:space="preserve">2020-02-25</t>
        </is>
      </c>
      <c r="I791" s="0" t="inlineStr">
        <is>
          <t xml:space="preserve">no</t>
        </is>
      </c>
      <c r="J791" s="0" t="inlineStr">
        <is>
          <t xml:space="preserve">N3220520Q0208</t>
        </is>
      </c>
      <c r="K791" s="0" t="inlineStr">
        <is>
          <t xml:space="preserve">NONE</t>
        </is>
      </c>
    </row>
    <row r="792">
      <c r="B792" s="0" t="inlineStr">
        <is>
          <t xml:space="preserve">N0003919F0373</t>
        </is>
      </c>
      <c r="C792" s="0" t="inlineStr">
        <is>
          <t xml:space="preserve">N0003914D0013</t>
        </is>
      </c>
      <c r="D792" s="0" t="inlineStr">
        <is>
          <t xml:space="preserve">usv_core</t>
        </is>
      </c>
      <c r="E792" s="0" t="inlineStr">
        <is>
          <t xml:space="preserve">LOCKHEED MARTIN CORPORATION</t>
        </is>
      </c>
      <c r="F792" s="0" t="inlineStr">
        <is>
          <t xml:space="preserve">C</t>
        </is>
      </c>
      <c r="G792" s="4">
        <v>0.11445148</v>
      </c>
      <c r="H792" s="0" t="inlineStr">
        <is>
          <t xml:space="preserve">2019-08-14</t>
        </is>
      </c>
      <c r="I792" s="0" t="inlineStr">
        <is>
          <t xml:space="preserve">no</t>
        </is>
      </c>
      <c r="J792" s="0" t="inlineStr">
        <is>
          <t xml:space="preserve">N0003914R0029</t>
        </is>
      </c>
      <c r="K792" s="0" t="inlineStr">
        <is>
          <t xml:space="preserve">NONE</t>
        </is>
      </c>
    </row>
    <row r="793">
      <c r="B793" s="0" t="inlineStr">
        <is>
          <t xml:space="preserve">N0010417PFC41</t>
        </is>
      </c>
      <c r="D793" s="0" t="inlineStr">
        <is>
          <t xml:space="preserve">small_craft</t>
        </is>
      </c>
      <c r="E793" s="0" t="inlineStr">
        <is>
          <t xml:space="preserve">GUILL TOOL &amp; ENGINEERING CO INC</t>
        </is>
      </c>
      <c r="F793" s="0" t="inlineStr">
        <is>
          <t xml:space="preserve">B</t>
        </is>
      </c>
      <c r="G793" s="4">
        <v>0.114135</v>
      </c>
      <c r="H793" s="0" t="inlineStr">
        <is>
          <t xml:space="preserve">2017-02-08</t>
        </is>
      </c>
      <c r="I793" s="0" t="inlineStr">
        <is>
          <t xml:space="preserve">no</t>
        </is>
      </c>
      <c r="J793" s="0" t="inlineStr">
        <is>
          <t xml:space="preserve">N0010417QFA80</t>
        </is>
      </c>
      <c r="K793" s="0" t="inlineStr">
        <is>
          <t xml:space="preserve">NONE</t>
        </is>
      </c>
    </row>
    <row r="794">
      <c r="B794" s="0" t="inlineStr">
        <is>
          <t xml:space="preserve">N0040618P0986</t>
        </is>
      </c>
      <c r="D794" s="0" t="inlineStr">
        <is>
          <t xml:space="preserve">small_craft</t>
        </is>
      </c>
      <c r="E794" s="0" t="inlineStr">
        <is>
          <t xml:space="preserve">VIKING LIFE-SAVING EQUIPMENT (AMERICA), INC.</t>
        </is>
      </c>
      <c r="F794" s="0" t="inlineStr">
        <is>
          <t xml:space="preserve">B</t>
        </is>
      </c>
      <c r="G794" s="4">
        <v>0.11288839999999999</v>
      </c>
      <c r="H794" s="0" t="inlineStr">
        <is>
          <t xml:space="preserve">2018-08-21</t>
        </is>
      </c>
      <c r="I794" s="0" t="inlineStr">
        <is>
          <t xml:space="preserve">no</t>
        </is>
      </c>
      <c r="J794" s="0" t="inlineStr">
        <is>
          <t xml:space="preserve">N0040618Q0280</t>
        </is>
      </c>
      <c r="K794" s="0" t="inlineStr">
        <is>
          <t xml:space="preserve">NONE</t>
        </is>
      </c>
    </row>
    <row r="795">
      <c r="B795" s="0" t="inlineStr">
        <is>
          <t xml:space="preserve">N0002418F22G2</t>
        </is>
      </c>
      <c r="C795" s="0" t="inlineStr">
        <is>
          <t xml:space="preserve">N0002415D2214</t>
        </is>
      </c>
      <c r="D795" s="0" t="inlineStr">
        <is>
          <t xml:space="preserve">small_craft</t>
        </is>
      </c>
      <c r="E795" s="0" t="inlineStr">
        <is>
          <t xml:space="preserve">METALCRAFT MARINE US, INC.</t>
        </is>
      </c>
      <c r="F795" s="0" t="inlineStr">
        <is>
          <t xml:space="preserve">C</t>
        </is>
      </c>
      <c r="G795" s="4">
        <v>0.11195246</v>
      </c>
      <c r="H795" s="0" t="inlineStr">
        <is>
          <t xml:space="preserve">2018-05-24</t>
        </is>
      </c>
      <c r="I795" s="0" t="inlineStr">
        <is>
          <t xml:space="preserve">no</t>
        </is>
      </c>
      <c r="J795" s="0" t="inlineStr">
        <is>
          <t xml:space="preserve">N0002415R2214</t>
        </is>
      </c>
      <c r="K795" s="0" t="inlineStr">
        <is>
          <t xml:space="preserve">NONE</t>
        </is>
      </c>
    </row>
    <row r="796">
      <c r="B796" s="0" t="inlineStr">
        <is>
          <t xml:space="preserve">N6470921P0040</t>
        </is>
      </c>
      <c r="D796" s="0" t="inlineStr">
        <is>
          <t xml:space="preserve">small_craft</t>
        </is>
      </c>
      <c r="E796" s="0" t="inlineStr">
        <is>
          <t xml:space="preserve">WING INFLATABLES INC</t>
        </is>
      </c>
      <c r="F796" s="0" t="inlineStr">
        <is>
          <t xml:space="preserve">B</t>
        </is>
      </c>
      <c r="G796" s="4">
        <v>0.110912</v>
      </c>
      <c r="H796" s="0" t="inlineStr">
        <is>
          <t xml:space="preserve">2021-08-09</t>
        </is>
      </c>
      <c r="I796" s="0" t="inlineStr">
        <is>
          <t xml:space="preserve">no</t>
        </is>
      </c>
      <c r="J796" s="0" t="inlineStr">
        <is>
          <t xml:space="preserve">N6470921Q0040</t>
        </is>
      </c>
      <c r="K796" s="0" t="inlineStr">
        <is>
          <t xml:space="preserve">NONE</t>
        </is>
      </c>
    </row>
    <row r="797">
      <c r="B797" s="0" t="inlineStr">
        <is>
          <t xml:space="preserve">N0040617P1163</t>
        </is>
      </c>
      <c r="D797" s="0" t="inlineStr">
        <is>
          <t xml:space="preserve">small_craft</t>
        </is>
      </c>
      <c r="E797" s="0" t="inlineStr">
        <is>
          <t xml:space="preserve">DURAMAX MARINE, LLC</t>
        </is>
      </c>
      <c r="F797" s="0" t="inlineStr">
        <is>
          <t xml:space="preserve">B</t>
        </is>
      </c>
      <c r="G797" s="4">
        <v>0.11023999999999999</v>
      </c>
      <c r="H797" s="0" t="inlineStr">
        <is>
          <t xml:space="preserve">2017-03-09</t>
        </is>
      </c>
      <c r="I797" s="0" t="inlineStr">
        <is>
          <t xml:space="preserve">no</t>
        </is>
      </c>
      <c r="K797" s="0" t="inlineStr">
        <is>
          <t xml:space="preserve">NONE</t>
        </is>
      </c>
    </row>
    <row r="798">
      <c r="B798" s="0" t="inlineStr">
        <is>
          <t xml:space="preserve">N0010426PDA21</t>
        </is>
      </c>
      <c r="D798" s="0" t="inlineStr">
        <is>
          <t xml:space="preserve">small_craft</t>
        </is>
      </c>
      <c r="E798" s="0" t="inlineStr">
        <is>
          <t xml:space="preserve">VERTEX MODERNIZATION AND SUSTAINMENT LLC</t>
        </is>
      </c>
      <c r="F798" s="0" t="inlineStr">
        <is>
          <t xml:space="preserve">B</t>
        </is>
      </c>
      <c r="G798" s="4">
        <v>0.109998</v>
      </c>
      <c r="H798" s="0" t="inlineStr">
        <is>
          <t xml:space="preserve">2025-10-31</t>
        </is>
      </c>
      <c r="I798" s="0" t="inlineStr">
        <is>
          <t xml:space="preserve">yes</t>
        </is>
      </c>
      <c r="K798" s="0" t="inlineStr">
        <is>
          <t xml:space="preserve">NONE</t>
        </is>
      </c>
    </row>
    <row r="799">
      <c r="B799" s="0" t="inlineStr">
        <is>
          <t xml:space="preserve">0003</t>
        </is>
      </c>
      <c r="C799" s="0" t="inlineStr">
        <is>
          <t xml:space="preserve">N0002415D2214</t>
        </is>
      </c>
      <c r="D799" s="0" t="inlineStr">
        <is>
          <t xml:space="preserve">small_craft</t>
        </is>
      </c>
      <c r="E799" s="0" t="inlineStr">
        <is>
          <t xml:space="preserve">METALCRAFT MARINE US, INC.</t>
        </is>
      </c>
      <c r="F799" s="0" t="inlineStr">
        <is>
          <t xml:space="preserve">C</t>
        </is>
      </c>
      <c r="G799" s="4">
        <v>0.10984</v>
      </c>
      <c r="H799" s="0" t="inlineStr">
        <is>
          <t xml:space="preserve">2016-09-13</t>
        </is>
      </c>
      <c r="I799" s="0" t="inlineStr">
        <is>
          <t xml:space="preserve">no</t>
        </is>
      </c>
      <c r="J799" s="0" t="inlineStr">
        <is>
          <t xml:space="preserve">N0002415R2214</t>
        </is>
      </c>
      <c r="K799" s="0" t="inlineStr">
        <is>
          <t xml:space="preserve">NONE</t>
        </is>
      </c>
    </row>
    <row r="800">
      <c r="B800" s="0" t="inlineStr">
        <is>
          <t xml:space="preserve">N0040615P2423</t>
        </is>
      </c>
      <c r="D800" s="0" t="inlineStr">
        <is>
          <t xml:space="preserve">small_craft</t>
        </is>
      </c>
      <c r="E800" s="0" t="inlineStr">
        <is>
          <t xml:space="preserve">ADI TECHNOLOGIES INC.</t>
        </is>
      </c>
      <c r="F800" s="0" t="inlineStr">
        <is>
          <t xml:space="preserve">B</t>
        </is>
      </c>
      <c r="G800" s="4">
        <v>0.1085</v>
      </c>
      <c r="H800" s="0" t="inlineStr">
        <is>
          <t xml:space="preserve">2015-05-19</t>
        </is>
      </c>
      <c r="I800" s="0" t="inlineStr">
        <is>
          <t xml:space="preserve">no</t>
        </is>
      </c>
      <c r="J800" s="0" t="inlineStr">
        <is>
          <t xml:space="preserve">N0040615T0420</t>
        </is>
      </c>
      <c r="K800" s="0" t="inlineStr">
        <is>
          <t xml:space="preserve">NONE</t>
        </is>
      </c>
    </row>
    <row r="801">
      <c r="B801" s="0" t="inlineStr">
        <is>
          <t xml:space="preserve">N3220520P2199</t>
        </is>
      </c>
      <c r="D801" s="0" t="inlineStr">
        <is>
          <t xml:space="preserve">small_craft</t>
        </is>
      </c>
      <c r="E801" s="0" t="inlineStr">
        <is>
          <t xml:space="preserve">VANE BROTHERS MARINE SAFETY &amp; SERVICES, INC</t>
        </is>
      </c>
      <c r="F801" s="0" t="inlineStr">
        <is>
          <t xml:space="preserve">B</t>
        </is>
      </c>
      <c r="G801" s="4">
        <v>0.10812335000000001</v>
      </c>
      <c r="H801" s="0" t="inlineStr">
        <is>
          <t xml:space="preserve">2020-04-16</t>
        </is>
      </c>
      <c r="I801" s="0" t="inlineStr">
        <is>
          <t xml:space="preserve">no</t>
        </is>
      </c>
      <c r="J801" s="0" t="inlineStr">
        <is>
          <t xml:space="preserve">N3220520Q2185</t>
        </is>
      </c>
      <c r="K801" s="0" t="inlineStr">
        <is>
          <t xml:space="preserve">NONE</t>
        </is>
      </c>
    </row>
    <row r="802">
      <c r="B802" s="0" t="inlineStr">
        <is>
          <t xml:space="preserve">N0040620P0347</t>
        </is>
      </c>
      <c r="D802" s="0" t="inlineStr">
        <is>
          <t xml:space="preserve">small_craft</t>
        </is>
      </c>
      <c r="E802" s="0" t="inlineStr">
        <is>
          <t xml:space="preserve">J.D.A. MARITIME, INC.</t>
        </is>
      </c>
      <c r="F802" s="0" t="inlineStr">
        <is>
          <t xml:space="preserve">B</t>
        </is>
      </c>
      <c r="G802" s="4">
        <v>0.10812</v>
      </c>
      <c r="H802" s="0" t="inlineStr">
        <is>
          <t xml:space="preserve">2020-05-06</t>
        </is>
      </c>
      <c r="I802" s="0" t="inlineStr">
        <is>
          <t xml:space="preserve">no</t>
        </is>
      </c>
      <c r="J802" s="0" t="inlineStr">
        <is>
          <t xml:space="preserve">N0040620Q0123</t>
        </is>
      </c>
      <c r="K802" s="0" t="inlineStr">
        <is>
          <t xml:space="preserve">NONE</t>
        </is>
      </c>
    </row>
    <row r="803">
      <c r="B803" s="0" t="inlineStr">
        <is>
          <t xml:space="preserve">N0010422PSB62</t>
        </is>
      </c>
      <c r="D803" s="0" t="inlineStr">
        <is>
          <t xml:space="preserve">small_craft</t>
        </is>
      </c>
      <c r="E803" s="0" t="inlineStr">
        <is>
          <t xml:space="preserve">UNITED STATES TECHNOLOGIES INC</t>
        </is>
      </c>
      <c r="F803" s="0" t="inlineStr">
        <is>
          <t xml:space="preserve">B</t>
        </is>
      </c>
      <c r="G803" s="4">
        <v>0.10805</v>
      </c>
      <c r="H803" s="0" t="inlineStr">
        <is>
          <t xml:space="preserve">2022-07-14</t>
        </is>
      </c>
      <c r="I803" s="0" t="inlineStr">
        <is>
          <t xml:space="preserve">no</t>
        </is>
      </c>
      <c r="J803" s="0" t="inlineStr">
        <is>
          <t xml:space="preserve">N0010422QSB73</t>
        </is>
      </c>
      <c r="K803" s="0" t="inlineStr">
        <is>
          <t xml:space="preserve">NONE</t>
        </is>
      </c>
    </row>
    <row r="804">
      <c r="B804" s="0" t="inlineStr">
        <is>
          <t xml:space="preserve">M6261325F0011</t>
        </is>
      </c>
      <c r="C804" s="0" t="inlineStr">
        <is>
          <t xml:space="preserve">47QSWA23D006A</t>
        </is>
      </c>
      <c r="D804" s="0" t="inlineStr">
        <is>
          <t xml:space="preserve">small_craft</t>
        </is>
      </c>
      <c r="E804" s="0" t="inlineStr">
        <is>
          <t xml:space="preserve">CENTRAL FLORIDA YAMAHA INC</t>
        </is>
      </c>
      <c r="F804" s="0" t="inlineStr">
        <is>
          <t xml:space="preserve">C</t>
        </is>
      </c>
      <c r="G804" s="4">
        <v>0.10764</v>
      </c>
      <c r="H804" s="0" t="inlineStr">
        <is>
          <t xml:space="preserve">2025-08-22</t>
        </is>
      </c>
      <c r="I804" s="0" t="inlineStr">
        <is>
          <t xml:space="preserve">yes</t>
        </is>
      </c>
      <c r="K804" s="0" t="inlineStr">
        <is>
          <t xml:space="preserve">NONE</t>
        </is>
      </c>
    </row>
    <row r="805">
      <c r="B805" s="0" t="inlineStr">
        <is>
          <t xml:space="preserve">N0060421P4096</t>
        </is>
      </c>
      <c r="D805" s="0" t="inlineStr">
        <is>
          <t xml:space="preserve">small_craft</t>
        </is>
      </c>
      <c r="E805" s="0" t="inlineStr">
        <is>
          <t xml:space="preserve">BRAMHALL &amp; GOLDBERG, LIMITED</t>
        </is>
      </c>
      <c r="F805" s="0" t="inlineStr">
        <is>
          <t xml:space="preserve">B</t>
        </is>
      </c>
      <c r="G805" s="4">
        <v>0.10573729999999999</v>
      </c>
      <c r="H805" s="0" t="inlineStr">
        <is>
          <t xml:space="preserve">2021-08-19</t>
        </is>
      </c>
      <c r="I805" s="0" t="inlineStr">
        <is>
          <t xml:space="preserve">no</t>
        </is>
      </c>
      <c r="J805" s="0" t="inlineStr">
        <is>
          <t xml:space="preserve">N0060421Q4068</t>
        </is>
      </c>
      <c r="K805" s="0" t="inlineStr">
        <is>
          <t xml:space="preserve">NONE</t>
        </is>
      </c>
    </row>
    <row r="806">
      <c r="B806" s="0" t="inlineStr">
        <is>
          <t xml:space="preserve">N3220519F7788</t>
        </is>
      </c>
      <c r="C806" s="0" t="inlineStr">
        <is>
          <t xml:space="preserve">N3220517D4700</t>
        </is>
      </c>
      <c r="D806" s="0" t="inlineStr">
        <is>
          <t xml:space="preserve">other_small</t>
        </is>
      </c>
      <c r="E806" s="0" t="inlineStr">
        <is>
          <t xml:space="preserve">LAKE SHORE SYSTEMS, INC.</t>
        </is>
      </c>
      <c r="F806" s="0" t="inlineStr">
        <is>
          <t xml:space="preserve">C</t>
        </is>
      </c>
      <c r="G806" s="4">
        <v>0.10452956</v>
      </c>
      <c r="H806" s="0" t="inlineStr">
        <is>
          <t xml:space="preserve">2019-05-23</t>
        </is>
      </c>
      <c r="I806" s="0" t="inlineStr">
        <is>
          <t xml:space="preserve">no</t>
        </is>
      </c>
      <c r="K806" s="0" t="inlineStr">
        <is>
          <t xml:space="preserve">NONE</t>
        </is>
      </c>
    </row>
    <row r="807">
      <c r="B807" s="0" t="inlineStr">
        <is>
          <t xml:space="preserve">N0010421PNC82</t>
        </is>
      </c>
      <c r="D807" s="0" t="inlineStr">
        <is>
          <t xml:space="preserve">small_craft</t>
        </is>
      </c>
      <c r="E807" s="0" t="inlineStr">
        <is>
          <t xml:space="preserve">G. S. E. DYNAMICS, INC.</t>
        </is>
      </c>
      <c r="F807" s="0" t="inlineStr">
        <is>
          <t xml:space="preserve">B</t>
        </is>
      </c>
      <c r="G807" s="4">
        <v>0.10413981</v>
      </c>
      <c r="H807" s="0" t="inlineStr">
        <is>
          <t xml:space="preserve">2021-08-06</t>
        </is>
      </c>
      <c r="I807" s="0" t="inlineStr">
        <is>
          <t xml:space="preserve">no</t>
        </is>
      </c>
      <c r="K807" s="0" t="inlineStr">
        <is>
          <t xml:space="preserve">NONE</t>
        </is>
      </c>
    </row>
    <row r="808">
      <c r="B808" s="0" t="inlineStr">
        <is>
          <t xml:space="preserve">N0010426PNA34</t>
        </is>
      </c>
      <c r="D808" s="0" t="inlineStr">
        <is>
          <t xml:space="preserve">small_craft</t>
        </is>
      </c>
      <c r="E808" s="0" t="inlineStr">
        <is>
          <t xml:space="preserve">G. S. E. DYNAMICS, INC.</t>
        </is>
      </c>
      <c r="F808" s="0" t="inlineStr">
        <is>
          <t xml:space="preserve">B</t>
        </is>
      </c>
      <c r="G808" s="4">
        <v>0.103</v>
      </c>
      <c r="H808" s="0" t="inlineStr">
        <is>
          <t xml:space="preserve">2025-11-04</t>
        </is>
      </c>
      <c r="I808" s="0" t="inlineStr">
        <is>
          <t xml:space="preserve">yes</t>
        </is>
      </c>
      <c r="K808" s="0" t="inlineStr">
        <is>
          <t xml:space="preserve">NONE</t>
        </is>
      </c>
    </row>
    <row r="809">
      <c r="B809" s="0" t="inlineStr">
        <is>
          <t xml:space="preserve">N0010420FK401</t>
        </is>
      </c>
      <c r="C809" s="0" t="inlineStr">
        <is>
          <t xml:space="preserve">N0010416DX004</t>
        </is>
      </c>
      <c r="D809" s="0" t="inlineStr">
        <is>
          <t xml:space="preserve">small_craft</t>
        </is>
      </c>
      <c r="E809" s="0" t="inlineStr">
        <is>
          <t xml:space="preserve">WING INFLATABLES INC</t>
        </is>
      </c>
      <c r="F809" s="0" t="inlineStr">
        <is>
          <t xml:space="preserve">C</t>
        </is>
      </c>
      <c r="G809" s="4">
        <v>0.10299689999999999</v>
      </c>
      <c r="H809" s="0" t="inlineStr">
        <is>
          <t xml:space="preserve">2020-02-13</t>
        </is>
      </c>
      <c r="I809" s="0" t="inlineStr">
        <is>
          <t xml:space="preserve">no</t>
        </is>
      </c>
      <c r="K809" s="0" t="inlineStr">
        <is>
          <t xml:space="preserve">NONE</t>
        </is>
      </c>
    </row>
    <row r="810">
      <c r="B810" s="0" t="inlineStr">
        <is>
          <t xml:space="preserve">N0010423PFD98</t>
        </is>
      </c>
      <c r="D810" s="0" t="inlineStr">
        <is>
          <t xml:space="preserve">small_craft</t>
        </is>
      </c>
      <c r="E810" s="0" t="inlineStr">
        <is>
          <t xml:space="preserve">HYDROSPACE GROUP INC</t>
        </is>
      </c>
      <c r="F810" s="0" t="inlineStr">
        <is>
          <t xml:space="preserve">B</t>
        </is>
      </c>
      <c r="G810" s="4">
        <v>0.1025</v>
      </c>
      <c r="H810" s="0" t="inlineStr">
        <is>
          <t xml:space="preserve">2023-08-10</t>
        </is>
      </c>
      <c r="I810" s="0" t="inlineStr">
        <is>
          <t xml:space="preserve">no</t>
        </is>
      </c>
      <c r="K810" s="0" t="inlineStr">
        <is>
          <t xml:space="preserve">NONE</t>
        </is>
      </c>
    </row>
    <row r="811">
      <c r="B811" s="0" t="inlineStr">
        <is>
          <t xml:space="preserve">N0010426PNA88</t>
        </is>
      </c>
      <c r="D811" s="0" t="inlineStr">
        <is>
          <t xml:space="preserve">small_craft</t>
        </is>
      </c>
      <c r="E811" s="0" t="inlineStr">
        <is>
          <t xml:space="preserve">ELECTRIC BOAT CORPORATION</t>
        </is>
      </c>
      <c r="F811" s="0" t="inlineStr">
        <is>
          <t xml:space="preserve">B</t>
        </is>
      </c>
      <c r="G811" s="4">
        <v>0.10151099</v>
      </c>
      <c r="H811" s="0" t="inlineStr">
        <is>
          <t xml:space="preserve">2026-03-19</t>
        </is>
      </c>
      <c r="I811" s="0" t="inlineStr">
        <is>
          <t xml:space="preserve">yes</t>
        </is>
      </c>
      <c r="J811" s="0" t="inlineStr">
        <is>
          <t xml:space="preserve">N0010425QZA77</t>
        </is>
      </c>
      <c r="K811" s="0" t="inlineStr">
        <is>
          <t xml:space="preserve">NONE</t>
        </is>
      </c>
    </row>
    <row r="812">
      <c r="B812" s="0" t="inlineStr">
        <is>
          <t xml:space="preserve">M6016911F0071</t>
        </is>
      </c>
      <c r="C812" s="0" t="inlineStr">
        <is>
          <t xml:space="preserve">GS07F0357M</t>
        </is>
      </c>
      <c r="D812" s="0" t="inlineStr">
        <is>
          <t xml:space="preserve">small_craft</t>
        </is>
      </c>
      <c r="E812" s="0" t="inlineStr">
        <is>
          <t xml:space="preserve">NORTH RIVER BOATS INCORPORATED</t>
        </is>
      </c>
      <c r="F812" s="0" t="inlineStr">
        <is>
          <t xml:space="preserve">C</t>
        </is>
      </c>
      <c r="G812" s="4">
        <v>0.10064735999999999</v>
      </c>
      <c r="H812" s="0" t="inlineStr">
        <is>
          <t xml:space="preserve">2011-09-21</t>
        </is>
      </c>
      <c r="I812" s="0" t="inlineStr">
        <is>
          <t xml:space="preserve">no</t>
        </is>
      </c>
      <c r="K812" s="0" t="inlineStr">
        <is>
          <t xml:space="preserve">NONE</t>
        </is>
      </c>
    </row>
    <row r="813">
      <c r="B813" s="0" t="inlineStr">
        <is>
          <t xml:space="preserve">N0010425PJA67</t>
        </is>
      </c>
      <c r="D813" s="0" t="inlineStr">
        <is>
          <t xml:space="preserve">small_craft</t>
        </is>
      </c>
      <c r="E813" s="0" t="inlineStr">
        <is>
          <t xml:space="preserve">DEFENSE MARITIME SOLUTIONS, INC.</t>
        </is>
      </c>
      <c r="F813" s="0" t="inlineStr">
        <is>
          <t xml:space="preserve">B</t>
        </is>
      </c>
      <c r="G813" s="4">
        <v>0.10034213</v>
      </c>
      <c r="H813" s="0" t="inlineStr">
        <is>
          <t xml:space="preserve">2025-03-10</t>
        </is>
      </c>
      <c r="I813" s="0" t="inlineStr">
        <is>
          <t xml:space="preserve">no</t>
        </is>
      </c>
      <c r="J813" s="0" t="inlineStr">
        <is>
          <t xml:space="preserve">N0010425QJA29</t>
        </is>
      </c>
      <c r="K813" s="0" t="inlineStr">
        <is>
          <t xml:space="preserve">NONE</t>
        </is>
      </c>
    </row>
    <row r="814">
      <c r="B814" s="0" t="inlineStr">
        <is>
          <t xml:space="preserve">N0003925F1016</t>
        </is>
      </c>
      <c r="C814" s="0" t="inlineStr">
        <is>
          <t xml:space="preserve">N0003921D6001</t>
        </is>
      </c>
      <c r="D814" s="0" t="inlineStr">
        <is>
          <t xml:space="preserve">small_craft</t>
        </is>
      </c>
      <c r="E814" s="0" t="inlineStr">
        <is>
          <t xml:space="preserve">TELEDYNE BROWN ENGINEERING, INC.</t>
        </is>
      </c>
      <c r="F814" s="0" t="inlineStr">
        <is>
          <t xml:space="preserve">C</t>
        </is>
      </c>
      <c r="G814" s="4">
        <v>0.10027119</v>
      </c>
      <c r="H814" s="0" t="inlineStr">
        <is>
          <t xml:space="preserve">2025-07-28</t>
        </is>
      </c>
      <c r="I814" s="0" t="inlineStr">
        <is>
          <t xml:space="preserve">yes</t>
        </is>
      </c>
      <c r="J814" s="0" t="inlineStr">
        <is>
          <t xml:space="preserve">N0003921R1000</t>
        </is>
      </c>
      <c r="K814" s="0" t="inlineStr">
        <is>
          <t xml:space="preserve">NONE</t>
        </is>
      </c>
    </row>
    <row r="815">
      <c r="B815" s="0" t="inlineStr">
        <is>
          <t xml:space="preserve">N0010420PXB73</t>
        </is>
      </c>
      <c r="D815" s="0" t="inlineStr">
        <is>
          <t xml:space="preserve">small_craft</t>
        </is>
      </c>
      <c r="E815" s="0" t="inlineStr">
        <is>
          <t xml:space="preserve">L3 TECHNOLOGIES, INC.</t>
        </is>
      </c>
      <c r="F815" s="0" t="inlineStr">
        <is>
          <t xml:space="preserve">B</t>
        </is>
      </c>
      <c r="G815" s="4">
        <v>0.10021739999999998</v>
      </c>
      <c r="H815" s="0" t="inlineStr">
        <is>
          <t xml:space="preserve">2020-07-31</t>
        </is>
      </c>
      <c r="I815" s="0" t="inlineStr">
        <is>
          <t xml:space="preserve">no</t>
        </is>
      </c>
      <c r="J815" s="0" t="inlineStr">
        <is>
          <t xml:space="preserve">N0010420QXA63</t>
        </is>
      </c>
      <c r="K815" s="0" t="inlineStr">
        <is>
          <t xml:space="preserve">NONE</t>
        </is>
      </c>
    </row>
    <row r="816">
      <c r="B816" s="0" t="inlineStr">
        <is>
          <t xml:space="preserve">0028</t>
        </is>
      </c>
      <c r="C816" s="0" t="inlineStr">
        <is>
          <t xml:space="preserve">N0002408D6323</t>
        </is>
      </c>
      <c r="D816" s="0" t="inlineStr">
        <is>
          <t xml:space="preserve">usv_core</t>
        </is>
      </c>
      <c r="E816" s="0" t="inlineStr">
        <is>
          <t xml:space="preserve">UNIVERSITY OF HAWAII</t>
        </is>
      </c>
      <c r="F816" s="0" t="inlineStr">
        <is>
          <t xml:space="preserve">C</t>
        </is>
      </c>
      <c r="G816" s="4">
        <v>0.09999999999999999</v>
      </c>
      <c r="H816" s="0" t="inlineStr">
        <is>
          <t xml:space="preserve">2016-07-14</t>
        </is>
      </c>
      <c r="I816" s="0" t="inlineStr">
        <is>
          <t xml:space="preserve">no</t>
        </is>
      </c>
      <c r="K816" s="0" t="inlineStr">
        <is>
          <t xml:space="preserve">NONE</t>
        </is>
      </c>
    </row>
    <row r="817">
      <c r="B817" s="0" t="inlineStr">
        <is>
          <t xml:space="preserve">N0010422PEK46</t>
        </is>
      </c>
      <c r="D817" s="0" t="inlineStr">
        <is>
          <t xml:space="preserve">small_craft</t>
        </is>
      </c>
      <c r="E817" s="0" t="inlineStr">
        <is>
          <t xml:space="preserve">IN SPECK CORP</t>
        </is>
      </c>
      <c r="F817" s="0" t="inlineStr">
        <is>
          <t xml:space="preserve">B</t>
        </is>
      </c>
      <c r="G817" s="4">
        <v>0.09999815</v>
      </c>
      <c r="H817" s="0" t="inlineStr">
        <is>
          <t xml:space="preserve">2022-08-05</t>
        </is>
      </c>
      <c r="I817" s="0" t="inlineStr">
        <is>
          <t xml:space="preserve">no</t>
        </is>
      </c>
      <c r="K817" s="0" t="inlineStr">
        <is>
          <t xml:space="preserve">NONE</t>
        </is>
      </c>
    </row>
    <row r="818">
      <c r="B818" s="0" t="inlineStr">
        <is>
          <t xml:space="preserve">N0040619P0653</t>
        </is>
      </c>
      <c r="D818" s="0" t="inlineStr">
        <is>
          <t xml:space="preserve">small_craft</t>
        </is>
      </c>
      <c r="E818" s="0" t="inlineStr">
        <is>
          <t xml:space="preserve">PIER SIDE SUPPLY INC</t>
        </is>
      </c>
      <c r="F818" s="0" t="inlineStr">
        <is>
          <t xml:space="preserve">B</t>
        </is>
      </c>
      <c r="G818" s="4">
        <v>0.0998</v>
      </c>
      <c r="H818" s="0" t="inlineStr">
        <is>
          <t xml:space="preserve">2019-09-11</t>
        </is>
      </c>
      <c r="I818" s="0" t="inlineStr">
        <is>
          <t xml:space="preserve">no</t>
        </is>
      </c>
      <c r="J818" s="0" t="inlineStr">
        <is>
          <t xml:space="preserve">N0040619Q0313</t>
        </is>
      </c>
      <c r="K818" s="0" t="inlineStr">
        <is>
          <t xml:space="preserve">NONE</t>
        </is>
      </c>
    </row>
    <row r="819">
      <c r="B819" s="0" t="inlineStr">
        <is>
          <t xml:space="preserve">N0040622P0107</t>
        </is>
      </c>
      <c r="D819" s="0" t="inlineStr">
        <is>
          <t xml:space="preserve">small_craft</t>
        </is>
      </c>
      <c r="E819" s="0" t="inlineStr">
        <is>
          <t xml:space="preserve">FASSMER SERVICE AMERICA LLC</t>
        </is>
      </c>
      <c r="F819" s="0" t="inlineStr">
        <is>
          <t xml:space="preserve">B</t>
        </is>
      </c>
      <c r="G819" s="4">
        <v>0.09966204</v>
      </c>
      <c r="H819" s="0" t="inlineStr">
        <is>
          <t xml:space="preserve">2022-01-07</t>
        </is>
      </c>
      <c r="I819" s="0" t="inlineStr">
        <is>
          <t xml:space="preserve">no</t>
        </is>
      </c>
      <c r="J819" s="0" t="inlineStr">
        <is>
          <t xml:space="preserve">N0040622Q0080</t>
        </is>
      </c>
      <c r="K819" s="0" t="inlineStr">
        <is>
          <t xml:space="preserve">NONE</t>
        </is>
      </c>
    </row>
    <row r="820">
      <c r="B820" s="0" t="inlineStr">
        <is>
          <t xml:space="preserve">N0010420PCD69</t>
        </is>
      </c>
      <c r="D820" s="0" t="inlineStr">
        <is>
          <t xml:space="preserve">small_craft</t>
        </is>
      </c>
      <c r="E820" s="0" t="inlineStr">
        <is>
          <t xml:space="preserve">DRS NAVAL POWER SYSTEMS INC</t>
        </is>
      </c>
      <c r="F820" s="0" t="inlineStr">
        <is>
          <t xml:space="preserve">B</t>
        </is>
      </c>
      <c r="G820" s="4">
        <v>0.09963535999999999</v>
      </c>
      <c r="H820" s="0" t="inlineStr">
        <is>
          <t xml:space="preserve">2020-07-02</t>
        </is>
      </c>
      <c r="I820" s="0" t="inlineStr">
        <is>
          <t xml:space="preserve">no</t>
        </is>
      </c>
      <c r="K820" s="0" t="inlineStr">
        <is>
          <t xml:space="preserve">NONE</t>
        </is>
      </c>
    </row>
    <row r="821">
      <c r="B821" s="0" t="inlineStr">
        <is>
          <t xml:space="preserve">N3220519F1016</t>
        </is>
      </c>
      <c r="C821" s="0" t="inlineStr">
        <is>
          <t xml:space="preserve">N3220517D4700</t>
        </is>
      </c>
      <c r="D821" s="0" t="inlineStr">
        <is>
          <t xml:space="preserve">other_small</t>
        </is>
      </c>
      <c r="E821" s="0" t="inlineStr">
        <is>
          <t xml:space="preserve">LAKE SHORE SYSTEMS, INC.</t>
        </is>
      </c>
      <c r="F821" s="0" t="inlineStr">
        <is>
          <t xml:space="preserve">C</t>
        </is>
      </c>
      <c r="G821" s="4">
        <v>0.09962582</v>
      </c>
      <c r="H821" s="0" t="inlineStr">
        <is>
          <t xml:space="preserve">2018-10-12</t>
        </is>
      </c>
      <c r="I821" s="0" t="inlineStr">
        <is>
          <t xml:space="preserve">no</t>
        </is>
      </c>
      <c r="K821" s="0" t="inlineStr">
        <is>
          <t xml:space="preserve">NONE</t>
        </is>
      </c>
    </row>
    <row r="822">
      <c r="B822" s="0" t="inlineStr">
        <is>
          <t xml:space="preserve">N0010424FY701</t>
        </is>
      </c>
      <c r="C822" s="0" t="inlineStr">
        <is>
          <t xml:space="preserve">N0010422GY701</t>
        </is>
      </c>
      <c r="D822" s="0" t="inlineStr">
        <is>
          <t xml:space="preserve">small_craft</t>
        </is>
      </c>
      <c r="E822" s="0" t="inlineStr">
        <is>
          <t xml:space="preserve">L3 TECHNOLOGIES, INC.</t>
        </is>
      </c>
      <c r="F822" s="0" t="inlineStr">
        <is>
          <t xml:space="preserve">C</t>
        </is>
      </c>
      <c r="G822" s="4">
        <v>0.099379</v>
      </c>
      <c r="H822" s="0" t="inlineStr">
        <is>
          <t xml:space="preserve">2023-11-15</t>
        </is>
      </c>
      <c r="I822" s="0" t="inlineStr">
        <is>
          <t xml:space="preserve">no</t>
        </is>
      </c>
      <c r="K822" s="0" t="inlineStr">
        <is>
          <t xml:space="preserve">NONE</t>
        </is>
      </c>
    </row>
    <row r="823">
      <c r="B823" s="0" t="inlineStr">
        <is>
          <t xml:space="preserve">N0010416PNB68</t>
        </is>
      </c>
      <c r="D823" s="0" t="inlineStr">
        <is>
          <t xml:space="preserve">small_craft</t>
        </is>
      </c>
      <c r="E823" s="0" t="inlineStr">
        <is>
          <t xml:space="preserve">AMRON INTERNATIONAL INC</t>
        </is>
      </c>
      <c r="F823" s="0" t="inlineStr">
        <is>
          <t xml:space="preserve">B</t>
        </is>
      </c>
      <c r="G823" s="4">
        <v>0.099063</v>
      </c>
      <c r="H823" s="0" t="inlineStr">
        <is>
          <t xml:space="preserve">2015-11-12</t>
        </is>
      </c>
      <c r="I823" s="0" t="inlineStr">
        <is>
          <t xml:space="preserve">no</t>
        </is>
      </c>
      <c r="K823" s="0" t="inlineStr">
        <is>
          <t xml:space="preserve">NONE</t>
        </is>
      </c>
    </row>
    <row r="824">
      <c r="B824" s="0" t="inlineStr">
        <is>
          <t xml:space="preserve">0061</t>
        </is>
      </c>
      <c r="C824" s="0" t="inlineStr">
        <is>
          <t xml:space="preserve">N3220513D2001</t>
        </is>
      </c>
      <c r="D824" s="0" t="inlineStr">
        <is>
          <t xml:space="preserve">other_small</t>
        </is>
      </c>
      <c r="E824" s="0" t="inlineStr">
        <is>
          <t xml:space="preserve">AUSTAL USA, LLC</t>
        </is>
      </c>
      <c r="F824" s="0" t="inlineStr">
        <is>
          <t xml:space="preserve">C</t>
        </is>
      </c>
      <c r="G824" s="4">
        <v>0.09808262</v>
      </c>
      <c r="H824" s="0" t="inlineStr">
        <is>
          <t xml:space="preserve">2016-03-01</t>
        </is>
      </c>
      <c r="I824" s="0" t="inlineStr">
        <is>
          <t xml:space="preserve">no</t>
        </is>
      </c>
      <c r="J824" s="0" t="inlineStr">
        <is>
          <t xml:space="preserve">N4044212R2004</t>
        </is>
      </c>
      <c r="K824" s="0" t="inlineStr">
        <is>
          <t xml:space="preserve">NONE</t>
        </is>
      </c>
    </row>
    <row r="825">
      <c r="B825" s="0" t="inlineStr">
        <is>
          <t xml:space="preserve">N6893625F0104</t>
        </is>
      </c>
      <c r="C825" s="0" t="inlineStr">
        <is>
          <t xml:space="preserve">47QSWA23D006A</t>
        </is>
      </c>
      <c r="D825" s="0" t="inlineStr">
        <is>
          <t xml:space="preserve">small_craft</t>
        </is>
      </c>
      <c r="E825" s="0" t="inlineStr">
        <is>
          <t xml:space="preserve">CENTRAL FLORIDA YAMAHA INC</t>
        </is>
      </c>
      <c r="F825" s="0" t="inlineStr">
        <is>
          <t xml:space="preserve">C</t>
        </is>
      </c>
      <c r="G825" s="4">
        <v>0.0968</v>
      </c>
      <c r="H825" s="0" t="inlineStr">
        <is>
          <t xml:space="preserve">2024-12-16</t>
        </is>
      </c>
      <c r="I825" s="0" t="inlineStr">
        <is>
          <t xml:space="preserve">no</t>
        </is>
      </c>
      <c r="K825" s="0" t="inlineStr">
        <is>
          <t xml:space="preserve">NONE</t>
        </is>
      </c>
    </row>
    <row r="826">
      <c r="B826" s="0" t="inlineStr">
        <is>
          <t xml:space="preserve">N3220519F7796</t>
        </is>
      </c>
      <c r="C826" s="0" t="inlineStr">
        <is>
          <t xml:space="preserve">N3220517D4700</t>
        </is>
      </c>
      <c r="D826" s="0" t="inlineStr">
        <is>
          <t xml:space="preserve">other_small</t>
        </is>
      </c>
      <c r="E826" s="0" t="inlineStr">
        <is>
          <t xml:space="preserve">LAKE SHORE SYSTEMS, INC.</t>
        </is>
      </c>
      <c r="F826" s="0" t="inlineStr">
        <is>
          <t xml:space="preserve">C</t>
        </is>
      </c>
      <c r="G826" s="4">
        <v>0.09667424</v>
      </c>
      <c r="H826" s="0" t="inlineStr">
        <is>
          <t xml:space="preserve">2019-06-05</t>
        </is>
      </c>
      <c r="I826" s="0" t="inlineStr">
        <is>
          <t xml:space="preserve">no</t>
        </is>
      </c>
      <c r="K826" s="0" t="inlineStr">
        <is>
          <t xml:space="preserve">NONE</t>
        </is>
      </c>
    </row>
    <row r="827">
      <c r="B827" s="0" t="inlineStr">
        <is>
          <t xml:space="preserve">N6554015P5281</t>
        </is>
      </c>
      <c r="D827" s="0" t="inlineStr">
        <is>
          <t xml:space="preserve">small_craft</t>
        </is>
      </c>
      <c r="E827" s="0" t="inlineStr">
        <is>
          <t xml:space="preserve">HENSHAW INFLATABLES LIMITED</t>
        </is>
      </c>
      <c r="F827" s="0" t="inlineStr">
        <is>
          <t xml:space="preserve">B</t>
        </is>
      </c>
      <c r="G827" s="4">
        <v>0.0958948</v>
      </c>
      <c r="H827" s="0" t="inlineStr">
        <is>
          <t xml:space="preserve">2015-08-07</t>
        </is>
      </c>
      <c r="I827" s="0" t="inlineStr">
        <is>
          <t xml:space="preserve">no</t>
        </is>
      </c>
      <c r="J827" s="0" t="inlineStr">
        <is>
          <t xml:space="preserve">N6554015T5237</t>
        </is>
      </c>
      <c r="K827" s="0" t="inlineStr">
        <is>
          <t xml:space="preserve">NONE</t>
        </is>
      </c>
    </row>
    <row r="828">
      <c r="B828" s="0" t="inlineStr">
        <is>
          <t xml:space="preserve">N3220524P2181</t>
        </is>
      </c>
      <c r="D828" s="0" t="inlineStr">
        <is>
          <t xml:space="preserve">small_craft</t>
        </is>
      </c>
      <c r="E828" s="0" t="inlineStr">
        <is>
          <t xml:space="preserve">VIKING LIFE-SAVING EQUIPMENT (AMERICA), INC.</t>
        </is>
      </c>
      <c r="F828" s="0" t="inlineStr">
        <is>
          <t xml:space="preserve">B</t>
        </is>
      </c>
      <c r="G828" s="4">
        <v>0.09530100999999999</v>
      </c>
      <c r="H828" s="0" t="inlineStr">
        <is>
          <t xml:space="preserve">2024-07-22</t>
        </is>
      </c>
      <c r="I828" s="0" t="inlineStr">
        <is>
          <t xml:space="preserve">no</t>
        </is>
      </c>
      <c r="J828" s="0" t="inlineStr">
        <is>
          <t xml:space="preserve">N3220524Q0246</t>
        </is>
      </c>
      <c r="K828" s="0" t="inlineStr">
        <is>
          <t xml:space="preserve">NONE</t>
        </is>
      </c>
    </row>
    <row r="829">
      <c r="B829" s="0" t="inlineStr">
        <is>
          <t xml:space="preserve">N0010424PED41</t>
        </is>
      </c>
      <c r="D829" s="0" t="inlineStr">
        <is>
          <t xml:space="preserve">small_craft</t>
        </is>
      </c>
      <c r="E829" s="0" t="inlineStr">
        <is>
          <t xml:space="preserve">IDEXX LABORATORIES INC</t>
        </is>
      </c>
      <c r="F829" s="0" t="inlineStr">
        <is>
          <t xml:space="preserve">B</t>
        </is>
      </c>
      <c r="G829" s="4">
        <v>0.0948</v>
      </c>
      <c r="H829" s="0" t="inlineStr">
        <is>
          <t xml:space="preserve">2024-09-05</t>
        </is>
      </c>
      <c r="I829" s="0" t="inlineStr">
        <is>
          <t xml:space="preserve">no</t>
        </is>
      </c>
      <c r="K829" s="0" t="inlineStr">
        <is>
          <t xml:space="preserve">NONE</t>
        </is>
      </c>
    </row>
    <row r="830">
      <c r="B830" s="0" t="inlineStr">
        <is>
          <t xml:space="preserve">N0010417PDF41</t>
        </is>
      </c>
      <c r="D830" s="0" t="inlineStr">
        <is>
          <t xml:space="preserve">small_craft</t>
        </is>
      </c>
      <c r="E830" s="0" t="inlineStr">
        <is>
          <t xml:space="preserve">ROLLS-ROYCE MARINE NORTH AMERICA INC.</t>
        </is>
      </c>
      <c r="F830" s="0" t="inlineStr">
        <is>
          <t xml:space="preserve">B</t>
        </is>
      </c>
      <c r="G830" s="4">
        <v>0.094302</v>
      </c>
      <c r="H830" s="0" t="inlineStr">
        <is>
          <t xml:space="preserve">2017-05-17</t>
        </is>
      </c>
      <c r="I830" s="0" t="inlineStr">
        <is>
          <t xml:space="preserve">no</t>
        </is>
      </c>
      <c r="K830" s="0" t="inlineStr">
        <is>
          <t xml:space="preserve">NONE</t>
        </is>
      </c>
    </row>
    <row r="831">
      <c r="B831" s="0" t="inlineStr">
        <is>
          <t xml:space="preserve">N0010426PYA37</t>
        </is>
      </c>
      <c r="D831" s="0" t="inlineStr">
        <is>
          <t xml:space="preserve">small_craft</t>
        </is>
      </c>
      <c r="E831" s="0" t="inlineStr">
        <is>
          <t xml:space="preserve">SCHAEFFLER AEROSPACE USA CORP</t>
        </is>
      </c>
      <c r="F831" s="0" t="inlineStr">
        <is>
          <t xml:space="preserve">B</t>
        </is>
      </c>
      <c r="G831" s="4">
        <v>0.09401699999999999</v>
      </c>
      <c r="H831" s="0" t="inlineStr">
        <is>
          <t xml:space="preserve">2025-10-30</t>
        </is>
      </c>
      <c r="I831" s="0" t="inlineStr">
        <is>
          <t xml:space="preserve">yes</t>
        </is>
      </c>
      <c r="J831" s="0" t="inlineStr">
        <is>
          <t xml:space="preserve">N0010425QYC63</t>
        </is>
      </c>
      <c r="K831" s="0" t="inlineStr">
        <is>
          <t xml:space="preserve">NONE</t>
        </is>
      </c>
    </row>
    <row r="832">
      <c r="B832" s="0" t="inlineStr">
        <is>
          <t xml:space="preserve">N6893623P0427</t>
        </is>
      </c>
      <c r="D832" s="0" t="inlineStr">
        <is>
          <t xml:space="preserve">small_craft</t>
        </is>
      </c>
      <c r="E832" s="0" t="inlineStr">
        <is>
          <t xml:space="preserve">PHILLIPS CORPORATION</t>
        </is>
      </c>
      <c r="F832" s="0" t="inlineStr">
        <is>
          <t xml:space="preserve">B</t>
        </is>
      </c>
      <c r="G832" s="4">
        <v>0.09373339</v>
      </c>
      <c r="H832" s="0" t="inlineStr">
        <is>
          <t xml:space="preserve">2023-08-28</t>
        </is>
      </c>
      <c r="I832" s="0" t="inlineStr">
        <is>
          <t xml:space="preserve">no</t>
        </is>
      </c>
      <c r="J832" s="0" t="inlineStr">
        <is>
          <t xml:space="preserve">N6893623Q0230</t>
        </is>
      </c>
      <c r="K832" s="0" t="inlineStr">
        <is>
          <t xml:space="preserve">NONE</t>
        </is>
      </c>
    </row>
    <row r="833">
      <c r="B833" s="0" t="inlineStr">
        <is>
          <t xml:space="preserve">N0010420PCE46</t>
        </is>
      </c>
      <c r="D833" s="0" t="inlineStr">
        <is>
          <t xml:space="preserve">small_craft</t>
        </is>
      </c>
      <c r="E833" s="0" t="inlineStr">
        <is>
          <t xml:space="preserve">AMERICAN METAL BEARING CO</t>
        </is>
      </c>
      <c r="F833" s="0" t="inlineStr">
        <is>
          <t xml:space="preserve">B</t>
        </is>
      </c>
      <c r="G833" s="4">
        <v>0.09370235</v>
      </c>
      <c r="H833" s="0" t="inlineStr">
        <is>
          <t xml:space="preserve">2020-09-22</t>
        </is>
      </c>
      <c r="I833" s="0" t="inlineStr">
        <is>
          <t xml:space="preserve">no</t>
        </is>
      </c>
      <c r="K833" s="0" t="inlineStr">
        <is>
          <t xml:space="preserve">NONE</t>
        </is>
      </c>
    </row>
    <row r="834">
      <c r="B834" s="0" t="inlineStr">
        <is>
          <t xml:space="preserve">N0010421PCE57</t>
        </is>
      </c>
      <c r="D834" s="0" t="inlineStr">
        <is>
          <t xml:space="preserve">small_craft</t>
        </is>
      </c>
      <c r="E834" s="0" t="inlineStr">
        <is>
          <t xml:space="preserve">DEFENSE MARITIME SOLUTIONS, INC.</t>
        </is>
      </c>
      <c r="F834" s="0" t="inlineStr">
        <is>
          <t xml:space="preserve">B</t>
        </is>
      </c>
      <c r="G834" s="4">
        <v>0.09338128</v>
      </c>
      <c r="H834" s="0" t="inlineStr">
        <is>
          <t xml:space="preserve">2021-08-30</t>
        </is>
      </c>
      <c r="I834" s="0" t="inlineStr">
        <is>
          <t xml:space="preserve">no</t>
        </is>
      </c>
      <c r="J834" s="0" t="inlineStr">
        <is>
          <t xml:space="preserve">N0010421QCB49</t>
        </is>
      </c>
      <c r="K834" s="0" t="inlineStr">
        <is>
          <t xml:space="preserve">NONE</t>
        </is>
      </c>
    </row>
    <row r="835">
      <c r="B835" s="0" t="inlineStr">
        <is>
          <t xml:space="preserve">N3220521P0034</t>
        </is>
      </c>
      <c r="D835" s="0" t="inlineStr">
        <is>
          <t xml:space="preserve">small_craft</t>
        </is>
      </c>
      <c r="E835" s="0" t="inlineStr">
        <is>
          <t xml:space="preserve">FASSMER SERVICE AMERICA LLC</t>
        </is>
      </c>
      <c r="F835" s="0" t="inlineStr">
        <is>
          <t xml:space="preserve">B</t>
        </is>
      </c>
      <c r="G835" s="4">
        <v>0.09332632</v>
      </c>
      <c r="H835" s="0" t="inlineStr">
        <is>
          <t xml:space="preserve">2020-10-22</t>
        </is>
      </c>
      <c r="I835" s="0" t="inlineStr">
        <is>
          <t xml:space="preserve">no</t>
        </is>
      </c>
      <c r="J835" s="0" t="inlineStr">
        <is>
          <t xml:space="preserve">N3220520Q4196</t>
        </is>
      </c>
      <c r="K835" s="0" t="inlineStr">
        <is>
          <t xml:space="preserve">NONE</t>
        </is>
      </c>
    </row>
    <row r="836">
      <c r="B836" s="0" t="inlineStr">
        <is>
          <t xml:space="preserve">N0010425PAA16</t>
        </is>
      </c>
      <c r="D836" s="0" t="inlineStr">
        <is>
          <t xml:space="preserve">small_craft</t>
        </is>
      </c>
      <c r="E836" s="0" t="inlineStr">
        <is>
          <t xml:space="preserve">ECK PLASTIC HOLDINGS LLC</t>
        </is>
      </c>
      <c r="F836" s="0" t="inlineStr">
        <is>
          <t xml:space="preserve">B</t>
        </is>
      </c>
      <c r="G836" s="4">
        <v>0.09327519999999999</v>
      </c>
      <c r="H836" s="0" t="inlineStr">
        <is>
          <t xml:space="preserve">2024-12-13</t>
        </is>
      </c>
      <c r="I836" s="0" t="inlineStr">
        <is>
          <t xml:space="preserve">no</t>
        </is>
      </c>
      <c r="K836" s="0" t="inlineStr">
        <is>
          <t xml:space="preserve">NONE</t>
        </is>
      </c>
    </row>
    <row r="837">
      <c r="B837" s="0" t="inlineStr">
        <is>
          <t xml:space="preserve">N0010416PDB40</t>
        </is>
      </c>
      <c r="D837" s="0" t="inlineStr">
        <is>
          <t xml:space="preserve">small_craft</t>
        </is>
      </c>
      <c r="E837" s="0" t="inlineStr">
        <is>
          <t xml:space="preserve">ROLLS-ROYCE MARINE NORTH AMERICA INC.</t>
        </is>
      </c>
      <c r="F837" s="0" t="inlineStr">
        <is>
          <t xml:space="preserve">B</t>
        </is>
      </c>
      <c r="G837" s="4">
        <v>0.093191</v>
      </c>
      <c r="H837" s="0" t="inlineStr">
        <is>
          <t xml:space="preserve">2016-04-08</t>
        </is>
      </c>
      <c r="I837" s="0" t="inlineStr">
        <is>
          <t xml:space="preserve">no</t>
        </is>
      </c>
      <c r="K837" s="0" t="inlineStr">
        <is>
          <t xml:space="preserve">NONE</t>
        </is>
      </c>
    </row>
    <row r="838">
      <c r="B838" s="0" t="inlineStr">
        <is>
          <t xml:space="preserve">N6824624P0152</t>
        </is>
      </c>
      <c r="D838" s="0" t="inlineStr">
        <is>
          <t xml:space="preserve">small_craft</t>
        </is>
      </c>
      <c r="E838" s="0" t="inlineStr">
        <is>
          <t xml:space="preserve">THE YOKOHAMA RUBBER COMPANY, LIMITED</t>
        </is>
      </c>
      <c r="F838" s="0" t="inlineStr">
        <is>
          <t xml:space="preserve">B</t>
        </is>
      </c>
      <c r="G838" s="4">
        <v>0.09308857000000001</v>
      </c>
      <c r="H838" s="0" t="inlineStr">
        <is>
          <t xml:space="preserve">2024-09-25</t>
        </is>
      </c>
      <c r="I838" s="0" t="inlineStr">
        <is>
          <t xml:space="preserve">no</t>
        </is>
      </c>
      <c r="J838" s="0" t="inlineStr">
        <is>
          <t xml:space="preserve">N6824624Q0138</t>
        </is>
      </c>
      <c r="K838" s="0" t="inlineStr">
        <is>
          <t xml:space="preserve">NONE</t>
        </is>
      </c>
    </row>
    <row r="839">
      <c r="B839" s="0" t="inlineStr">
        <is>
          <t xml:space="preserve">N3220515P1371</t>
        </is>
      </c>
      <c r="D839" s="0" t="inlineStr">
        <is>
          <t xml:space="preserve">small_craft</t>
        </is>
      </c>
      <c r="E839" s="0" t="inlineStr">
        <is>
          <t xml:space="preserve">PALFINGER MARINE USA, LLC</t>
        </is>
      </c>
      <c r="F839" s="0" t="inlineStr">
        <is>
          <t xml:space="preserve">B</t>
        </is>
      </c>
      <c r="G839" s="4">
        <v>0.093</v>
      </c>
      <c r="H839" s="0" t="inlineStr">
        <is>
          <t xml:space="preserve">2015-05-09</t>
        </is>
      </c>
      <c r="I839" s="0" t="inlineStr">
        <is>
          <t xml:space="preserve">no</t>
        </is>
      </c>
      <c r="J839" s="0" t="inlineStr">
        <is>
          <t xml:space="preserve">N3220515T1346</t>
        </is>
      </c>
      <c r="K839" s="0" t="inlineStr">
        <is>
          <t xml:space="preserve">NONE</t>
        </is>
      </c>
    </row>
    <row r="840">
      <c r="B840" s="0" t="inlineStr">
        <is>
          <t xml:space="preserve">N0010422PSC04</t>
        </is>
      </c>
      <c r="D840" s="0" t="inlineStr">
        <is>
          <t xml:space="preserve">small_craft</t>
        </is>
      </c>
      <c r="E840" s="0" t="inlineStr">
        <is>
          <t xml:space="preserve">LOCKHEED MARTIN CORPORATION</t>
        </is>
      </c>
      <c r="F840" s="0" t="inlineStr">
        <is>
          <t xml:space="preserve">B</t>
        </is>
      </c>
      <c r="G840" s="4">
        <v>0.09244999999999999</v>
      </c>
      <c r="H840" s="0" t="inlineStr">
        <is>
          <t xml:space="preserve">2022-08-19</t>
        </is>
      </c>
      <c r="I840" s="0" t="inlineStr">
        <is>
          <t xml:space="preserve">no</t>
        </is>
      </c>
      <c r="K840" s="0" t="inlineStr">
        <is>
          <t xml:space="preserve">NONE</t>
        </is>
      </c>
    </row>
    <row r="841">
      <c r="B841" s="0" t="inlineStr">
        <is>
          <t xml:space="preserve">N0010425PXC77</t>
        </is>
      </c>
      <c r="D841" s="0" t="inlineStr">
        <is>
          <t xml:space="preserve">small_craft</t>
        </is>
      </c>
      <c r="E841" s="0" t="inlineStr">
        <is>
          <t xml:space="preserve">HDL RESEARCH LAB INC</t>
        </is>
      </c>
      <c r="F841" s="0" t="inlineStr">
        <is>
          <t xml:space="preserve">B</t>
        </is>
      </c>
      <c r="G841" s="4">
        <v>0.09109125</v>
      </c>
      <c r="H841" s="0" t="inlineStr">
        <is>
          <t xml:space="preserve">2025-07-18</t>
        </is>
      </c>
      <c r="I841" s="0" t="inlineStr">
        <is>
          <t xml:space="preserve">yes</t>
        </is>
      </c>
      <c r="K841" s="0" t="inlineStr">
        <is>
          <t xml:space="preserve">NONE</t>
        </is>
      </c>
    </row>
    <row r="842">
      <c r="B842" s="0" t="inlineStr">
        <is>
          <t xml:space="preserve">N0016718P0139</t>
        </is>
      </c>
      <c r="D842" s="0" t="inlineStr">
        <is>
          <t xml:space="preserve">small_craft</t>
        </is>
      </c>
      <c r="E842" s="0" t="inlineStr">
        <is>
          <t xml:space="preserve">HII UNMANNED SYSTEMS, INC</t>
        </is>
      </c>
      <c r="F842" s="0" t="inlineStr">
        <is>
          <t xml:space="preserve">B</t>
        </is>
      </c>
      <c r="G842" s="4">
        <v>0.09066099999999999</v>
      </c>
      <c r="H842" s="0" t="inlineStr">
        <is>
          <t xml:space="preserve">2018-06-01</t>
        </is>
      </c>
      <c r="I842" s="0" t="inlineStr">
        <is>
          <t xml:space="preserve">no</t>
        </is>
      </c>
      <c r="J842" s="0" t="inlineStr">
        <is>
          <t xml:space="preserve">N0016718Q0063</t>
        </is>
      </c>
      <c r="K842" s="0" t="inlineStr">
        <is>
          <t xml:space="preserve">NONE</t>
        </is>
      </c>
    </row>
    <row r="843">
      <c r="B843" s="0" t="inlineStr">
        <is>
          <t xml:space="preserve">1001</t>
        </is>
      </c>
      <c r="C843" s="0" t="inlineStr">
        <is>
          <t xml:space="preserve">N0010416DX004</t>
        </is>
      </c>
      <c r="D843" s="0" t="inlineStr">
        <is>
          <t xml:space="preserve">small_craft</t>
        </is>
      </c>
      <c r="E843" s="0" t="inlineStr">
        <is>
          <t xml:space="preserve">WING INFLATABLES INC</t>
        </is>
      </c>
      <c r="F843" s="0" t="inlineStr">
        <is>
          <t xml:space="preserve">C</t>
        </is>
      </c>
      <c r="G843" s="4">
        <v>0.090656</v>
      </c>
      <c r="H843" s="0" t="inlineStr">
        <is>
          <t xml:space="preserve">2016-04-28</t>
        </is>
      </c>
      <c r="I843" s="0" t="inlineStr">
        <is>
          <t xml:space="preserve">no</t>
        </is>
      </c>
      <c r="K843" s="0" t="inlineStr">
        <is>
          <t xml:space="preserve">NONE</t>
        </is>
      </c>
    </row>
    <row r="844">
      <c r="B844" s="0" t="inlineStr">
        <is>
          <t xml:space="preserve">LH73</t>
        </is>
      </c>
      <c r="C844" s="0" t="inlineStr">
        <is>
          <t xml:space="preserve">N6238715D2104</t>
        </is>
      </c>
      <c r="D844" s="0" t="inlineStr">
        <is>
          <t xml:space="preserve">other_small</t>
        </is>
      </c>
      <c r="E844" s="0" t="inlineStr">
        <is>
          <t xml:space="preserve">MCALLISTER TOWING AND TRANSPORTATION COMPANY, INC.</t>
        </is>
      </c>
      <c r="F844" s="0" t="inlineStr">
        <is>
          <t xml:space="preserve">C</t>
        </is>
      </c>
      <c r="G844" s="4">
        <v>0.08988</v>
      </c>
      <c r="H844" s="0" t="inlineStr">
        <is>
          <t xml:space="preserve">2017-07-23</t>
        </is>
      </c>
      <c r="I844" s="0" t="inlineStr">
        <is>
          <t xml:space="preserve">no</t>
        </is>
      </c>
      <c r="J844" s="0" t="inlineStr">
        <is>
          <t xml:space="preserve">N6238715R2104</t>
        </is>
      </c>
      <c r="K844" s="0" t="inlineStr">
        <is>
          <t xml:space="preserve">NONE</t>
        </is>
      </c>
    </row>
    <row r="845">
      <c r="B845" s="0" t="inlineStr">
        <is>
          <t xml:space="preserve">M6740021P0094</t>
        </is>
      </c>
      <c r="D845" s="0" t="inlineStr">
        <is>
          <t xml:space="preserve">small_craft</t>
        </is>
      </c>
      <c r="E845" s="0" t="inlineStr">
        <is>
          <t xml:space="preserve">GUTTRUK PACIFIC SERVICES CO., LTD.</t>
        </is>
      </c>
      <c r="F845" s="0" t="inlineStr">
        <is>
          <t xml:space="preserve">B</t>
        </is>
      </c>
      <c r="G845" s="4">
        <v>0.08938066</v>
      </c>
      <c r="H845" s="0" t="inlineStr">
        <is>
          <t xml:space="preserve">2021-09-27</t>
        </is>
      </c>
      <c r="I845" s="0" t="inlineStr">
        <is>
          <t xml:space="preserve">no</t>
        </is>
      </c>
      <c r="J845" s="0" t="inlineStr">
        <is>
          <t xml:space="preserve">M6740021Q0103</t>
        </is>
      </c>
      <c r="K845" s="0" t="inlineStr">
        <is>
          <t xml:space="preserve">NONE</t>
        </is>
      </c>
    </row>
    <row r="846">
      <c r="B846" s="0" t="inlineStr">
        <is>
          <t xml:space="preserve">N6817120P6039</t>
        </is>
      </c>
      <c r="D846" s="0" t="inlineStr">
        <is>
          <t xml:space="preserve">small_craft</t>
        </is>
      </c>
      <c r="E846" s="0" t="inlineStr">
        <is>
          <t xml:space="preserve">LOGISTICS CONSULTANCY SPAIN SL</t>
        </is>
      </c>
      <c r="F846" s="0" t="inlineStr">
        <is>
          <t xml:space="preserve">B</t>
        </is>
      </c>
      <c r="G846" s="4">
        <v>0.08818097</v>
      </c>
      <c r="H846" s="0" t="inlineStr">
        <is>
          <t xml:space="preserve">2020-07-29</t>
        </is>
      </c>
      <c r="I846" s="0" t="inlineStr">
        <is>
          <t xml:space="preserve">no</t>
        </is>
      </c>
      <c r="J846" s="0" t="inlineStr">
        <is>
          <t xml:space="preserve">N6817120Q6011</t>
        </is>
      </c>
      <c r="K846" s="0" t="inlineStr">
        <is>
          <t xml:space="preserve">NONE</t>
        </is>
      </c>
    </row>
    <row r="847">
      <c r="B847" s="0" t="inlineStr">
        <is>
          <t xml:space="preserve">N6600115P6817</t>
        </is>
      </c>
      <c r="D847" s="0" t="inlineStr">
        <is>
          <t xml:space="preserve">small_craft</t>
        </is>
      </c>
      <c r="E847" s="0" t="inlineStr">
        <is>
          <t xml:space="preserve">WING INFLATABLES, INC.</t>
        </is>
      </c>
      <c r="F847" s="0" t="inlineStr">
        <is>
          <t xml:space="preserve">B</t>
        </is>
      </c>
      <c r="G847" s="4">
        <v>0.0876</v>
      </c>
      <c r="H847" s="0" t="inlineStr">
        <is>
          <t xml:space="preserve">2015-09-11</t>
        </is>
      </c>
      <c r="I847" s="0" t="inlineStr">
        <is>
          <t xml:space="preserve">no</t>
        </is>
      </c>
      <c r="J847" s="0" t="inlineStr">
        <is>
          <t xml:space="preserve">N6600115T6817</t>
        </is>
      </c>
      <c r="K847" s="0" t="inlineStr">
        <is>
          <t xml:space="preserve">NONE</t>
        </is>
      </c>
    </row>
    <row r="848">
      <c r="B848" s="0" t="inlineStr">
        <is>
          <t xml:space="preserve">N6600117P8028</t>
        </is>
      </c>
      <c r="D848" s="0" t="inlineStr">
        <is>
          <t xml:space="preserve">small_craft</t>
        </is>
      </c>
      <c r="E848" s="0" t="inlineStr">
        <is>
          <t xml:space="preserve">LIQUID ROBOTICS, INC.</t>
        </is>
      </c>
      <c r="F848" s="0" t="inlineStr">
        <is>
          <t xml:space="preserve">B</t>
        </is>
      </c>
      <c r="G848" s="4">
        <v>0.08726360999999999</v>
      </c>
      <c r="H848" s="0" t="inlineStr">
        <is>
          <t xml:space="preserve">2017-07-10</t>
        </is>
      </c>
      <c r="I848" s="0" t="inlineStr">
        <is>
          <t xml:space="preserve">no</t>
        </is>
      </c>
      <c r="J848" s="0" t="inlineStr">
        <is>
          <t xml:space="preserve">N6600117Q8028</t>
        </is>
      </c>
      <c r="K848" s="0" t="inlineStr">
        <is>
          <t xml:space="preserve">NONE</t>
        </is>
      </c>
    </row>
    <row r="849">
      <c r="B849" s="0" t="inlineStr">
        <is>
          <t xml:space="preserve">LH61</t>
        </is>
      </c>
      <c r="C849" s="0" t="inlineStr">
        <is>
          <t xml:space="preserve">N6238715D2104</t>
        </is>
      </c>
      <c r="D849" s="0" t="inlineStr">
        <is>
          <t xml:space="preserve">other_small</t>
        </is>
      </c>
      <c r="E849" s="0" t="inlineStr">
        <is>
          <t xml:space="preserve">MCALLISTER TOWING AND TRANSPORTATION COMPANY, INC.</t>
        </is>
      </c>
      <c r="F849" s="0" t="inlineStr">
        <is>
          <t xml:space="preserve">C</t>
        </is>
      </c>
      <c r="G849" s="4">
        <v>0.08667</v>
      </c>
      <c r="H849" s="0" t="inlineStr">
        <is>
          <t xml:space="preserve">2017-05-22</t>
        </is>
      </c>
      <c r="I849" s="0" t="inlineStr">
        <is>
          <t xml:space="preserve">no</t>
        </is>
      </c>
      <c r="J849" s="0" t="inlineStr">
        <is>
          <t xml:space="preserve">N6238715R2104</t>
        </is>
      </c>
      <c r="K849" s="0" t="inlineStr">
        <is>
          <t xml:space="preserve">NONE</t>
        </is>
      </c>
    </row>
    <row r="850">
      <c r="B850" s="0" t="inlineStr">
        <is>
          <t xml:space="preserve">N0010423PEL94</t>
        </is>
      </c>
      <c r="D850" s="0" t="inlineStr">
        <is>
          <t xml:space="preserve">small_craft</t>
        </is>
      </c>
      <c r="E850" s="0" t="inlineStr">
        <is>
          <t xml:space="preserve">DIBERT VALVE AND FITTING COMPANY, INCORPORATED</t>
        </is>
      </c>
      <c r="F850" s="0" t="inlineStr">
        <is>
          <t xml:space="preserve">B</t>
        </is>
      </c>
      <c r="G850" s="4">
        <v>0.0858816</v>
      </c>
      <c r="H850" s="0" t="inlineStr">
        <is>
          <t xml:space="preserve">2023-09-15</t>
        </is>
      </c>
      <c r="I850" s="0" t="inlineStr">
        <is>
          <t xml:space="preserve">no</t>
        </is>
      </c>
      <c r="K850" s="0" t="inlineStr">
        <is>
          <t xml:space="preserve">NONE</t>
        </is>
      </c>
    </row>
    <row r="851">
      <c r="B851" s="0" t="inlineStr">
        <is>
          <t xml:space="preserve">N0010421PED33</t>
        </is>
      </c>
      <c r="D851" s="0" t="inlineStr">
        <is>
          <t xml:space="preserve">small_craft</t>
        </is>
      </c>
      <c r="E851" s="0" t="inlineStr">
        <is>
          <t xml:space="preserve">AIRGAS USA LLC</t>
        </is>
      </c>
      <c r="F851" s="0" t="inlineStr">
        <is>
          <t xml:space="preserve">B</t>
        </is>
      </c>
      <c r="G851" s="4">
        <v>0.08512423</v>
      </c>
      <c r="H851" s="0" t="inlineStr">
        <is>
          <t xml:space="preserve">2021-06-11</t>
        </is>
      </c>
      <c r="I851" s="0" t="inlineStr">
        <is>
          <t xml:space="preserve">no</t>
        </is>
      </c>
      <c r="K851" s="0" t="inlineStr">
        <is>
          <t xml:space="preserve">NONE</t>
        </is>
      </c>
    </row>
    <row r="852">
      <c r="B852" s="0" t="inlineStr">
        <is>
          <t xml:space="preserve">N0040622P0419</t>
        </is>
      </c>
      <c r="D852" s="0" t="inlineStr">
        <is>
          <t xml:space="preserve">small_craft</t>
        </is>
      </c>
      <c r="E852" s="0" t="inlineStr">
        <is>
          <t xml:space="preserve">URETHANE PRODUCTS CORPORATION</t>
        </is>
      </c>
      <c r="F852" s="0" t="inlineStr">
        <is>
          <t xml:space="preserve">B</t>
        </is>
      </c>
      <c r="G852" s="4">
        <v>0.08448</v>
      </c>
      <c r="H852" s="0" t="inlineStr">
        <is>
          <t xml:space="preserve">2022-05-05</t>
        </is>
      </c>
      <c r="I852" s="0" t="inlineStr">
        <is>
          <t xml:space="preserve">no</t>
        </is>
      </c>
      <c r="J852" s="0" t="inlineStr">
        <is>
          <t xml:space="preserve">N0040622Q0399</t>
        </is>
      </c>
      <c r="K852" s="0" t="inlineStr">
        <is>
          <t xml:space="preserve">NONE</t>
        </is>
      </c>
    </row>
    <row r="853">
      <c r="B853" s="0" t="inlineStr">
        <is>
          <t xml:space="preserve">N0010417PDG31</t>
        </is>
      </c>
      <c r="D853" s="0" t="inlineStr">
        <is>
          <t xml:space="preserve">small_craft</t>
        </is>
      </c>
      <c r="E853" s="0" t="inlineStr">
        <is>
          <t xml:space="preserve">TIMKEN GEARS &amp; SERVICES INC.</t>
        </is>
      </c>
      <c r="F853" s="0" t="inlineStr">
        <is>
          <t xml:space="preserve">B</t>
        </is>
      </c>
      <c r="G853" s="4">
        <v>0.084474</v>
      </c>
      <c r="H853" s="0" t="inlineStr">
        <is>
          <t xml:space="preserve">2017-07-18</t>
        </is>
      </c>
      <c r="I853" s="0" t="inlineStr">
        <is>
          <t xml:space="preserve">no</t>
        </is>
      </c>
      <c r="K853" s="0" t="inlineStr">
        <is>
          <t xml:space="preserve">NONE</t>
        </is>
      </c>
    </row>
    <row r="854">
      <c r="B854" s="0" t="inlineStr">
        <is>
          <t xml:space="preserve">N6600123P6167</t>
        </is>
      </c>
      <c r="D854" s="0" t="inlineStr">
        <is>
          <t xml:space="preserve">usv_core</t>
        </is>
      </c>
      <c r="E854" s="0" t="inlineStr">
        <is>
          <t xml:space="preserve">HYDRONALIX INC</t>
        </is>
      </c>
      <c r="F854" s="0" t="inlineStr">
        <is>
          <t xml:space="preserve">B</t>
        </is>
      </c>
      <c r="G854" s="4">
        <v>0.08437499999999999</v>
      </c>
      <c r="H854" s="0" t="inlineStr">
        <is>
          <t xml:space="preserve">2023-04-26</t>
        </is>
      </c>
      <c r="I854" s="0" t="inlineStr">
        <is>
          <t xml:space="preserve">no</t>
        </is>
      </c>
      <c r="J854" s="0" t="inlineStr">
        <is>
          <t xml:space="preserve">N6600123Q6167</t>
        </is>
      </c>
      <c r="K854" s="0" t="inlineStr">
        <is>
          <t xml:space="preserve">NONE</t>
        </is>
      </c>
    </row>
    <row r="855">
      <c r="B855" s="0" t="inlineStr">
        <is>
          <t xml:space="preserve">0003</t>
        </is>
      </c>
      <c r="C855" s="0" t="inlineStr">
        <is>
          <t xml:space="preserve">N6230613D9S01</t>
        </is>
      </c>
      <c r="D855" s="0" t="inlineStr">
        <is>
          <t xml:space="preserve">small_craft</t>
        </is>
      </c>
      <c r="E855" s="0" t="inlineStr">
        <is>
          <t xml:space="preserve">SAUNDERS ENGINE &amp; EQUIPMENT CO INC</t>
        </is>
      </c>
      <c r="F855" s="0" t="inlineStr">
        <is>
          <t xml:space="preserve">C</t>
        </is>
      </c>
      <c r="G855" s="4">
        <v>0.0843622</v>
      </c>
      <c r="H855" s="0" t="inlineStr">
        <is>
          <t xml:space="preserve">2013-05-02</t>
        </is>
      </c>
      <c r="I855" s="0" t="inlineStr">
        <is>
          <t xml:space="preserve">no</t>
        </is>
      </c>
      <c r="J855" s="0" t="inlineStr">
        <is>
          <t xml:space="preserve">N6230612R9S01</t>
        </is>
      </c>
      <c r="K855" s="0" t="inlineStr">
        <is>
          <t xml:space="preserve">NONE</t>
        </is>
      </c>
    </row>
    <row r="856">
      <c r="B856" s="0" t="inlineStr">
        <is>
          <t xml:space="preserve">0014</t>
        </is>
      </c>
      <c r="C856" s="0" t="inlineStr">
        <is>
          <t xml:space="preserve">N6230613D9S01</t>
        </is>
      </c>
      <c r="D856" s="0" t="inlineStr">
        <is>
          <t xml:space="preserve">small_craft</t>
        </is>
      </c>
      <c r="E856" s="0" t="inlineStr">
        <is>
          <t xml:space="preserve">SAUNDERS ENGINE &amp; EQUIPMENT CO INC</t>
        </is>
      </c>
      <c r="F856" s="0" t="inlineStr">
        <is>
          <t xml:space="preserve">C</t>
        </is>
      </c>
      <c r="G856" s="4">
        <v>0.0830733</v>
      </c>
      <c r="H856" s="0" t="inlineStr">
        <is>
          <t xml:space="preserve">2015-03-16</t>
        </is>
      </c>
      <c r="I856" s="0" t="inlineStr">
        <is>
          <t xml:space="preserve">no</t>
        </is>
      </c>
      <c r="J856" s="0" t="inlineStr">
        <is>
          <t xml:space="preserve">N6230612R9S01</t>
        </is>
      </c>
      <c r="K856" s="0" t="inlineStr">
        <is>
          <t xml:space="preserve">NONE</t>
        </is>
      </c>
    </row>
    <row r="857">
      <c r="B857" s="0" t="inlineStr">
        <is>
          <t xml:space="preserve">N0010425PFE09</t>
        </is>
      </c>
      <c r="D857" s="0" t="inlineStr">
        <is>
          <t xml:space="preserve">small_craft</t>
        </is>
      </c>
      <c r="E857" s="0" t="inlineStr">
        <is>
          <t xml:space="preserve">B&amp;G MANUFACTURING CO INC</t>
        </is>
      </c>
      <c r="F857" s="0" t="inlineStr">
        <is>
          <t xml:space="preserve">B</t>
        </is>
      </c>
      <c r="G857" s="4">
        <v>0.08249999999999999</v>
      </c>
      <c r="H857" s="0" t="inlineStr">
        <is>
          <t xml:space="preserve">2025-08-20</t>
        </is>
      </c>
      <c r="I857" s="0" t="inlineStr">
        <is>
          <t xml:space="preserve">yes</t>
        </is>
      </c>
      <c r="J857" s="0" t="inlineStr">
        <is>
          <t xml:space="preserve">N0010425QFB90</t>
        </is>
      </c>
      <c r="K857" s="0" t="inlineStr">
        <is>
          <t xml:space="preserve">NONE</t>
        </is>
      </c>
    </row>
    <row r="858">
      <c r="B858" s="0" t="inlineStr">
        <is>
          <t xml:space="preserve">N4044318P0047</t>
        </is>
      </c>
      <c r="D858" s="0" t="inlineStr">
        <is>
          <t xml:space="preserve">small_craft</t>
        </is>
      </c>
      <c r="E858" s="0" t="inlineStr">
        <is>
          <t xml:space="preserve">VANE BROTHERS MARINE SAFETY &amp; SERVICES, INC</t>
        </is>
      </c>
      <c r="F858" s="0" t="inlineStr">
        <is>
          <t xml:space="preserve">B</t>
        </is>
      </c>
      <c r="G858" s="4">
        <v>0.08184</v>
      </c>
      <c r="H858" s="0" t="inlineStr">
        <is>
          <t xml:space="preserve">2017-12-12</t>
        </is>
      </c>
      <c r="I858" s="0" t="inlineStr">
        <is>
          <t xml:space="preserve">no</t>
        </is>
      </c>
      <c r="J858" s="0" t="inlineStr">
        <is>
          <t xml:space="preserve">N4044318T0047</t>
        </is>
      </c>
      <c r="K858" s="0" t="inlineStr">
        <is>
          <t xml:space="preserve">NONE</t>
        </is>
      </c>
    </row>
    <row r="859">
      <c r="B859" s="0" t="inlineStr">
        <is>
          <t xml:space="preserve">V5532219F0001</t>
        </is>
      </c>
      <c r="C859" s="0" t="inlineStr">
        <is>
          <t xml:space="preserve">GS03F044CA</t>
        </is>
      </c>
      <c r="D859" s="0" t="inlineStr">
        <is>
          <t xml:space="preserve">other_small</t>
        </is>
      </c>
      <c r="E859" s="0" t="inlineStr">
        <is>
          <t xml:space="preserve">W S DARLEY &amp; CO</t>
        </is>
      </c>
      <c r="F859" s="0" t="inlineStr">
        <is>
          <t xml:space="preserve">C</t>
        </is>
      </c>
      <c r="G859" s="4">
        <v>0.081618</v>
      </c>
      <c r="H859" s="0" t="inlineStr">
        <is>
          <t xml:space="preserve">2018-11-20</t>
        </is>
      </c>
      <c r="I859" s="0" t="inlineStr">
        <is>
          <t xml:space="preserve">no</t>
        </is>
      </c>
      <c r="K859" s="0" t="inlineStr">
        <is>
          <t xml:space="preserve">NONE</t>
        </is>
      </c>
    </row>
    <row r="860">
      <c r="B860" s="0" t="inlineStr">
        <is>
          <t xml:space="preserve">N0040623P0033</t>
        </is>
      </c>
      <c r="D860" s="0" t="inlineStr">
        <is>
          <t xml:space="preserve">small_craft</t>
        </is>
      </c>
      <c r="E860" s="0" t="inlineStr">
        <is>
          <t xml:space="preserve">JUNIPER ELBOW CO. INC.</t>
        </is>
      </c>
      <c r="F860" s="0" t="inlineStr">
        <is>
          <t xml:space="preserve">B</t>
        </is>
      </c>
      <c r="G860" s="4">
        <v>0.08155599999999999</v>
      </c>
      <c r="H860" s="0" t="inlineStr">
        <is>
          <t xml:space="preserve">2022-12-06</t>
        </is>
      </c>
      <c r="I860" s="0" t="inlineStr">
        <is>
          <t xml:space="preserve">no</t>
        </is>
      </c>
      <c r="J860" s="0" t="inlineStr">
        <is>
          <t xml:space="preserve">N0040623Q0026</t>
        </is>
      </c>
      <c r="K860" s="0" t="inlineStr">
        <is>
          <t xml:space="preserve">NONE</t>
        </is>
      </c>
    </row>
    <row r="861">
      <c r="B861" s="0" t="inlineStr">
        <is>
          <t xml:space="preserve">N0016722P0153</t>
        </is>
      </c>
      <c r="D861" s="0" t="inlineStr">
        <is>
          <t xml:space="preserve">small_craft</t>
        </is>
      </c>
      <c r="E861" s="0" t="inlineStr">
        <is>
          <t xml:space="preserve">MARITIME SOLUTIONS INC</t>
        </is>
      </c>
      <c r="F861" s="0" t="inlineStr">
        <is>
          <t xml:space="preserve">B</t>
        </is>
      </c>
      <c r="G861" s="4">
        <v>0.081245</v>
      </c>
      <c r="H861" s="0" t="inlineStr">
        <is>
          <t xml:space="preserve">2022-06-28</t>
        </is>
      </c>
      <c r="I861" s="0" t="inlineStr">
        <is>
          <t xml:space="preserve">no</t>
        </is>
      </c>
      <c r="J861" s="0" t="inlineStr">
        <is>
          <t xml:space="preserve">N0016722Q0158</t>
        </is>
      </c>
      <c r="K861" s="0" t="inlineStr">
        <is>
          <t xml:space="preserve">NONE</t>
        </is>
      </c>
    </row>
    <row r="862">
      <c r="B862" s="0" t="inlineStr">
        <is>
          <t xml:space="preserve">N0016721P0261</t>
        </is>
      </c>
      <c r="D862" s="0" t="inlineStr">
        <is>
          <t xml:space="preserve">small_craft</t>
        </is>
      </c>
      <c r="E862" s="0" t="inlineStr">
        <is>
          <t xml:space="preserve">MARITIME SOLUTIONS INC</t>
        </is>
      </c>
      <c r="F862" s="0" t="inlineStr">
        <is>
          <t xml:space="preserve">B</t>
        </is>
      </c>
      <c r="G862" s="4">
        <v>0.081245</v>
      </c>
      <c r="H862" s="0" t="inlineStr">
        <is>
          <t xml:space="preserve">2021-09-20</t>
        </is>
      </c>
      <c r="I862" s="0" t="inlineStr">
        <is>
          <t xml:space="preserve">no</t>
        </is>
      </c>
      <c r="J862" s="0" t="inlineStr">
        <is>
          <t xml:space="preserve">N0016721Q0251</t>
        </is>
      </c>
      <c r="K862" s="0" t="inlineStr">
        <is>
          <t xml:space="preserve">NONE</t>
        </is>
      </c>
    </row>
    <row r="863">
      <c r="B863" s="0" t="inlineStr">
        <is>
          <t xml:space="preserve">N0024418P0146</t>
        </is>
      </c>
      <c r="D863" s="0" t="inlineStr">
        <is>
          <t xml:space="preserve">small_craft</t>
        </is>
      </c>
      <c r="E863" s="0" t="inlineStr">
        <is>
          <t xml:space="preserve">SAFE BOATS INTERNATIONAL LLC</t>
        </is>
      </c>
      <c r="F863" s="0" t="inlineStr">
        <is>
          <t xml:space="preserve">B</t>
        </is>
      </c>
      <c r="G863" s="4">
        <v>0.081052</v>
      </c>
      <c r="H863" s="0" t="inlineStr">
        <is>
          <t xml:space="preserve">2018-03-08</t>
        </is>
      </c>
      <c r="I863" s="0" t="inlineStr">
        <is>
          <t xml:space="preserve">no</t>
        </is>
      </c>
      <c r="K863" s="0" t="inlineStr">
        <is>
          <t xml:space="preserve">NONE</t>
        </is>
      </c>
    </row>
    <row r="864">
      <c r="B864" s="0" t="inlineStr">
        <is>
          <t xml:space="preserve">N0001424P7003</t>
        </is>
      </c>
      <c r="D864" s="0" t="inlineStr">
        <is>
          <t xml:space="preserve">usv_core</t>
        </is>
      </c>
      <c r="E864" s="0" t="inlineStr">
        <is>
          <t xml:space="preserve">ROYAL AMERICAN HOSPITALITY INC</t>
        </is>
      </c>
      <c r="F864" s="0" t="inlineStr">
        <is>
          <t xml:space="preserve">B</t>
        </is>
      </c>
      <c r="G864" s="4">
        <v>0.0810368</v>
      </c>
      <c r="H864" s="0" t="inlineStr">
        <is>
          <t xml:space="preserve">2024-03-14</t>
        </is>
      </c>
      <c r="I864" s="0" t="inlineStr">
        <is>
          <t xml:space="preserve">no</t>
        </is>
      </c>
      <c r="J864" s="0" t="inlineStr">
        <is>
          <t xml:space="preserve">N0001424Q0003</t>
        </is>
      </c>
      <c r="K864" s="0" t="inlineStr">
        <is>
          <t xml:space="preserve">NONE</t>
        </is>
      </c>
    </row>
    <row r="865">
      <c r="B865" s="0" t="inlineStr">
        <is>
          <t xml:space="preserve">LH82</t>
        </is>
      </c>
      <c r="C865" s="0" t="inlineStr">
        <is>
          <t xml:space="preserve">N6238715D2104</t>
        </is>
      </c>
      <c r="D865" s="0" t="inlineStr">
        <is>
          <t xml:space="preserve">other_small</t>
        </is>
      </c>
      <c r="E865" s="0" t="inlineStr">
        <is>
          <t xml:space="preserve">MCALLISTER TOWING AND TRANSPORTATION COMPANY, INC.</t>
        </is>
      </c>
      <c r="F865" s="0" t="inlineStr">
        <is>
          <t xml:space="preserve">C</t>
        </is>
      </c>
      <c r="G865" s="4">
        <v>0.079332</v>
      </c>
      <c r="H865" s="0" t="inlineStr">
        <is>
          <t xml:space="preserve">2018-06-07</t>
        </is>
      </c>
      <c r="I865" s="0" t="inlineStr">
        <is>
          <t xml:space="preserve">no</t>
        </is>
      </c>
      <c r="J865" s="0" t="inlineStr">
        <is>
          <t xml:space="preserve">N6238715R2104</t>
        </is>
      </c>
      <c r="K865" s="0" t="inlineStr">
        <is>
          <t xml:space="preserve">NONE</t>
        </is>
      </c>
    </row>
    <row r="866">
      <c r="B866" s="0" t="inlineStr">
        <is>
          <t xml:space="preserve">0019</t>
        </is>
      </c>
      <c r="C866" s="0" t="inlineStr">
        <is>
          <t xml:space="preserve">N6230613D9S01</t>
        </is>
      </c>
      <c r="D866" s="0" t="inlineStr">
        <is>
          <t xml:space="preserve">small_craft</t>
        </is>
      </c>
      <c r="E866" s="0" t="inlineStr">
        <is>
          <t xml:space="preserve">SAUNDERS ENGINE &amp; EQUIPMENT CO INC</t>
        </is>
      </c>
      <c r="F866" s="0" t="inlineStr">
        <is>
          <t xml:space="preserve">C</t>
        </is>
      </c>
      <c r="G866" s="4">
        <v>0.07919799999999999</v>
      </c>
      <c r="H866" s="0" t="inlineStr">
        <is>
          <t xml:space="preserve">2016-02-18</t>
        </is>
      </c>
      <c r="I866" s="0" t="inlineStr">
        <is>
          <t xml:space="preserve">no</t>
        </is>
      </c>
      <c r="J866" s="0" t="inlineStr">
        <is>
          <t xml:space="preserve">N6230612R9S01</t>
        </is>
      </c>
      <c r="K866" s="0" t="inlineStr">
        <is>
          <t xml:space="preserve">NONE</t>
        </is>
      </c>
    </row>
    <row r="867">
      <c r="B867" s="0" t="inlineStr">
        <is>
          <t xml:space="preserve">N0010425PJB50</t>
        </is>
      </c>
      <c r="D867" s="0" t="inlineStr">
        <is>
          <t xml:space="preserve">small_craft</t>
        </is>
      </c>
      <c r="E867" s="0" t="inlineStr">
        <is>
          <t xml:space="preserve">LOUIS ALLIS LLC</t>
        </is>
      </c>
      <c r="F867" s="0" t="inlineStr">
        <is>
          <t xml:space="preserve">B</t>
        </is>
      </c>
      <c r="G867" s="4">
        <v>0.07895102</v>
      </c>
      <c r="H867" s="0" t="inlineStr">
        <is>
          <t xml:space="preserve">2025-04-07</t>
        </is>
      </c>
      <c r="I867" s="0" t="inlineStr">
        <is>
          <t xml:space="preserve">no</t>
        </is>
      </c>
      <c r="K867" s="0" t="inlineStr">
        <is>
          <t xml:space="preserve">NONE</t>
        </is>
      </c>
    </row>
    <row r="868">
      <c r="B868" s="0" t="inlineStr">
        <is>
          <t xml:space="preserve">N0010426PSA58</t>
        </is>
      </c>
      <c r="D868" s="0" t="inlineStr">
        <is>
          <t xml:space="preserve">small_craft</t>
        </is>
      </c>
      <c r="E868" s="0" t="inlineStr">
        <is>
          <t xml:space="preserve">W R SYSTEMS LTD</t>
        </is>
      </c>
      <c r="F868" s="0" t="inlineStr">
        <is>
          <t xml:space="preserve">B</t>
        </is>
      </c>
      <c r="G868" s="4">
        <v>0.07862589999999998</v>
      </c>
      <c r="H868" s="0" t="inlineStr">
        <is>
          <t xml:space="preserve">2025-11-25</t>
        </is>
      </c>
      <c r="I868" s="0" t="inlineStr">
        <is>
          <t xml:space="preserve">yes</t>
        </is>
      </c>
      <c r="K868" s="0" t="inlineStr">
        <is>
          <t xml:space="preserve">NONE</t>
        </is>
      </c>
    </row>
    <row r="869">
      <c r="B869" s="0" t="inlineStr">
        <is>
          <t xml:space="preserve">M0068124C0003</t>
        </is>
      </c>
      <c r="D869" s="0" t="inlineStr">
        <is>
          <t xml:space="preserve">small_craft</t>
        </is>
      </c>
      <c r="E869" s="0" t="inlineStr">
        <is>
          <t xml:space="preserve">NIGHTFALL CONSULTING, LLC</t>
        </is>
      </c>
      <c r="F869" s="0" t="inlineStr">
        <is>
          <t xml:space="preserve">D</t>
        </is>
      </c>
      <c r="G869" s="4">
        <v>0.078</v>
      </c>
      <c r="H869" s="0" t="inlineStr">
        <is>
          <t xml:space="preserve">2024-06-18</t>
        </is>
      </c>
      <c r="I869" s="0" t="inlineStr">
        <is>
          <t xml:space="preserve">no</t>
        </is>
      </c>
      <c r="J869" s="0" t="inlineStr">
        <is>
          <t xml:space="preserve">M0068124Q0027</t>
        </is>
      </c>
      <c r="K869" s="0" t="inlineStr">
        <is>
          <t xml:space="preserve">NONE</t>
        </is>
      </c>
    </row>
    <row r="870">
      <c r="B870" s="0" t="inlineStr">
        <is>
          <t xml:space="preserve">N0010421PCD92</t>
        </is>
      </c>
      <c r="D870" s="0" t="inlineStr">
        <is>
          <t xml:space="preserve">small_craft</t>
        </is>
      </c>
      <c r="E870" s="0" t="inlineStr">
        <is>
          <t xml:space="preserve">ELECTRIC MOTOR AND CONTRACTING COMPANY</t>
        </is>
      </c>
      <c r="F870" s="0" t="inlineStr">
        <is>
          <t xml:space="preserve">B</t>
        </is>
      </c>
      <c r="G870" s="4">
        <v>0.07760299999999999</v>
      </c>
      <c r="H870" s="0" t="inlineStr">
        <is>
          <t xml:space="preserve">2021-07-23</t>
        </is>
      </c>
      <c r="I870" s="0" t="inlineStr">
        <is>
          <t xml:space="preserve">no</t>
        </is>
      </c>
      <c r="K870" s="0" t="inlineStr">
        <is>
          <t xml:space="preserve">NONE</t>
        </is>
      </c>
    </row>
    <row r="871">
      <c r="B871" s="0" t="inlineStr">
        <is>
          <t xml:space="preserve">N0010417PLA60</t>
        </is>
      </c>
      <c r="D871" s="0" t="inlineStr">
        <is>
          <t xml:space="preserve">small_craft</t>
        </is>
      </c>
      <c r="E871" s="0" t="inlineStr">
        <is>
          <t xml:space="preserve">SATELLINK INC</t>
        </is>
      </c>
      <c r="F871" s="0" t="inlineStr">
        <is>
          <t xml:space="preserve">B</t>
        </is>
      </c>
      <c r="G871" s="4">
        <v>0.07755999999999999</v>
      </c>
      <c r="H871" s="0" t="inlineStr">
        <is>
          <t xml:space="preserve">2017-01-04</t>
        </is>
      </c>
      <c r="I871" s="0" t="inlineStr">
        <is>
          <t xml:space="preserve">no</t>
        </is>
      </c>
      <c r="K871" s="0" t="inlineStr">
        <is>
          <t xml:space="preserve">NONE</t>
        </is>
      </c>
    </row>
    <row r="872">
      <c r="B872" s="0" t="inlineStr">
        <is>
          <t xml:space="preserve">N4044318P0138</t>
        </is>
      </c>
      <c r="D872" s="0" t="inlineStr">
        <is>
          <t xml:space="preserve">small_craft</t>
        </is>
      </c>
      <c r="E872" s="0" t="inlineStr">
        <is>
          <t xml:space="preserve">VANE BROTHERS MARINE SAFETY &amp; SERVICES, INC</t>
        </is>
      </c>
      <c r="F872" s="0" t="inlineStr">
        <is>
          <t xml:space="preserve">B</t>
        </is>
      </c>
      <c r="G872" s="4">
        <v>0.07720678999999998</v>
      </c>
      <c r="H872" s="0" t="inlineStr">
        <is>
          <t xml:space="preserve">2018-02-12</t>
        </is>
      </c>
      <c r="I872" s="0" t="inlineStr">
        <is>
          <t xml:space="preserve">no</t>
        </is>
      </c>
      <c r="J872" s="0" t="inlineStr">
        <is>
          <t xml:space="preserve">N4044318Q0138</t>
        </is>
      </c>
      <c r="K872" s="0" t="inlineStr">
        <is>
          <t xml:space="preserve">NONE</t>
        </is>
      </c>
    </row>
    <row r="873">
      <c r="B873" s="0" t="inlineStr">
        <is>
          <t xml:space="preserve">0006</t>
        </is>
      </c>
      <c r="C873" s="0" t="inlineStr">
        <is>
          <t xml:space="preserve">N0002409G2300</t>
        </is>
      </c>
      <c r="D873" s="0" t="inlineStr">
        <is>
          <t xml:space="preserve">other_small</t>
        </is>
      </c>
      <c r="E873" s="0" t="inlineStr">
        <is>
          <t xml:space="preserve">LOCKHEED MARTIN CORPORATION</t>
        </is>
      </c>
      <c r="F873" s="0" t="inlineStr">
        <is>
          <t xml:space="preserve">C</t>
        </is>
      </c>
      <c r="G873" s="4">
        <v>0.076615</v>
      </c>
      <c r="H873" s="0" t="inlineStr">
        <is>
          <t xml:space="preserve">2009-03-02</t>
        </is>
      </c>
      <c r="I873" s="0" t="inlineStr">
        <is>
          <t xml:space="preserve">no</t>
        </is>
      </c>
      <c r="K873" s="0" t="inlineStr">
        <is>
          <t xml:space="preserve">NONE</t>
        </is>
      </c>
    </row>
    <row r="874">
      <c r="B874" s="0" t="inlineStr">
        <is>
          <t xml:space="preserve">N6133120P0006</t>
        </is>
      </c>
      <c r="D874" s="0" t="inlineStr">
        <is>
          <t xml:space="preserve">usv_core</t>
        </is>
      </c>
      <c r="E874" s="0" t="inlineStr">
        <is>
          <t xml:space="preserve">HII UNMANNED MARITIME SYSTEMS INC.</t>
        </is>
      </c>
      <c r="F874" s="0" t="inlineStr">
        <is>
          <t xml:space="preserve">B</t>
        </is>
      </c>
      <c r="G874" s="4">
        <v>0.0755994</v>
      </c>
      <c r="H874" s="0" t="inlineStr">
        <is>
          <t xml:space="preserve">2019-10-16</t>
        </is>
      </c>
      <c r="I874" s="0" t="inlineStr">
        <is>
          <t xml:space="preserve">no</t>
        </is>
      </c>
      <c r="J874" s="0" t="inlineStr">
        <is>
          <t xml:space="preserve">N6133119QVT52</t>
        </is>
      </c>
      <c r="K874" s="0" t="inlineStr">
        <is>
          <t xml:space="preserve">NONE</t>
        </is>
      </c>
    </row>
    <row r="875">
      <c r="B875" s="0" t="inlineStr">
        <is>
          <t xml:space="preserve">N3220517P4153</t>
        </is>
      </c>
      <c r="D875" s="0" t="inlineStr">
        <is>
          <t xml:space="preserve">other_small</t>
        </is>
      </c>
      <c r="E875" s="0" t="inlineStr">
        <is>
          <t xml:space="preserve">17 MACHINERY LLC</t>
        </is>
      </c>
      <c r="F875" s="0" t="inlineStr">
        <is>
          <t xml:space="preserve">B</t>
        </is>
      </c>
      <c r="G875" s="4">
        <v>0.07549411</v>
      </c>
      <c r="H875" s="0" t="inlineStr">
        <is>
          <t xml:space="preserve">2017-06-22</t>
        </is>
      </c>
      <c r="I875" s="0" t="inlineStr">
        <is>
          <t xml:space="preserve">no</t>
        </is>
      </c>
      <c r="J875" s="0" t="inlineStr">
        <is>
          <t xml:space="preserve">N3220517Q4150</t>
        </is>
      </c>
      <c r="K875" s="0" t="inlineStr">
        <is>
          <t xml:space="preserve">NONE</t>
        </is>
      </c>
    </row>
    <row r="876">
      <c r="B876" s="0" t="inlineStr">
        <is>
          <t xml:space="preserve">0001</t>
        </is>
      </c>
      <c r="C876" s="0" t="inlineStr">
        <is>
          <t xml:space="preserve">N6833517D0004</t>
        </is>
      </c>
      <c r="D876" s="0" t="inlineStr">
        <is>
          <t xml:space="preserve">small_craft</t>
        </is>
      </c>
      <c r="E876" s="0" t="inlineStr">
        <is>
          <t xml:space="preserve">AIR CRUISERS COMPANY, LLC</t>
        </is>
      </c>
      <c r="F876" s="0" t="inlineStr">
        <is>
          <t xml:space="preserve">C</t>
        </is>
      </c>
      <c r="G876" s="4">
        <v>0.07536375999999999</v>
      </c>
      <c r="H876" s="0" t="inlineStr">
        <is>
          <t xml:space="preserve">2016-11-23</t>
        </is>
      </c>
      <c r="I876" s="0" t="inlineStr">
        <is>
          <t xml:space="preserve">no</t>
        </is>
      </c>
      <c r="J876" s="0" t="inlineStr">
        <is>
          <t xml:space="preserve">N6833516T0175</t>
        </is>
      </c>
      <c r="K876" s="0" t="inlineStr">
        <is>
          <t xml:space="preserve">NONE</t>
        </is>
      </c>
    </row>
    <row r="877">
      <c r="B877" s="0" t="inlineStr">
        <is>
          <t xml:space="preserve">N0040615P2272</t>
        </is>
      </c>
      <c r="D877" s="0" t="inlineStr">
        <is>
          <t xml:space="preserve">small_craft</t>
        </is>
      </c>
      <c r="E877" s="0" t="inlineStr">
        <is>
          <t xml:space="preserve">J.D.A. MARITIME, INC.</t>
        </is>
      </c>
      <c r="F877" s="0" t="inlineStr">
        <is>
          <t xml:space="preserve">B</t>
        </is>
      </c>
      <c r="G877" s="4">
        <v>0.07515</v>
      </c>
      <c r="H877" s="0" t="inlineStr">
        <is>
          <t xml:space="preserve">2015-04-27</t>
        </is>
      </c>
      <c r="I877" s="0" t="inlineStr">
        <is>
          <t xml:space="preserve">no</t>
        </is>
      </c>
      <c r="K877" s="0" t="inlineStr">
        <is>
          <t xml:space="preserve">NONE</t>
        </is>
      </c>
    </row>
    <row r="878">
      <c r="B878" s="0" t="inlineStr">
        <is>
          <t xml:space="preserve">N3220519P6545</t>
        </is>
      </c>
      <c r="D878" s="0" t="inlineStr">
        <is>
          <t xml:space="preserve">small_craft</t>
        </is>
      </c>
      <c r="E878" s="0" t="inlineStr">
        <is>
          <t xml:space="preserve">WILLARD MARINE, INC.</t>
        </is>
      </c>
      <c r="F878" s="0" t="inlineStr">
        <is>
          <t xml:space="preserve">B</t>
        </is>
      </c>
      <c r="G878" s="4">
        <v>0.07503789</v>
      </c>
      <c r="H878" s="0" t="inlineStr">
        <is>
          <t xml:space="preserve">2019-05-15</t>
        </is>
      </c>
      <c r="I878" s="0" t="inlineStr">
        <is>
          <t xml:space="preserve">no</t>
        </is>
      </c>
      <c r="J878" s="0" t="inlineStr">
        <is>
          <t xml:space="preserve">N3220519Q6545</t>
        </is>
      </c>
      <c r="K878" s="0" t="inlineStr">
        <is>
          <t xml:space="preserve">NONE</t>
        </is>
      </c>
    </row>
    <row r="879">
      <c r="B879" s="0" t="inlineStr">
        <is>
          <t xml:space="preserve">M0026317P0075</t>
        </is>
      </c>
      <c r="D879" s="0" t="inlineStr">
        <is>
          <t xml:space="preserve">small_craft</t>
        </is>
      </c>
      <c r="E879" s="0" t="inlineStr">
        <is>
          <t xml:space="preserve">BUTLER MARINE INC</t>
        </is>
      </c>
      <c r="F879" s="0" t="inlineStr">
        <is>
          <t xml:space="preserve">B</t>
        </is>
      </c>
      <c r="G879" s="4">
        <v>0.07492</v>
      </c>
      <c r="H879" s="0" t="inlineStr">
        <is>
          <t xml:space="preserve">2017-09-07</t>
        </is>
      </c>
      <c r="I879" s="0" t="inlineStr">
        <is>
          <t xml:space="preserve">no</t>
        </is>
      </c>
      <c r="J879" s="0" t="inlineStr">
        <is>
          <t xml:space="preserve">M0026317Q0026</t>
        </is>
      </c>
      <c r="K879" s="0" t="inlineStr">
        <is>
          <t xml:space="preserve">NONE</t>
        </is>
      </c>
    </row>
    <row r="880">
      <c r="B880" s="0" t="inlineStr">
        <is>
          <t xml:space="preserve">0010</t>
        </is>
      </c>
      <c r="C880" s="0" t="inlineStr">
        <is>
          <t xml:space="preserve">N6230613D9S01</t>
        </is>
      </c>
      <c r="D880" s="0" t="inlineStr">
        <is>
          <t xml:space="preserve">small_craft</t>
        </is>
      </c>
      <c r="E880" s="0" t="inlineStr">
        <is>
          <t xml:space="preserve">SAUNDERS ENGINE &amp; EQUIPMENT CO INC</t>
        </is>
      </c>
      <c r="F880" s="0" t="inlineStr">
        <is>
          <t xml:space="preserve">C</t>
        </is>
      </c>
      <c r="G880" s="4">
        <v>0.07444342</v>
      </c>
      <c r="H880" s="0" t="inlineStr">
        <is>
          <t xml:space="preserve">2014-09-19</t>
        </is>
      </c>
      <c r="I880" s="0" t="inlineStr">
        <is>
          <t xml:space="preserve">no</t>
        </is>
      </c>
      <c r="J880" s="0" t="inlineStr">
        <is>
          <t xml:space="preserve">N6230612R9S01</t>
        </is>
      </c>
      <c r="K880" s="0" t="inlineStr">
        <is>
          <t xml:space="preserve">NONE</t>
        </is>
      </c>
    </row>
    <row r="881">
      <c r="B881" s="0" t="inlineStr">
        <is>
          <t xml:space="preserve">N0010421PLC37</t>
        </is>
      </c>
      <c r="D881" s="0" t="inlineStr">
        <is>
          <t xml:space="preserve">small_craft</t>
        </is>
      </c>
      <c r="E881" s="0" t="inlineStr">
        <is>
          <t xml:space="preserve">SORA POWER INC.</t>
        </is>
      </c>
      <c r="F881" s="0" t="inlineStr">
        <is>
          <t xml:space="preserve">B</t>
        </is>
      </c>
      <c r="G881" s="4">
        <v>0.07392</v>
      </c>
      <c r="H881" s="0" t="inlineStr">
        <is>
          <t xml:space="preserve">2021-09-29</t>
        </is>
      </c>
      <c r="I881" s="0" t="inlineStr">
        <is>
          <t xml:space="preserve">no</t>
        </is>
      </c>
      <c r="K881" s="0" t="inlineStr">
        <is>
          <t xml:space="preserve">NONE</t>
        </is>
      </c>
    </row>
    <row r="882">
      <c r="B882" s="0" t="inlineStr">
        <is>
          <t xml:space="preserve">N6874225F0521</t>
        </is>
      </c>
      <c r="C882" s="0" t="inlineStr">
        <is>
          <t xml:space="preserve">47QSWA22D0051</t>
        </is>
      </c>
      <c r="D882" s="0" t="inlineStr">
        <is>
          <t xml:space="preserve">small_craft</t>
        </is>
      </c>
      <c r="E882" s="0" t="inlineStr">
        <is>
          <t xml:space="preserve">NW BEND BOATS, LLC</t>
        </is>
      </c>
      <c r="F882" s="0" t="inlineStr">
        <is>
          <t xml:space="preserve">C</t>
        </is>
      </c>
      <c r="G882" s="4">
        <v>0.07373902</v>
      </c>
      <c r="H882" s="0" t="inlineStr">
        <is>
          <t xml:space="preserve">2025-06-18</t>
        </is>
      </c>
      <c r="I882" s="0" t="inlineStr">
        <is>
          <t xml:space="preserve">no</t>
        </is>
      </c>
      <c r="K882" s="0" t="inlineStr">
        <is>
          <t xml:space="preserve">NONE</t>
        </is>
      </c>
    </row>
    <row r="883">
      <c r="B883" s="0" t="inlineStr">
        <is>
          <t xml:space="preserve">0009</t>
        </is>
      </c>
      <c r="C883" s="0" t="inlineStr">
        <is>
          <t xml:space="preserve">N3220517D4700</t>
        </is>
      </c>
      <c r="D883" s="0" t="inlineStr">
        <is>
          <t xml:space="preserve">other_small</t>
        </is>
      </c>
      <c r="E883" s="0" t="inlineStr">
        <is>
          <t xml:space="preserve">LAKE SHORE SYSTEMS, INC.</t>
        </is>
      </c>
      <c r="F883" s="0" t="inlineStr">
        <is>
          <t xml:space="preserve">C</t>
        </is>
      </c>
      <c r="G883" s="4">
        <v>0.07335045</v>
      </c>
      <c r="H883" s="0" t="inlineStr">
        <is>
          <t xml:space="preserve">2017-02-03</t>
        </is>
      </c>
      <c r="I883" s="0" t="inlineStr">
        <is>
          <t xml:space="preserve">no</t>
        </is>
      </c>
      <c r="K883" s="0" t="inlineStr">
        <is>
          <t xml:space="preserve">NONE</t>
        </is>
      </c>
    </row>
    <row r="884">
      <c r="B884" s="0" t="inlineStr">
        <is>
          <t xml:space="preserve">N3220519F7161</t>
        </is>
      </c>
      <c r="C884" s="0" t="inlineStr">
        <is>
          <t xml:space="preserve">N3220517D4700</t>
        </is>
      </c>
      <c r="D884" s="0" t="inlineStr">
        <is>
          <t xml:space="preserve">other_small</t>
        </is>
      </c>
      <c r="E884" s="0" t="inlineStr">
        <is>
          <t xml:space="preserve">LAKE SHORE SYSTEMS, INC.</t>
        </is>
      </c>
      <c r="F884" s="0" t="inlineStr">
        <is>
          <t xml:space="preserve">C</t>
        </is>
      </c>
      <c r="G884" s="4">
        <v>0.07326594</v>
      </c>
      <c r="H884" s="0" t="inlineStr">
        <is>
          <t xml:space="preserve">2018-12-01</t>
        </is>
      </c>
      <c r="I884" s="0" t="inlineStr">
        <is>
          <t xml:space="preserve">no</t>
        </is>
      </c>
      <c r="K884" s="0" t="inlineStr">
        <is>
          <t xml:space="preserve">NONE</t>
        </is>
      </c>
    </row>
    <row r="885">
      <c r="B885" s="0" t="inlineStr">
        <is>
          <t xml:space="preserve">N0010424PNC40</t>
        </is>
      </c>
      <c r="D885" s="0" t="inlineStr">
        <is>
          <t xml:space="preserve">small_craft</t>
        </is>
      </c>
      <c r="E885" s="0" t="inlineStr">
        <is>
          <t xml:space="preserve">PRIME TECHNOLOGY LLC</t>
        </is>
      </c>
      <c r="F885" s="0" t="inlineStr">
        <is>
          <t xml:space="preserve">B</t>
        </is>
      </c>
      <c r="G885" s="4">
        <v>0.07312225</v>
      </c>
      <c r="H885" s="0" t="inlineStr">
        <is>
          <t xml:space="preserve">2024-09-16</t>
        </is>
      </c>
      <c r="I885" s="0" t="inlineStr">
        <is>
          <t xml:space="preserve">no</t>
        </is>
      </c>
      <c r="J885" s="0" t="inlineStr">
        <is>
          <t xml:space="preserve">N0010424QNE62</t>
        </is>
      </c>
      <c r="K885" s="0" t="inlineStr">
        <is>
          <t xml:space="preserve">NONE</t>
        </is>
      </c>
    </row>
    <row r="886">
      <c r="B886" s="0" t="inlineStr">
        <is>
          <t xml:space="preserve">N3220518P4279</t>
        </is>
      </c>
      <c r="D886" s="0" t="inlineStr">
        <is>
          <t xml:space="preserve">small_craft</t>
        </is>
      </c>
      <c r="E886" s="0" t="inlineStr">
        <is>
          <t xml:space="preserve">VANE BROTHERS MARINE SAFETY &amp; SERVICES, INC.</t>
        </is>
      </c>
      <c r="F886" s="0" t="inlineStr">
        <is>
          <t xml:space="preserve">B</t>
        </is>
      </c>
      <c r="G886" s="4">
        <v>0.07296</v>
      </c>
      <c r="H886" s="0" t="inlineStr">
        <is>
          <t xml:space="preserve">2017-11-19</t>
        </is>
      </c>
      <c r="I886" s="0" t="inlineStr">
        <is>
          <t xml:space="preserve">no</t>
        </is>
      </c>
      <c r="J886" s="0" t="inlineStr">
        <is>
          <t xml:space="preserve">N3220518Q4279</t>
        </is>
      </c>
      <c r="K886" s="0" t="inlineStr">
        <is>
          <t xml:space="preserve">NONE</t>
        </is>
      </c>
    </row>
    <row r="887">
      <c r="B887" s="0" t="inlineStr">
        <is>
          <t xml:space="preserve">N6600116P6780</t>
        </is>
      </c>
      <c r="D887" s="0" t="inlineStr">
        <is>
          <t xml:space="preserve">small_craft</t>
        </is>
      </c>
      <c r="E887" s="0" t="inlineStr">
        <is>
          <t xml:space="preserve">SOLUTION ONE MARITIME, LLC</t>
        </is>
      </c>
      <c r="F887" s="0" t="inlineStr">
        <is>
          <t xml:space="preserve">B</t>
        </is>
      </c>
      <c r="G887" s="4">
        <v>0.072597</v>
      </c>
      <c r="H887" s="0" t="inlineStr">
        <is>
          <t xml:space="preserve">2016-08-10</t>
        </is>
      </c>
      <c r="I887" s="0" t="inlineStr">
        <is>
          <t xml:space="preserve">no</t>
        </is>
      </c>
      <c r="J887" s="0" t="inlineStr">
        <is>
          <t xml:space="preserve">N6600116T6780</t>
        </is>
      </c>
      <c r="K887" s="0" t="inlineStr">
        <is>
          <t xml:space="preserve">NONE</t>
        </is>
      </c>
    </row>
    <row r="888">
      <c r="B888" s="0" t="inlineStr">
        <is>
          <t xml:space="preserve">N0010420PLC13</t>
        </is>
      </c>
      <c r="D888" s="0" t="inlineStr">
        <is>
          <t xml:space="preserve">small_craft</t>
        </is>
      </c>
      <c r="E888" s="0" t="inlineStr">
        <is>
          <t xml:space="preserve">L3HARRIS TECHNOLOGIES, INC</t>
        </is>
      </c>
      <c r="F888" s="0" t="inlineStr">
        <is>
          <t xml:space="preserve">B</t>
        </is>
      </c>
      <c r="G888" s="4">
        <v>0.072473</v>
      </c>
      <c r="H888" s="0" t="inlineStr">
        <is>
          <t xml:space="preserve">2020-07-08</t>
        </is>
      </c>
      <c r="I888" s="0" t="inlineStr">
        <is>
          <t xml:space="preserve">no</t>
        </is>
      </c>
      <c r="J888" s="0" t="inlineStr">
        <is>
          <t xml:space="preserve">N0010420QLC52</t>
        </is>
      </c>
      <c r="K888" s="0" t="inlineStr">
        <is>
          <t xml:space="preserve">NONE</t>
        </is>
      </c>
    </row>
    <row r="889">
      <c r="B889" s="0" t="inlineStr">
        <is>
          <t xml:space="preserve">N0010423PF009</t>
        </is>
      </c>
      <c r="D889" s="0" t="inlineStr">
        <is>
          <t xml:space="preserve">small_craft</t>
        </is>
      </c>
      <c r="E889" s="0" t="inlineStr">
        <is>
          <t xml:space="preserve">DEFENSE MARITIME SOLUTIONS, INC.</t>
        </is>
      </c>
      <c r="F889" s="0" t="inlineStr">
        <is>
          <t xml:space="preserve">B</t>
        </is>
      </c>
      <c r="G889" s="4">
        <v>0.072264</v>
      </c>
      <c r="H889" s="0" t="inlineStr">
        <is>
          <t xml:space="preserve">2023-05-24</t>
        </is>
      </c>
      <c r="I889" s="0" t="inlineStr">
        <is>
          <t xml:space="preserve">no</t>
        </is>
      </c>
      <c r="J889" s="0" t="inlineStr">
        <is>
          <t xml:space="preserve">N0010423QF023</t>
        </is>
      </c>
      <c r="K889" s="0" t="inlineStr">
        <is>
          <t xml:space="preserve">NONE</t>
        </is>
      </c>
    </row>
    <row r="890">
      <c r="B890" s="0" t="inlineStr">
        <is>
          <t xml:space="preserve">N0010423PXB94</t>
        </is>
      </c>
      <c r="D890" s="0" t="inlineStr">
        <is>
          <t xml:space="preserve">small_craft</t>
        </is>
      </c>
      <c r="E890" s="0" t="inlineStr">
        <is>
          <t xml:space="preserve">OHIO MACHINERY CO</t>
        </is>
      </c>
      <c r="F890" s="0" t="inlineStr">
        <is>
          <t xml:space="preserve">B</t>
        </is>
      </c>
      <c r="G890" s="4">
        <v>0.072</v>
      </c>
      <c r="H890" s="0" t="inlineStr">
        <is>
          <t xml:space="preserve">2023-03-21</t>
        </is>
      </c>
      <c r="I890" s="0" t="inlineStr">
        <is>
          <t xml:space="preserve">no</t>
        </is>
      </c>
      <c r="K890" s="0" t="inlineStr">
        <is>
          <t xml:space="preserve">NONE</t>
        </is>
      </c>
    </row>
    <row r="891">
      <c r="B891" s="0" t="inlineStr">
        <is>
          <t xml:space="preserve">N0010417PNF42</t>
        </is>
      </c>
      <c r="D891" s="0" t="inlineStr">
        <is>
          <t xml:space="preserve">small_craft</t>
        </is>
      </c>
      <c r="E891" s="0" t="inlineStr">
        <is>
          <t xml:space="preserve">COILING TECHNOLOGIES, INC.</t>
        </is>
      </c>
      <c r="F891" s="0" t="inlineStr">
        <is>
          <t xml:space="preserve">B</t>
        </is>
      </c>
      <c r="G891" s="4">
        <v>0.0716</v>
      </c>
      <c r="H891" s="0" t="inlineStr">
        <is>
          <t xml:space="preserve">2017-07-10</t>
        </is>
      </c>
      <c r="I891" s="0" t="inlineStr">
        <is>
          <t xml:space="preserve">no</t>
        </is>
      </c>
      <c r="K891" s="0" t="inlineStr">
        <is>
          <t xml:space="preserve">NONE</t>
        </is>
      </c>
    </row>
    <row r="892">
      <c r="B892" s="0" t="inlineStr">
        <is>
          <t xml:space="preserve">N0025307P0451</t>
        </is>
      </c>
      <c r="D892" s="0" t="inlineStr">
        <is>
          <t xml:space="preserve">small_craft</t>
        </is>
      </c>
      <c r="E892" s="0" t="inlineStr">
        <is>
          <t xml:space="preserve">MARINE INDUSTRIES NORTHWEST, INC.</t>
        </is>
      </c>
      <c r="F892" s="0" t="inlineStr">
        <is>
          <t xml:space="preserve">B</t>
        </is>
      </c>
      <c r="G892" s="4">
        <v>0.071412</v>
      </c>
      <c r="H892" s="0" t="inlineStr">
        <is>
          <t xml:space="preserve">2007-04-04</t>
        </is>
      </c>
      <c r="I892" s="0" t="inlineStr">
        <is>
          <t xml:space="preserve">no</t>
        </is>
      </c>
      <c r="J892" s="0" t="inlineStr">
        <is>
          <t xml:space="preserve">N0025307T0090</t>
        </is>
      </c>
      <c r="K892" s="0" t="inlineStr">
        <is>
          <t xml:space="preserve">NONE</t>
        </is>
      </c>
    </row>
    <row r="893">
      <c r="B893" s="0" t="inlineStr">
        <is>
          <t xml:space="preserve">N6133125F1003</t>
        </is>
      </c>
      <c r="C893" s="0" t="inlineStr">
        <is>
          <t xml:space="preserve">N6133125D1002</t>
        </is>
      </c>
      <c r="D893" s="0" t="inlineStr">
        <is>
          <t xml:space="preserve">small_craft</t>
        </is>
      </c>
      <c r="E893" s="0" t="inlineStr">
        <is>
          <t xml:space="preserve">OCEAN AERO, INC.</t>
        </is>
      </c>
      <c r="F893" s="0" t="inlineStr">
        <is>
          <t xml:space="preserve">C</t>
        </is>
      </c>
      <c r="G893" s="4">
        <v>0.07115099</v>
      </c>
      <c r="H893" s="0" t="inlineStr">
        <is>
          <t xml:space="preserve">2025-04-24</t>
        </is>
      </c>
      <c r="I893" s="0" t="inlineStr">
        <is>
          <t xml:space="preserve">no</t>
        </is>
      </c>
      <c r="J893" s="0" t="inlineStr">
        <is>
          <t xml:space="preserve">N6133124R0013</t>
        </is>
      </c>
      <c r="K893" s="0" t="inlineStr">
        <is>
          <t xml:space="preserve">NONE</t>
        </is>
      </c>
    </row>
    <row r="894">
      <c r="B894" s="0" t="inlineStr">
        <is>
          <t xml:space="preserve">N0010421PCA34</t>
        </is>
      </c>
      <c r="D894" s="0" t="inlineStr">
        <is>
          <t xml:space="preserve">small_craft</t>
        </is>
      </c>
      <c r="E894" s="0" t="inlineStr">
        <is>
          <t xml:space="preserve">KINGSBURY INC.</t>
        </is>
      </c>
      <c r="F894" s="0" t="inlineStr">
        <is>
          <t xml:space="preserve">B</t>
        </is>
      </c>
      <c r="G894" s="4">
        <v>0.07105</v>
      </c>
      <c r="H894" s="0" t="inlineStr">
        <is>
          <t xml:space="preserve">2020-12-01</t>
        </is>
      </c>
      <c r="I894" s="0" t="inlineStr">
        <is>
          <t xml:space="preserve">no</t>
        </is>
      </c>
      <c r="K894" s="0" t="inlineStr">
        <is>
          <t xml:space="preserve">NONE</t>
        </is>
      </c>
    </row>
    <row r="895">
      <c r="B895" s="0" t="inlineStr">
        <is>
          <t xml:space="preserve">N0010421PCA33</t>
        </is>
      </c>
      <c r="D895" s="0" t="inlineStr">
        <is>
          <t xml:space="preserve">small_craft</t>
        </is>
      </c>
      <c r="E895" s="0" t="inlineStr">
        <is>
          <t xml:space="preserve">KINGSBURY INC.</t>
        </is>
      </c>
      <c r="F895" s="0" t="inlineStr">
        <is>
          <t xml:space="preserve">B</t>
        </is>
      </c>
      <c r="G895" s="4">
        <v>0.07105</v>
      </c>
      <c r="H895" s="0" t="inlineStr">
        <is>
          <t xml:space="preserve">2020-12-01</t>
        </is>
      </c>
      <c r="I895" s="0" t="inlineStr">
        <is>
          <t xml:space="preserve">no</t>
        </is>
      </c>
      <c r="K895" s="0" t="inlineStr">
        <is>
          <t xml:space="preserve">NONE</t>
        </is>
      </c>
    </row>
    <row r="896">
      <c r="B896" s="0" t="inlineStr">
        <is>
          <t xml:space="preserve">N0010424PCB01</t>
        </is>
      </c>
      <c r="D896" s="0" t="inlineStr">
        <is>
          <t xml:space="preserve">small_craft</t>
        </is>
      </c>
      <c r="E896" s="0" t="inlineStr">
        <is>
          <t xml:space="preserve">VERTEX LLC</t>
        </is>
      </c>
      <c r="F896" s="0" t="inlineStr">
        <is>
          <t xml:space="preserve">B</t>
        </is>
      </c>
      <c r="G896" s="4">
        <v>0.0709509</v>
      </c>
      <c r="H896" s="0" t="inlineStr">
        <is>
          <t xml:space="preserve">2024-04-16</t>
        </is>
      </c>
      <c r="I896" s="0" t="inlineStr">
        <is>
          <t xml:space="preserve">no</t>
        </is>
      </c>
      <c r="K896" s="0" t="inlineStr">
        <is>
          <t xml:space="preserve">NONE</t>
        </is>
      </c>
    </row>
    <row r="897">
      <c r="B897" s="0" t="inlineStr">
        <is>
          <t xml:space="preserve">N6227115M1421</t>
        </is>
      </c>
      <c r="D897" s="0" t="inlineStr">
        <is>
          <t xml:space="preserve">usv_core</t>
        </is>
      </c>
      <c r="E897" s="0" t="inlineStr">
        <is>
          <t xml:space="preserve">CLEARPATH ROBOTICS INC.</t>
        </is>
      </c>
      <c r="F897" s="0" t="inlineStr">
        <is>
          <t xml:space="preserve">B</t>
        </is>
      </c>
      <c r="G897" s="4">
        <v>0.070116</v>
      </c>
      <c r="H897" s="0" t="inlineStr">
        <is>
          <t xml:space="preserve">2015-09-29</t>
        </is>
      </c>
      <c r="I897" s="0" t="inlineStr">
        <is>
          <t xml:space="preserve">no</t>
        </is>
      </c>
      <c r="J897" s="0" t="inlineStr">
        <is>
          <t xml:space="preserve">N6227115Q1421</t>
        </is>
      </c>
      <c r="K897" s="0" t="inlineStr">
        <is>
          <t xml:space="preserve">NONE</t>
        </is>
      </c>
    </row>
    <row r="898">
      <c r="B898" s="0" t="inlineStr">
        <is>
          <t xml:space="preserve">N6893621P0487</t>
        </is>
      </c>
      <c r="D898" s="0" t="inlineStr">
        <is>
          <t xml:space="preserve">small_craft</t>
        </is>
      </c>
      <c r="E898" s="0" t="inlineStr">
        <is>
          <t xml:space="preserve">COHERENT TECHNICAL SERVICES, INC.</t>
        </is>
      </c>
      <c r="F898" s="0" t="inlineStr">
        <is>
          <t xml:space="preserve">B</t>
        </is>
      </c>
      <c r="G898" s="4">
        <v>0.06966958999999999</v>
      </c>
      <c r="H898" s="0" t="inlineStr">
        <is>
          <t xml:space="preserve">2021-08-13</t>
        </is>
      </c>
      <c r="I898" s="0" t="inlineStr">
        <is>
          <t xml:space="preserve">no</t>
        </is>
      </c>
      <c r="J898" s="0" t="inlineStr">
        <is>
          <t xml:space="preserve">N6893621Q0272</t>
        </is>
      </c>
      <c r="K898" s="0" t="inlineStr">
        <is>
          <t xml:space="preserve">NONE</t>
        </is>
      </c>
    </row>
    <row r="899">
      <c r="B899" s="0" t="inlineStr">
        <is>
          <t xml:space="preserve">N3220524P0050</t>
        </is>
      </c>
      <c r="D899" s="0" t="inlineStr">
        <is>
          <t xml:space="preserve">small_craft</t>
        </is>
      </c>
      <c r="E899" s="0" t="inlineStr">
        <is>
          <t xml:space="preserve">FASSMER SERVICE AMERICA LLC</t>
        </is>
      </c>
      <c r="F899" s="0" t="inlineStr">
        <is>
          <t xml:space="preserve">B</t>
        </is>
      </c>
      <c r="G899" s="4">
        <v>0.06955</v>
      </c>
      <c r="H899" s="0" t="inlineStr">
        <is>
          <t xml:space="preserve">2023-12-20</t>
        </is>
      </c>
      <c r="I899" s="0" t="inlineStr">
        <is>
          <t xml:space="preserve">no</t>
        </is>
      </c>
      <c r="J899" s="0" t="inlineStr">
        <is>
          <t xml:space="preserve">N3220524Q0045</t>
        </is>
      </c>
      <c r="K899" s="0" t="inlineStr">
        <is>
          <t xml:space="preserve">NONE</t>
        </is>
      </c>
    </row>
    <row r="900">
      <c r="B900" s="0" t="inlineStr">
        <is>
          <t xml:space="preserve">N0016716F0118</t>
        </is>
      </c>
      <c r="C900" s="0" t="inlineStr">
        <is>
          <t xml:space="preserve">GS07F0308V</t>
        </is>
      </c>
      <c r="D900" s="0" t="inlineStr">
        <is>
          <t xml:space="preserve">small_craft</t>
        </is>
      </c>
      <c r="E900" s="0" t="inlineStr">
        <is>
          <t xml:space="preserve">JDCI ENTERPRISES, INC.</t>
        </is>
      </c>
      <c r="F900" s="0" t="inlineStr">
        <is>
          <t xml:space="preserve">C</t>
        </is>
      </c>
      <c r="G900" s="4">
        <v>0.06912</v>
      </c>
      <c r="H900" s="0" t="inlineStr">
        <is>
          <t xml:space="preserve">2016-08-11</t>
        </is>
      </c>
      <c r="I900" s="0" t="inlineStr">
        <is>
          <t xml:space="preserve">no</t>
        </is>
      </c>
      <c r="K900" s="0" t="inlineStr">
        <is>
          <t xml:space="preserve">NONE</t>
        </is>
      </c>
    </row>
    <row r="901">
      <c r="B901" s="0" t="inlineStr">
        <is>
          <t xml:space="preserve">SPRMM116PWF93</t>
        </is>
      </c>
      <c r="D901" s="0" t="inlineStr">
        <is>
          <t xml:space="preserve">usv_core</t>
        </is>
      </c>
      <c r="E901" s="0" t="inlineStr">
        <is>
          <t xml:space="preserve">HII UNMANNED MARITIME SYSTEMS INC.</t>
        </is>
      </c>
      <c r="F901" s="0" t="inlineStr">
        <is>
          <t xml:space="preserve">B</t>
        </is>
      </c>
      <c r="G901" s="4">
        <v>0.068859</v>
      </c>
      <c r="H901" s="0" t="inlineStr">
        <is>
          <t xml:space="preserve">2016-06-14</t>
        </is>
      </c>
      <c r="I901" s="0" t="inlineStr">
        <is>
          <t xml:space="preserve">no</t>
        </is>
      </c>
      <c r="J901" s="0" t="inlineStr">
        <is>
          <t xml:space="preserve">SPRMM116QWH14</t>
        </is>
      </c>
      <c r="K901" s="0" t="inlineStr">
        <is>
          <t xml:space="preserve">NONE</t>
        </is>
      </c>
    </row>
    <row r="902">
      <c r="B902" s="0" t="inlineStr">
        <is>
          <t xml:space="preserve">N0010422PLE61</t>
        </is>
      </c>
      <c r="D902" s="0" t="inlineStr">
        <is>
          <t xml:space="preserve">small_craft</t>
        </is>
      </c>
      <c r="E902" s="0" t="inlineStr">
        <is>
          <t xml:space="preserve">JO-KELL INC.</t>
        </is>
      </c>
      <c r="F902" s="0" t="inlineStr">
        <is>
          <t xml:space="preserve">B</t>
        </is>
      </c>
      <c r="G902" s="4">
        <v>0.06854605999999999</v>
      </c>
      <c r="H902" s="0" t="inlineStr">
        <is>
          <t xml:space="preserve">2022-09-16</t>
        </is>
      </c>
      <c r="I902" s="0" t="inlineStr">
        <is>
          <t xml:space="preserve">no</t>
        </is>
      </c>
      <c r="K902" s="0" t="inlineStr">
        <is>
          <t xml:space="preserve">NONE</t>
        </is>
      </c>
    </row>
    <row r="903">
      <c r="B903" s="0" t="inlineStr">
        <is>
          <t xml:space="preserve">N0010421PEL84</t>
        </is>
      </c>
      <c r="D903" s="0" t="inlineStr">
        <is>
          <t xml:space="preserve">small_craft</t>
        </is>
      </c>
      <c r="E903" s="0" t="inlineStr">
        <is>
          <t xml:space="preserve">KAMPI COMPONENTS CO INC</t>
        </is>
      </c>
      <c r="F903" s="0" t="inlineStr">
        <is>
          <t xml:space="preserve">B</t>
        </is>
      </c>
      <c r="G903" s="4">
        <v>0.06840396</v>
      </c>
      <c r="H903" s="0" t="inlineStr">
        <is>
          <t xml:space="preserve">2021-08-06</t>
        </is>
      </c>
      <c r="I903" s="0" t="inlineStr">
        <is>
          <t xml:space="preserve">no</t>
        </is>
      </c>
      <c r="J903" s="0" t="inlineStr">
        <is>
          <t xml:space="preserve">N0010421QBU43</t>
        </is>
      </c>
      <c r="K903" s="0" t="inlineStr">
        <is>
          <t xml:space="preserve">NONE</t>
        </is>
      </c>
    </row>
    <row r="904">
      <c r="B904" s="0" t="inlineStr">
        <is>
          <t xml:space="preserve">N5005424P0046</t>
        </is>
      </c>
      <c r="D904" s="0" t="inlineStr">
        <is>
          <t xml:space="preserve">small_craft</t>
        </is>
      </c>
      <c r="E904" s="0" t="inlineStr">
        <is>
          <t xml:space="preserve">METALTEK INTERNATIONAL, INC.</t>
        </is>
      </c>
      <c r="F904" s="0" t="inlineStr">
        <is>
          <t xml:space="preserve">B</t>
        </is>
      </c>
      <c r="G904" s="4">
        <v>0.06824</v>
      </c>
      <c r="H904" s="0" t="inlineStr">
        <is>
          <t xml:space="preserve">2024-01-25</t>
        </is>
      </c>
      <c r="I904" s="0" t="inlineStr">
        <is>
          <t xml:space="preserve">no</t>
        </is>
      </c>
      <c r="J904" s="0" t="inlineStr">
        <is>
          <t xml:space="preserve">N5005424Q0039</t>
        </is>
      </c>
      <c r="K904" s="0" t="inlineStr">
        <is>
          <t xml:space="preserve">NONE</t>
        </is>
      </c>
    </row>
    <row r="905">
      <c r="B905" s="0" t="inlineStr">
        <is>
          <t xml:space="preserve">N0010420PCE23</t>
        </is>
      </c>
      <c r="D905" s="0" t="inlineStr">
        <is>
          <t xml:space="preserve">small_craft</t>
        </is>
      </c>
      <c r="E905" s="0" t="inlineStr">
        <is>
          <t xml:space="preserve">KINGSBURY INC.</t>
        </is>
      </c>
      <c r="F905" s="0" t="inlineStr">
        <is>
          <t xml:space="preserve">B</t>
        </is>
      </c>
      <c r="G905" s="4">
        <v>0.067965</v>
      </c>
      <c r="H905" s="0" t="inlineStr">
        <is>
          <t xml:space="preserve">2020-08-14</t>
        </is>
      </c>
      <c r="I905" s="0" t="inlineStr">
        <is>
          <t xml:space="preserve">no</t>
        </is>
      </c>
      <c r="K905" s="0" t="inlineStr">
        <is>
          <t xml:space="preserve">NONE</t>
        </is>
      </c>
    </row>
    <row r="906">
      <c r="B906" s="0" t="inlineStr">
        <is>
          <t xml:space="preserve">N0010422PJD04</t>
        </is>
      </c>
      <c r="D906" s="0" t="inlineStr">
        <is>
          <t xml:space="preserve">small_craft</t>
        </is>
      </c>
      <c r="E906" s="0" t="inlineStr">
        <is>
          <t xml:space="preserve">GE AVIATION SYSTEMS LLC</t>
        </is>
      </c>
      <c r="F906" s="0" t="inlineStr">
        <is>
          <t xml:space="preserve">B</t>
        </is>
      </c>
      <c r="G906" s="4">
        <v>0.06793176</v>
      </c>
      <c r="H906" s="0" t="inlineStr">
        <is>
          <t xml:space="preserve">2022-08-02</t>
        </is>
      </c>
      <c r="I906" s="0" t="inlineStr">
        <is>
          <t xml:space="preserve">no</t>
        </is>
      </c>
      <c r="K906" s="0" t="inlineStr">
        <is>
          <t xml:space="preserve">NONE</t>
        </is>
      </c>
    </row>
    <row r="907">
      <c r="B907" s="0" t="inlineStr">
        <is>
          <t xml:space="preserve">N0040622P0324</t>
        </is>
      </c>
      <c r="D907" s="0" t="inlineStr">
        <is>
          <t xml:space="preserve">small_craft</t>
        </is>
      </c>
      <c r="E907" s="0" t="inlineStr">
        <is>
          <t xml:space="preserve">JUNIPER ELBOW CO. INC.</t>
        </is>
      </c>
      <c r="F907" s="0" t="inlineStr">
        <is>
          <t xml:space="preserve">B</t>
        </is>
      </c>
      <c r="G907" s="4">
        <v>0.067495</v>
      </c>
      <c r="H907" s="0" t="inlineStr">
        <is>
          <t xml:space="preserve">2022-04-04</t>
        </is>
      </c>
      <c r="I907" s="0" t="inlineStr">
        <is>
          <t xml:space="preserve">no</t>
        </is>
      </c>
      <c r="J907" s="0" t="inlineStr">
        <is>
          <t xml:space="preserve">N0040622Q0318</t>
        </is>
      </c>
      <c r="K907" s="0" t="inlineStr">
        <is>
          <t xml:space="preserve">NONE</t>
        </is>
      </c>
    </row>
    <row r="908">
      <c r="B908" s="0" t="inlineStr">
        <is>
          <t xml:space="preserve">0059</t>
        </is>
      </c>
      <c r="C908" s="0" t="inlineStr">
        <is>
          <t xml:space="preserve">N3220513D2000</t>
        </is>
      </c>
      <c r="D908" s="0" t="inlineStr">
        <is>
          <t xml:space="preserve">other_small</t>
        </is>
      </c>
      <c r="E908" s="0" t="inlineStr">
        <is>
          <t xml:space="preserve">ROLLS-ROYCE SOLUTIONS AMERICA INC</t>
        </is>
      </c>
      <c r="F908" s="0" t="inlineStr">
        <is>
          <t xml:space="preserve">C</t>
        </is>
      </c>
      <c r="G908" s="4">
        <v>0.06665224</v>
      </c>
      <c r="H908" s="0" t="inlineStr">
        <is>
          <t xml:space="preserve">2015-09-24</t>
        </is>
      </c>
      <c r="I908" s="0" t="inlineStr">
        <is>
          <t xml:space="preserve">no</t>
        </is>
      </c>
      <c r="J908" s="0" t="inlineStr">
        <is>
          <t xml:space="preserve">N4044211R2005</t>
        </is>
      </c>
      <c r="K908" s="0" t="inlineStr">
        <is>
          <t xml:space="preserve">NONE</t>
        </is>
      </c>
    </row>
    <row r="909">
      <c r="B909" s="0" t="inlineStr">
        <is>
          <t xml:space="preserve">N0040619P0652</t>
        </is>
      </c>
      <c r="D909" s="0" t="inlineStr">
        <is>
          <t xml:space="preserve">small_craft</t>
        </is>
      </c>
      <c r="E909" s="0" t="inlineStr">
        <is>
          <t xml:space="preserve">JUNIPER ELBOW CO. INC.</t>
        </is>
      </c>
      <c r="F909" s="0" t="inlineStr">
        <is>
          <t xml:space="preserve">B</t>
        </is>
      </c>
      <c r="G909" s="4">
        <v>0.0663965</v>
      </c>
      <c r="H909" s="0" t="inlineStr">
        <is>
          <t xml:space="preserve">2019-09-10</t>
        </is>
      </c>
      <c r="I909" s="0" t="inlineStr">
        <is>
          <t xml:space="preserve">no</t>
        </is>
      </c>
      <c r="J909" s="0" t="inlineStr">
        <is>
          <t xml:space="preserve">N0040619Q0282</t>
        </is>
      </c>
      <c r="K909" s="0" t="inlineStr">
        <is>
          <t xml:space="preserve">NONE</t>
        </is>
      </c>
    </row>
    <row r="910">
      <c r="B910" s="0" t="inlineStr">
        <is>
          <t xml:space="preserve">N0010425PFD81</t>
        </is>
      </c>
      <c r="D910" s="0" t="inlineStr">
        <is>
          <t xml:space="preserve">small_craft</t>
        </is>
      </c>
      <c r="E910" s="0" t="inlineStr">
        <is>
          <t xml:space="preserve">ARCOS INDUSTRIES LLC</t>
        </is>
      </c>
      <c r="F910" s="0" t="inlineStr">
        <is>
          <t xml:space="preserve">B</t>
        </is>
      </c>
      <c r="G910" s="4">
        <v>0.066375</v>
      </c>
      <c r="H910" s="0" t="inlineStr">
        <is>
          <t xml:space="preserve">2025-08-15</t>
        </is>
      </c>
      <c r="I910" s="0" t="inlineStr">
        <is>
          <t xml:space="preserve">yes</t>
        </is>
      </c>
      <c r="J910" s="0" t="inlineStr">
        <is>
          <t xml:space="preserve">N0010425QFD85</t>
        </is>
      </c>
      <c r="K910" s="0" t="inlineStr">
        <is>
          <t xml:space="preserve">NONE</t>
        </is>
      </c>
    </row>
    <row r="911">
      <c r="B911" s="0" t="inlineStr">
        <is>
          <t xml:space="preserve">N6893626P5065</t>
        </is>
      </c>
      <c r="D911" s="0" t="inlineStr">
        <is>
          <t xml:space="preserve">small_craft</t>
        </is>
      </c>
      <c r="E911" s="0" t="inlineStr">
        <is>
          <t xml:space="preserve">ATLANTIC DIVING SUPPLY, INC.</t>
        </is>
      </c>
      <c r="F911" s="0" t="inlineStr">
        <is>
          <t xml:space="preserve">B</t>
        </is>
      </c>
      <c r="G911" s="4">
        <v>0.06555952</v>
      </c>
      <c r="H911" s="0" t="inlineStr">
        <is>
          <t xml:space="preserve">2025-12-22</t>
        </is>
      </c>
      <c r="I911" s="0" t="inlineStr">
        <is>
          <t xml:space="preserve">yes</t>
        </is>
      </c>
      <c r="J911" s="0" t="inlineStr">
        <is>
          <t xml:space="preserve">N6893626Q5003</t>
        </is>
      </c>
      <c r="K911" s="0" t="inlineStr">
        <is>
          <t xml:space="preserve">solnum</t>
        </is>
      </c>
      <c r="L911" s="0" t="inlineStr">
        <is>
          <t xml:space="preserve">Presolicitation</t>
        </is>
      </c>
    </row>
    <row r="912">
      <c r="B912" s="0" t="inlineStr">
        <is>
          <t xml:space="preserve">N3220515P4290</t>
        </is>
      </c>
      <c r="D912" s="0" t="inlineStr">
        <is>
          <t xml:space="preserve">other_small</t>
        </is>
      </c>
      <c r="E912" s="0" t="inlineStr">
        <is>
          <t xml:space="preserve">CDK MOBILE SYSTEMS INC</t>
        </is>
      </c>
      <c r="F912" s="0" t="inlineStr">
        <is>
          <t xml:space="preserve">B</t>
        </is>
      </c>
      <c r="G912" s="4">
        <v>0.0655</v>
      </c>
      <c r="H912" s="0" t="inlineStr">
        <is>
          <t xml:space="preserve">2015-05-29</t>
        </is>
      </c>
      <c r="I912" s="0" t="inlineStr">
        <is>
          <t xml:space="preserve">no</t>
        </is>
      </c>
      <c r="K912" s="0" t="inlineStr">
        <is>
          <t xml:space="preserve">NONE</t>
        </is>
      </c>
    </row>
    <row r="913">
      <c r="B913" s="0" t="inlineStr">
        <is>
          <t xml:space="preserve">N0010425PBL83</t>
        </is>
      </c>
      <c r="D913" s="0" t="inlineStr">
        <is>
          <t xml:space="preserve">small_craft</t>
        </is>
      </c>
      <c r="E913" s="0" t="inlineStr">
        <is>
          <t xml:space="preserve">ADIRONDACK ELECTRONICS INC</t>
        </is>
      </c>
      <c r="F913" s="0" t="inlineStr">
        <is>
          <t xml:space="preserve">B</t>
        </is>
      </c>
      <c r="G913" s="4">
        <v>0.0652275</v>
      </c>
      <c r="H913" s="0" t="inlineStr">
        <is>
          <t xml:space="preserve">2025-05-19</t>
        </is>
      </c>
      <c r="I913" s="0" t="inlineStr">
        <is>
          <t xml:space="preserve">no</t>
        </is>
      </c>
      <c r="K913" s="0" t="inlineStr">
        <is>
          <t xml:space="preserve">NONE</t>
        </is>
      </c>
    </row>
    <row r="914">
      <c r="B914" s="0" t="inlineStr">
        <is>
          <t xml:space="preserve">N6328518P0082</t>
        </is>
      </c>
      <c r="D914" s="0" t="inlineStr">
        <is>
          <t xml:space="preserve">small_craft</t>
        </is>
      </c>
      <c r="E914" s="0" t="inlineStr">
        <is>
          <t xml:space="preserve">WING INFLATABLES INC</t>
        </is>
      </c>
      <c r="F914" s="0" t="inlineStr">
        <is>
          <t xml:space="preserve">B</t>
        </is>
      </c>
      <c r="G914" s="4">
        <v>0.064522</v>
      </c>
      <c r="H914" s="0" t="inlineStr">
        <is>
          <t xml:space="preserve">2018-09-27</t>
        </is>
      </c>
      <c r="I914" s="0" t="inlineStr">
        <is>
          <t xml:space="preserve">no</t>
        </is>
      </c>
      <c r="J914" s="0" t="inlineStr">
        <is>
          <t xml:space="preserve">N6328518T1497</t>
        </is>
      </c>
      <c r="K914" s="0" t="inlineStr">
        <is>
          <t xml:space="preserve">NONE</t>
        </is>
      </c>
    </row>
    <row r="915">
      <c r="B915" s="0" t="inlineStr">
        <is>
          <t xml:space="preserve">N0018924P0224</t>
        </is>
      </c>
      <c r="D915" s="0" t="inlineStr">
        <is>
          <t xml:space="preserve">small_craft</t>
        </is>
      </c>
      <c r="E915" s="0" t="inlineStr">
        <is>
          <t xml:space="preserve">BAKER SHEET METAL CORPORATION</t>
        </is>
      </c>
      <c r="F915" s="0" t="inlineStr">
        <is>
          <t xml:space="preserve">B</t>
        </is>
      </c>
      <c r="G915" s="4">
        <v>0.0645</v>
      </c>
      <c r="H915" s="0" t="inlineStr">
        <is>
          <t xml:space="preserve">2024-04-03</t>
        </is>
      </c>
      <c r="I915" s="0" t="inlineStr">
        <is>
          <t xml:space="preserve">no</t>
        </is>
      </c>
      <c r="J915" s="0" t="inlineStr">
        <is>
          <t xml:space="preserve">N0018924QSLID</t>
        </is>
      </c>
      <c r="K915" s="0" t="inlineStr">
        <is>
          <t xml:space="preserve">NONE</t>
        </is>
      </c>
    </row>
    <row r="916">
      <c r="B916" s="0" t="inlineStr">
        <is>
          <t xml:space="preserve">N0024216F0095</t>
        </is>
      </c>
      <c r="C916" s="0" t="inlineStr">
        <is>
          <t xml:space="preserve">GS07F0357M</t>
        </is>
      </c>
      <c r="D916" s="0" t="inlineStr">
        <is>
          <t xml:space="preserve">small_craft</t>
        </is>
      </c>
      <c r="E916" s="0" t="inlineStr">
        <is>
          <t xml:space="preserve">NORTH RIVER BOATS INCORPORATED</t>
        </is>
      </c>
      <c r="F916" s="0" t="inlineStr">
        <is>
          <t xml:space="preserve">C</t>
        </is>
      </c>
      <c r="G916" s="4">
        <v>0.06403199999999999</v>
      </c>
      <c r="H916" s="0" t="inlineStr">
        <is>
          <t xml:space="preserve">2016-07-21</t>
        </is>
      </c>
      <c r="I916" s="0" t="inlineStr">
        <is>
          <t xml:space="preserve">no</t>
        </is>
      </c>
      <c r="K916" s="0" t="inlineStr">
        <is>
          <t xml:space="preserve">NONE</t>
        </is>
      </c>
    </row>
    <row r="917">
      <c r="B917" s="0" t="inlineStr">
        <is>
          <t xml:space="preserve">N6133122P0188</t>
        </is>
      </c>
      <c r="D917" s="0" t="inlineStr">
        <is>
          <t xml:space="preserve">usv_core</t>
        </is>
      </c>
      <c r="E917" s="0" t="inlineStr">
        <is>
          <t xml:space="preserve">CLEARPATH ROBOTICS INC.</t>
        </is>
      </c>
      <c r="F917" s="0" t="inlineStr">
        <is>
          <t xml:space="preserve">B</t>
        </is>
      </c>
      <c r="G917" s="4">
        <v>0.06398</v>
      </c>
      <c r="H917" s="0" t="inlineStr">
        <is>
          <t xml:space="preserve">2022-06-16</t>
        </is>
      </c>
      <c r="I917" s="0" t="inlineStr">
        <is>
          <t xml:space="preserve">no</t>
        </is>
      </c>
      <c r="J917" s="0" t="inlineStr">
        <is>
          <t xml:space="preserve">N6133122TVT34</t>
        </is>
      </c>
      <c r="K917" s="0" t="inlineStr">
        <is>
          <t xml:space="preserve">NONE</t>
        </is>
      </c>
    </row>
    <row r="918">
      <c r="B918" s="0" t="inlineStr">
        <is>
          <t xml:space="preserve">N0010422PUA83</t>
        </is>
      </c>
      <c r="D918" s="0" t="inlineStr">
        <is>
          <t xml:space="preserve">small_craft</t>
        </is>
      </c>
      <c r="E918" s="0" t="inlineStr">
        <is>
          <t xml:space="preserve">DYNALEC CORPORATION</t>
        </is>
      </c>
      <c r="F918" s="0" t="inlineStr">
        <is>
          <t xml:space="preserve">B</t>
        </is>
      </c>
      <c r="G918" s="4">
        <v>0.06376</v>
      </c>
      <c r="H918" s="0" t="inlineStr">
        <is>
          <t xml:space="preserve">2022-04-29</t>
        </is>
      </c>
      <c r="I918" s="0" t="inlineStr">
        <is>
          <t xml:space="preserve">no</t>
        </is>
      </c>
      <c r="K918" s="0" t="inlineStr">
        <is>
          <t xml:space="preserve">NONE</t>
        </is>
      </c>
    </row>
    <row r="919">
      <c r="B919" s="0" t="inlineStr">
        <is>
          <t xml:space="preserve">N0002415C2202</t>
        </is>
      </c>
      <c r="D919" s="0" t="inlineStr">
        <is>
          <t xml:space="preserve">small_craft</t>
        </is>
      </c>
      <c r="E919" s="0" t="inlineStr">
        <is>
          <t xml:space="preserve">WING INFLATABLES INC</t>
        </is>
      </c>
      <c r="F919" s="0" t="inlineStr">
        <is>
          <t xml:space="preserve">D</t>
        </is>
      </c>
      <c r="G919" s="4">
        <v>0.06349515</v>
      </c>
      <c r="H919" s="0" t="inlineStr">
        <is>
          <t xml:space="preserve">2015-04-01</t>
        </is>
      </c>
      <c r="I919" s="0" t="inlineStr">
        <is>
          <t xml:space="preserve">no</t>
        </is>
      </c>
      <c r="J919" s="0" t="inlineStr">
        <is>
          <t xml:space="preserve">N0002415R2202</t>
        </is>
      </c>
      <c r="K919" s="0" t="inlineStr">
        <is>
          <t xml:space="preserve">NONE</t>
        </is>
      </c>
    </row>
    <row r="920">
      <c r="B920" s="0" t="inlineStr">
        <is>
          <t xml:space="preserve">N0010424FY700</t>
        </is>
      </c>
      <c r="C920" s="0" t="inlineStr">
        <is>
          <t xml:space="preserve">N0010422GY701</t>
        </is>
      </c>
      <c r="D920" s="0" t="inlineStr">
        <is>
          <t xml:space="preserve">small_craft</t>
        </is>
      </c>
      <c r="E920" s="0" t="inlineStr">
        <is>
          <t xml:space="preserve">L3 TECHNOLOGIES, INC.</t>
        </is>
      </c>
      <c r="F920" s="0" t="inlineStr">
        <is>
          <t xml:space="preserve">C</t>
        </is>
      </c>
      <c r="G920" s="4">
        <v>0.06344799999999999</v>
      </c>
      <c r="H920" s="0" t="inlineStr">
        <is>
          <t xml:space="preserve">2023-11-08</t>
        </is>
      </c>
      <c r="I920" s="0" t="inlineStr">
        <is>
          <t xml:space="preserve">no</t>
        </is>
      </c>
      <c r="K920" s="0" t="inlineStr">
        <is>
          <t xml:space="preserve">NONE</t>
        </is>
      </c>
    </row>
    <row r="921">
      <c r="B921" s="0" t="inlineStr">
        <is>
          <t xml:space="preserve">N0018924P0399</t>
        </is>
      </c>
      <c r="D921" s="0" t="inlineStr">
        <is>
          <t xml:space="preserve">small_craft</t>
        </is>
      </c>
      <c r="E921" s="0" t="inlineStr">
        <is>
          <t xml:space="preserve">WING INFLATABLES, INC.</t>
        </is>
      </c>
      <c r="F921" s="0" t="inlineStr">
        <is>
          <t xml:space="preserve">B</t>
        </is>
      </c>
      <c r="G921" s="4">
        <v>0.06314616</v>
      </c>
      <c r="H921" s="0" t="inlineStr">
        <is>
          <t xml:space="preserve">2024-07-08</t>
        </is>
      </c>
      <c r="I921" s="0" t="inlineStr">
        <is>
          <t xml:space="preserve">no</t>
        </is>
      </c>
      <c r="J921" s="0" t="inlineStr">
        <is>
          <t xml:space="preserve">N0018924Q0368</t>
        </is>
      </c>
      <c r="K921" s="0" t="inlineStr">
        <is>
          <t xml:space="preserve">NONE</t>
        </is>
      </c>
    </row>
    <row r="922">
      <c r="B922" s="0" t="inlineStr">
        <is>
          <t xml:space="preserve">N0010422PJB89</t>
        </is>
      </c>
      <c r="D922" s="0" t="inlineStr">
        <is>
          <t xml:space="preserve">small_craft</t>
        </is>
      </c>
      <c r="E922" s="0" t="inlineStr">
        <is>
          <t xml:space="preserve">AQUA-CHEM, INC.</t>
        </is>
      </c>
      <c r="F922" s="0" t="inlineStr">
        <is>
          <t xml:space="preserve">B</t>
        </is>
      </c>
      <c r="G922" s="4">
        <v>0.063028</v>
      </c>
      <c r="H922" s="0" t="inlineStr">
        <is>
          <t xml:space="preserve">2022-06-15</t>
        </is>
      </c>
      <c r="I922" s="0" t="inlineStr">
        <is>
          <t xml:space="preserve">no</t>
        </is>
      </c>
      <c r="K922" s="0" t="inlineStr">
        <is>
          <t xml:space="preserve">NONE</t>
        </is>
      </c>
    </row>
    <row r="923">
      <c r="B923" s="0" t="inlineStr">
        <is>
          <t xml:space="preserve">N0010424PFB78</t>
        </is>
      </c>
      <c r="D923" s="0" t="inlineStr">
        <is>
          <t xml:space="preserve">small_craft</t>
        </is>
      </c>
      <c r="E923" s="0" t="inlineStr">
        <is>
          <t xml:space="preserve">TELEDYNE INSTRUMENTS INC</t>
        </is>
      </c>
      <c r="F923" s="0" t="inlineStr">
        <is>
          <t xml:space="preserve">B</t>
        </is>
      </c>
      <c r="G923" s="4">
        <v>0.06264399999999999</v>
      </c>
      <c r="H923" s="0" t="inlineStr">
        <is>
          <t xml:space="preserve">2024-03-28</t>
        </is>
      </c>
      <c r="I923" s="0" t="inlineStr">
        <is>
          <t xml:space="preserve">no</t>
        </is>
      </c>
      <c r="J923" s="0" t="inlineStr">
        <is>
          <t xml:space="preserve">N0010423QFE63</t>
        </is>
      </c>
      <c r="K923" s="0" t="inlineStr">
        <is>
          <t xml:space="preserve">NONE</t>
        </is>
      </c>
    </row>
    <row r="924">
      <c r="B924" s="0" t="inlineStr">
        <is>
          <t xml:space="preserve">0008</t>
        </is>
      </c>
      <c r="C924" s="0" t="inlineStr">
        <is>
          <t xml:space="preserve">N3220517D4700</t>
        </is>
      </c>
      <c r="D924" s="0" t="inlineStr">
        <is>
          <t xml:space="preserve">other_small</t>
        </is>
      </c>
      <c r="E924" s="0" t="inlineStr">
        <is>
          <t xml:space="preserve">LAKE SHORE SYSTEMS, INC.</t>
        </is>
      </c>
      <c r="F924" s="0" t="inlineStr">
        <is>
          <t xml:space="preserve">C</t>
        </is>
      </c>
      <c r="G924" s="4">
        <v>0.06261087</v>
      </c>
      <c r="H924" s="0" t="inlineStr">
        <is>
          <t xml:space="preserve">2017-01-25</t>
        </is>
      </c>
      <c r="I924" s="0" t="inlineStr">
        <is>
          <t xml:space="preserve">no</t>
        </is>
      </c>
      <c r="K924" s="0" t="inlineStr">
        <is>
          <t xml:space="preserve">NONE</t>
        </is>
      </c>
    </row>
    <row r="925">
      <c r="B925" s="0" t="inlineStr">
        <is>
          <t xml:space="preserve">LH50</t>
        </is>
      </c>
      <c r="C925" s="0" t="inlineStr">
        <is>
          <t xml:space="preserve">N6238715D2104</t>
        </is>
      </c>
      <c r="D925" s="0" t="inlineStr">
        <is>
          <t xml:space="preserve">other_small</t>
        </is>
      </c>
      <c r="E925" s="0" t="inlineStr">
        <is>
          <t xml:space="preserve">MCALLISTER TOWING AND TRANSPORTATION COMPANY, INC.</t>
        </is>
      </c>
      <c r="F925" s="0" t="inlineStr">
        <is>
          <t xml:space="preserve">C</t>
        </is>
      </c>
      <c r="G925" s="4">
        <v>0.062349999999999996</v>
      </c>
      <c r="H925" s="0" t="inlineStr">
        <is>
          <t xml:space="preserve">2016-07-01</t>
        </is>
      </c>
      <c r="I925" s="0" t="inlineStr">
        <is>
          <t xml:space="preserve">no</t>
        </is>
      </c>
      <c r="J925" s="0" t="inlineStr">
        <is>
          <t xml:space="preserve">N6238715R2104</t>
        </is>
      </c>
      <c r="K925" s="0" t="inlineStr">
        <is>
          <t xml:space="preserve">NONE</t>
        </is>
      </c>
    </row>
    <row r="926">
      <c r="B926" s="0" t="inlineStr">
        <is>
          <t xml:space="preserve">N0010424PLD19</t>
        </is>
      </c>
      <c r="D926" s="0" t="inlineStr">
        <is>
          <t xml:space="preserve">small_craft</t>
        </is>
      </c>
      <c r="E926" s="0" t="inlineStr">
        <is>
          <t xml:space="preserve">KAMPI COMPONENTS CO INC</t>
        </is>
      </c>
      <c r="F926" s="0" t="inlineStr">
        <is>
          <t xml:space="preserve">B</t>
        </is>
      </c>
      <c r="G926" s="4">
        <v>0.062234</v>
      </c>
      <c r="H926" s="0" t="inlineStr">
        <is>
          <t xml:space="preserve">2024-06-25</t>
        </is>
      </c>
      <c r="I926" s="0" t="inlineStr">
        <is>
          <t xml:space="preserve">no</t>
        </is>
      </c>
      <c r="K926" s="0" t="inlineStr">
        <is>
          <t xml:space="preserve">NONE</t>
        </is>
      </c>
    </row>
    <row r="927">
      <c r="B927" s="0" t="inlineStr">
        <is>
          <t xml:space="preserve">N6874223F0933</t>
        </is>
      </c>
      <c r="C927" s="0" t="inlineStr">
        <is>
          <t xml:space="preserve">47QSWA23D006A</t>
        </is>
      </c>
      <c r="D927" s="0" t="inlineStr">
        <is>
          <t xml:space="preserve">small_craft</t>
        </is>
      </c>
      <c r="E927" s="0" t="inlineStr">
        <is>
          <t xml:space="preserve">CENTRAL FLORIDA YAMAHA INC</t>
        </is>
      </c>
      <c r="F927" s="0" t="inlineStr">
        <is>
          <t xml:space="preserve">C</t>
        </is>
      </c>
      <c r="G927" s="4">
        <v>0.06218</v>
      </c>
      <c r="H927" s="0" t="inlineStr">
        <is>
          <t xml:space="preserve">2023-07-14</t>
        </is>
      </c>
      <c r="I927" s="0" t="inlineStr">
        <is>
          <t xml:space="preserve">no</t>
        </is>
      </c>
      <c r="K927" s="0" t="inlineStr">
        <is>
          <t xml:space="preserve">NONE</t>
        </is>
      </c>
    </row>
    <row r="928">
      <c r="B928" s="0" t="inlineStr">
        <is>
          <t xml:space="preserve">N6883615P1042</t>
        </is>
      </c>
      <c r="D928" s="0" t="inlineStr">
        <is>
          <t xml:space="preserve">small_craft</t>
        </is>
      </c>
      <c r="E928" s="0" t="inlineStr">
        <is>
          <t xml:space="preserve">WING INFLATABLES INC</t>
        </is>
      </c>
      <c r="F928" s="0" t="inlineStr">
        <is>
          <t xml:space="preserve">B</t>
        </is>
      </c>
      <c r="G928" s="4">
        <v>0.062021999999999994</v>
      </c>
      <c r="H928" s="0" t="inlineStr">
        <is>
          <t xml:space="preserve">2015-08-26</t>
        </is>
      </c>
      <c r="I928" s="0" t="inlineStr">
        <is>
          <t xml:space="preserve">no</t>
        </is>
      </c>
      <c r="J928" s="0" t="inlineStr">
        <is>
          <t xml:space="preserve">N6883615T0405</t>
        </is>
      </c>
      <c r="K928" s="0" t="inlineStr">
        <is>
          <t xml:space="preserve">NONE</t>
        </is>
      </c>
    </row>
    <row r="929">
      <c r="B929" s="0" t="inlineStr">
        <is>
          <t xml:space="preserve">N3220517F0612</t>
        </is>
      </c>
      <c r="C929" s="0" t="inlineStr">
        <is>
          <t xml:space="preserve">N3220517D4700</t>
        </is>
      </c>
      <c r="D929" s="0" t="inlineStr">
        <is>
          <t xml:space="preserve">other_small</t>
        </is>
      </c>
      <c r="E929" s="0" t="inlineStr">
        <is>
          <t xml:space="preserve">LAKE SHORE SYSTEMS, INC.</t>
        </is>
      </c>
      <c r="F929" s="0" t="inlineStr">
        <is>
          <t xml:space="preserve">C</t>
        </is>
      </c>
      <c r="G929" s="4">
        <v>0.06130976</v>
      </c>
      <c r="H929" s="0" t="inlineStr">
        <is>
          <t xml:space="preserve">2017-05-08</t>
        </is>
      </c>
      <c r="I929" s="0" t="inlineStr">
        <is>
          <t xml:space="preserve">no</t>
        </is>
      </c>
      <c r="K929" s="0" t="inlineStr">
        <is>
          <t xml:space="preserve">NONE</t>
        </is>
      </c>
    </row>
    <row r="930">
      <c r="B930" s="0" t="inlineStr">
        <is>
          <t xml:space="preserve">0005</t>
        </is>
      </c>
      <c r="C930" s="0" t="inlineStr">
        <is>
          <t xml:space="preserve">N6230613D9S01</t>
        </is>
      </c>
      <c r="D930" s="0" t="inlineStr">
        <is>
          <t xml:space="preserve">small_craft</t>
        </is>
      </c>
      <c r="E930" s="0" t="inlineStr">
        <is>
          <t xml:space="preserve">SAUNDERS ENGINE &amp; EQUIPMENT CO INC</t>
        </is>
      </c>
      <c r="F930" s="0" t="inlineStr">
        <is>
          <t xml:space="preserve">C</t>
        </is>
      </c>
      <c r="G930" s="4">
        <v>0.061147339999999994</v>
      </c>
      <c r="H930" s="0" t="inlineStr">
        <is>
          <t xml:space="preserve">2013-12-11</t>
        </is>
      </c>
      <c r="I930" s="0" t="inlineStr">
        <is>
          <t xml:space="preserve">no</t>
        </is>
      </c>
      <c r="J930" s="0" t="inlineStr">
        <is>
          <t xml:space="preserve">N6230612R9S01</t>
        </is>
      </c>
      <c r="K930" s="0" t="inlineStr">
        <is>
          <t xml:space="preserve">NONE</t>
        </is>
      </c>
    </row>
    <row r="931">
      <c r="B931" s="0" t="inlineStr">
        <is>
          <t xml:space="preserve">N4044207P5446</t>
        </is>
      </c>
      <c r="D931" s="0" t="inlineStr">
        <is>
          <t xml:space="preserve">other_small</t>
        </is>
      </c>
      <c r="E931" s="0" t="inlineStr">
        <is>
          <t xml:space="preserve">CANAM CIRCUIT BREAKER SERVICES INC</t>
        </is>
      </c>
      <c r="F931" s="0" t="inlineStr">
        <is>
          <t xml:space="preserve">B</t>
        </is>
      </c>
      <c r="G931" s="4">
        <v>0.060929599999999993</v>
      </c>
      <c r="H931" s="0" t="inlineStr">
        <is>
          <t xml:space="preserve">2007-03-27</t>
        </is>
      </c>
      <c r="I931" s="0" t="inlineStr">
        <is>
          <t xml:space="preserve">no</t>
        </is>
      </c>
      <c r="K931" s="0" t="inlineStr">
        <is>
          <t xml:space="preserve">NONE</t>
        </is>
      </c>
    </row>
    <row r="932">
      <c r="B932" s="0" t="inlineStr">
        <is>
          <t xml:space="preserve">N0018920P0187</t>
        </is>
      </c>
      <c r="D932" s="0" t="inlineStr">
        <is>
          <t xml:space="preserve">small_craft</t>
        </is>
      </c>
      <c r="E932" s="0" t="inlineStr">
        <is>
          <t xml:space="preserve">WING INFLATABLES INC</t>
        </is>
      </c>
      <c r="F932" s="0" t="inlineStr">
        <is>
          <t xml:space="preserve">B</t>
        </is>
      </c>
      <c r="G932" s="4">
        <v>0.060877459999999994</v>
      </c>
      <c r="H932" s="0" t="inlineStr">
        <is>
          <t xml:space="preserve">2020-03-11</t>
        </is>
      </c>
      <c r="I932" s="0" t="inlineStr">
        <is>
          <t xml:space="preserve">no</t>
        </is>
      </c>
      <c r="J932" s="0" t="inlineStr">
        <is>
          <t xml:space="preserve">N0018920Q0082</t>
        </is>
      </c>
      <c r="K932" s="0" t="inlineStr">
        <is>
          <t xml:space="preserve">NONE</t>
        </is>
      </c>
    </row>
    <row r="933">
      <c r="B933" s="0" t="inlineStr">
        <is>
          <t xml:space="preserve">N0018917P1110</t>
        </is>
      </c>
      <c r="D933" s="0" t="inlineStr">
        <is>
          <t xml:space="preserve">small_craft</t>
        </is>
      </c>
      <c r="E933" s="0" t="inlineStr">
        <is>
          <t xml:space="preserve">HUCO BLASTING SERVICES LLC</t>
        </is>
      </c>
      <c r="F933" s="0" t="inlineStr">
        <is>
          <t xml:space="preserve">B</t>
        </is>
      </c>
      <c r="G933" s="4">
        <v>0.06082</v>
      </c>
      <c r="H933" s="0" t="inlineStr">
        <is>
          <t xml:space="preserve">2017-08-02</t>
        </is>
      </c>
      <c r="I933" s="0" t="inlineStr">
        <is>
          <t xml:space="preserve">no</t>
        </is>
      </c>
      <c r="J933" s="0" t="inlineStr">
        <is>
          <t xml:space="preserve">N0018917Q0122</t>
        </is>
      </c>
      <c r="K933" s="0" t="inlineStr">
        <is>
          <t xml:space="preserve">NONE</t>
        </is>
      </c>
    </row>
    <row r="934">
      <c r="B934" s="0" t="inlineStr">
        <is>
          <t xml:space="preserve">N0010423PXB98</t>
        </is>
      </c>
      <c r="D934" s="0" t="inlineStr">
        <is>
          <t xml:space="preserve">small_craft</t>
        </is>
      </c>
      <c r="E934" s="0" t="inlineStr">
        <is>
          <t xml:space="preserve">DOMESTIC AWARDEES (UNDISCLOSED)</t>
        </is>
      </c>
      <c r="F934" s="0" t="inlineStr">
        <is>
          <t xml:space="preserve">B</t>
        </is>
      </c>
      <c r="G934" s="4">
        <v>0.060620999999999994</v>
      </c>
      <c r="H934" s="0" t="inlineStr">
        <is>
          <t xml:space="preserve">2023-03-27</t>
        </is>
      </c>
      <c r="I934" s="0" t="inlineStr">
        <is>
          <t xml:space="preserve">no</t>
        </is>
      </c>
      <c r="K934" s="0" t="inlineStr">
        <is>
          <t xml:space="preserve">NONE</t>
        </is>
      </c>
    </row>
    <row r="935">
      <c r="B935" s="0" t="inlineStr">
        <is>
          <t xml:space="preserve">N3220520P4201</t>
        </is>
      </c>
      <c r="D935" s="0" t="inlineStr">
        <is>
          <t xml:space="preserve">small_craft</t>
        </is>
      </c>
      <c r="E935" s="0" t="inlineStr">
        <is>
          <t xml:space="preserve">DONOVAN MARINE, INC.</t>
        </is>
      </c>
      <c r="F935" s="0" t="inlineStr">
        <is>
          <t xml:space="preserve">B</t>
        </is>
      </c>
      <c r="G935" s="4">
        <v>0.059995</v>
      </c>
      <c r="H935" s="0" t="inlineStr">
        <is>
          <t xml:space="preserve">2020-08-14</t>
        </is>
      </c>
      <c r="I935" s="0" t="inlineStr">
        <is>
          <t xml:space="preserve">no</t>
        </is>
      </c>
      <c r="J935" s="0" t="inlineStr">
        <is>
          <t xml:space="preserve">N3220520Q4201</t>
        </is>
      </c>
      <c r="K935" s="0" t="inlineStr">
        <is>
          <t xml:space="preserve">NONE</t>
        </is>
      </c>
    </row>
    <row r="936">
      <c r="B936" s="0" t="inlineStr">
        <is>
          <t xml:space="preserve">N6600120P6486</t>
        </is>
      </c>
      <c r="D936" s="0" t="inlineStr">
        <is>
          <t xml:space="preserve">small_craft</t>
        </is>
      </c>
      <c r="E936" s="0" t="inlineStr">
        <is>
          <t xml:space="preserve">WING INFLATABLES INC</t>
        </is>
      </c>
      <c r="F936" s="0" t="inlineStr">
        <is>
          <t xml:space="preserve">B</t>
        </is>
      </c>
      <c r="G936" s="4">
        <v>0.059990999999999996</v>
      </c>
      <c r="H936" s="0" t="inlineStr">
        <is>
          <t xml:space="preserve">2020-07-21</t>
        </is>
      </c>
      <c r="I936" s="0" t="inlineStr">
        <is>
          <t xml:space="preserve">no</t>
        </is>
      </c>
      <c r="J936" s="0" t="inlineStr">
        <is>
          <t xml:space="preserve">N6600120Q6486</t>
        </is>
      </c>
      <c r="K936" s="0" t="inlineStr">
        <is>
          <t xml:space="preserve">NONE</t>
        </is>
      </c>
    </row>
    <row r="937">
      <c r="B937" s="0" t="inlineStr">
        <is>
          <t xml:space="preserve">N0040617P1135</t>
        </is>
      </c>
      <c r="D937" s="0" t="inlineStr">
        <is>
          <t xml:space="preserve">small_craft</t>
        </is>
      </c>
      <c r="E937" s="0" t="inlineStr">
        <is>
          <t xml:space="preserve">DURAMAX MARINE, LLC</t>
        </is>
      </c>
      <c r="F937" s="0" t="inlineStr">
        <is>
          <t xml:space="preserve">B</t>
        </is>
      </c>
      <c r="G937" s="4">
        <v>0.059982</v>
      </c>
      <c r="H937" s="0" t="inlineStr">
        <is>
          <t xml:space="preserve">2017-03-07</t>
        </is>
      </c>
      <c r="I937" s="0" t="inlineStr">
        <is>
          <t xml:space="preserve">no</t>
        </is>
      </c>
      <c r="J937" s="0" t="inlineStr">
        <is>
          <t xml:space="preserve">N0040617T0211</t>
        </is>
      </c>
      <c r="K937" s="0" t="inlineStr">
        <is>
          <t xml:space="preserve">NONE</t>
        </is>
      </c>
    </row>
    <row r="938">
      <c r="B938" s="0" t="inlineStr">
        <is>
          <t xml:space="preserve">N0010423PLE33</t>
        </is>
      </c>
      <c r="D938" s="0" t="inlineStr">
        <is>
          <t xml:space="preserve">small_craft</t>
        </is>
      </c>
      <c r="E938" s="0" t="inlineStr">
        <is>
          <t xml:space="preserve">PORTLAND VALVE LLC</t>
        </is>
      </c>
      <c r="F938" s="0" t="inlineStr">
        <is>
          <t xml:space="preserve">B</t>
        </is>
      </c>
      <c r="G938" s="4">
        <v>0.059872999999999996</v>
      </c>
      <c r="H938" s="0" t="inlineStr">
        <is>
          <t xml:space="preserve">2023-07-24</t>
        </is>
      </c>
      <c r="I938" s="0" t="inlineStr">
        <is>
          <t xml:space="preserve">no</t>
        </is>
      </c>
      <c r="K938" s="0" t="inlineStr">
        <is>
          <t xml:space="preserve">NONE</t>
        </is>
      </c>
    </row>
    <row r="939">
      <c r="B939" s="0" t="inlineStr">
        <is>
          <t xml:space="preserve">N0010424PLE06</t>
        </is>
      </c>
      <c r="D939" s="0" t="inlineStr">
        <is>
          <t xml:space="preserve">small_craft</t>
        </is>
      </c>
      <c r="E939" s="0" t="inlineStr">
        <is>
          <t xml:space="preserve">STANDARD CALIBRATIONS INC</t>
        </is>
      </c>
      <c r="F939" s="0" t="inlineStr">
        <is>
          <t xml:space="preserve">B</t>
        </is>
      </c>
      <c r="G939" s="4">
        <v>0.05980496</v>
      </c>
      <c r="H939" s="0" t="inlineStr">
        <is>
          <t xml:space="preserve">2024-09-09</t>
        </is>
      </c>
      <c r="I939" s="0" t="inlineStr">
        <is>
          <t xml:space="preserve">no</t>
        </is>
      </c>
      <c r="K939" s="0" t="inlineStr">
        <is>
          <t xml:space="preserve">NONE</t>
        </is>
      </c>
    </row>
    <row r="940">
      <c r="B940" s="0" t="inlineStr">
        <is>
          <t xml:space="preserve">N0010423PLE59</t>
        </is>
      </c>
      <c r="D940" s="0" t="inlineStr">
        <is>
          <t xml:space="preserve">small_craft</t>
        </is>
      </c>
      <c r="E940" s="0" t="inlineStr">
        <is>
          <t xml:space="preserve">PETROLAB, L.L.C.</t>
        </is>
      </c>
      <c r="F940" s="0" t="inlineStr">
        <is>
          <t xml:space="preserve">B</t>
        </is>
      </c>
      <c r="G940" s="4">
        <v>0.059449999999999996</v>
      </c>
      <c r="H940" s="0" t="inlineStr">
        <is>
          <t xml:space="preserve">2023-07-25</t>
        </is>
      </c>
      <c r="I940" s="0" t="inlineStr">
        <is>
          <t xml:space="preserve">no</t>
        </is>
      </c>
      <c r="K940" s="0" t="inlineStr">
        <is>
          <t xml:space="preserve">NONE</t>
        </is>
      </c>
    </row>
    <row r="941">
      <c r="B941" s="0" t="inlineStr">
        <is>
          <t xml:space="preserve">N3220521P0013</t>
        </is>
      </c>
      <c r="D941" s="0" t="inlineStr">
        <is>
          <t xml:space="preserve">small_craft</t>
        </is>
      </c>
      <c r="E941" s="0" t="inlineStr">
        <is>
          <t xml:space="preserve">PUGET SOUND INFLATABLES, INC.</t>
        </is>
      </c>
      <c r="F941" s="0" t="inlineStr">
        <is>
          <t xml:space="preserve">B</t>
        </is>
      </c>
      <c r="G941" s="4">
        <v>0.05941</v>
      </c>
      <c r="H941" s="0" t="inlineStr">
        <is>
          <t xml:space="preserve">2021-02-08</t>
        </is>
      </c>
      <c r="I941" s="0" t="inlineStr">
        <is>
          <t xml:space="preserve">no</t>
        </is>
      </c>
      <c r="J941" s="0" t="inlineStr">
        <is>
          <t xml:space="preserve">N3220521Q0013</t>
        </is>
      </c>
      <c r="K941" s="0" t="inlineStr">
        <is>
          <t xml:space="preserve">NONE</t>
        </is>
      </c>
    </row>
    <row r="942">
      <c r="B942" s="0" t="inlineStr">
        <is>
          <t xml:space="preserve">N3220520F0110</t>
        </is>
      </c>
      <c r="C942" s="0" t="inlineStr">
        <is>
          <t xml:space="preserve">N3220517D4700</t>
        </is>
      </c>
      <c r="D942" s="0" t="inlineStr">
        <is>
          <t xml:space="preserve">other_small</t>
        </is>
      </c>
      <c r="E942" s="0" t="inlineStr">
        <is>
          <t xml:space="preserve">LAKE SHORE SYSTEMS, INC.</t>
        </is>
      </c>
      <c r="F942" s="0" t="inlineStr">
        <is>
          <t xml:space="preserve">C</t>
        </is>
      </c>
      <c r="G942" s="4">
        <v>0.05940515</v>
      </c>
      <c r="H942" s="0" t="inlineStr">
        <is>
          <t xml:space="preserve">2019-10-16</t>
        </is>
      </c>
      <c r="I942" s="0" t="inlineStr">
        <is>
          <t xml:space="preserve">no</t>
        </is>
      </c>
      <c r="K942" s="0" t="inlineStr">
        <is>
          <t xml:space="preserve">NONE</t>
        </is>
      </c>
    </row>
    <row r="943">
      <c r="B943" s="0" t="inlineStr">
        <is>
          <t xml:space="preserve">0015</t>
        </is>
      </c>
      <c r="C943" s="0" t="inlineStr">
        <is>
          <t xml:space="preserve">N6230613D9S01</t>
        </is>
      </c>
      <c r="D943" s="0" t="inlineStr">
        <is>
          <t xml:space="preserve">small_craft</t>
        </is>
      </c>
      <c r="E943" s="0" t="inlineStr">
        <is>
          <t xml:space="preserve">SAUNDERS ENGINE &amp; EQUIPMENT CO INC</t>
        </is>
      </c>
      <c r="F943" s="0" t="inlineStr">
        <is>
          <t xml:space="preserve">C</t>
        </is>
      </c>
      <c r="G943" s="4">
        <v>0.05934287</v>
      </c>
      <c r="H943" s="0" t="inlineStr">
        <is>
          <t xml:space="preserve">2015-04-28</t>
        </is>
      </c>
      <c r="I943" s="0" t="inlineStr">
        <is>
          <t xml:space="preserve">no</t>
        </is>
      </c>
      <c r="J943" s="0" t="inlineStr">
        <is>
          <t xml:space="preserve">N6230612R9S01</t>
        </is>
      </c>
      <c r="K943" s="0" t="inlineStr">
        <is>
          <t xml:space="preserve">NONE</t>
        </is>
      </c>
    </row>
    <row r="944">
      <c r="B944" s="0" t="inlineStr">
        <is>
          <t xml:space="preserve">N0040625PS378</t>
        </is>
      </c>
      <c r="D944" s="0" t="inlineStr">
        <is>
          <t xml:space="preserve">small_craft</t>
        </is>
      </c>
      <c r="E944" s="0" t="inlineStr">
        <is>
          <t xml:space="preserve">FED CREW INC</t>
        </is>
      </c>
      <c r="F944" s="0" t="inlineStr">
        <is>
          <t xml:space="preserve">B</t>
        </is>
      </c>
      <c r="G944" s="4">
        <v>0.059198999999999995</v>
      </c>
      <c r="H944" s="0" t="inlineStr">
        <is>
          <t xml:space="preserve">2025-08-13</t>
        </is>
      </c>
      <c r="I944" s="0" t="inlineStr">
        <is>
          <t xml:space="preserve">yes</t>
        </is>
      </c>
      <c r="J944" s="0" t="inlineStr">
        <is>
          <t xml:space="preserve">N0040625QS375</t>
        </is>
      </c>
      <c r="K944" s="0" t="inlineStr">
        <is>
          <t xml:space="preserve">NONE</t>
        </is>
      </c>
    </row>
    <row r="945">
      <c r="B945" s="0" t="inlineStr">
        <is>
          <t xml:space="preserve">N6278923P0027</t>
        </is>
      </c>
      <c r="D945" s="0" t="inlineStr">
        <is>
          <t xml:space="preserve">small_craft</t>
        </is>
      </c>
      <c r="E945" s="0" t="inlineStr">
        <is>
          <t xml:space="preserve">BOAT WORKS OF SOUTH WINDSOR, INC.</t>
        </is>
      </c>
      <c r="F945" s="0" t="inlineStr">
        <is>
          <t xml:space="preserve">B</t>
        </is>
      </c>
      <c r="G945" s="4">
        <v>0.058926349999999995</v>
      </c>
      <c r="H945" s="0" t="inlineStr">
        <is>
          <t xml:space="preserve">2023-06-27</t>
        </is>
      </c>
      <c r="I945" s="0" t="inlineStr">
        <is>
          <t xml:space="preserve">no</t>
        </is>
      </c>
      <c r="J945" s="0" t="inlineStr">
        <is>
          <t xml:space="preserve">N6278923Q0015</t>
        </is>
      </c>
      <c r="K945" s="0" t="inlineStr">
        <is>
          <t xml:space="preserve">NONE</t>
        </is>
      </c>
    </row>
    <row r="946">
      <c r="B946" s="0" t="inlineStr">
        <is>
          <t xml:space="preserve">N0016719P0284</t>
        </is>
      </c>
      <c r="D946" s="0" t="inlineStr">
        <is>
          <t xml:space="preserve">small_craft</t>
        </is>
      </c>
      <c r="E946" s="0" t="inlineStr">
        <is>
          <t xml:space="preserve">SOUDURE TECHNIK AL 13 INC</t>
        </is>
      </c>
      <c r="F946" s="0" t="inlineStr">
        <is>
          <t xml:space="preserve">B</t>
        </is>
      </c>
      <c r="G946" s="4">
        <v>0.05871</v>
      </c>
      <c r="H946" s="0" t="inlineStr">
        <is>
          <t xml:space="preserve">2019-09-13</t>
        </is>
      </c>
      <c r="I946" s="0" t="inlineStr">
        <is>
          <t xml:space="preserve">no</t>
        </is>
      </c>
      <c r="J946" s="0" t="inlineStr">
        <is>
          <t xml:space="preserve">N0016719Q0198</t>
        </is>
      </c>
      <c r="K946" s="0" t="inlineStr">
        <is>
          <t xml:space="preserve">NONE</t>
        </is>
      </c>
    </row>
    <row r="947">
      <c r="B947" s="0" t="inlineStr">
        <is>
          <t xml:space="preserve">N6893620P0656</t>
        </is>
      </c>
      <c r="D947" s="0" t="inlineStr">
        <is>
          <t xml:space="preserve">small_craft</t>
        </is>
      </c>
      <c r="E947" s="0" t="inlineStr">
        <is>
          <t xml:space="preserve">GOVERNMENT SUPPLY WAREHOUSE CORPORATION</t>
        </is>
      </c>
      <c r="F947" s="0" t="inlineStr">
        <is>
          <t xml:space="preserve">B</t>
        </is>
      </c>
      <c r="G947" s="4">
        <v>0.058592</v>
      </c>
      <c r="H947" s="0" t="inlineStr">
        <is>
          <t xml:space="preserve">2020-09-28</t>
        </is>
      </c>
      <c r="I947" s="0" t="inlineStr">
        <is>
          <t xml:space="preserve">no</t>
        </is>
      </c>
      <c r="J947" s="0" t="inlineStr">
        <is>
          <t xml:space="preserve">N6893620Q0330</t>
        </is>
      </c>
      <c r="K947" s="0" t="inlineStr">
        <is>
          <t xml:space="preserve">NONE</t>
        </is>
      </c>
    </row>
    <row r="948">
      <c r="B948" s="0" t="inlineStr">
        <is>
          <t xml:space="preserve">N0010426PSA89</t>
        </is>
      </c>
      <c r="D948" s="0" t="inlineStr">
        <is>
          <t xml:space="preserve">small_craft</t>
        </is>
      </c>
      <c r="E948" s="0" t="inlineStr">
        <is>
          <t xml:space="preserve">JUNIPER ELBOW CO. INC.</t>
        </is>
      </c>
      <c r="F948" s="0" t="inlineStr">
        <is>
          <t xml:space="preserve">B</t>
        </is>
      </c>
      <c r="G948" s="4">
        <v>0.0584</v>
      </c>
      <c r="H948" s="0" t="inlineStr">
        <is>
          <t xml:space="preserve">2026-02-27</t>
        </is>
      </c>
      <c r="I948" s="0" t="inlineStr">
        <is>
          <t xml:space="preserve">yes</t>
        </is>
      </c>
      <c r="J948" s="0" t="inlineStr">
        <is>
          <t xml:space="preserve">N0010426QSA54</t>
        </is>
      </c>
      <c r="K948" s="0" t="inlineStr">
        <is>
          <t xml:space="preserve">NONE</t>
        </is>
      </c>
    </row>
    <row r="949">
      <c r="B949" s="0" t="inlineStr">
        <is>
          <t xml:space="preserve">N0040624P0291</t>
        </is>
      </c>
      <c r="D949" s="0" t="inlineStr">
        <is>
          <t xml:space="preserve">small_craft</t>
        </is>
      </c>
      <c r="E949" s="0" t="inlineStr">
        <is>
          <t xml:space="preserve">THE ENTWISTLE COMPANY LLC</t>
        </is>
      </c>
      <c r="F949" s="0" t="inlineStr">
        <is>
          <t xml:space="preserve">B</t>
        </is>
      </c>
      <c r="G949" s="4">
        <v>0.058000249999999996</v>
      </c>
      <c r="H949" s="0" t="inlineStr">
        <is>
          <t xml:space="preserve">2024-02-28</t>
        </is>
      </c>
      <c r="I949" s="0" t="inlineStr">
        <is>
          <t xml:space="preserve">no</t>
        </is>
      </c>
      <c r="J949" s="0" t="inlineStr">
        <is>
          <t xml:space="preserve">N0040624Q0280</t>
        </is>
      </c>
      <c r="K949" s="0" t="inlineStr">
        <is>
          <t xml:space="preserve">NONE</t>
        </is>
      </c>
    </row>
    <row r="950">
      <c r="B950" s="0" t="inlineStr">
        <is>
          <t xml:space="preserve">N6883625PS004</t>
        </is>
      </c>
      <c r="D950" s="0" t="inlineStr">
        <is>
          <t xml:space="preserve">small_craft</t>
        </is>
      </c>
      <c r="E950" s="0" t="inlineStr">
        <is>
          <t xml:space="preserve">ROLLS-ROYCE MARINE NORTH AMERICA INC.</t>
        </is>
      </c>
      <c r="F950" s="0" t="inlineStr">
        <is>
          <t xml:space="preserve">B</t>
        </is>
      </c>
      <c r="G950" s="4">
        <v>0.057999999999999996</v>
      </c>
      <c r="H950" s="0" t="inlineStr">
        <is>
          <t xml:space="preserve">2025-04-25</t>
        </is>
      </c>
      <c r="I950" s="0" t="inlineStr">
        <is>
          <t xml:space="preserve">no</t>
        </is>
      </c>
      <c r="K950" s="0" t="inlineStr">
        <is>
          <t xml:space="preserve">NONE</t>
        </is>
      </c>
    </row>
    <row r="951">
      <c r="B951" s="0" t="inlineStr">
        <is>
          <t xml:space="preserve">N0010423PLE56</t>
        </is>
      </c>
      <c r="D951" s="0" t="inlineStr">
        <is>
          <t xml:space="preserve">small_craft</t>
        </is>
      </c>
      <c r="E951" s="0" t="inlineStr">
        <is>
          <t xml:space="preserve">EATON CORPORATION</t>
        </is>
      </c>
      <c r="F951" s="0" t="inlineStr">
        <is>
          <t xml:space="preserve">B</t>
        </is>
      </c>
      <c r="G951" s="4">
        <v>0.057999999999999996</v>
      </c>
      <c r="H951" s="0" t="inlineStr">
        <is>
          <t xml:space="preserve">2023-07-24</t>
        </is>
      </c>
      <c r="I951" s="0" t="inlineStr">
        <is>
          <t xml:space="preserve">no</t>
        </is>
      </c>
      <c r="J951" s="0" t="inlineStr">
        <is>
          <t xml:space="preserve">N0010423QLE42</t>
        </is>
      </c>
      <c r="K951" s="0" t="inlineStr">
        <is>
          <t xml:space="preserve">NONE</t>
        </is>
      </c>
    </row>
    <row r="952">
      <c r="B952" s="0" t="inlineStr">
        <is>
          <t xml:space="preserve">N0010423PCA12</t>
        </is>
      </c>
      <c r="D952" s="0" t="inlineStr">
        <is>
          <t xml:space="preserve">small_craft</t>
        </is>
      </c>
      <c r="E952" s="0" t="inlineStr">
        <is>
          <t xml:space="preserve">JERED LLC</t>
        </is>
      </c>
      <c r="F952" s="0" t="inlineStr">
        <is>
          <t xml:space="preserve">B</t>
        </is>
      </c>
      <c r="G952" s="4">
        <v>0.05778501</v>
      </c>
      <c r="H952" s="0" t="inlineStr">
        <is>
          <t xml:space="preserve">2022-10-24</t>
        </is>
      </c>
      <c r="I952" s="0" t="inlineStr">
        <is>
          <t xml:space="preserve">no</t>
        </is>
      </c>
      <c r="K952" s="0" t="inlineStr">
        <is>
          <t xml:space="preserve">NONE</t>
        </is>
      </c>
    </row>
    <row r="953">
      <c r="B953" s="0" t="inlineStr">
        <is>
          <t xml:space="preserve">1010</t>
        </is>
      </c>
      <c r="C953" s="0" t="inlineStr">
        <is>
          <t xml:space="preserve">N0010416DX004</t>
        </is>
      </c>
      <c r="D953" s="0" t="inlineStr">
        <is>
          <t xml:space="preserve">small_craft</t>
        </is>
      </c>
      <c r="E953" s="0" t="inlineStr">
        <is>
          <t xml:space="preserve">WING INFLATABLES INC</t>
        </is>
      </c>
      <c r="F953" s="0" t="inlineStr">
        <is>
          <t xml:space="preserve">C</t>
        </is>
      </c>
      <c r="G953" s="4">
        <v>0.057718149999999996</v>
      </c>
      <c r="H953" s="0" t="inlineStr">
        <is>
          <t xml:space="preserve">2017-08-16</t>
        </is>
      </c>
      <c r="I953" s="0" t="inlineStr">
        <is>
          <t xml:space="preserve">no</t>
        </is>
      </c>
      <c r="K953" s="0" t="inlineStr">
        <is>
          <t xml:space="preserve">NONE</t>
        </is>
      </c>
    </row>
    <row r="954">
      <c r="B954" s="0" t="inlineStr">
        <is>
          <t xml:space="preserve">N3220518P1008</t>
        </is>
      </c>
      <c r="D954" s="0" t="inlineStr">
        <is>
          <t xml:space="preserve">small_craft</t>
        </is>
      </c>
      <c r="E954" s="0" t="inlineStr">
        <is>
          <t xml:space="preserve">FASSMER SERVICE AMERICA LLC</t>
        </is>
      </c>
      <c r="F954" s="0" t="inlineStr">
        <is>
          <t xml:space="preserve">B</t>
        </is>
      </c>
      <c r="G954" s="4">
        <v>0.05701219999999999</v>
      </c>
      <c r="H954" s="0" t="inlineStr">
        <is>
          <t xml:space="preserve">2017-10-20</t>
        </is>
      </c>
      <c r="I954" s="0" t="inlineStr">
        <is>
          <t xml:space="preserve">no</t>
        </is>
      </c>
      <c r="J954" s="0" t="inlineStr">
        <is>
          <t xml:space="preserve">N3220517Q1124</t>
        </is>
      </c>
      <c r="K954" s="0" t="inlineStr">
        <is>
          <t xml:space="preserve">NONE</t>
        </is>
      </c>
    </row>
    <row r="955">
      <c r="B955" s="0" t="inlineStr">
        <is>
          <t xml:space="preserve">N0040621P0177</t>
        </is>
      </c>
      <c r="D955" s="0" t="inlineStr">
        <is>
          <t xml:space="preserve">small_craft</t>
        </is>
      </c>
      <c r="E955" s="0" t="inlineStr">
        <is>
          <t xml:space="preserve">BRIGHT LIGHTS USA, INC</t>
        </is>
      </c>
      <c r="F955" s="0" t="inlineStr">
        <is>
          <t xml:space="preserve">B</t>
        </is>
      </c>
      <c r="G955" s="4">
        <v>0.05676</v>
      </c>
      <c r="H955" s="0" t="inlineStr">
        <is>
          <t xml:space="preserve">2021-02-16</t>
        </is>
      </c>
      <c r="I955" s="0" t="inlineStr">
        <is>
          <t xml:space="preserve">no</t>
        </is>
      </c>
      <c r="J955" s="0" t="inlineStr">
        <is>
          <t xml:space="preserve">N0040621Q0160</t>
        </is>
      </c>
      <c r="K955" s="0" t="inlineStr">
        <is>
          <t xml:space="preserve">NONE</t>
        </is>
      </c>
    </row>
    <row r="956">
      <c r="B956" s="0" t="inlineStr">
        <is>
          <t xml:space="preserve">N0042116P0584</t>
        </is>
      </c>
      <c r="D956" s="0" t="inlineStr">
        <is>
          <t xml:space="preserve">small_craft</t>
        </is>
      </c>
      <c r="E956" s="0" t="inlineStr">
        <is>
          <t xml:space="preserve">CENTRAL FLORIDA YAMAHA INC</t>
        </is>
      </c>
      <c r="F956" s="0" t="inlineStr">
        <is>
          <t xml:space="preserve">B</t>
        </is>
      </c>
      <c r="G956" s="4">
        <v>0.056718</v>
      </c>
      <c r="H956" s="0" t="inlineStr">
        <is>
          <t xml:space="preserve">2016-07-25</t>
        </is>
      </c>
      <c r="I956" s="0" t="inlineStr">
        <is>
          <t xml:space="preserve">no</t>
        </is>
      </c>
      <c r="J956" s="0" t="inlineStr">
        <is>
          <t xml:space="preserve">N0042116T0423</t>
        </is>
      </c>
      <c r="K956" s="0" t="inlineStr">
        <is>
          <t xml:space="preserve">NONE</t>
        </is>
      </c>
    </row>
    <row r="957">
      <c r="B957" s="0" t="inlineStr">
        <is>
          <t xml:space="preserve">N0010421PXC18</t>
        </is>
      </c>
      <c r="D957" s="0" t="inlineStr">
        <is>
          <t xml:space="preserve">small_craft</t>
        </is>
      </c>
      <c r="E957" s="0" t="inlineStr">
        <is>
          <t xml:space="preserve">NEWVAC, LLC</t>
        </is>
      </c>
      <c r="F957" s="0" t="inlineStr">
        <is>
          <t xml:space="preserve">B</t>
        </is>
      </c>
      <c r="G957" s="4">
        <v>0.05665</v>
      </c>
      <c r="H957" s="0" t="inlineStr">
        <is>
          <t xml:space="preserve">2021-07-19</t>
        </is>
      </c>
      <c r="I957" s="0" t="inlineStr">
        <is>
          <t xml:space="preserve">no</t>
        </is>
      </c>
      <c r="K957" s="0" t="inlineStr">
        <is>
          <t xml:space="preserve">NONE</t>
        </is>
      </c>
    </row>
    <row r="958">
      <c r="B958" s="0" t="inlineStr">
        <is>
          <t xml:space="preserve">N3220517P4726</t>
        </is>
      </c>
      <c r="D958" s="0" t="inlineStr">
        <is>
          <t xml:space="preserve">small_craft</t>
        </is>
      </c>
      <c r="E958" s="0" t="inlineStr">
        <is>
          <t xml:space="preserve">FASSMER SERVICE AMERICA LLC</t>
        </is>
      </c>
      <c r="F958" s="0" t="inlineStr">
        <is>
          <t xml:space="preserve">B</t>
        </is>
      </c>
      <c r="G958" s="4">
        <v>0.05654019999999999</v>
      </c>
      <c r="H958" s="0" t="inlineStr">
        <is>
          <t xml:space="preserve">2017-06-20</t>
        </is>
      </c>
      <c r="I958" s="0" t="inlineStr">
        <is>
          <t xml:space="preserve">no</t>
        </is>
      </c>
      <c r="J958" s="0" t="inlineStr">
        <is>
          <t xml:space="preserve">N3220517Q4378</t>
        </is>
      </c>
      <c r="K958" s="0" t="inlineStr">
        <is>
          <t xml:space="preserve">NONE</t>
        </is>
      </c>
    </row>
    <row r="959">
      <c r="B959" s="0" t="inlineStr">
        <is>
          <t xml:space="preserve">N6146320FLH08</t>
        </is>
      </c>
      <c r="C959" s="0" t="inlineStr">
        <is>
          <t xml:space="preserve">N6238715D2104</t>
        </is>
      </c>
      <c r="D959" s="0" t="inlineStr">
        <is>
          <t xml:space="preserve">other_small</t>
        </is>
      </c>
      <c r="E959" s="0" t="inlineStr">
        <is>
          <t xml:space="preserve">MCALLISTER TOWING AND TRANSPORTATION COMPANY, INC.</t>
        </is>
      </c>
      <c r="F959" s="0" t="inlineStr">
        <is>
          <t xml:space="preserve">C</t>
        </is>
      </c>
      <c r="G959" s="4">
        <v>0.056088</v>
      </c>
      <c r="H959" s="0" t="inlineStr">
        <is>
          <t xml:space="preserve">2020-08-03</t>
        </is>
      </c>
      <c r="I959" s="0" t="inlineStr">
        <is>
          <t xml:space="preserve">no</t>
        </is>
      </c>
      <c r="J959" s="0" t="inlineStr">
        <is>
          <t xml:space="preserve">N6238715R2104</t>
        </is>
      </c>
      <c r="K959" s="0" t="inlineStr">
        <is>
          <t xml:space="preserve">NONE</t>
        </is>
      </c>
    </row>
    <row r="960">
      <c r="B960" s="0" t="inlineStr">
        <is>
          <t xml:space="preserve">0012</t>
        </is>
      </c>
      <c r="C960" s="0" t="inlineStr">
        <is>
          <t xml:space="preserve">N6230613D9S01</t>
        </is>
      </c>
      <c r="D960" s="0" t="inlineStr">
        <is>
          <t xml:space="preserve">small_craft</t>
        </is>
      </c>
      <c r="E960" s="0" t="inlineStr">
        <is>
          <t xml:space="preserve">SAUNDERS ENGINE &amp; EQUIPMENT CO INC</t>
        </is>
      </c>
      <c r="F960" s="0" t="inlineStr">
        <is>
          <t xml:space="preserve">C</t>
        </is>
      </c>
      <c r="G960" s="4">
        <v>0.05591325</v>
      </c>
      <c r="H960" s="0" t="inlineStr">
        <is>
          <t xml:space="preserve">2014-09-18</t>
        </is>
      </c>
      <c r="I960" s="0" t="inlineStr">
        <is>
          <t xml:space="preserve">no</t>
        </is>
      </c>
      <c r="J960" s="0" t="inlineStr">
        <is>
          <t xml:space="preserve">N6230612R9S01</t>
        </is>
      </c>
      <c r="K960" s="0" t="inlineStr">
        <is>
          <t xml:space="preserve">NONE</t>
        </is>
      </c>
    </row>
    <row r="961">
      <c r="B961" s="0" t="inlineStr">
        <is>
          <t xml:space="preserve">0023</t>
        </is>
      </c>
      <c r="C961" s="0" t="inlineStr">
        <is>
          <t xml:space="preserve">N6230613D9S01</t>
        </is>
      </c>
      <c r="D961" s="0" t="inlineStr">
        <is>
          <t xml:space="preserve">small_craft</t>
        </is>
      </c>
      <c r="E961" s="0" t="inlineStr">
        <is>
          <t xml:space="preserve">SAUNDERS ENGINE &amp; EQUIPMENT CO INC</t>
        </is>
      </c>
      <c r="F961" s="0" t="inlineStr">
        <is>
          <t xml:space="preserve">C</t>
        </is>
      </c>
      <c r="G961" s="4">
        <v>0.05575</v>
      </c>
      <c r="H961" s="0" t="inlineStr">
        <is>
          <t xml:space="preserve">2016-04-26</t>
        </is>
      </c>
      <c r="I961" s="0" t="inlineStr">
        <is>
          <t xml:space="preserve">no</t>
        </is>
      </c>
      <c r="J961" s="0" t="inlineStr">
        <is>
          <t xml:space="preserve">N6230612R9S01</t>
        </is>
      </c>
      <c r="K961" s="0" t="inlineStr">
        <is>
          <t xml:space="preserve">NONE</t>
        </is>
      </c>
    </row>
    <row r="962">
      <c r="B962" s="0" t="inlineStr">
        <is>
          <t xml:space="preserve">N0018923P0734</t>
        </is>
      </c>
      <c r="D962" s="0" t="inlineStr">
        <is>
          <t xml:space="preserve">other_small</t>
        </is>
      </c>
      <c r="E962" s="0" t="inlineStr">
        <is>
          <t xml:space="preserve">C W LAWLEY, INCORPORATED</t>
        </is>
      </c>
      <c r="F962" s="0" t="inlineStr">
        <is>
          <t xml:space="preserve">B</t>
        </is>
      </c>
      <c r="G962" s="4">
        <v>0.0557</v>
      </c>
      <c r="H962" s="0" t="inlineStr">
        <is>
          <t xml:space="preserve">2023-09-15</t>
        </is>
      </c>
      <c r="I962" s="0" t="inlineStr">
        <is>
          <t xml:space="preserve">no</t>
        </is>
      </c>
      <c r="J962" s="0" t="inlineStr">
        <is>
          <t xml:space="preserve">N0018923Q0441</t>
        </is>
      </c>
      <c r="K962" s="0" t="inlineStr">
        <is>
          <t xml:space="preserve">NONE</t>
        </is>
      </c>
    </row>
    <row r="963">
      <c r="B963" s="0" t="inlineStr">
        <is>
          <t xml:space="preserve">N4044207P5341</t>
        </is>
      </c>
      <c r="D963" s="0" t="inlineStr">
        <is>
          <t xml:space="preserve">other_small</t>
        </is>
      </c>
      <c r="E963" s="0" t="inlineStr">
        <is>
          <t xml:space="preserve">MACKAY COMMUNICATIONS, INC</t>
        </is>
      </c>
      <c r="F963" s="0" t="inlineStr">
        <is>
          <t xml:space="preserve">B</t>
        </is>
      </c>
      <c r="G963" s="4">
        <v>0.05563939</v>
      </c>
      <c r="H963" s="0" t="inlineStr">
        <is>
          <t xml:space="preserve">2007-02-22</t>
        </is>
      </c>
      <c r="I963" s="0" t="inlineStr">
        <is>
          <t xml:space="preserve">no</t>
        </is>
      </c>
      <c r="J963" s="0" t="inlineStr">
        <is>
          <t xml:space="preserve">N4044207T5208</t>
        </is>
      </c>
      <c r="K963" s="0" t="inlineStr">
        <is>
          <t xml:space="preserve">NONE</t>
        </is>
      </c>
    </row>
    <row r="964">
      <c r="B964" s="0" t="inlineStr">
        <is>
          <t xml:space="preserve">N6893625P5246</t>
        </is>
      </c>
      <c r="D964" s="0" t="inlineStr">
        <is>
          <t xml:space="preserve">small_craft</t>
        </is>
      </c>
      <c r="E964" s="0" t="inlineStr">
        <is>
          <t xml:space="preserve">MANO LLC</t>
        </is>
      </c>
      <c r="F964" s="0" t="inlineStr">
        <is>
          <t xml:space="preserve">B</t>
        </is>
      </c>
      <c r="G964" s="4">
        <v>0.055118999999999994</v>
      </c>
      <c r="H964" s="0" t="inlineStr">
        <is>
          <t xml:space="preserve">2025-09-25</t>
        </is>
      </c>
      <c r="I964" s="0" t="inlineStr">
        <is>
          <t xml:space="preserve">yes</t>
        </is>
      </c>
      <c r="J964" s="0" t="inlineStr">
        <is>
          <t xml:space="preserve">N6893625Q5141</t>
        </is>
      </c>
      <c r="K964" s="0" t="inlineStr">
        <is>
          <t xml:space="preserve">solnum</t>
        </is>
      </c>
      <c r="L964" s="0" t="inlineStr">
        <is>
          <t xml:space="preserve">Presolicitation</t>
        </is>
      </c>
    </row>
    <row r="965">
      <c r="B965" s="0" t="inlineStr">
        <is>
          <t xml:space="preserve">N0040622P0290</t>
        </is>
      </c>
      <c r="D965" s="0" t="inlineStr">
        <is>
          <t xml:space="preserve">small_craft</t>
        </is>
      </c>
      <c r="E965" s="0" t="inlineStr">
        <is>
          <t xml:space="preserve">CORNELL-CARR CO., INC.</t>
        </is>
      </c>
      <c r="F965" s="0" t="inlineStr">
        <is>
          <t xml:space="preserve">B</t>
        </is>
      </c>
      <c r="G965" s="4">
        <v>0.055099999999999996</v>
      </c>
      <c r="H965" s="0" t="inlineStr">
        <is>
          <t xml:space="preserve">2022-03-23</t>
        </is>
      </c>
      <c r="I965" s="0" t="inlineStr">
        <is>
          <t xml:space="preserve">no</t>
        </is>
      </c>
      <c r="J965" s="0" t="inlineStr">
        <is>
          <t xml:space="preserve">N0040622Q0296</t>
        </is>
      </c>
      <c r="K965" s="0" t="inlineStr">
        <is>
          <t xml:space="preserve">NONE</t>
        </is>
      </c>
    </row>
    <row r="966">
      <c r="B966" s="0" t="inlineStr">
        <is>
          <t xml:space="preserve">N0010421PDE15</t>
        </is>
      </c>
      <c r="D966" s="0" t="inlineStr">
        <is>
          <t xml:space="preserve">small_craft</t>
        </is>
      </c>
      <c r="E966" s="0" t="inlineStr">
        <is>
          <t xml:space="preserve">L3 TECHNOLOGIES, INC.</t>
        </is>
      </c>
      <c r="F966" s="0" t="inlineStr">
        <is>
          <t xml:space="preserve">B</t>
        </is>
      </c>
      <c r="G966" s="4">
        <v>0.055099999999999996</v>
      </c>
      <c r="H966" s="0" t="inlineStr">
        <is>
          <t xml:space="preserve">2021-09-29</t>
        </is>
      </c>
      <c r="I966" s="0" t="inlineStr">
        <is>
          <t xml:space="preserve">no</t>
        </is>
      </c>
      <c r="J966" s="0" t="inlineStr">
        <is>
          <t xml:space="preserve">N0010420QDA48</t>
        </is>
      </c>
      <c r="K966" s="0" t="inlineStr">
        <is>
          <t xml:space="preserve">NONE</t>
        </is>
      </c>
    </row>
    <row r="967">
      <c r="B967" s="0" t="inlineStr">
        <is>
          <t xml:space="preserve">N3220520F0073</t>
        </is>
      </c>
      <c r="C967" s="0" t="inlineStr">
        <is>
          <t xml:space="preserve">N3220517D4700</t>
        </is>
      </c>
      <c r="D967" s="0" t="inlineStr">
        <is>
          <t xml:space="preserve">other_small</t>
        </is>
      </c>
      <c r="E967" s="0" t="inlineStr">
        <is>
          <t xml:space="preserve">LAKE SHORE SYSTEMS, INC.</t>
        </is>
      </c>
      <c r="F967" s="0" t="inlineStr">
        <is>
          <t xml:space="preserve">C</t>
        </is>
      </c>
      <c r="G967" s="4">
        <v>0.054709959999999995</v>
      </c>
      <c r="H967" s="0" t="inlineStr">
        <is>
          <t xml:space="preserve">2019-10-07</t>
        </is>
      </c>
      <c r="I967" s="0" t="inlineStr">
        <is>
          <t xml:space="preserve">no</t>
        </is>
      </c>
      <c r="K967" s="0" t="inlineStr">
        <is>
          <t xml:space="preserve">NONE</t>
        </is>
      </c>
    </row>
    <row r="968">
      <c r="B968" s="0" t="inlineStr">
        <is>
          <t xml:space="preserve">N0018923P0627</t>
        </is>
      </c>
      <c r="D968" s="0" t="inlineStr">
        <is>
          <t xml:space="preserve">small_craft</t>
        </is>
      </c>
      <c r="E968" s="0" t="inlineStr">
        <is>
          <t xml:space="preserve">ARGONAUT INFLATABLE RESEARCH AND ENGINEERING, INC.</t>
        </is>
      </c>
      <c r="F968" s="0" t="inlineStr">
        <is>
          <t xml:space="preserve">B</t>
        </is>
      </c>
      <c r="G968" s="4">
        <v>0.0546896</v>
      </c>
      <c r="H968" s="0" t="inlineStr">
        <is>
          <t xml:space="preserve">2023-08-30</t>
        </is>
      </c>
      <c r="I968" s="0" t="inlineStr">
        <is>
          <t xml:space="preserve">no</t>
        </is>
      </c>
      <c r="J968" s="0" t="inlineStr">
        <is>
          <t xml:space="preserve">N0018923Q0560</t>
        </is>
      </c>
      <c r="K968" s="0" t="inlineStr">
        <is>
          <t xml:space="preserve">NONE</t>
        </is>
      </c>
    </row>
    <row r="969">
      <c r="B969" s="0" t="inlineStr">
        <is>
          <t xml:space="preserve">N6470922P0029</t>
        </is>
      </c>
      <c r="D969" s="0" t="inlineStr">
        <is>
          <t xml:space="preserve">small_craft</t>
        </is>
      </c>
      <c r="E969" s="0" t="inlineStr">
        <is>
          <t xml:space="preserve">SAFE BOATS INTERNATIONAL LLC</t>
        </is>
      </c>
      <c r="F969" s="0" t="inlineStr">
        <is>
          <t xml:space="preserve">B</t>
        </is>
      </c>
      <c r="G969" s="4">
        <v>0.05453604</v>
      </c>
      <c r="H969" s="0" t="inlineStr">
        <is>
          <t xml:space="preserve">2022-09-27</t>
        </is>
      </c>
      <c r="I969" s="0" t="inlineStr">
        <is>
          <t xml:space="preserve">no</t>
        </is>
      </c>
      <c r="J969" s="0" t="inlineStr">
        <is>
          <t xml:space="preserve">N6470922Q0029</t>
        </is>
      </c>
      <c r="K969" s="0" t="inlineStr">
        <is>
          <t xml:space="preserve">NONE</t>
        </is>
      </c>
    </row>
    <row r="970">
      <c r="B970" s="0" t="inlineStr">
        <is>
          <t xml:space="preserve">N3220520F2261</t>
        </is>
      </c>
      <c r="C970" s="0" t="inlineStr">
        <is>
          <t xml:space="preserve">N3220517D4700</t>
        </is>
      </c>
      <c r="D970" s="0" t="inlineStr">
        <is>
          <t xml:space="preserve">other_small</t>
        </is>
      </c>
      <c r="E970" s="0" t="inlineStr">
        <is>
          <t xml:space="preserve">LAKE SHORE SYSTEMS, INC.</t>
        </is>
      </c>
      <c r="F970" s="0" t="inlineStr">
        <is>
          <t xml:space="preserve">C</t>
        </is>
      </c>
      <c r="G970" s="4">
        <v>0.0545</v>
      </c>
      <c r="H970" s="0" t="inlineStr">
        <is>
          <t xml:space="preserve">2020-07-20</t>
        </is>
      </c>
      <c r="I970" s="0" t="inlineStr">
        <is>
          <t xml:space="preserve">no</t>
        </is>
      </c>
      <c r="K970" s="0" t="inlineStr">
        <is>
          <t xml:space="preserve">NONE</t>
        </is>
      </c>
    </row>
    <row r="971">
      <c r="B971" s="0" t="inlineStr">
        <is>
          <t xml:space="preserve">N0010423FY706</t>
        </is>
      </c>
      <c r="C971" s="0" t="inlineStr">
        <is>
          <t xml:space="preserve">N0010422GY701</t>
        </is>
      </c>
      <c r="D971" s="0" t="inlineStr">
        <is>
          <t xml:space="preserve">small_craft</t>
        </is>
      </c>
      <c r="E971" s="0" t="inlineStr">
        <is>
          <t xml:space="preserve">L3 TECHNOLOGIES, INC.</t>
        </is>
      </c>
      <c r="F971" s="0" t="inlineStr">
        <is>
          <t xml:space="preserve">C</t>
        </is>
      </c>
      <c r="G971" s="4">
        <v>0.05409</v>
      </c>
      <c r="H971" s="0" t="inlineStr">
        <is>
          <t xml:space="preserve">2023-09-19</t>
        </is>
      </c>
      <c r="I971" s="0" t="inlineStr">
        <is>
          <t xml:space="preserve">no</t>
        </is>
      </c>
      <c r="J971" s="0" t="inlineStr">
        <is>
          <t xml:space="preserve">N0010423RFA99</t>
        </is>
      </c>
      <c r="K971" s="0" t="inlineStr">
        <is>
          <t xml:space="preserve">NONE</t>
        </is>
      </c>
    </row>
    <row r="972">
      <c r="B972" s="0" t="inlineStr">
        <is>
          <t xml:space="preserve">N0040622P0674</t>
        </is>
      </c>
      <c r="D972" s="0" t="inlineStr">
        <is>
          <t xml:space="preserve">small_craft</t>
        </is>
      </c>
      <c r="E972" s="0" t="inlineStr">
        <is>
          <t xml:space="preserve">PIER SIDE SUPPLY INC</t>
        </is>
      </c>
      <c r="F972" s="0" t="inlineStr">
        <is>
          <t xml:space="preserve">B</t>
        </is>
      </c>
      <c r="G972" s="4">
        <v>0.05395</v>
      </c>
      <c r="H972" s="0" t="inlineStr">
        <is>
          <t xml:space="preserve">2022-07-28</t>
        </is>
      </c>
      <c r="I972" s="0" t="inlineStr">
        <is>
          <t xml:space="preserve">no</t>
        </is>
      </c>
      <c r="J972" s="0" t="inlineStr">
        <is>
          <t xml:space="preserve">N0040622Q0656</t>
        </is>
      </c>
      <c r="K972" s="0" t="inlineStr">
        <is>
          <t xml:space="preserve">NONE</t>
        </is>
      </c>
    </row>
    <row r="973">
      <c r="B973" s="0" t="inlineStr">
        <is>
          <t xml:space="preserve">N4044207P5526</t>
        </is>
      </c>
      <c r="D973" s="0" t="inlineStr">
        <is>
          <t xml:space="preserve">small_craft</t>
        </is>
      </c>
      <c r="E973" s="0" t="inlineStr">
        <is>
          <t xml:space="preserve">PALFINGER MARINE USA, LLC</t>
        </is>
      </c>
      <c r="F973" s="0" t="inlineStr">
        <is>
          <t xml:space="preserve">B</t>
        </is>
      </c>
      <c r="G973" s="4">
        <v>0.053926709999999996</v>
      </c>
      <c r="H973" s="0" t="inlineStr">
        <is>
          <t xml:space="preserve">2007-04-25</t>
        </is>
      </c>
      <c r="I973" s="0" t="inlineStr">
        <is>
          <t xml:space="preserve">no</t>
        </is>
      </c>
      <c r="J973" s="0" t="inlineStr">
        <is>
          <t xml:space="preserve">N4044207T5053</t>
        </is>
      </c>
      <c r="K973" s="0" t="inlineStr">
        <is>
          <t xml:space="preserve">NONE</t>
        </is>
      </c>
    </row>
    <row r="974">
      <c r="B974" s="0" t="inlineStr">
        <is>
          <t xml:space="preserve">N0040618P1771</t>
        </is>
      </c>
      <c r="D974" s="0" t="inlineStr">
        <is>
          <t xml:space="preserve">small_craft</t>
        </is>
      </c>
      <c r="E974" s="0" t="inlineStr">
        <is>
          <t xml:space="preserve">RAILWAY SPECIALTIES CORP</t>
        </is>
      </c>
      <c r="F974" s="0" t="inlineStr">
        <is>
          <t xml:space="preserve">B</t>
        </is>
      </c>
      <c r="G974" s="4">
        <v>0.0538</v>
      </c>
      <c r="H974" s="0" t="inlineStr">
        <is>
          <t xml:space="preserve">2018-09-26</t>
        </is>
      </c>
      <c r="I974" s="0" t="inlineStr">
        <is>
          <t xml:space="preserve">no</t>
        </is>
      </c>
      <c r="J974" s="0" t="inlineStr">
        <is>
          <t xml:space="preserve">N0040618Q0382</t>
        </is>
      </c>
      <c r="K974" s="0" t="inlineStr">
        <is>
          <t xml:space="preserve">NONE</t>
        </is>
      </c>
    </row>
    <row r="975">
      <c r="B975" s="0" t="inlineStr">
        <is>
          <t xml:space="preserve">N0010424PBB76</t>
        </is>
      </c>
      <c r="D975" s="0" t="inlineStr">
        <is>
          <t xml:space="preserve">small_craft</t>
        </is>
      </c>
      <c r="E975" s="0" t="inlineStr">
        <is>
          <t xml:space="preserve">OKLAHOMA SAFETY EQUIPMENT CO INC</t>
        </is>
      </c>
      <c r="F975" s="0" t="inlineStr">
        <is>
          <t xml:space="preserve">B</t>
        </is>
      </c>
      <c r="G975" s="4">
        <v>0.053436</v>
      </c>
      <c r="H975" s="0" t="inlineStr">
        <is>
          <t xml:space="preserve">2023-10-18</t>
        </is>
      </c>
      <c r="I975" s="0" t="inlineStr">
        <is>
          <t xml:space="preserve">no</t>
        </is>
      </c>
      <c r="K975" s="0" t="inlineStr">
        <is>
          <t xml:space="preserve">NONE</t>
        </is>
      </c>
    </row>
    <row r="976">
      <c r="B976" s="0" t="inlineStr">
        <is>
          <t xml:space="preserve">N0003924F1003</t>
        </is>
      </c>
      <c r="C976" s="0" t="inlineStr">
        <is>
          <t xml:space="preserve">N0003921D6001</t>
        </is>
      </c>
      <c r="D976" s="0" t="inlineStr">
        <is>
          <t xml:space="preserve">small_craft</t>
        </is>
      </c>
      <c r="E976" s="0" t="inlineStr">
        <is>
          <t xml:space="preserve">TELEDYNE BROWN ENGINEERING, INC.</t>
        </is>
      </c>
      <c r="F976" s="0" t="inlineStr">
        <is>
          <t xml:space="preserve">C</t>
        </is>
      </c>
      <c r="G976" s="4">
        <v>0.052934699999999994</v>
      </c>
      <c r="H976" s="0" t="inlineStr">
        <is>
          <t xml:space="preserve">2023-11-06</t>
        </is>
      </c>
      <c r="I976" s="0" t="inlineStr">
        <is>
          <t xml:space="preserve">no</t>
        </is>
      </c>
      <c r="J976" s="0" t="inlineStr">
        <is>
          <t xml:space="preserve">N0003921R1000</t>
        </is>
      </c>
      <c r="K976" s="0" t="inlineStr">
        <is>
          <t xml:space="preserve">NONE</t>
        </is>
      </c>
    </row>
    <row r="977">
      <c r="B977" s="0" t="inlineStr">
        <is>
          <t xml:space="preserve">0012</t>
        </is>
      </c>
      <c r="C977" s="0" t="inlineStr">
        <is>
          <t xml:space="preserve">N0002409G2300</t>
        </is>
      </c>
      <c r="D977" s="0" t="inlineStr">
        <is>
          <t xml:space="preserve">other_small</t>
        </is>
      </c>
      <c r="E977" s="0" t="inlineStr">
        <is>
          <t xml:space="preserve">LOCKHEED MARTIN CORPORATION</t>
        </is>
      </c>
      <c r="F977" s="0" t="inlineStr">
        <is>
          <t xml:space="preserve">C</t>
        </is>
      </c>
      <c r="G977" s="4">
        <v>0.052919</v>
      </c>
      <c r="H977" s="0" t="inlineStr">
        <is>
          <t xml:space="preserve">2009-05-22</t>
        </is>
      </c>
      <c r="I977" s="0" t="inlineStr">
        <is>
          <t xml:space="preserve">no</t>
        </is>
      </c>
      <c r="K977" s="0" t="inlineStr">
        <is>
          <t xml:space="preserve">NONE</t>
        </is>
      </c>
    </row>
    <row r="978">
      <c r="B978" s="0" t="inlineStr">
        <is>
          <t xml:space="preserve">0003</t>
        </is>
      </c>
      <c r="C978" s="0" t="inlineStr">
        <is>
          <t xml:space="preserve">N0002416G2214</t>
        </is>
      </c>
      <c r="D978" s="0" t="inlineStr">
        <is>
          <t xml:space="preserve">other_small</t>
        </is>
      </c>
      <c r="E978" s="0" t="inlineStr">
        <is>
          <t xml:space="preserve">NATIONAL STEEL AND SHIPBUILDING COMPANY</t>
        </is>
      </c>
      <c r="F978" s="0" t="inlineStr">
        <is>
          <t xml:space="preserve">C</t>
        </is>
      </c>
      <c r="G978" s="4">
        <v>0.052258309999999995</v>
      </c>
      <c r="H978" s="0" t="inlineStr">
        <is>
          <t xml:space="preserve">2017-03-16</t>
        </is>
      </c>
      <c r="I978" s="0" t="inlineStr">
        <is>
          <t xml:space="preserve">no</t>
        </is>
      </c>
      <c r="K978" s="0" t="inlineStr">
        <is>
          <t xml:space="preserve">NONE</t>
        </is>
      </c>
    </row>
    <row r="979">
      <c r="B979" s="0" t="inlineStr">
        <is>
          <t xml:space="preserve">N0010421PND56</t>
        </is>
      </c>
      <c r="D979" s="0" t="inlineStr">
        <is>
          <t xml:space="preserve">small_craft</t>
        </is>
      </c>
      <c r="E979" s="0" t="inlineStr">
        <is>
          <t xml:space="preserve">CORNET TECHNOLOGY, INC.</t>
        </is>
      </c>
      <c r="F979" s="0" t="inlineStr">
        <is>
          <t xml:space="preserve">B</t>
        </is>
      </c>
      <c r="G979" s="4">
        <v>0.052252</v>
      </c>
      <c r="H979" s="0" t="inlineStr">
        <is>
          <t xml:space="preserve">2021-08-31</t>
        </is>
      </c>
      <c r="I979" s="0" t="inlineStr">
        <is>
          <t xml:space="preserve">no</t>
        </is>
      </c>
      <c r="K979" s="0" t="inlineStr">
        <is>
          <t xml:space="preserve">NONE</t>
        </is>
      </c>
    </row>
    <row r="980">
      <c r="B980" s="0" t="inlineStr">
        <is>
          <t xml:space="preserve">N6600116P7039</t>
        </is>
      </c>
      <c r="D980" s="0" t="inlineStr">
        <is>
          <t xml:space="preserve">small_craft</t>
        </is>
      </c>
      <c r="E980" s="0" t="inlineStr">
        <is>
          <t xml:space="preserve">WELLER RECREATION, INC</t>
        </is>
      </c>
      <c r="F980" s="0" t="inlineStr">
        <is>
          <t xml:space="preserve">B</t>
        </is>
      </c>
      <c r="G980" s="4">
        <v>0.051649999999999995</v>
      </c>
      <c r="H980" s="0" t="inlineStr">
        <is>
          <t xml:space="preserve">2016-02-18</t>
        </is>
      </c>
      <c r="I980" s="0" t="inlineStr">
        <is>
          <t xml:space="preserve">no</t>
        </is>
      </c>
      <c r="J980" s="0" t="inlineStr">
        <is>
          <t xml:space="preserve">N6600116T7039</t>
        </is>
      </c>
      <c r="K980" s="0" t="inlineStr">
        <is>
          <t xml:space="preserve">NONE</t>
        </is>
      </c>
    </row>
    <row r="981">
      <c r="B981" s="0" t="inlineStr">
        <is>
          <t xml:space="preserve">N6133116P0017</t>
        </is>
      </c>
      <c r="D981" s="0" t="inlineStr">
        <is>
          <t xml:space="preserve">other_small</t>
        </is>
      </c>
      <c r="E981" s="0" t="inlineStr">
        <is>
          <t xml:space="preserve">HOWLAND MACHINE CORP</t>
        </is>
      </c>
      <c r="F981" s="0" t="inlineStr">
        <is>
          <t xml:space="preserve">B</t>
        </is>
      </c>
      <c r="G981" s="4">
        <v>0.051484550000000004</v>
      </c>
      <c r="H981" s="0" t="inlineStr">
        <is>
          <t xml:space="preserve">2015-12-08</t>
        </is>
      </c>
      <c r="I981" s="0" t="inlineStr">
        <is>
          <t xml:space="preserve">no</t>
        </is>
      </c>
      <c r="J981" s="0" t="inlineStr">
        <is>
          <t xml:space="preserve">N6133116T0015</t>
        </is>
      </c>
      <c r="K981" s="0" t="inlineStr">
        <is>
          <t xml:space="preserve">NONE</t>
        </is>
      </c>
    </row>
    <row r="982">
      <c r="B982" s="0" t="inlineStr">
        <is>
          <t xml:space="preserve">0009</t>
        </is>
      </c>
      <c r="C982" s="0" t="inlineStr">
        <is>
          <t xml:space="preserve">N6230613D9S01</t>
        </is>
      </c>
      <c r="D982" s="0" t="inlineStr">
        <is>
          <t xml:space="preserve">small_craft</t>
        </is>
      </c>
      <c r="E982" s="0" t="inlineStr">
        <is>
          <t xml:space="preserve">SAUNDERS ENGINE &amp; EQUIPMENT CO INC</t>
        </is>
      </c>
      <c r="F982" s="0" t="inlineStr">
        <is>
          <t xml:space="preserve">C</t>
        </is>
      </c>
      <c r="G982" s="4">
        <v>0.05135284</v>
      </c>
      <c r="H982" s="0" t="inlineStr">
        <is>
          <t xml:space="preserve">2014-09-17</t>
        </is>
      </c>
      <c r="I982" s="0" t="inlineStr">
        <is>
          <t xml:space="preserve">no</t>
        </is>
      </c>
      <c r="J982" s="0" t="inlineStr">
        <is>
          <t xml:space="preserve">N6230612R9S01</t>
        </is>
      </c>
      <c r="K982" s="0" t="inlineStr">
        <is>
          <t xml:space="preserve">NONE</t>
        </is>
      </c>
    </row>
    <row r="983">
      <c r="B983" s="0" t="inlineStr">
        <is>
          <t xml:space="preserve">N0010421PBW93</t>
        </is>
      </c>
      <c r="D983" s="0" t="inlineStr">
        <is>
          <t xml:space="preserve">small_craft</t>
        </is>
      </c>
      <c r="E983" s="0" t="inlineStr">
        <is>
          <t xml:space="preserve">FLUIDYNE CORPORATION</t>
        </is>
      </c>
      <c r="F983" s="0" t="inlineStr">
        <is>
          <t xml:space="preserve">B</t>
        </is>
      </c>
      <c r="G983" s="4">
        <v>0.050787</v>
      </c>
      <c r="H983" s="0" t="inlineStr">
        <is>
          <t xml:space="preserve">2021-04-13</t>
        </is>
      </c>
      <c r="I983" s="0" t="inlineStr">
        <is>
          <t xml:space="preserve">no</t>
        </is>
      </c>
      <c r="K983" s="0" t="inlineStr">
        <is>
          <t xml:space="preserve">NONE</t>
        </is>
      </c>
    </row>
    <row r="984">
      <c r="B984" s="0" t="inlineStr">
        <is>
          <t xml:space="preserve">N0018919P0464</t>
        </is>
      </c>
      <c r="D984" s="0" t="inlineStr">
        <is>
          <t xml:space="preserve">small_craft</t>
        </is>
      </c>
      <c r="E984" s="0" t="inlineStr">
        <is>
          <t xml:space="preserve">SAFE BOATS INTERNATIONAL LLC</t>
        </is>
      </c>
      <c r="F984" s="0" t="inlineStr">
        <is>
          <t xml:space="preserve">B</t>
        </is>
      </c>
      <c r="G984" s="4">
        <v>0.050565</v>
      </c>
      <c r="H984" s="0" t="inlineStr">
        <is>
          <t xml:space="preserve">2019-06-17</t>
        </is>
      </c>
      <c r="I984" s="0" t="inlineStr">
        <is>
          <t xml:space="preserve">no</t>
        </is>
      </c>
      <c r="J984" s="0" t="inlineStr">
        <is>
          <t xml:space="preserve">N0018919Q0290</t>
        </is>
      </c>
      <c r="K984" s="0" t="inlineStr">
        <is>
          <t xml:space="preserve">NONE</t>
        </is>
      </c>
    </row>
    <row r="985">
      <c r="B985" s="0" t="inlineStr">
        <is>
          <t xml:space="preserve">N0040619P0088</t>
        </is>
      </c>
      <c r="D985" s="0" t="inlineStr">
        <is>
          <t xml:space="preserve">small_craft</t>
        </is>
      </c>
      <c r="E985" s="0" t="inlineStr">
        <is>
          <t xml:space="preserve">WASHINGTON CHAIN &amp; SUPPLY, INC.</t>
        </is>
      </c>
      <c r="F985" s="0" t="inlineStr">
        <is>
          <t xml:space="preserve">B</t>
        </is>
      </c>
      <c r="G985" s="4">
        <v>0.049499999999999995</v>
      </c>
      <c r="H985" s="0" t="inlineStr">
        <is>
          <t xml:space="preserve">2018-12-14</t>
        </is>
      </c>
      <c r="I985" s="0" t="inlineStr">
        <is>
          <t xml:space="preserve">no</t>
        </is>
      </c>
      <c r="J985" s="0" t="inlineStr">
        <is>
          <t xml:space="preserve">N0040619Q0047</t>
        </is>
      </c>
      <c r="K985" s="0" t="inlineStr">
        <is>
          <t xml:space="preserve">NONE</t>
        </is>
      </c>
    </row>
    <row r="986">
      <c r="B986" s="0" t="inlineStr">
        <is>
          <t xml:space="preserve">N3220517P4276</t>
        </is>
      </c>
      <c r="D986" s="0" t="inlineStr">
        <is>
          <t xml:space="preserve">small_craft</t>
        </is>
      </c>
      <c r="E986" s="0" t="inlineStr">
        <is>
          <t xml:space="preserve">FASSMER SERVICE AMERICA LLC</t>
        </is>
      </c>
      <c r="F986" s="0" t="inlineStr">
        <is>
          <t xml:space="preserve">B</t>
        </is>
      </c>
      <c r="G986" s="4">
        <v>0.0491907</v>
      </c>
      <c r="H986" s="0" t="inlineStr">
        <is>
          <t xml:space="preserve">2017-01-13</t>
        </is>
      </c>
      <c r="I986" s="0" t="inlineStr">
        <is>
          <t xml:space="preserve">no</t>
        </is>
      </c>
      <c r="J986" s="0" t="inlineStr">
        <is>
          <t xml:space="preserve">N3220517T4276</t>
        </is>
      </c>
      <c r="K986" s="0" t="inlineStr">
        <is>
          <t xml:space="preserve">NONE</t>
        </is>
      </c>
    </row>
    <row r="987">
      <c r="B987" s="0" t="inlineStr">
        <is>
          <t xml:space="preserve">N6264915P0287</t>
        </is>
      </c>
      <c r="D987" s="0" t="inlineStr">
        <is>
          <t xml:space="preserve">small_craft</t>
        </is>
      </c>
      <c r="E987" s="0" t="inlineStr">
        <is>
          <t xml:space="preserve">YOKOHAMA TSUSHO CO., LTD.</t>
        </is>
      </c>
      <c r="F987" s="0" t="inlineStr">
        <is>
          <t xml:space="preserve">B</t>
        </is>
      </c>
      <c r="G987" s="4">
        <v>0.04872087</v>
      </c>
      <c r="H987" s="0" t="inlineStr">
        <is>
          <t xml:space="preserve">2015-04-03</t>
        </is>
      </c>
      <c r="I987" s="0" t="inlineStr">
        <is>
          <t xml:space="preserve">no</t>
        </is>
      </c>
      <c r="J987" s="0" t="inlineStr">
        <is>
          <t xml:space="preserve">N6264915T0215</t>
        </is>
      </c>
      <c r="K987" s="0" t="inlineStr">
        <is>
          <t xml:space="preserve">NONE</t>
        </is>
      </c>
    </row>
    <row r="988">
      <c r="B988" s="0" t="inlineStr">
        <is>
          <t xml:space="preserve">N6600116P6413</t>
        </is>
      </c>
      <c r="D988" s="0" t="inlineStr">
        <is>
          <t xml:space="preserve">small_craft</t>
        </is>
      </c>
      <c r="E988" s="0" t="inlineStr">
        <is>
          <t xml:space="preserve">LIQUID ROBOTICS, INC.</t>
        </is>
      </c>
      <c r="F988" s="0" t="inlineStr">
        <is>
          <t xml:space="preserve">B</t>
        </is>
      </c>
      <c r="G988" s="4">
        <v>0.04868857</v>
      </c>
      <c r="H988" s="0" t="inlineStr">
        <is>
          <t xml:space="preserve">2016-01-27</t>
        </is>
      </c>
      <c r="I988" s="0" t="inlineStr">
        <is>
          <t xml:space="preserve">no</t>
        </is>
      </c>
      <c r="J988" s="0" t="inlineStr">
        <is>
          <t xml:space="preserve">N6600116T6413</t>
        </is>
      </c>
      <c r="K988" s="0" t="inlineStr">
        <is>
          <t xml:space="preserve">NONE</t>
        </is>
      </c>
    </row>
    <row r="989">
      <c r="B989" s="0" t="inlineStr">
        <is>
          <t xml:space="preserve">N0010421PNC05</t>
        </is>
      </c>
      <c r="D989" s="0" t="inlineStr">
        <is>
          <t xml:space="preserve">small_craft</t>
        </is>
      </c>
      <c r="E989" s="0" t="inlineStr">
        <is>
          <t xml:space="preserve">LAUREL TECHNOLOGIES PARTNERSHIP</t>
        </is>
      </c>
      <c r="F989" s="0" t="inlineStr">
        <is>
          <t xml:space="preserve">B</t>
        </is>
      </c>
      <c r="G989" s="4">
        <v>0.0486628</v>
      </c>
      <c r="H989" s="0" t="inlineStr">
        <is>
          <t xml:space="preserve">2021-09-09</t>
        </is>
      </c>
      <c r="I989" s="0" t="inlineStr">
        <is>
          <t xml:space="preserve">no</t>
        </is>
      </c>
      <c r="K989" s="0" t="inlineStr">
        <is>
          <t xml:space="preserve">NONE</t>
        </is>
      </c>
    </row>
    <row r="990">
      <c r="B990" s="0" t="inlineStr">
        <is>
          <t xml:space="preserve">N6893616F0392</t>
        </is>
      </c>
      <c r="C990" s="0" t="inlineStr">
        <is>
          <t xml:space="preserve">GS03F006BA</t>
        </is>
      </c>
      <c r="D990" s="0" t="inlineStr">
        <is>
          <t xml:space="preserve">small_craft</t>
        </is>
      </c>
      <c r="E990" s="0" t="inlineStr">
        <is>
          <t xml:space="preserve">BRP US INC</t>
        </is>
      </c>
      <c r="F990" s="0" t="inlineStr">
        <is>
          <t xml:space="preserve">C</t>
        </is>
      </c>
      <c r="G990" s="4">
        <v>0.048586</v>
      </c>
      <c r="H990" s="0" t="inlineStr">
        <is>
          <t xml:space="preserve">2016-08-02</t>
        </is>
      </c>
      <c r="I990" s="0" t="inlineStr">
        <is>
          <t xml:space="preserve">no</t>
        </is>
      </c>
      <c r="K990" s="0" t="inlineStr">
        <is>
          <t xml:space="preserve">NONE</t>
        </is>
      </c>
    </row>
    <row r="991">
      <c r="B991" s="0" t="inlineStr">
        <is>
          <t xml:space="preserve">N6893625P5278</t>
        </is>
      </c>
      <c r="D991" s="0" t="inlineStr">
        <is>
          <t xml:space="preserve">small_craft</t>
        </is>
      </c>
      <c r="E991" s="0" t="inlineStr">
        <is>
          <t xml:space="preserve">ANDERSON CUSTOM BOATS, LLC</t>
        </is>
      </c>
      <c r="F991" s="0" t="inlineStr">
        <is>
          <t xml:space="preserve">B</t>
        </is>
      </c>
      <c r="G991" s="4">
        <v>0.048545</v>
      </c>
      <c r="H991" s="0" t="inlineStr">
        <is>
          <t xml:space="preserve">2025-09-17</t>
        </is>
      </c>
      <c r="I991" s="0" t="inlineStr">
        <is>
          <t xml:space="preserve">yes</t>
        </is>
      </c>
      <c r="K991" s="0" t="inlineStr">
        <is>
          <t xml:space="preserve">NONE</t>
        </is>
      </c>
    </row>
    <row r="992">
      <c r="B992" s="0" t="inlineStr">
        <is>
          <t xml:space="preserve">N0010422PLD52</t>
        </is>
      </c>
      <c r="D992" s="0" t="inlineStr">
        <is>
          <t xml:space="preserve">small_craft</t>
        </is>
      </c>
      <c r="E992" s="0" t="inlineStr">
        <is>
          <t xml:space="preserve">GLOBAL INCORPORATED</t>
        </is>
      </c>
      <c r="F992" s="0" t="inlineStr">
        <is>
          <t xml:space="preserve">B</t>
        </is>
      </c>
      <c r="G992" s="4">
        <v>0.048419239999999995</v>
      </c>
      <c r="H992" s="0" t="inlineStr">
        <is>
          <t xml:space="preserve">2022-07-29</t>
        </is>
      </c>
      <c r="I992" s="0" t="inlineStr">
        <is>
          <t xml:space="preserve">no</t>
        </is>
      </c>
      <c r="K992" s="0" t="inlineStr">
        <is>
          <t xml:space="preserve">NONE</t>
        </is>
      </c>
    </row>
    <row r="993">
      <c r="B993" s="0" t="inlineStr">
        <is>
          <t xml:space="preserve">N0010417PEC59</t>
        </is>
      </c>
      <c r="D993" s="0" t="inlineStr">
        <is>
          <t xml:space="preserve">small_craft</t>
        </is>
      </c>
      <c r="E993" s="0" t="inlineStr">
        <is>
          <t xml:space="preserve">III WILLIAMS LLC</t>
        </is>
      </c>
      <c r="F993" s="0" t="inlineStr">
        <is>
          <t xml:space="preserve">B</t>
        </is>
      </c>
      <c r="G993" s="4">
        <v>0.048334999999999996</v>
      </c>
      <c r="H993" s="0" t="inlineStr">
        <is>
          <t xml:space="preserve">2017-04-27</t>
        </is>
      </c>
      <c r="I993" s="0" t="inlineStr">
        <is>
          <t xml:space="preserve">no</t>
        </is>
      </c>
      <c r="K993" s="0" t="inlineStr">
        <is>
          <t xml:space="preserve">NONE</t>
        </is>
      </c>
    </row>
    <row r="994">
      <c r="B994" s="0" t="inlineStr">
        <is>
          <t xml:space="preserve">N0040620P0552</t>
        </is>
      </c>
      <c r="D994" s="0" t="inlineStr">
        <is>
          <t xml:space="preserve">small_craft</t>
        </is>
      </c>
      <c r="E994" s="0" t="inlineStr">
        <is>
          <t xml:space="preserve">J.D.A. MARITIME, INC.</t>
        </is>
      </c>
      <c r="F994" s="0" t="inlineStr">
        <is>
          <t xml:space="preserve">B</t>
        </is>
      </c>
      <c r="G994" s="4">
        <v>0.04795</v>
      </c>
      <c r="H994" s="0" t="inlineStr">
        <is>
          <t xml:space="preserve">2020-08-31</t>
        </is>
      </c>
      <c r="I994" s="0" t="inlineStr">
        <is>
          <t xml:space="preserve">no</t>
        </is>
      </c>
      <c r="J994" s="0" t="inlineStr">
        <is>
          <t xml:space="preserve">N0040620Q0387</t>
        </is>
      </c>
      <c r="K994" s="0" t="inlineStr">
        <is>
          <t xml:space="preserve">NONE</t>
        </is>
      </c>
    </row>
    <row r="995">
      <c r="B995" s="0" t="inlineStr">
        <is>
          <t xml:space="preserve">N0040619P0590</t>
        </is>
      </c>
      <c r="D995" s="0" t="inlineStr">
        <is>
          <t xml:space="preserve">small_craft</t>
        </is>
      </c>
      <c r="E995" s="0" t="inlineStr">
        <is>
          <t xml:space="preserve">JUNIPER ELBOW CO. INC.</t>
        </is>
      </c>
      <c r="F995" s="0" t="inlineStr">
        <is>
          <t xml:space="preserve">B</t>
        </is>
      </c>
      <c r="G995" s="4">
        <v>0.047902</v>
      </c>
      <c r="H995" s="0" t="inlineStr">
        <is>
          <t xml:space="preserve">2019-09-16</t>
        </is>
      </c>
      <c r="I995" s="0" t="inlineStr">
        <is>
          <t xml:space="preserve">no</t>
        </is>
      </c>
      <c r="J995" s="0" t="inlineStr">
        <is>
          <t xml:space="preserve">N0040619Q0309</t>
        </is>
      </c>
      <c r="K995" s="0" t="inlineStr">
        <is>
          <t xml:space="preserve">NONE</t>
        </is>
      </c>
    </row>
    <row r="996">
      <c r="B996" s="0" t="inlineStr">
        <is>
          <t xml:space="preserve">N6133120P0108</t>
        </is>
      </c>
      <c r="D996" s="0" t="inlineStr">
        <is>
          <t xml:space="preserve">usv_core</t>
        </is>
      </c>
      <c r="E996" s="0" t="inlineStr">
        <is>
          <t xml:space="preserve">HII UNMANNED MARITIME SYSTEMS INC.</t>
        </is>
      </c>
      <c r="F996" s="0" t="inlineStr">
        <is>
          <t xml:space="preserve">B</t>
        </is>
      </c>
      <c r="G996" s="4">
        <v>0.04786908</v>
      </c>
      <c r="H996" s="0" t="inlineStr">
        <is>
          <t xml:space="preserve">2020-05-27</t>
        </is>
      </c>
      <c r="I996" s="0" t="inlineStr">
        <is>
          <t xml:space="preserve">no</t>
        </is>
      </c>
      <c r="J996" s="0" t="inlineStr">
        <is>
          <t xml:space="preserve">N6133120QKJ09</t>
        </is>
      </c>
      <c r="K996" s="0" t="inlineStr">
        <is>
          <t xml:space="preserve">NONE</t>
        </is>
      </c>
    </row>
    <row r="997">
      <c r="B997" s="0" t="inlineStr">
        <is>
          <t xml:space="preserve">N0010421PDD79</t>
        </is>
      </c>
      <c r="D997" s="0" t="inlineStr">
        <is>
          <t xml:space="preserve">small_craft</t>
        </is>
      </c>
      <c r="E997" s="0" t="inlineStr">
        <is>
          <t xml:space="preserve">CONCURRENT REAL-TIME, INC.</t>
        </is>
      </c>
      <c r="F997" s="0" t="inlineStr">
        <is>
          <t xml:space="preserve">B</t>
        </is>
      </c>
      <c r="G997" s="4">
        <v>0.0477</v>
      </c>
      <c r="H997" s="0" t="inlineStr">
        <is>
          <t xml:space="preserve">2021-09-15</t>
        </is>
      </c>
      <c r="I997" s="0" t="inlineStr">
        <is>
          <t xml:space="preserve">no</t>
        </is>
      </c>
      <c r="K997" s="0" t="inlineStr">
        <is>
          <t xml:space="preserve">NONE</t>
        </is>
      </c>
    </row>
    <row r="998">
      <c r="B998" s="0" t="inlineStr">
        <is>
          <t xml:space="preserve">N0042124P0417</t>
        </is>
      </c>
      <c r="D998" s="0" t="inlineStr">
        <is>
          <t xml:space="preserve">small_craft</t>
        </is>
      </c>
      <c r="E998" s="0" t="inlineStr">
        <is>
          <t xml:space="preserve">WING INFLATABLES INC</t>
        </is>
      </c>
      <c r="F998" s="0" t="inlineStr">
        <is>
          <t xml:space="preserve">B</t>
        </is>
      </c>
      <c r="G998" s="4">
        <v>0.04763508999999999</v>
      </c>
      <c r="H998" s="0" t="inlineStr">
        <is>
          <t xml:space="preserve">2024-09-24</t>
        </is>
      </c>
      <c r="I998" s="0" t="inlineStr">
        <is>
          <t xml:space="preserve">no</t>
        </is>
      </c>
      <c r="J998" s="0" t="inlineStr">
        <is>
          <t xml:space="preserve">N0042124Q0469</t>
        </is>
      </c>
      <c r="K998" s="0" t="inlineStr">
        <is>
          <t xml:space="preserve">NONE</t>
        </is>
      </c>
    </row>
    <row r="999">
      <c r="B999" s="0" t="inlineStr">
        <is>
          <t xml:space="preserve">0024</t>
        </is>
      </c>
      <c r="C999" s="0" t="inlineStr">
        <is>
          <t xml:space="preserve">N6230613D9S01</t>
        </is>
      </c>
      <c r="D999" s="0" t="inlineStr">
        <is>
          <t xml:space="preserve">small_craft</t>
        </is>
      </c>
      <c r="E999" s="0" t="inlineStr">
        <is>
          <t xml:space="preserve">SAUNDERS ENGINE &amp; EQUIPMENT CO INC</t>
        </is>
      </c>
      <c r="F999" s="0" t="inlineStr">
        <is>
          <t xml:space="preserve">C</t>
        </is>
      </c>
      <c r="G999" s="4">
        <v>0.04759</v>
      </c>
      <c r="H999" s="0" t="inlineStr">
        <is>
          <t xml:space="preserve">2016-06-08</t>
        </is>
      </c>
      <c r="I999" s="0" t="inlineStr">
        <is>
          <t xml:space="preserve">no</t>
        </is>
      </c>
      <c r="J999" s="0" t="inlineStr">
        <is>
          <t xml:space="preserve">N6230612R9S01</t>
        </is>
      </c>
      <c r="K999" s="0" t="inlineStr">
        <is>
          <t xml:space="preserve">NONE</t>
        </is>
      </c>
    </row>
    <row r="1000">
      <c r="B1000" s="0" t="inlineStr">
        <is>
          <t xml:space="preserve">N0010421PXC41</t>
        </is>
      </c>
      <c r="D1000" s="0" t="inlineStr">
        <is>
          <t xml:space="preserve">small_craft</t>
        </is>
      </c>
      <c r="E1000" s="0" t="inlineStr">
        <is>
          <t xml:space="preserve">DEFENSE MARITIME SOLUTIONS, INC.</t>
        </is>
      </c>
      <c r="F1000" s="0" t="inlineStr">
        <is>
          <t xml:space="preserve">B</t>
        </is>
      </c>
      <c r="G1000" s="4">
        <v>0.047549759999999996</v>
      </c>
      <c r="H1000" s="0" t="inlineStr">
        <is>
          <t xml:space="preserve">2021-07-30</t>
        </is>
      </c>
      <c r="I1000" s="0" t="inlineStr">
        <is>
          <t xml:space="preserve">no</t>
        </is>
      </c>
      <c r="K1000" s="0" t="inlineStr">
        <is>
          <t xml:space="preserve">NONE</t>
        </is>
      </c>
    </row>
    <row r="1001">
      <c r="B1001" s="0" t="inlineStr">
        <is>
          <t xml:space="preserve">N3220517F7001</t>
        </is>
      </c>
      <c r="C1001" s="0" t="inlineStr">
        <is>
          <t xml:space="preserve">GS07F261BA</t>
        </is>
      </c>
      <c r="D1001" s="0" t="inlineStr">
        <is>
          <t xml:space="preserve">small_craft</t>
        </is>
      </c>
      <c r="E1001" s="0" t="inlineStr">
        <is>
          <t xml:space="preserve">WATER-LAND MANUFACTURING, INC.</t>
        </is>
      </c>
      <c r="F1001" s="0" t="inlineStr">
        <is>
          <t xml:space="preserve">C</t>
        </is>
      </c>
      <c r="G1001" s="4">
        <v>0.047264839999999995</v>
      </c>
      <c r="H1001" s="0" t="inlineStr">
        <is>
          <t xml:space="preserve">2017-03-21</t>
        </is>
      </c>
      <c r="I1001" s="0" t="inlineStr">
        <is>
          <t xml:space="preserve">no</t>
        </is>
      </c>
      <c r="K1001" s="0" t="inlineStr">
        <is>
          <t xml:space="preserve">NONE</t>
        </is>
      </c>
    </row>
    <row r="1002">
      <c r="B1002" s="0" t="inlineStr">
        <is>
          <t xml:space="preserve">N6133116P0408</t>
        </is>
      </c>
      <c r="D1002" s="0" t="inlineStr">
        <is>
          <t xml:space="preserve">usv_core</t>
        </is>
      </c>
      <c r="E1002" s="0" t="inlineStr">
        <is>
          <t xml:space="preserve">HII UNMANNED MARITIME SYSTEMS INC.</t>
        </is>
      </c>
      <c r="F1002" s="0" t="inlineStr">
        <is>
          <t xml:space="preserve">B</t>
        </is>
      </c>
      <c r="G1002" s="4">
        <v>0.04721694</v>
      </c>
      <c r="H1002" s="0" t="inlineStr">
        <is>
          <t xml:space="preserve">2016-03-30</t>
        </is>
      </c>
      <c r="I1002" s="0" t="inlineStr">
        <is>
          <t xml:space="preserve">no</t>
        </is>
      </c>
      <c r="J1002" s="0" t="inlineStr">
        <is>
          <t xml:space="preserve">N6133116T0408</t>
        </is>
      </c>
      <c r="K1002" s="0" t="inlineStr">
        <is>
          <t xml:space="preserve">NONE</t>
        </is>
      </c>
    </row>
    <row r="1003">
      <c r="B1003" s="0" t="inlineStr">
        <is>
          <t xml:space="preserve">N0040625P0062</t>
        </is>
      </c>
      <c r="D1003" s="0" t="inlineStr">
        <is>
          <t xml:space="preserve">small_craft</t>
        </is>
      </c>
      <c r="E1003" s="0" t="inlineStr">
        <is>
          <t xml:space="preserve">PIER SIDE SUPPLY INC</t>
        </is>
      </c>
      <c r="F1003" s="0" t="inlineStr">
        <is>
          <t xml:space="preserve">B</t>
        </is>
      </c>
      <c r="G1003" s="4">
        <v>0.047174999999999995</v>
      </c>
      <c r="H1003" s="0" t="inlineStr">
        <is>
          <t xml:space="preserve">2025-01-06</t>
        </is>
      </c>
      <c r="I1003" s="0" t="inlineStr">
        <is>
          <t xml:space="preserve">no</t>
        </is>
      </c>
      <c r="J1003" s="0" t="inlineStr">
        <is>
          <t xml:space="preserve">N0040625Q0030</t>
        </is>
      </c>
      <c r="K1003" s="0" t="inlineStr">
        <is>
          <t xml:space="preserve">NONE</t>
        </is>
      </c>
    </row>
    <row r="1004">
      <c r="B1004" s="0" t="inlineStr">
        <is>
          <t xml:space="preserve">N0024218F0027</t>
        </is>
      </c>
      <c r="C1004" s="0" t="inlineStr">
        <is>
          <t xml:space="preserve">GS07F0357M</t>
        </is>
      </c>
      <c r="D1004" s="0" t="inlineStr">
        <is>
          <t xml:space="preserve">small_craft</t>
        </is>
      </c>
      <c r="E1004" s="0" t="inlineStr">
        <is>
          <t xml:space="preserve">NORTH RIVER BOATS INCORPORATED</t>
        </is>
      </c>
      <c r="F1004" s="0" t="inlineStr">
        <is>
          <t xml:space="preserve">C</t>
        </is>
      </c>
      <c r="G1004" s="4">
        <v>0.047035999999999994</v>
      </c>
      <c r="H1004" s="0" t="inlineStr">
        <is>
          <t xml:space="preserve">2018-04-13</t>
        </is>
      </c>
      <c r="I1004" s="0" t="inlineStr">
        <is>
          <t xml:space="preserve">no</t>
        </is>
      </c>
      <c r="K1004" s="0" t="inlineStr">
        <is>
          <t xml:space="preserve">NONE</t>
        </is>
      </c>
    </row>
    <row r="1005">
      <c r="B1005" s="0" t="inlineStr">
        <is>
          <t xml:space="preserve">N3220518P4467</t>
        </is>
      </c>
      <c r="D1005" s="0" t="inlineStr">
        <is>
          <t xml:space="preserve">small_craft</t>
        </is>
      </c>
      <c r="E1005" s="0" t="inlineStr">
        <is>
          <t xml:space="preserve">FASSMER SERVICE AMERICA LLC</t>
        </is>
      </c>
      <c r="F1005" s="0" t="inlineStr">
        <is>
          <t xml:space="preserve">B</t>
        </is>
      </c>
      <c r="G1005" s="4">
        <v>0.04700805</v>
      </c>
      <c r="H1005" s="0" t="inlineStr">
        <is>
          <t xml:space="preserve">2018-04-12</t>
        </is>
      </c>
      <c r="I1005" s="0" t="inlineStr">
        <is>
          <t xml:space="preserve">no</t>
        </is>
      </c>
      <c r="J1005" s="0" t="inlineStr">
        <is>
          <t xml:space="preserve">N3220518Q4467</t>
        </is>
      </c>
      <c r="K1005" s="0" t="inlineStr">
        <is>
          <t xml:space="preserve">NONE</t>
        </is>
      </c>
    </row>
    <row r="1006">
      <c r="B1006" s="0" t="inlineStr">
        <is>
          <t xml:space="preserve">N0040621P0089</t>
        </is>
      </c>
      <c r="D1006" s="0" t="inlineStr">
        <is>
          <t xml:space="preserve">small_craft</t>
        </is>
      </c>
      <c r="E1006" s="0" t="inlineStr">
        <is>
          <t xml:space="preserve">CORNELL-CARR CO., INC.</t>
        </is>
      </c>
      <c r="F1006" s="0" t="inlineStr">
        <is>
          <t xml:space="preserve">B</t>
        </is>
      </c>
      <c r="G1006" s="4">
        <v>0.04675</v>
      </c>
      <c r="H1006" s="0" t="inlineStr">
        <is>
          <t xml:space="preserve">2020-12-21</t>
        </is>
      </c>
      <c r="I1006" s="0" t="inlineStr">
        <is>
          <t xml:space="preserve">no</t>
        </is>
      </c>
      <c r="J1006" s="0" t="inlineStr">
        <is>
          <t xml:space="preserve">N0040621Q0073</t>
        </is>
      </c>
      <c r="K1006" s="0" t="inlineStr">
        <is>
          <t xml:space="preserve">NONE</t>
        </is>
      </c>
    </row>
    <row r="1007">
      <c r="B1007" s="0" t="inlineStr">
        <is>
          <t xml:space="preserve">N4044318P0213</t>
        </is>
      </c>
      <c r="D1007" s="0" t="inlineStr">
        <is>
          <t xml:space="preserve">small_craft</t>
        </is>
      </c>
      <c r="E1007" s="0" t="inlineStr">
        <is>
          <t xml:space="preserve">FASSMER SERVICE AMERICA LLC</t>
        </is>
      </c>
      <c r="F1007" s="0" t="inlineStr">
        <is>
          <t xml:space="preserve">B</t>
        </is>
      </c>
      <c r="G1007" s="4">
        <v>0.04666963</v>
      </c>
      <c r="H1007" s="0" t="inlineStr">
        <is>
          <t xml:space="preserve">2018-04-27</t>
        </is>
      </c>
      <c r="I1007" s="0" t="inlineStr">
        <is>
          <t xml:space="preserve">no</t>
        </is>
      </c>
      <c r="J1007" s="0" t="inlineStr">
        <is>
          <t xml:space="preserve">N4044318T0213</t>
        </is>
      </c>
      <c r="K1007" s="0" t="inlineStr">
        <is>
          <t xml:space="preserve">NONE</t>
        </is>
      </c>
    </row>
    <row r="1008">
      <c r="B1008" s="0" t="inlineStr">
        <is>
          <t xml:space="preserve">N0010421PDC84</t>
        </is>
      </c>
      <c r="D1008" s="0" t="inlineStr">
        <is>
          <t xml:space="preserve">small_craft</t>
        </is>
      </c>
      <c r="E1008" s="0" t="inlineStr">
        <is>
          <t xml:space="preserve">PRIME TECHNOLOGY LLC</t>
        </is>
      </c>
      <c r="F1008" s="0" t="inlineStr">
        <is>
          <t xml:space="preserve">B</t>
        </is>
      </c>
      <c r="G1008" s="4">
        <v>0.046485</v>
      </c>
      <c r="H1008" s="0" t="inlineStr">
        <is>
          <t xml:space="preserve">2021-09-03</t>
        </is>
      </c>
      <c r="I1008" s="0" t="inlineStr">
        <is>
          <t xml:space="preserve">no</t>
        </is>
      </c>
      <c r="K1008" s="0" t="inlineStr">
        <is>
          <t xml:space="preserve">NONE</t>
        </is>
      </c>
    </row>
    <row r="1009">
      <c r="B1009" s="0" t="inlineStr">
        <is>
          <t xml:space="preserve">N0010421PES31</t>
        </is>
      </c>
      <c r="D1009" s="0" t="inlineStr">
        <is>
          <t xml:space="preserve">small_craft</t>
        </is>
      </c>
      <c r="E1009" s="0" t="inlineStr">
        <is>
          <t xml:space="preserve">ADIRONDACK ELECTRONICS INC</t>
        </is>
      </c>
      <c r="F1009" s="0" t="inlineStr">
        <is>
          <t xml:space="preserve">B</t>
        </is>
      </c>
      <c r="G1009" s="4">
        <v>0.04648</v>
      </c>
      <c r="H1009" s="0" t="inlineStr">
        <is>
          <t xml:space="preserve">2021-09-28</t>
        </is>
      </c>
      <c r="I1009" s="0" t="inlineStr">
        <is>
          <t xml:space="preserve">no</t>
        </is>
      </c>
      <c r="K1009" s="0" t="inlineStr">
        <is>
          <t xml:space="preserve">NONE</t>
        </is>
      </c>
    </row>
    <row r="1010">
      <c r="B1010" s="0" t="inlineStr">
        <is>
          <t xml:space="preserve">0013</t>
        </is>
      </c>
      <c r="C1010" s="0" t="inlineStr">
        <is>
          <t xml:space="preserve">N6230611D1S02</t>
        </is>
      </c>
      <c r="D1010" s="0" t="inlineStr">
        <is>
          <t xml:space="preserve">small_craft</t>
        </is>
      </c>
      <c r="E1010" s="0" t="inlineStr">
        <is>
          <t xml:space="preserve">SAUNDERS ENGINE &amp; EQUIPMENT CO INC</t>
        </is>
      </c>
      <c r="F1010" s="0" t="inlineStr">
        <is>
          <t xml:space="preserve">C</t>
        </is>
      </c>
      <c r="G1010" s="4">
        <v>0.04626391999999999</v>
      </c>
      <c r="H1010" s="0" t="inlineStr">
        <is>
          <t xml:space="preserve">2012-04-25</t>
        </is>
      </c>
      <c r="I1010" s="0" t="inlineStr">
        <is>
          <t xml:space="preserve">no</t>
        </is>
      </c>
      <c r="K1010" s="0" t="inlineStr">
        <is>
          <t xml:space="preserve">NONE</t>
        </is>
      </c>
    </row>
    <row r="1011">
      <c r="B1011" s="0" t="inlineStr">
        <is>
          <t xml:space="preserve">N0010417PDB58</t>
        </is>
      </c>
      <c r="D1011" s="0" t="inlineStr">
        <is>
          <t xml:space="preserve">small_craft</t>
        </is>
      </c>
      <c r="E1011" s="0" t="inlineStr">
        <is>
          <t xml:space="preserve">AMERICAN METAL BEARING CO</t>
        </is>
      </c>
      <c r="F1011" s="0" t="inlineStr">
        <is>
          <t xml:space="preserve">B</t>
        </is>
      </c>
      <c r="G1011" s="4">
        <v>0.04590708</v>
      </c>
      <c r="H1011" s="0" t="inlineStr">
        <is>
          <t xml:space="preserve">2016-11-16</t>
        </is>
      </c>
      <c r="I1011" s="0" t="inlineStr">
        <is>
          <t xml:space="preserve">no</t>
        </is>
      </c>
      <c r="K1011" s="0" t="inlineStr">
        <is>
          <t xml:space="preserve">NONE</t>
        </is>
      </c>
    </row>
    <row r="1012">
      <c r="B1012" s="0" t="inlineStr">
        <is>
          <t xml:space="preserve">N0010423PUD15</t>
        </is>
      </c>
      <c r="D1012" s="0" t="inlineStr">
        <is>
          <t xml:space="preserve">small_craft</t>
        </is>
      </c>
      <c r="E1012" s="0" t="inlineStr">
        <is>
          <t xml:space="preserve">LAUREL TECHNOLOGIES PARTNERSHIP</t>
        </is>
      </c>
      <c r="F1012" s="0" t="inlineStr">
        <is>
          <t xml:space="preserve">B</t>
        </is>
      </c>
      <c r="G1012" s="4">
        <v>0.04582</v>
      </c>
      <c r="H1012" s="0" t="inlineStr">
        <is>
          <t xml:space="preserve">2023-07-24</t>
        </is>
      </c>
      <c r="I1012" s="0" t="inlineStr">
        <is>
          <t xml:space="preserve">no</t>
        </is>
      </c>
      <c r="J1012" s="0" t="inlineStr">
        <is>
          <t xml:space="preserve">N0010423QUC32</t>
        </is>
      </c>
      <c r="K1012" s="0" t="inlineStr">
        <is>
          <t xml:space="preserve">NONE</t>
        </is>
      </c>
    </row>
    <row r="1013">
      <c r="B1013" s="0" t="inlineStr">
        <is>
          <t xml:space="preserve">N0018915P0542</t>
        </is>
      </c>
      <c r="D1013" s="0" t="inlineStr">
        <is>
          <t xml:space="preserve">small_craft</t>
        </is>
      </c>
      <c r="E1013" s="0" t="inlineStr">
        <is>
          <t xml:space="preserve">XRAM LIMITED</t>
        </is>
      </c>
      <c r="F1013" s="0" t="inlineStr">
        <is>
          <t xml:space="preserve">B</t>
        </is>
      </c>
      <c r="G1013" s="4">
        <v>0.04580512999999999</v>
      </c>
      <c r="H1013" s="0" t="inlineStr">
        <is>
          <t xml:space="preserve">2015-04-16</t>
        </is>
      </c>
      <c r="I1013" s="0" t="inlineStr">
        <is>
          <t xml:space="preserve">no</t>
        </is>
      </c>
      <c r="K1013" s="0" t="inlineStr">
        <is>
          <t xml:space="preserve">NONE</t>
        </is>
      </c>
    </row>
    <row r="1014">
      <c r="B1014" s="0" t="inlineStr">
        <is>
          <t xml:space="preserve">N6893618P0476</t>
        </is>
      </c>
      <c r="D1014" s="0" t="inlineStr">
        <is>
          <t xml:space="preserve">small_craft</t>
        </is>
      </c>
      <c r="E1014" s="0" t="inlineStr">
        <is>
          <t xml:space="preserve">BRP US INC</t>
        </is>
      </c>
      <c r="F1014" s="0" t="inlineStr">
        <is>
          <t xml:space="preserve">B</t>
        </is>
      </c>
      <c r="G1014" s="4">
        <v>0.045530999999999995</v>
      </c>
      <c r="H1014" s="0" t="inlineStr">
        <is>
          <t xml:space="preserve">2018-07-20</t>
        </is>
      </c>
      <c r="I1014" s="0" t="inlineStr">
        <is>
          <t xml:space="preserve">no</t>
        </is>
      </c>
      <c r="J1014" s="0" t="inlineStr">
        <is>
          <t xml:space="preserve">N6893618Q0198</t>
        </is>
      </c>
      <c r="K1014" s="0" t="inlineStr">
        <is>
          <t xml:space="preserve">NONE</t>
        </is>
      </c>
    </row>
    <row r="1015">
      <c r="B1015" s="0" t="inlineStr">
        <is>
          <t xml:space="preserve">N6893618P0156</t>
        </is>
      </c>
      <c r="D1015" s="0" t="inlineStr">
        <is>
          <t xml:space="preserve">small_craft</t>
        </is>
      </c>
      <c r="E1015" s="0" t="inlineStr">
        <is>
          <t xml:space="preserve">BRP US INC</t>
        </is>
      </c>
      <c r="F1015" s="0" t="inlineStr">
        <is>
          <t xml:space="preserve">B</t>
        </is>
      </c>
      <c r="G1015" s="4">
        <v>0.045530999999999995</v>
      </c>
      <c r="H1015" s="0" t="inlineStr">
        <is>
          <t xml:space="preserve">2018-01-10</t>
        </is>
      </c>
      <c r="I1015" s="0" t="inlineStr">
        <is>
          <t xml:space="preserve">no</t>
        </is>
      </c>
      <c r="J1015" s="0" t="inlineStr">
        <is>
          <t xml:space="preserve">N6893618Q0051</t>
        </is>
      </c>
      <c r="K1015" s="0" t="inlineStr">
        <is>
          <t xml:space="preserve">NONE</t>
        </is>
      </c>
    </row>
    <row r="1016">
      <c r="B1016" s="0" t="inlineStr">
        <is>
          <t xml:space="preserve">N6133119P0173</t>
        </is>
      </c>
      <c r="D1016" s="0" t="inlineStr">
        <is>
          <t xml:space="preserve">small_craft</t>
        </is>
      </c>
      <c r="E1016" s="0" t="inlineStr">
        <is>
          <t xml:space="preserve">DMR CONSULTING, INC.</t>
        </is>
      </c>
      <c r="F1016" s="0" t="inlineStr">
        <is>
          <t xml:space="preserve">B</t>
        </is>
      </c>
      <c r="G1016" s="4">
        <v>0.045425</v>
      </c>
      <c r="H1016" s="0" t="inlineStr">
        <is>
          <t xml:space="preserve">2019-06-20</t>
        </is>
      </c>
      <c r="I1016" s="0" t="inlineStr">
        <is>
          <t xml:space="preserve">no</t>
        </is>
      </c>
      <c r="J1016" s="0" t="inlineStr">
        <is>
          <t xml:space="preserve">N6133119QVT33</t>
        </is>
      </c>
      <c r="K1016" s="0" t="inlineStr">
        <is>
          <t xml:space="preserve">NONE</t>
        </is>
      </c>
    </row>
    <row r="1017">
      <c r="B1017" s="0" t="inlineStr">
        <is>
          <t xml:space="preserve">N6817116P2050</t>
        </is>
      </c>
      <c r="D1017" s="0" t="inlineStr">
        <is>
          <t xml:space="preserve">small_craft</t>
        </is>
      </c>
      <c r="E1017" s="0" t="inlineStr">
        <is>
          <t xml:space="preserve">GAETA SHIP SUPPLY S.R.L.</t>
        </is>
      </c>
      <c r="F1017" s="0" t="inlineStr">
        <is>
          <t xml:space="preserve">B</t>
        </is>
      </c>
      <c r="G1017" s="4">
        <v>0.04538623</v>
      </c>
      <c r="H1017" s="0" t="inlineStr">
        <is>
          <t xml:space="preserve">2016-05-05</t>
        </is>
      </c>
      <c r="I1017" s="0" t="inlineStr">
        <is>
          <t xml:space="preserve">no</t>
        </is>
      </c>
      <c r="J1017" s="0" t="inlineStr">
        <is>
          <t xml:space="preserve">N6817116T2019</t>
        </is>
      </c>
      <c r="K1017" s="0" t="inlineStr">
        <is>
          <t xml:space="preserve">NONE</t>
        </is>
      </c>
    </row>
    <row r="1018">
      <c r="B1018" s="0" t="inlineStr">
        <is>
          <t xml:space="preserve">1006</t>
        </is>
      </c>
      <c r="C1018" s="0" t="inlineStr">
        <is>
          <t xml:space="preserve">N0010416DX004</t>
        </is>
      </c>
      <c r="D1018" s="0" t="inlineStr">
        <is>
          <t xml:space="preserve">small_craft</t>
        </is>
      </c>
      <c r="E1018" s="0" t="inlineStr">
        <is>
          <t xml:space="preserve">WING INFLATABLES INC</t>
        </is>
      </c>
      <c r="F1018" s="0" t="inlineStr">
        <is>
          <t xml:space="preserve">C</t>
        </is>
      </c>
      <c r="G1018" s="4">
        <v>0.045328</v>
      </c>
      <c r="H1018" s="0" t="inlineStr">
        <is>
          <t xml:space="preserve">2016-10-20</t>
        </is>
      </c>
      <c r="I1018" s="0" t="inlineStr">
        <is>
          <t xml:space="preserve">no</t>
        </is>
      </c>
      <c r="K1018" s="0" t="inlineStr">
        <is>
          <t xml:space="preserve">NONE</t>
        </is>
      </c>
    </row>
    <row r="1019">
      <c r="B1019" s="0" t="inlineStr">
        <is>
          <t xml:space="preserve">N6600116P6145</t>
        </is>
      </c>
      <c r="D1019" s="0" t="inlineStr">
        <is>
          <t xml:space="preserve">small_craft</t>
        </is>
      </c>
      <c r="E1019" s="0" t="inlineStr">
        <is>
          <t xml:space="preserve">WELLER RECREATION, INC</t>
        </is>
      </c>
      <c r="F1019" s="0" t="inlineStr">
        <is>
          <t xml:space="preserve">B</t>
        </is>
      </c>
      <c r="G1019" s="4">
        <v>0.0453</v>
      </c>
      <c r="H1019" s="0" t="inlineStr">
        <is>
          <t xml:space="preserve">2016-09-12</t>
        </is>
      </c>
      <c r="I1019" s="0" t="inlineStr">
        <is>
          <t xml:space="preserve">no</t>
        </is>
      </c>
      <c r="J1019" s="0" t="inlineStr">
        <is>
          <t xml:space="preserve">N6600116T6145</t>
        </is>
      </c>
      <c r="K1019" s="0" t="inlineStr">
        <is>
          <t xml:space="preserve">NONE</t>
        </is>
      </c>
    </row>
    <row r="1020">
      <c r="B1020" s="0" t="inlineStr">
        <is>
          <t xml:space="preserve">N3220519F7793</t>
        </is>
      </c>
      <c r="C1020" s="0" t="inlineStr">
        <is>
          <t xml:space="preserve">N3220517D4700</t>
        </is>
      </c>
      <c r="D1020" s="0" t="inlineStr">
        <is>
          <t xml:space="preserve">other_small</t>
        </is>
      </c>
      <c r="E1020" s="0" t="inlineStr">
        <is>
          <t xml:space="preserve">LAKE SHORE SYSTEMS, INC.</t>
        </is>
      </c>
      <c r="F1020" s="0" t="inlineStr">
        <is>
          <t xml:space="preserve">C</t>
        </is>
      </c>
      <c r="G1020" s="4">
        <v>0.04522026999999999</v>
      </c>
      <c r="H1020" s="0" t="inlineStr">
        <is>
          <t xml:space="preserve">2019-05-26</t>
        </is>
      </c>
      <c r="I1020" s="0" t="inlineStr">
        <is>
          <t xml:space="preserve">no</t>
        </is>
      </c>
      <c r="K1020" s="0" t="inlineStr">
        <is>
          <t xml:space="preserve">NONE</t>
        </is>
      </c>
    </row>
    <row r="1021">
      <c r="B1021" s="0" t="inlineStr">
        <is>
          <t xml:space="preserve">N0040625P0034</t>
        </is>
      </c>
      <c r="D1021" s="0" t="inlineStr">
        <is>
          <t xml:space="preserve">small_craft</t>
        </is>
      </c>
      <c r="E1021" s="0" t="inlineStr">
        <is>
          <t xml:space="preserve">RFD BEAUFORT INC.</t>
        </is>
      </c>
      <c r="F1021" s="0" t="inlineStr">
        <is>
          <t xml:space="preserve">B</t>
        </is>
      </c>
      <c r="G1021" s="4">
        <v>0.045085139999999996</v>
      </c>
      <c r="H1021" s="0" t="inlineStr">
        <is>
          <t xml:space="preserve">2024-11-11</t>
        </is>
      </c>
      <c r="I1021" s="0" t="inlineStr">
        <is>
          <t xml:space="preserve">no</t>
        </is>
      </c>
      <c r="J1021" s="0" t="inlineStr">
        <is>
          <t xml:space="preserve">N0040625Q0046</t>
        </is>
      </c>
      <c r="K1021" s="0" t="inlineStr">
        <is>
          <t xml:space="preserve">NONE</t>
        </is>
      </c>
    </row>
    <row r="1022">
      <c r="B1022" s="0" t="inlineStr">
        <is>
          <t xml:space="preserve">N0016717P0017</t>
        </is>
      </c>
      <c r="D1022" s="0" t="inlineStr">
        <is>
          <t xml:space="preserve">small_craft</t>
        </is>
      </c>
      <c r="E1022" s="0" t="inlineStr">
        <is>
          <t xml:space="preserve">PACIFIC SKIFFS NW INC</t>
        </is>
      </c>
      <c r="F1022" s="0" t="inlineStr">
        <is>
          <t xml:space="preserve">B</t>
        </is>
      </c>
      <c r="G1022" s="4">
        <v>0.04495</v>
      </c>
      <c r="H1022" s="0" t="inlineStr">
        <is>
          <t xml:space="preserve">2016-11-16</t>
        </is>
      </c>
      <c r="I1022" s="0" t="inlineStr">
        <is>
          <t xml:space="preserve">no</t>
        </is>
      </c>
      <c r="J1022" s="0" t="inlineStr">
        <is>
          <t xml:space="preserve">N0016717T0001</t>
        </is>
      </c>
      <c r="K1022" s="0" t="inlineStr">
        <is>
          <t xml:space="preserve">NONE</t>
        </is>
      </c>
    </row>
    <row r="1023">
      <c r="B1023" s="0" t="inlineStr">
        <is>
          <t xml:space="preserve">N3220519F4014</t>
        </is>
      </c>
      <c r="C1023" s="0" t="inlineStr">
        <is>
          <t xml:space="preserve">N3220517D4700</t>
        </is>
      </c>
      <c r="D1023" s="0" t="inlineStr">
        <is>
          <t xml:space="preserve">other_small</t>
        </is>
      </c>
      <c r="E1023" s="0" t="inlineStr">
        <is>
          <t xml:space="preserve">LAKE SHORE SYSTEMS, INC.</t>
        </is>
      </c>
      <c r="F1023" s="0" t="inlineStr">
        <is>
          <t xml:space="preserve">C</t>
        </is>
      </c>
      <c r="G1023" s="4">
        <v>0.044858999999999996</v>
      </c>
      <c r="H1023" s="0" t="inlineStr">
        <is>
          <t xml:space="preserve">2019-03-18</t>
        </is>
      </c>
      <c r="I1023" s="0" t="inlineStr">
        <is>
          <t xml:space="preserve">no</t>
        </is>
      </c>
      <c r="K1023" s="0" t="inlineStr">
        <is>
          <t xml:space="preserve">NONE</t>
        </is>
      </c>
    </row>
    <row r="1024">
      <c r="B1024" s="0" t="inlineStr">
        <is>
          <t xml:space="preserve">N0060416P3194</t>
        </is>
      </c>
      <c r="D1024" s="0" t="inlineStr">
        <is>
          <t xml:space="preserve">small_craft</t>
        </is>
      </c>
      <c r="E1024" s="0" t="inlineStr">
        <is>
          <t xml:space="preserve">ZODIAC OF NORTH AMERICA, INC.</t>
        </is>
      </c>
      <c r="F1024" s="0" t="inlineStr">
        <is>
          <t xml:space="preserve">B</t>
        </is>
      </c>
      <c r="G1024" s="4">
        <v>0.044465</v>
      </c>
      <c r="H1024" s="0" t="inlineStr">
        <is>
          <t xml:space="preserve">2016-04-19</t>
        </is>
      </c>
      <c r="I1024" s="0" t="inlineStr">
        <is>
          <t xml:space="preserve">no</t>
        </is>
      </c>
      <c r="J1024" s="0" t="inlineStr">
        <is>
          <t xml:space="preserve">N0060416T3068</t>
        </is>
      </c>
      <c r="K1024" s="0" t="inlineStr">
        <is>
          <t xml:space="preserve">NONE</t>
        </is>
      </c>
    </row>
    <row r="1025">
      <c r="B1025" s="0" t="inlineStr">
        <is>
          <t xml:space="preserve">N0010424PED25</t>
        </is>
      </c>
      <c r="D1025" s="0" t="inlineStr">
        <is>
          <t xml:space="preserve">small_craft</t>
        </is>
      </c>
      <c r="E1025" s="0" t="inlineStr">
        <is>
          <t xml:space="preserve">PAR DEFENSE INDUSTRIES, LLC</t>
        </is>
      </c>
      <c r="F1025" s="0" t="inlineStr">
        <is>
          <t xml:space="preserve">B</t>
        </is>
      </c>
      <c r="G1025" s="4">
        <v>0.04408</v>
      </c>
      <c r="H1025" s="0" t="inlineStr">
        <is>
          <t xml:space="preserve">2024-08-08</t>
        </is>
      </c>
      <c r="I1025" s="0" t="inlineStr">
        <is>
          <t xml:space="preserve">no</t>
        </is>
      </c>
      <c r="K1025" s="0" t="inlineStr">
        <is>
          <t xml:space="preserve">NONE</t>
        </is>
      </c>
    </row>
    <row r="1026">
      <c r="B1026" s="0" t="inlineStr">
        <is>
          <t xml:space="preserve">N0010417PEC40</t>
        </is>
      </c>
      <c r="D1026" s="0" t="inlineStr">
        <is>
          <t xml:space="preserve">small_craft</t>
        </is>
      </c>
      <c r="E1026" s="0" t="inlineStr">
        <is>
          <t xml:space="preserve">NUFLO, INC.</t>
        </is>
      </c>
      <c r="F1026" s="0" t="inlineStr">
        <is>
          <t xml:space="preserve">B</t>
        </is>
      </c>
      <c r="G1026" s="4">
        <v>0.044</v>
      </c>
      <c r="H1026" s="0" t="inlineStr">
        <is>
          <t xml:space="preserve">2017-04-27</t>
        </is>
      </c>
      <c r="I1026" s="0" t="inlineStr">
        <is>
          <t xml:space="preserve">no</t>
        </is>
      </c>
      <c r="K1026" s="0" t="inlineStr">
        <is>
          <t xml:space="preserve">NONE</t>
        </is>
      </c>
    </row>
    <row r="1027">
      <c r="B1027" s="0" t="inlineStr">
        <is>
          <t xml:space="preserve">N0010426PSA65</t>
        </is>
      </c>
      <c r="D1027" s="0" t="inlineStr">
        <is>
          <t xml:space="preserve">small_craft</t>
        </is>
      </c>
      <c r="E1027" s="0" t="inlineStr">
        <is>
          <t xml:space="preserve">RAILWAY SPECIALTIES CORP</t>
        </is>
      </c>
      <c r="F1027" s="0" t="inlineStr">
        <is>
          <t xml:space="preserve">B</t>
        </is>
      </c>
      <c r="G1027" s="4">
        <v>0.043699999999999996</v>
      </c>
      <c r="H1027" s="0" t="inlineStr">
        <is>
          <t xml:space="preserve">2025-11-26</t>
        </is>
      </c>
      <c r="I1027" s="0" t="inlineStr">
        <is>
          <t xml:space="preserve">yes</t>
        </is>
      </c>
      <c r="J1027" s="0" t="inlineStr">
        <is>
          <t xml:space="preserve">N0010426QSA35</t>
        </is>
      </c>
      <c r="K1027" s="0" t="inlineStr">
        <is>
          <t xml:space="preserve">NONE</t>
        </is>
      </c>
    </row>
    <row r="1028">
      <c r="B1028" s="0" t="inlineStr">
        <is>
          <t xml:space="preserve">N0040616P3261</t>
        </is>
      </c>
      <c r="D1028" s="0" t="inlineStr">
        <is>
          <t xml:space="preserve">small_craft</t>
        </is>
      </c>
      <c r="E1028" s="0" t="inlineStr">
        <is>
          <t xml:space="preserve">DURAMAX MARINE, LLC</t>
        </is>
      </c>
      <c r="F1028" s="0" t="inlineStr">
        <is>
          <t xml:space="preserve">B</t>
        </is>
      </c>
      <c r="G1028" s="4">
        <v>0.043623999999999996</v>
      </c>
      <c r="H1028" s="0" t="inlineStr">
        <is>
          <t xml:space="preserve">2016-09-12</t>
        </is>
      </c>
      <c r="I1028" s="0" t="inlineStr">
        <is>
          <t xml:space="preserve">no</t>
        </is>
      </c>
      <c r="J1028" s="0" t="inlineStr">
        <is>
          <t xml:space="preserve">N0040616T0676</t>
        </is>
      </c>
      <c r="K1028" s="0" t="inlineStr">
        <is>
          <t xml:space="preserve">NONE</t>
        </is>
      </c>
    </row>
    <row r="1029">
      <c r="B1029" s="0" t="inlineStr">
        <is>
          <t xml:space="preserve">N0010421PDD78</t>
        </is>
      </c>
      <c r="D1029" s="0" t="inlineStr">
        <is>
          <t xml:space="preserve">small_craft</t>
        </is>
      </c>
      <c r="E1029" s="0" t="inlineStr">
        <is>
          <t xml:space="preserve">MMC METROLOGY LAB, INC.</t>
        </is>
      </c>
      <c r="F1029" s="0" t="inlineStr">
        <is>
          <t xml:space="preserve">B</t>
        </is>
      </c>
      <c r="G1029" s="4">
        <v>0.043584</v>
      </c>
      <c r="H1029" s="0" t="inlineStr">
        <is>
          <t xml:space="preserve">2021-09-30</t>
        </is>
      </c>
      <c r="I1029" s="0" t="inlineStr">
        <is>
          <t xml:space="preserve">no</t>
        </is>
      </c>
      <c r="J1029" s="0" t="inlineStr">
        <is>
          <t xml:space="preserve">N0010421QDC49</t>
        </is>
      </c>
      <c r="K1029" s="0" t="inlineStr">
        <is>
          <t xml:space="preserve">NONE</t>
        </is>
      </c>
    </row>
    <row r="1030">
      <c r="B1030" s="0" t="inlineStr">
        <is>
          <t xml:space="preserve">N4044208P5088</t>
        </is>
      </c>
      <c r="D1030" s="0" t="inlineStr">
        <is>
          <t xml:space="preserve">other_small</t>
        </is>
      </c>
      <c r="E1030" s="0" t="inlineStr">
        <is>
          <t xml:space="preserve">US JOINER LLC</t>
        </is>
      </c>
      <c r="F1030" s="0" t="inlineStr">
        <is>
          <t xml:space="preserve">B</t>
        </is>
      </c>
      <c r="G1030" s="4">
        <v>0.04352007</v>
      </c>
      <c r="H1030" s="0" t="inlineStr">
        <is>
          <t xml:space="preserve">2007-11-21</t>
        </is>
      </c>
      <c r="I1030" s="0" t="inlineStr">
        <is>
          <t xml:space="preserve">no</t>
        </is>
      </c>
      <c r="J1030" s="0" t="inlineStr">
        <is>
          <t xml:space="preserve">N4044208T5011</t>
        </is>
      </c>
      <c r="K1030" s="0" t="inlineStr">
        <is>
          <t xml:space="preserve">NONE</t>
        </is>
      </c>
    </row>
    <row r="1031">
      <c r="B1031" s="0" t="inlineStr">
        <is>
          <t xml:space="preserve">N0010424PDC72</t>
        </is>
      </c>
      <c r="D1031" s="0" t="inlineStr">
        <is>
          <t xml:space="preserve">small_craft</t>
        </is>
      </c>
      <c r="E1031" s="0" t="inlineStr">
        <is>
          <t xml:space="preserve">CEPEDA ASSOCIATES, INC.</t>
        </is>
      </c>
      <c r="F1031" s="0" t="inlineStr">
        <is>
          <t xml:space="preserve">B</t>
        </is>
      </c>
      <c r="G1031" s="4">
        <v>0.04342793</v>
      </c>
      <c r="H1031" s="0" t="inlineStr">
        <is>
          <t xml:space="preserve">2024-09-20</t>
        </is>
      </c>
      <c r="I1031" s="0" t="inlineStr">
        <is>
          <t xml:space="preserve">no</t>
        </is>
      </c>
      <c r="K1031" s="0" t="inlineStr">
        <is>
          <t xml:space="preserve">NONE</t>
        </is>
      </c>
    </row>
    <row r="1032">
      <c r="B1032" s="0" t="inlineStr">
        <is>
          <t xml:space="preserve">N0010421PCF50</t>
        </is>
      </c>
      <c r="D1032" s="0" t="inlineStr">
        <is>
          <t xml:space="preserve">small_craft</t>
        </is>
      </c>
      <c r="E1032" s="0" t="inlineStr">
        <is>
          <t xml:space="preserve">RENK SYSTEMS CORP</t>
        </is>
      </c>
      <c r="F1032" s="0" t="inlineStr">
        <is>
          <t xml:space="preserve">B</t>
        </is>
      </c>
      <c r="G1032" s="4">
        <v>0.04328463</v>
      </c>
      <c r="H1032" s="0" t="inlineStr">
        <is>
          <t xml:space="preserve">2021-09-16</t>
        </is>
      </c>
      <c r="I1032" s="0" t="inlineStr">
        <is>
          <t xml:space="preserve">no</t>
        </is>
      </c>
      <c r="K1032" s="0" t="inlineStr">
        <is>
          <t xml:space="preserve">NONE</t>
        </is>
      </c>
    </row>
    <row r="1033">
      <c r="B1033" s="0" t="inlineStr">
        <is>
          <t xml:space="preserve">N0018916P0388</t>
        </is>
      </c>
      <c r="D1033" s="0" t="inlineStr">
        <is>
          <t xml:space="preserve">small_craft</t>
        </is>
      </c>
      <c r="E1033" s="0" t="inlineStr">
        <is>
          <t xml:space="preserve">XRAM LIMITED</t>
        </is>
      </c>
      <c r="F1033" s="0" t="inlineStr">
        <is>
          <t xml:space="preserve">B</t>
        </is>
      </c>
      <c r="G1033" s="4">
        <v>0.04325887999999999</v>
      </c>
      <c r="H1033" s="0" t="inlineStr">
        <is>
          <t xml:space="preserve">2016-02-11</t>
        </is>
      </c>
      <c r="I1033" s="0" t="inlineStr">
        <is>
          <t xml:space="preserve">no</t>
        </is>
      </c>
      <c r="J1033" s="0" t="inlineStr">
        <is>
          <t xml:space="preserve">N0018916T0124</t>
        </is>
      </c>
      <c r="K1033" s="0" t="inlineStr">
        <is>
          <t xml:space="preserve">NONE</t>
        </is>
      </c>
    </row>
    <row r="1034">
      <c r="B1034" s="0" t="inlineStr">
        <is>
          <t xml:space="preserve">N0010425PNC03</t>
        </is>
      </c>
      <c r="D1034" s="0" t="inlineStr">
        <is>
          <t xml:space="preserve">small_craft</t>
        </is>
      </c>
      <c r="E1034" s="0" t="inlineStr">
        <is>
          <t xml:space="preserve">CAMERON ENERGY SERVICES CORP.</t>
        </is>
      </c>
      <c r="F1034" s="0" t="inlineStr">
        <is>
          <t xml:space="preserve">B</t>
        </is>
      </c>
      <c r="G1034" s="4">
        <v>0.043122</v>
      </c>
      <c r="H1034" s="0" t="inlineStr">
        <is>
          <t xml:space="preserve">2025-09-09</t>
        </is>
      </c>
      <c r="I1034" s="0" t="inlineStr">
        <is>
          <t xml:space="preserve">yes</t>
        </is>
      </c>
      <c r="K1034" s="0" t="inlineStr">
        <is>
          <t xml:space="preserve">NONE</t>
        </is>
      </c>
    </row>
    <row r="1035">
      <c r="B1035" s="0" t="inlineStr">
        <is>
          <t xml:space="preserve">M0026417P0078</t>
        </is>
      </c>
      <c r="D1035" s="0" t="inlineStr">
        <is>
          <t xml:space="preserve">small_craft</t>
        </is>
      </c>
      <c r="E1035" s="0" t="inlineStr">
        <is>
          <t xml:space="preserve">THE WASHINGTON MARINA COMPANY</t>
        </is>
      </c>
      <c r="F1035" s="0" t="inlineStr">
        <is>
          <t xml:space="preserve">B</t>
        </is>
      </c>
      <c r="G1035" s="4">
        <v>0.043054749999999996</v>
      </c>
      <c r="H1035" s="0" t="inlineStr">
        <is>
          <t xml:space="preserve">2017-04-13</t>
        </is>
      </c>
      <c r="I1035" s="0" t="inlineStr">
        <is>
          <t xml:space="preserve">no</t>
        </is>
      </c>
      <c r="J1035" s="0" t="inlineStr">
        <is>
          <t xml:space="preserve">M0026417R0062</t>
        </is>
      </c>
      <c r="K1035" s="0" t="inlineStr">
        <is>
          <t xml:space="preserve">NONE</t>
        </is>
      </c>
    </row>
    <row r="1036">
      <c r="B1036" s="0" t="inlineStr">
        <is>
          <t xml:space="preserve">N0040617P2052</t>
        </is>
      </c>
      <c r="D1036" s="0" t="inlineStr">
        <is>
          <t xml:space="preserve">small_craft</t>
        </is>
      </c>
      <c r="E1036" s="0" t="inlineStr">
        <is>
          <t xml:space="preserve">JUNIPER ELBOW CO. INC.</t>
        </is>
      </c>
      <c r="F1036" s="0" t="inlineStr">
        <is>
          <t xml:space="preserve">B</t>
        </is>
      </c>
      <c r="G1036" s="4">
        <v>0.04285</v>
      </c>
      <c r="H1036" s="0" t="inlineStr">
        <is>
          <t xml:space="preserve">2017-06-13</t>
        </is>
      </c>
      <c r="I1036" s="0" t="inlineStr">
        <is>
          <t xml:space="preserve">no</t>
        </is>
      </c>
      <c r="J1036" s="0" t="inlineStr">
        <is>
          <t xml:space="preserve">N0040617T0369</t>
        </is>
      </c>
      <c r="K1036" s="0" t="inlineStr">
        <is>
          <t xml:space="preserve">NONE</t>
        </is>
      </c>
    </row>
    <row r="1037">
      <c r="B1037" s="0" t="inlineStr">
        <is>
          <t xml:space="preserve">N6874224F0936</t>
        </is>
      </c>
      <c r="C1037" s="0" t="inlineStr">
        <is>
          <t xml:space="preserve">47QSWA22D0051</t>
        </is>
      </c>
      <c r="D1037" s="0" t="inlineStr">
        <is>
          <t xml:space="preserve">small_craft</t>
        </is>
      </c>
      <c r="E1037" s="0" t="inlineStr">
        <is>
          <t xml:space="preserve">NW BEND BOATS, LLC</t>
        </is>
      </c>
      <c r="F1037" s="0" t="inlineStr">
        <is>
          <t xml:space="preserve">C</t>
        </is>
      </c>
      <c r="G1037" s="4">
        <v>0.04284039</v>
      </c>
      <c r="H1037" s="0" t="inlineStr">
        <is>
          <t xml:space="preserve">2024-03-22</t>
        </is>
      </c>
      <c r="I1037" s="0" t="inlineStr">
        <is>
          <t xml:space="preserve">no</t>
        </is>
      </c>
      <c r="K1037" s="0" t="inlineStr">
        <is>
          <t xml:space="preserve">NONE</t>
        </is>
      </c>
    </row>
    <row r="1038">
      <c r="B1038" s="0" t="inlineStr">
        <is>
          <t xml:space="preserve">N0010423PDC59</t>
        </is>
      </c>
      <c r="D1038" s="0" t="inlineStr">
        <is>
          <t xml:space="preserve">small_craft</t>
        </is>
      </c>
      <c r="E1038" s="0" t="inlineStr">
        <is>
          <t xml:space="preserve">LAKE SHORE SYSTEMS, INC.</t>
        </is>
      </c>
      <c r="F1038" s="0" t="inlineStr">
        <is>
          <t xml:space="preserve">B</t>
        </is>
      </c>
      <c r="G1038" s="4">
        <v>0.0426828</v>
      </c>
      <c r="H1038" s="0" t="inlineStr">
        <is>
          <t xml:space="preserve">2023-05-18</t>
        </is>
      </c>
      <c r="I1038" s="0" t="inlineStr">
        <is>
          <t xml:space="preserve">no</t>
        </is>
      </c>
      <c r="K1038" s="0" t="inlineStr">
        <is>
          <t xml:space="preserve">NONE</t>
        </is>
      </c>
    </row>
    <row r="1039">
      <c r="B1039" s="0" t="inlineStr">
        <is>
          <t xml:space="preserve">N0010406PFK69</t>
        </is>
      </c>
      <c r="D1039" s="0" t="inlineStr">
        <is>
          <t xml:space="preserve">small_craft</t>
        </is>
      </c>
      <c r="E1039" s="0" t="inlineStr">
        <is>
          <t xml:space="preserve">PORTLAND VALVE LLC</t>
        </is>
      </c>
      <c r="F1039" s="0" t="inlineStr">
        <is>
          <t xml:space="preserve">B</t>
        </is>
      </c>
      <c r="G1039" s="4">
        <v>0.042596999999999996</v>
      </c>
      <c r="H1039" s="0" t="inlineStr">
        <is>
          <t xml:space="preserve">2006-09-30</t>
        </is>
      </c>
      <c r="I1039" s="0" t="inlineStr">
        <is>
          <t xml:space="preserve">no</t>
        </is>
      </c>
      <c r="K1039" s="0" t="inlineStr">
        <is>
          <t xml:space="preserve">NONE</t>
        </is>
      </c>
    </row>
    <row r="1040">
      <c r="B1040" s="0" t="inlineStr">
        <is>
          <t xml:space="preserve">N6883623P0080</t>
        </is>
      </c>
      <c r="D1040" s="0" t="inlineStr">
        <is>
          <t xml:space="preserve">small_craft</t>
        </is>
      </c>
      <c r="E1040" s="0" t="inlineStr">
        <is>
          <t xml:space="preserve">RENK SYSTEMS CORP</t>
        </is>
      </c>
      <c r="F1040" s="0" t="inlineStr">
        <is>
          <t xml:space="preserve">B</t>
        </is>
      </c>
      <c r="G1040" s="4">
        <v>0.04252304</v>
      </c>
      <c r="H1040" s="0" t="inlineStr">
        <is>
          <t xml:space="preserve">2023-02-24</t>
        </is>
      </c>
      <c r="I1040" s="0" t="inlineStr">
        <is>
          <t xml:space="preserve">no</t>
        </is>
      </c>
      <c r="J1040" s="0" t="inlineStr">
        <is>
          <t xml:space="preserve">N6883623Q0084</t>
        </is>
      </c>
      <c r="K1040" s="0" t="inlineStr">
        <is>
          <t xml:space="preserve">NONE</t>
        </is>
      </c>
    </row>
    <row r="1041">
      <c r="B1041" s="0" t="inlineStr">
        <is>
          <t xml:space="preserve">N6600116P6315</t>
        </is>
      </c>
      <c r="D1041" s="0" t="inlineStr">
        <is>
          <t xml:space="preserve">small_craft</t>
        </is>
      </c>
      <c r="E1041" s="0" t="inlineStr">
        <is>
          <t xml:space="preserve">POLARIS INFLATABLE BOATS (CANADA) LTD.</t>
        </is>
      </c>
      <c r="F1041" s="0" t="inlineStr">
        <is>
          <t xml:space="preserve">B</t>
        </is>
      </c>
      <c r="G1041" s="4">
        <v>0.04246</v>
      </c>
      <c r="H1041" s="0" t="inlineStr">
        <is>
          <t xml:space="preserve">2016-09-06</t>
        </is>
      </c>
      <c r="I1041" s="0" t="inlineStr">
        <is>
          <t xml:space="preserve">no</t>
        </is>
      </c>
      <c r="K1041" s="0" t="inlineStr">
        <is>
          <t xml:space="preserve">NONE</t>
        </is>
      </c>
    </row>
    <row r="1042">
      <c r="B1042" s="0" t="inlineStr">
        <is>
          <t xml:space="preserve">N0040616P3117</t>
        </is>
      </c>
      <c r="D1042" s="0" t="inlineStr">
        <is>
          <t xml:space="preserve">small_craft</t>
        </is>
      </c>
      <c r="E1042" s="0" t="inlineStr">
        <is>
          <t xml:space="preserve">DURAMAX MARINE, LLC</t>
        </is>
      </c>
      <c r="F1042" s="0" t="inlineStr">
        <is>
          <t xml:space="preserve">B</t>
        </is>
      </c>
      <c r="G1042" s="4">
        <v>0.04242</v>
      </c>
      <c r="H1042" s="0" t="inlineStr">
        <is>
          <t xml:space="preserve">2016-08-30</t>
        </is>
      </c>
      <c r="I1042" s="0" t="inlineStr">
        <is>
          <t xml:space="preserve">no</t>
        </is>
      </c>
      <c r="J1042" s="0" t="inlineStr">
        <is>
          <t xml:space="preserve">N0040616T0658</t>
        </is>
      </c>
      <c r="K1042" s="0" t="inlineStr">
        <is>
          <t xml:space="preserve">NONE</t>
        </is>
      </c>
    </row>
    <row r="1043">
      <c r="B1043" s="0" t="inlineStr">
        <is>
          <t xml:space="preserve">N0010424PLA41</t>
        </is>
      </c>
      <c r="D1043" s="0" t="inlineStr">
        <is>
          <t xml:space="preserve">small_craft</t>
        </is>
      </c>
      <c r="E1043" s="0" t="inlineStr">
        <is>
          <t xml:space="preserve">ITL LLC</t>
        </is>
      </c>
      <c r="F1043" s="0" t="inlineStr">
        <is>
          <t xml:space="preserve">B</t>
        </is>
      </c>
      <c r="G1043" s="4">
        <v>0.0422039</v>
      </c>
      <c r="H1043" s="0" t="inlineStr">
        <is>
          <t xml:space="preserve">2023-11-06</t>
        </is>
      </c>
      <c r="I1043" s="0" t="inlineStr">
        <is>
          <t xml:space="preserve">no</t>
        </is>
      </c>
      <c r="J1043" s="0" t="inlineStr">
        <is>
          <t xml:space="preserve">N0010423QLC96</t>
        </is>
      </c>
      <c r="K1043" s="0" t="inlineStr">
        <is>
          <t xml:space="preserve">NONE</t>
        </is>
      </c>
    </row>
    <row r="1044">
      <c r="B1044" s="0" t="inlineStr">
        <is>
          <t xml:space="preserve">N0010417PBV14</t>
        </is>
      </c>
      <c r="D1044" s="0" t="inlineStr">
        <is>
          <t xml:space="preserve">small_craft</t>
        </is>
      </c>
      <c r="E1044" s="0" t="inlineStr">
        <is>
          <t xml:space="preserve">TIGER-VAC INC.</t>
        </is>
      </c>
      <c r="F1044" s="0" t="inlineStr">
        <is>
          <t xml:space="preserve">B</t>
        </is>
      </c>
      <c r="G1044" s="4">
        <v>0.04212</v>
      </c>
      <c r="H1044" s="0" t="inlineStr">
        <is>
          <t xml:space="preserve">2017-02-24</t>
        </is>
      </c>
      <c r="I1044" s="0" t="inlineStr">
        <is>
          <t xml:space="preserve">no</t>
        </is>
      </c>
      <c r="K1044" s="0" t="inlineStr">
        <is>
          <t xml:space="preserve">NONE</t>
        </is>
      </c>
    </row>
    <row r="1045">
      <c r="B1045" s="0" t="inlineStr">
        <is>
          <t xml:space="preserve">N0040621P0242</t>
        </is>
      </c>
      <c r="D1045" s="0" t="inlineStr">
        <is>
          <t xml:space="preserve">small_craft</t>
        </is>
      </c>
      <c r="E1045" s="0" t="inlineStr">
        <is>
          <t xml:space="preserve">RAILWAY SPECIALTIES CORP</t>
        </is>
      </c>
      <c r="F1045" s="0" t="inlineStr">
        <is>
          <t xml:space="preserve">B</t>
        </is>
      </c>
      <c r="G1045" s="4">
        <v>0.041999999999999996</v>
      </c>
      <c r="H1045" s="0" t="inlineStr">
        <is>
          <t xml:space="preserve">2021-03-24</t>
        </is>
      </c>
      <c r="I1045" s="0" t="inlineStr">
        <is>
          <t xml:space="preserve">no</t>
        </is>
      </c>
      <c r="J1045" s="0" t="inlineStr">
        <is>
          <t xml:space="preserve">N0040621Q0185</t>
        </is>
      </c>
      <c r="K1045" s="0" t="inlineStr">
        <is>
          <t xml:space="preserve">NONE</t>
        </is>
      </c>
    </row>
    <row r="1046">
      <c r="B1046" s="0" t="inlineStr">
        <is>
          <t xml:space="preserve">N0010423PDA74</t>
        </is>
      </c>
      <c r="D1046" s="0" t="inlineStr">
        <is>
          <t xml:space="preserve">small_craft</t>
        </is>
      </c>
      <c r="E1046" s="0" t="inlineStr">
        <is>
          <t xml:space="preserve">ROLLS-ROYCE MARINE NORTH AMERICA INC.</t>
        </is>
      </c>
      <c r="F1046" s="0" t="inlineStr">
        <is>
          <t xml:space="preserve">B</t>
        </is>
      </c>
      <c r="G1046" s="4">
        <v>0.041912</v>
      </c>
      <c r="H1046" s="0" t="inlineStr">
        <is>
          <t xml:space="preserve">2023-01-06</t>
        </is>
      </c>
      <c r="I1046" s="0" t="inlineStr">
        <is>
          <t xml:space="preserve">no</t>
        </is>
      </c>
      <c r="K1046" s="0" t="inlineStr">
        <is>
          <t xml:space="preserve">NONE</t>
        </is>
      </c>
    </row>
    <row r="1047">
      <c r="B1047" s="0" t="inlineStr">
        <is>
          <t xml:space="preserve">N0010422PCC90</t>
        </is>
      </c>
      <c r="D1047" s="0" t="inlineStr">
        <is>
          <t xml:space="preserve">small_craft</t>
        </is>
      </c>
      <c r="E1047" s="0" t="inlineStr">
        <is>
          <t xml:space="preserve">ESI ACQUISITION CORP</t>
        </is>
      </c>
      <c r="F1047" s="0" t="inlineStr">
        <is>
          <t xml:space="preserve">B</t>
        </is>
      </c>
      <c r="G1047" s="4">
        <v>0.04185</v>
      </c>
      <c r="H1047" s="0" t="inlineStr">
        <is>
          <t xml:space="preserve">2022-07-14</t>
        </is>
      </c>
      <c r="I1047" s="0" t="inlineStr">
        <is>
          <t xml:space="preserve">no</t>
        </is>
      </c>
      <c r="K1047" s="0" t="inlineStr">
        <is>
          <t xml:space="preserve">NONE</t>
        </is>
      </c>
    </row>
    <row r="1048">
      <c r="B1048" s="0" t="inlineStr">
        <is>
          <t xml:space="preserve">N0010423PXC24</t>
        </is>
      </c>
      <c r="D1048" s="0" t="inlineStr">
        <is>
          <t xml:space="preserve">small_craft</t>
        </is>
      </c>
      <c r="E1048" s="0" t="inlineStr">
        <is>
          <t xml:space="preserve">VIRGINIA ELECTRONIC SYSTEMS, INC.</t>
        </is>
      </c>
      <c r="F1048" s="0" t="inlineStr">
        <is>
          <t xml:space="preserve">B</t>
        </is>
      </c>
      <c r="G1048" s="4">
        <v>0.0418</v>
      </c>
      <c r="H1048" s="0" t="inlineStr">
        <is>
          <t xml:space="preserve">2023-04-10</t>
        </is>
      </c>
      <c r="I1048" s="0" t="inlineStr">
        <is>
          <t xml:space="preserve">no</t>
        </is>
      </c>
      <c r="J1048" s="0" t="inlineStr">
        <is>
          <t xml:space="preserve">N0010423QXB76</t>
        </is>
      </c>
      <c r="K1048" s="0" t="inlineStr">
        <is>
          <t xml:space="preserve">NONE</t>
        </is>
      </c>
    </row>
    <row r="1049">
      <c r="B1049" s="0" t="inlineStr">
        <is>
          <t xml:space="preserve">N0010425PBC09</t>
        </is>
      </c>
      <c r="D1049" s="0" t="inlineStr">
        <is>
          <t xml:space="preserve">small_craft</t>
        </is>
      </c>
      <c r="E1049" s="0" t="inlineStr">
        <is>
          <t xml:space="preserve">MDF TECHNOLOGIES INC</t>
        </is>
      </c>
      <c r="F1049" s="0" t="inlineStr">
        <is>
          <t xml:space="preserve">B</t>
        </is>
      </c>
      <c r="G1049" s="4">
        <v>0.041677</v>
      </c>
      <c r="H1049" s="0" t="inlineStr">
        <is>
          <t xml:space="preserve">2024-10-24</t>
        </is>
      </c>
      <c r="I1049" s="0" t="inlineStr">
        <is>
          <t xml:space="preserve">no</t>
        </is>
      </c>
      <c r="K1049" s="0" t="inlineStr">
        <is>
          <t xml:space="preserve">NONE</t>
        </is>
      </c>
    </row>
    <row r="1050">
      <c r="B1050" s="0" t="inlineStr">
        <is>
          <t xml:space="preserve">N0040622P0348</t>
        </is>
      </c>
      <c r="D1050" s="0" t="inlineStr">
        <is>
          <t xml:space="preserve">small_craft</t>
        </is>
      </c>
      <c r="E1050" s="0" t="inlineStr">
        <is>
          <t xml:space="preserve">CURTISS-WRIGHT ELECTRO-MECHANICAL CORPORATION</t>
        </is>
      </c>
      <c r="F1050" s="0" t="inlineStr">
        <is>
          <t xml:space="preserve">B</t>
        </is>
      </c>
      <c r="G1050" s="4">
        <v>0.041303519999999996</v>
      </c>
      <c r="H1050" s="0" t="inlineStr">
        <is>
          <t xml:space="preserve">2022-04-05</t>
        </is>
      </c>
      <c r="I1050" s="0" t="inlineStr">
        <is>
          <t xml:space="preserve">no</t>
        </is>
      </c>
      <c r="J1050" s="0" t="inlineStr">
        <is>
          <t xml:space="preserve">N0040622Q0094</t>
        </is>
      </c>
      <c r="K1050" s="0" t="inlineStr">
        <is>
          <t xml:space="preserve">NONE</t>
        </is>
      </c>
    </row>
    <row r="1051">
      <c r="B1051" s="0" t="inlineStr">
        <is>
          <t xml:space="preserve">N4044207P5232</t>
        </is>
      </c>
      <c r="D1051" s="0" t="inlineStr">
        <is>
          <t xml:space="preserve">other_small</t>
        </is>
      </c>
      <c r="E1051" s="0" t="inlineStr">
        <is>
          <t xml:space="preserve">SHIPS MACHINERY INTERNATIONAL, INC.</t>
        </is>
      </c>
      <c r="F1051" s="0" t="inlineStr">
        <is>
          <t xml:space="preserve">B</t>
        </is>
      </c>
      <c r="G1051" s="4">
        <v>0.04126149</v>
      </c>
      <c r="H1051" s="0" t="inlineStr">
        <is>
          <t xml:space="preserve">2007-01-23</t>
        </is>
      </c>
      <c r="I1051" s="0" t="inlineStr">
        <is>
          <t xml:space="preserve">no</t>
        </is>
      </c>
      <c r="J1051" s="0" t="inlineStr">
        <is>
          <t xml:space="preserve">N4044207T5163</t>
        </is>
      </c>
      <c r="K1051" s="0" t="inlineStr">
        <is>
          <t xml:space="preserve">NONE</t>
        </is>
      </c>
    </row>
    <row r="1052">
      <c r="B1052" s="0" t="inlineStr">
        <is>
          <t xml:space="preserve">N0040616P0352</t>
        </is>
      </c>
      <c r="D1052" s="0" t="inlineStr">
        <is>
          <t xml:space="preserve">small_craft</t>
        </is>
      </c>
      <c r="E1052" s="0" t="inlineStr">
        <is>
          <t xml:space="preserve">J.D.A. MARITIME, INC.</t>
        </is>
      </c>
      <c r="F1052" s="0" t="inlineStr">
        <is>
          <t xml:space="preserve">B</t>
        </is>
      </c>
      <c r="G1052" s="4">
        <v>0.040979</v>
      </c>
      <c r="H1052" s="0" t="inlineStr">
        <is>
          <t xml:space="preserve">2015-11-19</t>
        </is>
      </c>
      <c r="I1052" s="0" t="inlineStr">
        <is>
          <t xml:space="preserve">no</t>
        </is>
      </c>
      <c r="J1052" s="0" t="inlineStr">
        <is>
          <t xml:space="preserve">N0040616T0053</t>
        </is>
      </c>
      <c r="K1052" s="0" t="inlineStr">
        <is>
          <t xml:space="preserve">NONE</t>
        </is>
      </c>
    </row>
    <row r="1053">
      <c r="B1053" s="0" t="inlineStr">
        <is>
          <t xml:space="preserve">N0040621P0415</t>
        </is>
      </c>
      <c r="D1053" s="0" t="inlineStr">
        <is>
          <t xml:space="preserve">small_craft</t>
        </is>
      </c>
      <c r="E1053" s="0" t="inlineStr">
        <is>
          <t xml:space="preserve">DEFENSE MARITIME SOLUTIONS, INC.</t>
        </is>
      </c>
      <c r="F1053" s="0" t="inlineStr">
        <is>
          <t xml:space="preserve">B</t>
        </is>
      </c>
      <c r="G1053" s="4">
        <v>0.04093948</v>
      </c>
      <c r="H1053" s="0" t="inlineStr">
        <is>
          <t xml:space="preserve">2021-07-12</t>
        </is>
      </c>
      <c r="I1053" s="0" t="inlineStr">
        <is>
          <t xml:space="preserve">no</t>
        </is>
      </c>
      <c r="J1053" s="0" t="inlineStr">
        <is>
          <t xml:space="preserve">N0040621Q0327</t>
        </is>
      </c>
      <c r="K1053" s="0" t="inlineStr">
        <is>
          <t xml:space="preserve">NONE</t>
        </is>
      </c>
    </row>
    <row r="1054">
      <c r="B1054" s="0" t="inlineStr">
        <is>
          <t xml:space="preserve">N6146319FLH85</t>
        </is>
      </c>
      <c r="C1054" s="0" t="inlineStr">
        <is>
          <t xml:space="preserve">N6238715D2104</t>
        </is>
      </c>
      <c r="D1054" s="0" t="inlineStr">
        <is>
          <t xml:space="preserve">other_small</t>
        </is>
      </c>
      <c r="E1054" s="0" t="inlineStr">
        <is>
          <t xml:space="preserve">MCALLISTER TOWING AND TRANSPORTATION COMPANY, INC.</t>
        </is>
      </c>
      <c r="F1054" s="0" t="inlineStr">
        <is>
          <t xml:space="preserve">C</t>
        </is>
      </c>
      <c r="G1054" s="4">
        <v>0.040847999999999995</v>
      </c>
      <c r="H1054" s="0" t="inlineStr">
        <is>
          <t xml:space="preserve">2019-05-30</t>
        </is>
      </c>
      <c r="I1054" s="0" t="inlineStr">
        <is>
          <t xml:space="preserve">no</t>
        </is>
      </c>
      <c r="J1054" s="0" t="inlineStr">
        <is>
          <t xml:space="preserve">N6238715R2104</t>
        </is>
      </c>
      <c r="K1054" s="0" t="inlineStr">
        <is>
          <t xml:space="preserve">NONE</t>
        </is>
      </c>
    </row>
    <row r="1055">
      <c r="B1055" s="0" t="inlineStr">
        <is>
          <t xml:space="preserve">N0010423PCB55</t>
        </is>
      </c>
      <c r="D1055" s="0" t="inlineStr">
        <is>
          <t xml:space="preserve">small_craft</t>
        </is>
      </c>
      <c r="E1055" s="0" t="inlineStr">
        <is>
          <t xml:space="preserve">PROPULSION SYSTEMS, INC.</t>
        </is>
      </c>
      <c r="F1055" s="0" t="inlineStr">
        <is>
          <t xml:space="preserve">B</t>
        </is>
      </c>
      <c r="G1055" s="4">
        <v>0.0405</v>
      </c>
      <c r="H1055" s="0" t="inlineStr">
        <is>
          <t xml:space="preserve">2023-04-11</t>
        </is>
      </c>
      <c r="I1055" s="0" t="inlineStr">
        <is>
          <t xml:space="preserve">no</t>
        </is>
      </c>
      <c r="K1055" s="0" t="inlineStr">
        <is>
          <t xml:space="preserve">NONE</t>
        </is>
      </c>
    </row>
    <row r="1056">
      <c r="B1056" s="0" t="inlineStr">
        <is>
          <t xml:space="preserve">N0010421PDC15</t>
        </is>
      </c>
      <c r="D1056" s="0" t="inlineStr">
        <is>
          <t xml:space="preserve">small_craft</t>
        </is>
      </c>
      <c r="E1056" s="0" t="inlineStr">
        <is>
          <t xml:space="preserve">VALCOM MANUFACTURING GROUP INC.</t>
        </is>
      </c>
      <c r="F1056" s="0" t="inlineStr">
        <is>
          <t xml:space="preserve">B</t>
        </is>
      </c>
      <c r="G1056" s="4">
        <v>0.0405</v>
      </c>
      <c r="H1056" s="0" t="inlineStr">
        <is>
          <t xml:space="preserve">2021-07-21</t>
        </is>
      </c>
      <c r="I1056" s="0" t="inlineStr">
        <is>
          <t xml:space="preserve">no</t>
        </is>
      </c>
      <c r="K1056" s="0" t="inlineStr">
        <is>
          <t xml:space="preserve">NONE</t>
        </is>
      </c>
    </row>
    <row r="1057">
      <c r="B1057" s="0" t="inlineStr">
        <is>
          <t xml:space="preserve">N0010423PLE32</t>
        </is>
      </c>
      <c r="D1057" s="0" t="inlineStr">
        <is>
          <t xml:space="preserve">small_craft</t>
        </is>
      </c>
      <c r="E1057" s="0" t="inlineStr">
        <is>
          <t xml:space="preserve">GRISWOLD INDUSTRIES</t>
        </is>
      </c>
      <c r="F1057" s="0" t="inlineStr">
        <is>
          <t xml:space="preserve">B</t>
        </is>
      </c>
      <c r="G1057" s="4">
        <v>0.04001011</v>
      </c>
      <c r="H1057" s="0" t="inlineStr">
        <is>
          <t xml:space="preserve">2023-07-24</t>
        </is>
      </c>
      <c r="I1057" s="0" t="inlineStr">
        <is>
          <t xml:space="preserve">no</t>
        </is>
      </c>
      <c r="J1057" s="0" t="inlineStr">
        <is>
          <t xml:space="preserve">N0010423QLD74</t>
        </is>
      </c>
      <c r="K1057" s="0" t="inlineStr">
        <is>
          <t xml:space="preserve">NONE</t>
        </is>
      </c>
    </row>
    <row r="1058">
      <c r="B1058" s="0" t="inlineStr">
        <is>
          <t xml:space="preserve">N0040616P2402</t>
        </is>
      </c>
      <c r="D1058" s="0" t="inlineStr">
        <is>
          <t xml:space="preserve">small_craft</t>
        </is>
      </c>
      <c r="E1058" s="0" t="inlineStr">
        <is>
          <t xml:space="preserve">KLB ENTERPRISES CORP</t>
        </is>
      </c>
      <c r="F1058" s="0" t="inlineStr">
        <is>
          <t xml:space="preserve">B</t>
        </is>
      </c>
      <c r="G1058" s="4">
        <v>0.040005</v>
      </c>
      <c r="H1058" s="0" t="inlineStr">
        <is>
          <t xml:space="preserve">2016-09-01</t>
        </is>
      </c>
      <c r="I1058" s="0" t="inlineStr">
        <is>
          <t xml:space="preserve">no</t>
        </is>
      </c>
      <c r="J1058" s="0" t="inlineStr">
        <is>
          <t xml:space="preserve">N0040616T0280</t>
        </is>
      </c>
      <c r="K1058" s="0" t="inlineStr">
        <is>
          <t xml:space="preserve">NONE</t>
        </is>
      </c>
    </row>
    <row r="1059">
      <c r="B1059" s="0" t="inlineStr">
        <is>
          <t xml:space="preserve">0004</t>
        </is>
      </c>
      <c r="C1059" s="0" t="inlineStr">
        <is>
          <t xml:space="preserve">N6230613D9S01</t>
        </is>
      </c>
      <c r="D1059" s="0" t="inlineStr">
        <is>
          <t xml:space="preserve">small_craft</t>
        </is>
      </c>
      <c r="E1059" s="0" t="inlineStr">
        <is>
          <t xml:space="preserve">SAUNDERS ENGINE &amp; EQUIPMENT CO INC</t>
        </is>
      </c>
      <c r="F1059" s="0" t="inlineStr">
        <is>
          <t xml:space="preserve">C</t>
        </is>
      </c>
      <c r="G1059" s="4">
        <v>0.03987964</v>
      </c>
      <c r="H1059" s="0" t="inlineStr">
        <is>
          <t xml:space="preserve">2013-09-19</t>
        </is>
      </c>
      <c r="I1059" s="0" t="inlineStr">
        <is>
          <t xml:space="preserve">no</t>
        </is>
      </c>
      <c r="J1059" s="0" t="inlineStr">
        <is>
          <t xml:space="preserve">N6230612R9S01</t>
        </is>
      </c>
      <c r="K1059" s="0" t="inlineStr">
        <is>
          <t xml:space="preserve">NONE</t>
        </is>
      </c>
    </row>
    <row r="1060">
      <c r="B1060" s="0" t="inlineStr">
        <is>
          <t xml:space="preserve">N0010421PLC16</t>
        </is>
      </c>
      <c r="D1060" s="0" t="inlineStr">
        <is>
          <t xml:space="preserve">small_craft</t>
        </is>
      </c>
      <c r="E1060" s="0" t="inlineStr">
        <is>
          <t xml:space="preserve">KAMPI COMPONENTS CO INC</t>
        </is>
      </c>
      <c r="F1060" s="0" t="inlineStr">
        <is>
          <t xml:space="preserve">B</t>
        </is>
      </c>
      <c r="G1060" s="4">
        <v>0.039771230000000005</v>
      </c>
      <c r="H1060" s="0" t="inlineStr">
        <is>
          <t xml:space="preserve">2021-08-13</t>
        </is>
      </c>
      <c r="I1060" s="0" t="inlineStr">
        <is>
          <t xml:space="preserve">no</t>
        </is>
      </c>
      <c r="J1060" s="0" t="inlineStr">
        <is>
          <t xml:space="preserve">N0010421QLC21</t>
        </is>
      </c>
      <c r="K1060" s="0" t="inlineStr">
        <is>
          <t xml:space="preserve">NONE</t>
        </is>
      </c>
    </row>
    <row r="1061">
      <c r="B1061" s="0" t="inlineStr">
        <is>
          <t xml:space="preserve">N0040618P1472</t>
        </is>
      </c>
      <c r="D1061" s="0" t="inlineStr">
        <is>
          <t xml:space="preserve">small_craft</t>
        </is>
      </c>
      <c r="E1061" s="0" t="inlineStr">
        <is>
          <t xml:space="preserve">CORNELL-CARR CO., INC.</t>
        </is>
      </c>
      <c r="F1061" s="0" t="inlineStr">
        <is>
          <t xml:space="preserve">B</t>
        </is>
      </c>
      <c r="G1061" s="4">
        <v>0.03972</v>
      </c>
      <c r="H1061" s="0" t="inlineStr">
        <is>
          <t xml:space="preserve">2018-08-15</t>
        </is>
      </c>
      <c r="I1061" s="0" t="inlineStr">
        <is>
          <t xml:space="preserve">no</t>
        </is>
      </c>
      <c r="J1061" s="0" t="inlineStr">
        <is>
          <t xml:space="preserve">N0040618Q0327</t>
        </is>
      </c>
      <c r="K1061" s="0" t="inlineStr">
        <is>
          <t xml:space="preserve">NONE</t>
        </is>
      </c>
    </row>
    <row r="1062">
      <c r="B1062" s="0" t="inlineStr">
        <is>
          <t xml:space="preserve">0018</t>
        </is>
      </c>
      <c r="C1062" s="0" t="inlineStr">
        <is>
          <t xml:space="preserve">N6230613D9S01</t>
        </is>
      </c>
      <c r="D1062" s="0" t="inlineStr">
        <is>
          <t xml:space="preserve">small_craft</t>
        </is>
      </c>
      <c r="E1062" s="0" t="inlineStr">
        <is>
          <t xml:space="preserve">SAUNDERS ENGINE &amp; EQUIPMENT CO INC</t>
        </is>
      </c>
      <c r="F1062" s="0" t="inlineStr">
        <is>
          <t xml:space="preserve">C</t>
        </is>
      </c>
      <c r="G1062" s="4">
        <v>0.03959919</v>
      </c>
      <c r="H1062" s="0" t="inlineStr">
        <is>
          <t xml:space="preserve">2016-01-19</t>
        </is>
      </c>
      <c r="I1062" s="0" t="inlineStr">
        <is>
          <t xml:space="preserve">no</t>
        </is>
      </c>
      <c r="J1062" s="0" t="inlineStr">
        <is>
          <t xml:space="preserve">N6230612R9S01</t>
        </is>
      </c>
      <c r="K1062" s="0" t="inlineStr">
        <is>
          <t xml:space="preserve">NONE</t>
        </is>
      </c>
    </row>
    <row r="1063">
      <c r="B1063" s="0" t="inlineStr">
        <is>
          <t xml:space="preserve">N4044207P5524</t>
        </is>
      </c>
      <c r="D1063" s="0" t="inlineStr">
        <is>
          <t xml:space="preserve">other_small</t>
        </is>
      </c>
      <c r="E1063" s="0" t="inlineStr">
        <is>
          <t xml:space="preserve">EAN HOLDINGS, LLC</t>
        </is>
      </c>
      <c r="F1063" s="0" t="inlineStr">
        <is>
          <t xml:space="preserve">B</t>
        </is>
      </c>
      <c r="G1063" s="4">
        <v>0.03959574</v>
      </c>
      <c r="H1063" s="0" t="inlineStr">
        <is>
          <t xml:space="preserve">2007-04-24</t>
        </is>
      </c>
      <c r="I1063" s="0" t="inlineStr">
        <is>
          <t xml:space="preserve">no</t>
        </is>
      </c>
      <c r="K1063" s="0" t="inlineStr">
        <is>
          <t xml:space="preserve">NONE</t>
        </is>
      </c>
    </row>
    <row r="1064">
      <c r="B1064" s="0" t="inlineStr">
        <is>
          <t xml:space="preserve">N6133123P0066</t>
        </is>
      </c>
      <c r="D1064" s="0" t="inlineStr">
        <is>
          <t xml:space="preserve">small_craft</t>
        </is>
      </c>
      <c r="E1064" s="0" t="inlineStr">
        <is>
          <t xml:space="preserve">HYDRONALIX INC</t>
        </is>
      </c>
      <c r="F1064" s="0" t="inlineStr">
        <is>
          <t xml:space="preserve">B</t>
        </is>
      </c>
      <c r="G1064" s="4">
        <v>0.03947</v>
      </c>
      <c r="H1064" s="0" t="inlineStr">
        <is>
          <t xml:space="preserve">2023-02-09</t>
        </is>
      </c>
      <c r="I1064" s="0" t="inlineStr">
        <is>
          <t xml:space="preserve">no</t>
        </is>
      </c>
      <c r="J1064" s="0" t="inlineStr">
        <is>
          <t xml:space="preserve">N6133123TDJ03</t>
        </is>
      </c>
      <c r="K1064" s="0" t="inlineStr">
        <is>
          <t xml:space="preserve">NONE</t>
        </is>
      </c>
    </row>
    <row r="1065">
      <c r="B1065" s="0" t="inlineStr">
        <is>
          <t xml:space="preserve">N0024421P0438</t>
        </is>
      </c>
      <c r="D1065" s="0" t="inlineStr">
        <is>
          <t xml:space="preserve">small_craft</t>
        </is>
      </c>
      <c r="E1065" s="0" t="inlineStr">
        <is>
          <t xml:space="preserve">JDCI ENTERPRISES, INC.</t>
        </is>
      </c>
      <c r="F1065" s="0" t="inlineStr">
        <is>
          <t xml:space="preserve">B</t>
        </is>
      </c>
      <c r="G1065" s="4">
        <v>0.039437679999999996</v>
      </c>
      <c r="H1065" s="0" t="inlineStr">
        <is>
          <t xml:space="preserve">2021-09-09</t>
        </is>
      </c>
      <c r="I1065" s="0" t="inlineStr">
        <is>
          <t xml:space="preserve">no</t>
        </is>
      </c>
      <c r="K1065" s="0" t="inlineStr">
        <is>
          <t xml:space="preserve">NONE</t>
        </is>
      </c>
    </row>
    <row r="1066">
      <c r="B1066" s="0" t="inlineStr">
        <is>
          <t xml:space="preserve">N0018919P0841</t>
        </is>
      </c>
      <c r="D1066" s="0" t="inlineStr">
        <is>
          <t xml:space="preserve">small_craft</t>
        </is>
      </c>
      <c r="E1066" s="0" t="inlineStr">
        <is>
          <t xml:space="preserve">SAFE BOATS INTERNATIONAL LLC</t>
        </is>
      </c>
      <c r="F1066" s="0" t="inlineStr">
        <is>
          <t xml:space="preserve">B</t>
        </is>
      </c>
      <c r="G1066" s="4">
        <v>0.03910072</v>
      </c>
      <c r="H1066" s="0" t="inlineStr">
        <is>
          <t xml:space="preserve">2019-09-20</t>
        </is>
      </c>
      <c r="I1066" s="0" t="inlineStr">
        <is>
          <t xml:space="preserve">no</t>
        </is>
      </c>
      <c r="J1066" s="0" t="inlineStr">
        <is>
          <t xml:space="preserve">N0018919Q0385</t>
        </is>
      </c>
      <c r="K1066" s="0" t="inlineStr">
        <is>
          <t xml:space="preserve">NONE</t>
        </is>
      </c>
    </row>
    <row r="1067">
      <c r="B1067" s="0" t="inlineStr">
        <is>
          <t xml:space="preserve">N0010425PSA88</t>
        </is>
      </c>
      <c r="D1067" s="0" t="inlineStr">
        <is>
          <t xml:space="preserve">small_craft</t>
        </is>
      </c>
      <c r="E1067" s="0" t="inlineStr">
        <is>
          <t xml:space="preserve">CARVER PUMP COMPANY</t>
        </is>
      </c>
      <c r="F1067" s="0" t="inlineStr">
        <is>
          <t xml:space="preserve">B</t>
        </is>
      </c>
      <c r="G1067" s="4">
        <v>0.039099999999999996</v>
      </c>
      <c r="H1067" s="0" t="inlineStr">
        <is>
          <t xml:space="preserve">2025-04-09</t>
        </is>
      </c>
      <c r="I1067" s="0" t="inlineStr">
        <is>
          <t xml:space="preserve">no</t>
        </is>
      </c>
      <c r="K1067" s="0" t="inlineStr">
        <is>
          <t xml:space="preserve">NONE</t>
        </is>
      </c>
    </row>
    <row r="1068">
      <c r="B1068" s="0" t="inlineStr">
        <is>
          <t xml:space="preserve">N6133122P0179</t>
        </is>
      </c>
      <c r="D1068" s="0" t="inlineStr">
        <is>
          <t xml:space="preserve">small_craft</t>
        </is>
      </c>
      <c r="E1068" s="0" t="inlineStr">
        <is>
          <t xml:space="preserve">HYDRONALIX INC</t>
        </is>
      </c>
      <c r="F1068" s="0" t="inlineStr">
        <is>
          <t xml:space="preserve">B</t>
        </is>
      </c>
      <c r="G1068" s="4">
        <v>0.038779999999999995</v>
      </c>
      <c r="H1068" s="0" t="inlineStr">
        <is>
          <t xml:space="preserve">2022-06-01</t>
        </is>
      </c>
      <c r="I1068" s="0" t="inlineStr">
        <is>
          <t xml:space="preserve">no</t>
        </is>
      </c>
      <c r="J1068" s="0" t="inlineStr">
        <is>
          <t xml:space="preserve">N6133122TRH12</t>
        </is>
      </c>
      <c r="K1068" s="0" t="inlineStr">
        <is>
          <t xml:space="preserve">NONE</t>
        </is>
      </c>
    </row>
    <row r="1069">
      <c r="B1069" s="0" t="inlineStr">
        <is>
          <t xml:space="preserve">N5005424P0019</t>
        </is>
      </c>
      <c r="D1069" s="0" t="inlineStr">
        <is>
          <t xml:space="preserve">small_craft</t>
        </is>
      </c>
      <c r="E1069" s="0" t="inlineStr">
        <is>
          <t xml:space="preserve">SOUTHCOAST WELDING &amp; MANUFACTURING, LLC.</t>
        </is>
      </c>
      <c r="F1069" s="0" t="inlineStr">
        <is>
          <t xml:space="preserve">B</t>
        </is>
      </c>
      <c r="G1069" s="4">
        <v>0.038575</v>
      </c>
      <c r="H1069" s="0" t="inlineStr">
        <is>
          <t xml:space="preserve">2023-12-08</t>
        </is>
      </c>
      <c r="I1069" s="0" t="inlineStr">
        <is>
          <t xml:space="preserve">no</t>
        </is>
      </c>
      <c r="J1069" s="0" t="inlineStr">
        <is>
          <t xml:space="preserve">N5005424Q0007</t>
        </is>
      </c>
      <c r="K1069" s="0" t="inlineStr">
        <is>
          <t xml:space="preserve">NONE</t>
        </is>
      </c>
    </row>
    <row r="1070">
      <c r="B1070" s="0" t="inlineStr">
        <is>
          <t xml:space="preserve">N6600119P6418</t>
        </is>
      </c>
      <c r="D1070" s="0" t="inlineStr">
        <is>
          <t xml:space="preserve">small_craft</t>
        </is>
      </c>
      <c r="E1070" s="0" t="inlineStr">
        <is>
          <t xml:space="preserve">THRUSTMASTER OF TEXAS, INC</t>
        </is>
      </c>
      <c r="F1070" s="0" t="inlineStr">
        <is>
          <t xml:space="preserve">B</t>
        </is>
      </c>
      <c r="G1070" s="4">
        <v>0.038563</v>
      </c>
      <c r="H1070" s="0" t="inlineStr">
        <is>
          <t xml:space="preserve">2019-05-30</t>
        </is>
      </c>
      <c r="I1070" s="0" t="inlineStr">
        <is>
          <t xml:space="preserve">no</t>
        </is>
      </c>
      <c r="J1070" s="0" t="inlineStr">
        <is>
          <t xml:space="preserve">N6600119Q6418</t>
        </is>
      </c>
      <c r="K1070" s="0" t="inlineStr">
        <is>
          <t xml:space="preserve">NONE</t>
        </is>
      </c>
    </row>
    <row r="1071">
      <c r="B1071" s="0" t="inlineStr">
        <is>
          <t xml:space="preserve">M6739924P0043</t>
        </is>
      </c>
      <c r="D1071" s="0" t="inlineStr">
        <is>
          <t xml:space="preserve">small_craft</t>
        </is>
      </c>
      <c r="E1071" s="0" t="inlineStr">
        <is>
          <t xml:space="preserve">NISD, LLC</t>
        </is>
      </c>
      <c r="F1071" s="0" t="inlineStr">
        <is>
          <t xml:space="preserve">B</t>
        </is>
      </c>
      <c r="G1071" s="4">
        <v>0.03851082</v>
      </c>
      <c r="H1071" s="0" t="inlineStr">
        <is>
          <t xml:space="preserve">2024-09-25</t>
        </is>
      </c>
      <c r="I1071" s="0" t="inlineStr">
        <is>
          <t xml:space="preserve">no</t>
        </is>
      </c>
      <c r="J1071" s="0" t="inlineStr">
        <is>
          <t xml:space="preserve">M6739924Q0026</t>
        </is>
      </c>
      <c r="K1071" s="0" t="inlineStr">
        <is>
          <t xml:space="preserve">NONE</t>
        </is>
      </c>
    </row>
    <row r="1072">
      <c r="B1072" s="0" t="inlineStr">
        <is>
          <t xml:space="preserve">M0068123P0053</t>
        </is>
      </c>
      <c r="D1072" s="0" t="inlineStr">
        <is>
          <t xml:space="preserve">small_craft</t>
        </is>
      </c>
      <c r="E1072" s="0" t="inlineStr">
        <is>
          <t xml:space="preserve">NIGHTFALL CONSULTING, LLC</t>
        </is>
      </c>
      <c r="F1072" s="0" t="inlineStr">
        <is>
          <t xml:space="preserve">B</t>
        </is>
      </c>
      <c r="G1072" s="4">
        <v>0.0385</v>
      </c>
      <c r="H1072" s="0" t="inlineStr">
        <is>
          <t xml:space="preserve">2023-08-14</t>
        </is>
      </c>
      <c r="I1072" s="0" t="inlineStr">
        <is>
          <t xml:space="preserve">no</t>
        </is>
      </c>
      <c r="K1072" s="0" t="inlineStr">
        <is>
          <t xml:space="preserve">NONE</t>
        </is>
      </c>
    </row>
    <row r="1073">
      <c r="B1073" s="0" t="inlineStr">
        <is>
          <t xml:space="preserve">M6890919P7614</t>
        </is>
      </c>
      <c r="D1073" s="0" t="inlineStr">
        <is>
          <t xml:space="preserve">small_craft</t>
        </is>
      </c>
      <c r="E1073" s="0" t="inlineStr">
        <is>
          <t xml:space="preserve">WING INFLATABLES INC</t>
        </is>
      </c>
      <c r="F1073" s="0" t="inlineStr">
        <is>
          <t xml:space="preserve">B</t>
        </is>
      </c>
      <c r="G1073" s="4">
        <v>0.0384</v>
      </c>
      <c r="H1073" s="0" t="inlineStr">
        <is>
          <t xml:space="preserve">2019-03-26</t>
        </is>
      </c>
      <c r="I1073" s="0" t="inlineStr">
        <is>
          <t xml:space="preserve">no</t>
        </is>
      </c>
      <c r="J1073" s="0" t="inlineStr">
        <is>
          <t xml:space="preserve">M6890919Q7614</t>
        </is>
      </c>
      <c r="K1073" s="0" t="inlineStr">
        <is>
          <t xml:space="preserve">NONE</t>
        </is>
      </c>
    </row>
    <row r="1074">
      <c r="B1074" s="0" t="inlineStr">
        <is>
          <t xml:space="preserve">N0010425PEC22</t>
        </is>
      </c>
      <c r="D1074" s="0" t="inlineStr">
        <is>
          <t xml:space="preserve">small_craft</t>
        </is>
      </c>
      <c r="E1074" s="0" t="inlineStr">
        <is>
          <t xml:space="preserve">JO-KELL INC.</t>
        </is>
      </c>
      <c r="F1074" s="0" t="inlineStr">
        <is>
          <t xml:space="preserve">B</t>
        </is>
      </c>
      <c r="G1074" s="4">
        <v>0.038241</v>
      </c>
      <c r="H1074" s="0" t="inlineStr">
        <is>
          <t xml:space="preserve">2025-09-15</t>
        </is>
      </c>
      <c r="I1074" s="0" t="inlineStr">
        <is>
          <t xml:space="preserve">yes</t>
        </is>
      </c>
      <c r="J1074" s="0" t="inlineStr">
        <is>
          <t xml:space="preserve">N0010425QBY81</t>
        </is>
      </c>
      <c r="K1074" s="0" t="inlineStr">
        <is>
          <t xml:space="preserve">NONE</t>
        </is>
      </c>
    </row>
    <row r="1075">
      <c r="B1075" s="0" t="inlineStr">
        <is>
          <t xml:space="preserve">N4033924FS060</t>
        </is>
      </c>
      <c r="C1075" s="0" t="inlineStr">
        <is>
          <t xml:space="preserve">47QSWA23D006A</t>
        </is>
      </c>
      <c r="D1075" s="0" t="inlineStr">
        <is>
          <t xml:space="preserve">small_craft</t>
        </is>
      </c>
      <c r="E1075" s="0" t="inlineStr">
        <is>
          <t xml:space="preserve">CENTRAL FLORIDA YAMAHA INC</t>
        </is>
      </c>
      <c r="F1075" s="0" t="inlineStr">
        <is>
          <t xml:space="preserve">C</t>
        </is>
      </c>
      <c r="G1075" s="4">
        <v>0.038095</v>
      </c>
      <c r="H1075" s="0" t="inlineStr">
        <is>
          <t xml:space="preserve">2024-08-22</t>
        </is>
      </c>
      <c r="I1075" s="0" t="inlineStr">
        <is>
          <t xml:space="preserve">no</t>
        </is>
      </c>
      <c r="K1075" s="0" t="inlineStr">
        <is>
          <t xml:space="preserve">NONE</t>
        </is>
      </c>
    </row>
    <row r="1076">
      <c r="B1076" s="0" t="inlineStr">
        <is>
          <t xml:space="preserve">N0010417PEC34</t>
        </is>
      </c>
      <c r="D1076" s="0" t="inlineStr">
        <is>
          <t xml:space="preserve">small_craft</t>
        </is>
      </c>
      <c r="E1076" s="0" t="inlineStr">
        <is>
          <t xml:space="preserve">FLUIDYNE CORPORATION</t>
        </is>
      </c>
      <c r="F1076" s="0" t="inlineStr">
        <is>
          <t xml:space="preserve">B</t>
        </is>
      </c>
      <c r="G1076" s="4">
        <v>0.037758</v>
      </c>
      <c r="H1076" s="0" t="inlineStr">
        <is>
          <t xml:space="preserve">2017-04-27</t>
        </is>
      </c>
      <c r="I1076" s="0" t="inlineStr">
        <is>
          <t xml:space="preserve">no</t>
        </is>
      </c>
      <c r="K1076" s="0" t="inlineStr">
        <is>
          <t xml:space="preserve">NONE</t>
        </is>
      </c>
    </row>
    <row r="1077">
      <c r="B1077" s="0" t="inlineStr">
        <is>
          <t xml:space="preserve">N0010423PDC38</t>
        </is>
      </c>
      <c r="D1077" s="0" t="inlineStr">
        <is>
          <t xml:space="preserve">small_craft</t>
        </is>
      </c>
      <c r="E1077" s="0" t="inlineStr">
        <is>
          <t xml:space="preserve">ROLLS-ROYCE MARINE NORTH AMERICA INC.</t>
        </is>
      </c>
      <c r="F1077" s="0" t="inlineStr">
        <is>
          <t xml:space="preserve">B</t>
        </is>
      </c>
      <c r="G1077" s="4">
        <v>0.037543</v>
      </c>
      <c r="H1077" s="0" t="inlineStr">
        <is>
          <t xml:space="preserve">2023-05-01</t>
        </is>
      </c>
      <c r="I1077" s="0" t="inlineStr">
        <is>
          <t xml:space="preserve">no</t>
        </is>
      </c>
      <c r="J1077" s="0" t="inlineStr">
        <is>
          <t xml:space="preserve">N0010423QDD51</t>
        </is>
      </c>
      <c r="K1077" s="0" t="inlineStr">
        <is>
          <t xml:space="preserve">NONE</t>
        </is>
      </c>
    </row>
    <row r="1078">
      <c r="B1078" s="0" t="inlineStr">
        <is>
          <t xml:space="preserve">N3220525P5015</t>
        </is>
      </c>
      <c r="D1078" s="0" t="inlineStr">
        <is>
          <t xml:space="preserve">small_craft</t>
        </is>
      </c>
      <c r="E1078" s="0" t="inlineStr">
        <is>
          <t xml:space="preserve">FASSMER SERVICE AMERICA LLC</t>
        </is>
      </c>
      <c r="F1078" s="0" t="inlineStr">
        <is>
          <t xml:space="preserve">B</t>
        </is>
      </c>
      <c r="G1078" s="4">
        <v>0.03754119</v>
      </c>
      <c r="H1078" s="0" t="inlineStr">
        <is>
          <t xml:space="preserve">2025-07-18</t>
        </is>
      </c>
      <c r="I1078" s="0" t="inlineStr">
        <is>
          <t xml:space="preserve">yes</t>
        </is>
      </c>
      <c r="K1078" s="0" t="inlineStr">
        <is>
          <t xml:space="preserve">NONE</t>
        </is>
      </c>
    </row>
    <row r="1079">
      <c r="B1079" s="0" t="inlineStr">
        <is>
          <t xml:space="preserve">N4044617P0009</t>
        </is>
      </c>
      <c r="D1079" s="0" t="inlineStr">
        <is>
          <t xml:space="preserve">small_craft</t>
        </is>
      </c>
      <c r="E1079" s="0" t="inlineStr">
        <is>
          <t xml:space="preserve">WILLARD MARINE, INC.</t>
        </is>
      </c>
      <c r="F1079" s="0" t="inlineStr">
        <is>
          <t xml:space="preserve">B</t>
        </is>
      </c>
      <c r="G1079" s="4">
        <v>0.03739623</v>
      </c>
      <c r="H1079" s="0" t="inlineStr">
        <is>
          <t xml:space="preserve">2016-11-16</t>
        </is>
      </c>
      <c r="I1079" s="0" t="inlineStr">
        <is>
          <t xml:space="preserve">no</t>
        </is>
      </c>
      <c r="J1079" s="0" t="inlineStr">
        <is>
          <t xml:space="preserve">N4044617T0009</t>
        </is>
      </c>
      <c r="K1079" s="0" t="inlineStr">
        <is>
          <t xml:space="preserve">NONE</t>
        </is>
      </c>
    </row>
    <row r="1080">
      <c r="B1080" s="0" t="inlineStr">
        <is>
          <t xml:space="preserve">0016</t>
        </is>
      </c>
      <c r="C1080" s="0" t="inlineStr">
        <is>
          <t xml:space="preserve">N6230613D9S01</t>
        </is>
      </c>
      <c r="D1080" s="0" t="inlineStr">
        <is>
          <t xml:space="preserve">small_craft</t>
        </is>
      </c>
      <c r="E1080" s="0" t="inlineStr">
        <is>
          <t xml:space="preserve">SAUNDERS ENGINE &amp; EQUIPMENT CO INC</t>
        </is>
      </c>
      <c r="F1080" s="0" t="inlineStr">
        <is>
          <t xml:space="preserve">C</t>
        </is>
      </c>
      <c r="G1080" s="4">
        <v>0.03729813</v>
      </c>
      <c r="H1080" s="0" t="inlineStr">
        <is>
          <t xml:space="preserve">2015-08-27</t>
        </is>
      </c>
      <c r="I1080" s="0" t="inlineStr">
        <is>
          <t xml:space="preserve">no</t>
        </is>
      </c>
      <c r="J1080" s="0" t="inlineStr">
        <is>
          <t xml:space="preserve">N6230612R9S01</t>
        </is>
      </c>
      <c r="K1080" s="0" t="inlineStr">
        <is>
          <t xml:space="preserve">NONE</t>
        </is>
      </c>
    </row>
    <row r="1081">
      <c r="B1081" s="0" t="inlineStr">
        <is>
          <t xml:space="preserve">N0040619P0598</t>
        </is>
      </c>
      <c r="D1081" s="0" t="inlineStr">
        <is>
          <t xml:space="preserve">small_craft</t>
        </is>
      </c>
      <c r="E1081" s="0" t="inlineStr">
        <is>
          <t xml:space="preserve">KLB ENTERPRISES CORP</t>
        </is>
      </c>
      <c r="F1081" s="0" t="inlineStr">
        <is>
          <t xml:space="preserve">B</t>
        </is>
      </c>
      <c r="G1081" s="4">
        <v>0.037076519999999995</v>
      </c>
      <c r="H1081" s="0" t="inlineStr">
        <is>
          <t xml:space="preserve">2019-08-29</t>
        </is>
      </c>
      <c r="I1081" s="0" t="inlineStr">
        <is>
          <t xml:space="preserve">no</t>
        </is>
      </c>
      <c r="J1081" s="0" t="inlineStr">
        <is>
          <t xml:space="preserve">N0040619Q0290</t>
        </is>
      </c>
      <c r="K1081" s="0" t="inlineStr">
        <is>
          <t xml:space="preserve">NONE</t>
        </is>
      </c>
    </row>
    <row r="1082">
      <c r="B1082" s="0" t="inlineStr">
        <is>
          <t xml:space="preserve">N0010426PSA97</t>
        </is>
      </c>
      <c r="D1082" s="0" t="inlineStr">
        <is>
          <t xml:space="preserve">small_craft</t>
        </is>
      </c>
      <c r="E1082" s="0" t="inlineStr">
        <is>
          <t xml:space="preserve">RAILWAY SPECIALTIES CORP</t>
        </is>
      </c>
      <c r="F1082" s="0" t="inlineStr">
        <is>
          <t xml:space="preserve">B</t>
        </is>
      </c>
      <c r="G1082" s="4">
        <v>0.036899999999999995</v>
      </c>
      <c r="H1082" s="0" t="inlineStr">
        <is>
          <t xml:space="preserve">2026-02-17</t>
        </is>
      </c>
      <c r="I1082" s="0" t="inlineStr">
        <is>
          <t xml:space="preserve">yes</t>
        </is>
      </c>
      <c r="J1082" s="0" t="inlineStr">
        <is>
          <t xml:space="preserve">N0010426QSB47</t>
        </is>
      </c>
      <c r="K1082" s="0" t="inlineStr">
        <is>
          <t xml:space="preserve">NONE</t>
        </is>
      </c>
    </row>
    <row r="1083">
      <c r="B1083" s="0" t="inlineStr">
        <is>
          <t xml:space="preserve">N6893616P0823</t>
        </is>
      </c>
      <c r="D1083" s="0" t="inlineStr">
        <is>
          <t xml:space="preserve">small_craft</t>
        </is>
      </c>
      <c r="E1083" s="0" t="inlineStr">
        <is>
          <t xml:space="preserve">WILSON PONTOONS INC</t>
        </is>
      </c>
      <c r="F1083" s="0" t="inlineStr">
        <is>
          <t xml:space="preserve">B</t>
        </is>
      </c>
      <c r="G1083" s="4">
        <v>0.03673</v>
      </c>
      <c r="H1083" s="0" t="inlineStr">
        <is>
          <t xml:space="preserve">2016-09-26</t>
        </is>
      </c>
      <c r="I1083" s="0" t="inlineStr">
        <is>
          <t xml:space="preserve">no</t>
        </is>
      </c>
      <c r="J1083" s="0" t="inlineStr">
        <is>
          <t xml:space="preserve">N6893616T0333</t>
        </is>
      </c>
      <c r="K1083" s="0" t="inlineStr">
        <is>
          <t xml:space="preserve">NONE</t>
        </is>
      </c>
    </row>
    <row r="1084">
      <c r="B1084" s="0" t="inlineStr">
        <is>
          <t xml:space="preserve">N3220519F1014</t>
        </is>
      </c>
      <c r="C1084" s="0" t="inlineStr">
        <is>
          <t xml:space="preserve">N3220517D4700</t>
        </is>
      </c>
      <c r="D1084" s="0" t="inlineStr">
        <is>
          <t xml:space="preserve">other_small</t>
        </is>
      </c>
      <c r="E1084" s="0" t="inlineStr">
        <is>
          <t xml:space="preserve">LAKE SHORE SYSTEMS, INC.</t>
        </is>
      </c>
      <c r="F1084" s="0" t="inlineStr">
        <is>
          <t xml:space="preserve">C</t>
        </is>
      </c>
      <c r="G1084" s="4">
        <v>0.036584559999999995</v>
      </c>
      <c r="H1084" s="0" t="inlineStr">
        <is>
          <t xml:space="preserve">2018-10-04</t>
        </is>
      </c>
      <c r="I1084" s="0" t="inlineStr">
        <is>
          <t xml:space="preserve">no</t>
        </is>
      </c>
      <c r="K1084" s="0" t="inlineStr">
        <is>
          <t xml:space="preserve">NONE</t>
        </is>
      </c>
    </row>
    <row r="1085">
      <c r="B1085" s="0" t="inlineStr">
        <is>
          <t xml:space="preserve">N0010420PEL00</t>
        </is>
      </c>
      <c r="D1085" s="0" t="inlineStr">
        <is>
          <t xml:space="preserve">small_craft</t>
        </is>
      </c>
      <c r="E1085" s="0" t="inlineStr">
        <is>
          <t xml:space="preserve">ADIRONDACK ELECTRONICS INC</t>
        </is>
      </c>
      <c r="F1085" s="0" t="inlineStr">
        <is>
          <t xml:space="preserve">B</t>
        </is>
      </c>
      <c r="G1085" s="4">
        <v>0.0365</v>
      </c>
      <c r="H1085" s="0" t="inlineStr">
        <is>
          <t xml:space="preserve">2020-07-01</t>
        </is>
      </c>
      <c r="I1085" s="0" t="inlineStr">
        <is>
          <t xml:space="preserve">no</t>
        </is>
      </c>
      <c r="K1085" s="0" t="inlineStr">
        <is>
          <t xml:space="preserve">NONE</t>
        </is>
      </c>
    </row>
    <row r="1086">
      <c r="B1086" s="0" t="inlineStr">
        <is>
          <t xml:space="preserve">N0010420PFA10</t>
        </is>
      </c>
      <c r="D1086" s="0" t="inlineStr">
        <is>
          <t xml:space="preserve">small_craft</t>
        </is>
      </c>
      <c r="E1086" s="0" t="inlineStr">
        <is>
          <t xml:space="preserve">U.S.A. SPARES INC.</t>
        </is>
      </c>
      <c r="F1086" s="0" t="inlineStr">
        <is>
          <t xml:space="preserve">B</t>
        </is>
      </c>
      <c r="G1086" s="4">
        <v>0.03625</v>
      </c>
      <c r="H1086" s="0" t="inlineStr">
        <is>
          <t xml:space="preserve">2019-10-11</t>
        </is>
      </c>
      <c r="I1086" s="0" t="inlineStr">
        <is>
          <t xml:space="preserve">no</t>
        </is>
      </c>
      <c r="K1086" s="0" t="inlineStr">
        <is>
          <t xml:space="preserve">NONE</t>
        </is>
      </c>
    </row>
    <row r="1087">
      <c r="B1087" s="0" t="inlineStr">
        <is>
          <t xml:space="preserve">N0018923P0199</t>
        </is>
      </c>
      <c r="D1087" s="0" t="inlineStr">
        <is>
          <t xml:space="preserve">small_craft</t>
        </is>
      </c>
      <c r="E1087" s="0" t="inlineStr">
        <is>
          <t xml:space="preserve">WING INFLATABLES, INC.</t>
        </is>
      </c>
      <c r="F1087" s="0" t="inlineStr">
        <is>
          <t xml:space="preserve">B</t>
        </is>
      </c>
      <c r="G1087" s="4">
        <v>0.036117830000000004</v>
      </c>
      <c r="H1087" s="0" t="inlineStr">
        <is>
          <t xml:space="preserve">2023-04-05</t>
        </is>
      </c>
      <c r="I1087" s="0" t="inlineStr">
        <is>
          <t xml:space="preserve">no</t>
        </is>
      </c>
      <c r="J1087" s="0" t="inlineStr">
        <is>
          <t xml:space="preserve">N0018923Q0147</t>
        </is>
      </c>
      <c r="K1087" s="0" t="inlineStr">
        <is>
          <t xml:space="preserve">NONE</t>
        </is>
      </c>
    </row>
    <row r="1088">
      <c r="B1088" s="0" t="inlineStr">
        <is>
          <t xml:space="preserve">N4044317P0029</t>
        </is>
      </c>
      <c r="D1088" s="0" t="inlineStr">
        <is>
          <t xml:space="preserve">small_craft</t>
        </is>
      </c>
      <c r="E1088" s="0" t="inlineStr">
        <is>
          <t xml:space="preserve">PALMER JOHNSON POWER SYSTEMS LLC</t>
        </is>
      </c>
      <c r="F1088" s="0" t="inlineStr">
        <is>
          <t xml:space="preserve">B</t>
        </is>
      </c>
      <c r="G1088" s="4">
        <v>0.036049</v>
      </c>
      <c r="H1088" s="0" t="inlineStr">
        <is>
          <t xml:space="preserve">2016-11-01</t>
        </is>
      </c>
      <c r="I1088" s="0" t="inlineStr">
        <is>
          <t xml:space="preserve">no</t>
        </is>
      </c>
      <c r="J1088" s="0" t="inlineStr">
        <is>
          <t xml:space="preserve">N4044317T0029</t>
        </is>
      </c>
      <c r="K1088" s="0" t="inlineStr">
        <is>
          <t xml:space="preserve">NONE</t>
        </is>
      </c>
    </row>
    <row r="1089">
      <c r="B1089" s="0" t="inlineStr">
        <is>
          <t xml:space="preserve">N0010416PND88</t>
        </is>
      </c>
      <c r="D1089" s="0" t="inlineStr">
        <is>
          <t xml:space="preserve">small_craft</t>
        </is>
      </c>
      <c r="E1089" s="0" t="inlineStr">
        <is>
          <t xml:space="preserve">DERBYSHIRE MACHINE &amp; TOOL CO</t>
        </is>
      </c>
      <c r="F1089" s="0" t="inlineStr">
        <is>
          <t xml:space="preserve">B</t>
        </is>
      </c>
      <c r="G1089" s="4">
        <v>0.036</v>
      </c>
      <c r="H1089" s="0" t="inlineStr">
        <is>
          <t xml:space="preserve">2016-02-19</t>
        </is>
      </c>
      <c r="I1089" s="0" t="inlineStr">
        <is>
          <t xml:space="preserve">no</t>
        </is>
      </c>
      <c r="K1089" s="0" t="inlineStr">
        <is>
          <t xml:space="preserve">NONE</t>
        </is>
      </c>
    </row>
    <row r="1090">
      <c r="B1090" s="0" t="inlineStr">
        <is>
          <t xml:space="preserve">N0010417PEC35</t>
        </is>
      </c>
      <c r="D1090" s="0" t="inlineStr">
        <is>
          <t xml:space="preserve">small_craft</t>
        </is>
      </c>
      <c r="E1090" s="0" t="inlineStr">
        <is>
          <t xml:space="preserve">FLUIDYNE CORPORATION</t>
        </is>
      </c>
      <c r="F1090" s="0" t="inlineStr">
        <is>
          <t xml:space="preserve">B</t>
        </is>
      </c>
      <c r="G1090" s="4">
        <v>0.035990999999999995</v>
      </c>
      <c r="H1090" s="0" t="inlineStr">
        <is>
          <t xml:space="preserve">2017-04-27</t>
        </is>
      </c>
      <c r="I1090" s="0" t="inlineStr">
        <is>
          <t xml:space="preserve">no</t>
        </is>
      </c>
      <c r="K1090" s="0" t="inlineStr">
        <is>
          <t xml:space="preserve">NONE</t>
        </is>
      </c>
    </row>
    <row r="1091">
      <c r="B1091" s="0" t="inlineStr">
        <is>
          <t xml:space="preserve">N4044210P8047</t>
        </is>
      </c>
      <c r="D1091" s="0" t="inlineStr">
        <is>
          <t xml:space="preserve">small_craft</t>
        </is>
      </c>
      <c r="E1091" s="0" t="inlineStr">
        <is>
          <t xml:space="preserve">PALFINGER MARINE USA, LLC</t>
        </is>
      </c>
      <c r="F1091" s="0" t="inlineStr">
        <is>
          <t xml:space="preserve">B</t>
        </is>
      </c>
      <c r="G1091" s="4">
        <v>0.03595716</v>
      </c>
      <c r="H1091" s="0" t="inlineStr">
        <is>
          <t xml:space="preserve">2010-06-08</t>
        </is>
      </c>
      <c r="I1091" s="0" t="inlineStr">
        <is>
          <t xml:space="preserve">no</t>
        </is>
      </c>
      <c r="J1091" s="0" t="inlineStr">
        <is>
          <t xml:space="preserve">N4044210T7854</t>
        </is>
      </c>
      <c r="K1091" s="0" t="inlineStr">
        <is>
          <t xml:space="preserve">NONE</t>
        </is>
      </c>
    </row>
    <row r="1092">
      <c r="B1092" s="0" t="inlineStr">
        <is>
          <t xml:space="preserve">N0010426PSA63</t>
        </is>
      </c>
      <c r="D1092" s="0" t="inlineStr">
        <is>
          <t xml:space="preserve">small_craft</t>
        </is>
      </c>
      <c r="E1092" s="0" t="inlineStr">
        <is>
          <t xml:space="preserve">RAILWAY SPECIALTIES CORP</t>
        </is>
      </c>
      <c r="F1092" s="0" t="inlineStr">
        <is>
          <t xml:space="preserve">B</t>
        </is>
      </c>
      <c r="G1092" s="4">
        <v>0.0359</v>
      </c>
      <c r="H1092" s="0" t="inlineStr">
        <is>
          <t xml:space="preserve">2025-11-26</t>
        </is>
      </c>
      <c r="I1092" s="0" t="inlineStr">
        <is>
          <t xml:space="preserve">yes</t>
        </is>
      </c>
      <c r="J1092" s="0" t="inlineStr">
        <is>
          <t xml:space="preserve">N0010425QSD83</t>
        </is>
      </c>
      <c r="K1092" s="0" t="inlineStr">
        <is>
          <t xml:space="preserve">NONE</t>
        </is>
      </c>
    </row>
    <row r="1093">
      <c r="B1093" s="0" t="inlineStr">
        <is>
          <t xml:space="preserve">N0002418F22T2</t>
        </is>
      </c>
      <c r="C1093" s="0" t="inlineStr">
        <is>
          <t xml:space="preserve">N0002416G2218</t>
        </is>
      </c>
      <c r="D1093" s="0" t="inlineStr">
        <is>
          <t xml:space="preserve">other_small</t>
        </is>
      </c>
      <c r="E1093" s="0" t="inlineStr">
        <is>
          <t xml:space="preserve">AUSTAL USA, LLC</t>
        </is>
      </c>
      <c r="F1093" s="0" t="inlineStr">
        <is>
          <t xml:space="preserve">C</t>
        </is>
      </c>
      <c r="G1093" s="4">
        <v>0.035831999999999996</v>
      </c>
      <c r="H1093" s="0" t="inlineStr">
        <is>
          <t xml:space="preserve">2017-12-19</t>
        </is>
      </c>
      <c r="I1093" s="0" t="inlineStr">
        <is>
          <t xml:space="preserve">no</t>
        </is>
      </c>
      <c r="K1093" s="0" t="inlineStr">
        <is>
          <t xml:space="preserve">NONE</t>
        </is>
      </c>
    </row>
    <row r="1094">
      <c r="B1094" s="0" t="inlineStr">
        <is>
          <t xml:space="preserve">N0010421PBB59</t>
        </is>
      </c>
      <c r="D1094" s="0" t="inlineStr">
        <is>
          <t xml:space="preserve">small_craft</t>
        </is>
      </c>
      <c r="E1094" s="0" t="inlineStr">
        <is>
          <t xml:space="preserve">SKOVIRA MACHINE CO</t>
        </is>
      </c>
      <c r="F1094" s="0" t="inlineStr">
        <is>
          <t xml:space="preserve">B</t>
        </is>
      </c>
      <c r="G1094" s="4">
        <v>0.035699999999999996</v>
      </c>
      <c r="H1094" s="0" t="inlineStr">
        <is>
          <t xml:space="preserve">2020-10-21</t>
        </is>
      </c>
      <c r="I1094" s="0" t="inlineStr">
        <is>
          <t xml:space="preserve">no</t>
        </is>
      </c>
      <c r="K1094" s="0" t="inlineStr">
        <is>
          <t xml:space="preserve">NONE</t>
        </is>
      </c>
    </row>
    <row r="1095">
      <c r="B1095" s="0" t="inlineStr">
        <is>
          <t xml:space="preserve">N0010417PF012</t>
        </is>
      </c>
      <c r="D1095" s="0" t="inlineStr">
        <is>
          <t xml:space="preserve">small_craft</t>
        </is>
      </c>
      <c r="E1095" s="0" t="inlineStr">
        <is>
          <t xml:space="preserve">ERIE FORGE &amp; STEEL INC</t>
        </is>
      </c>
      <c r="F1095" s="0" t="inlineStr">
        <is>
          <t xml:space="preserve">B</t>
        </is>
      </c>
      <c r="G1095" s="4">
        <v>0.035608</v>
      </c>
      <c r="H1095" s="0" t="inlineStr">
        <is>
          <t xml:space="preserve">2017-09-26</t>
        </is>
      </c>
      <c r="I1095" s="0" t="inlineStr">
        <is>
          <t xml:space="preserve">no</t>
        </is>
      </c>
      <c r="K1095" s="0" t="inlineStr">
        <is>
          <t xml:space="preserve">NONE</t>
        </is>
      </c>
    </row>
    <row r="1096">
      <c r="B1096" s="0" t="inlineStr">
        <is>
          <t xml:space="preserve">N0010424PLD93</t>
        </is>
      </c>
      <c r="D1096" s="0" t="inlineStr">
        <is>
          <t xml:space="preserve">small_craft</t>
        </is>
      </c>
      <c r="E1096" s="0" t="inlineStr">
        <is>
          <t xml:space="preserve">ESI ACQUISITION CORP</t>
        </is>
      </c>
      <c r="F1096" s="0" t="inlineStr">
        <is>
          <t xml:space="preserve">B</t>
        </is>
      </c>
      <c r="G1096" s="4">
        <v>0.0356</v>
      </c>
      <c r="H1096" s="0" t="inlineStr">
        <is>
          <t xml:space="preserve">2024-08-30</t>
        </is>
      </c>
      <c r="I1096" s="0" t="inlineStr">
        <is>
          <t xml:space="preserve">no</t>
        </is>
      </c>
      <c r="K1096" s="0" t="inlineStr">
        <is>
          <t xml:space="preserve">NONE</t>
        </is>
      </c>
    </row>
    <row r="1097">
      <c r="B1097" s="0" t="inlineStr">
        <is>
          <t xml:space="preserve">N0010414PNB37</t>
        </is>
      </c>
      <c r="D1097" s="0" t="inlineStr">
        <is>
          <t xml:space="preserve">small_craft</t>
        </is>
      </c>
      <c r="E1097" s="0" t="inlineStr">
        <is>
          <t xml:space="preserve">DERBYSHIRE MACHINE &amp; TOOL CO</t>
        </is>
      </c>
      <c r="F1097" s="0" t="inlineStr">
        <is>
          <t xml:space="preserve">B</t>
        </is>
      </c>
      <c r="G1097" s="4">
        <v>0.035434</v>
      </c>
      <c r="H1097" s="0" t="inlineStr">
        <is>
          <t xml:space="preserve">2014-07-10</t>
        </is>
      </c>
      <c r="I1097" s="0" t="inlineStr">
        <is>
          <t xml:space="preserve">no</t>
        </is>
      </c>
      <c r="K1097" s="0" t="inlineStr">
        <is>
          <t xml:space="preserve">NONE</t>
        </is>
      </c>
    </row>
    <row r="1098">
      <c r="B1098" s="0" t="inlineStr">
        <is>
          <t xml:space="preserve">N0016722P0099</t>
        </is>
      </c>
      <c r="D1098" s="0" t="inlineStr">
        <is>
          <t xml:space="preserve">small_craft</t>
        </is>
      </c>
      <c r="E1098" s="0" t="inlineStr">
        <is>
          <t xml:space="preserve">BEACH MARINE SERVICES INC</t>
        </is>
      </c>
      <c r="F1098" s="0" t="inlineStr">
        <is>
          <t xml:space="preserve">B</t>
        </is>
      </c>
      <c r="G1098" s="4">
        <v>0.035273160000000005</v>
      </c>
      <c r="H1098" s="0" t="inlineStr">
        <is>
          <t xml:space="preserve">2022-04-26</t>
        </is>
      </c>
      <c r="I1098" s="0" t="inlineStr">
        <is>
          <t xml:space="preserve">no</t>
        </is>
      </c>
      <c r="J1098" s="0" t="inlineStr">
        <is>
          <t xml:space="preserve">N0016722Q0115</t>
        </is>
      </c>
      <c r="K1098" s="0" t="inlineStr">
        <is>
          <t xml:space="preserve">NONE</t>
        </is>
      </c>
    </row>
    <row r="1099">
      <c r="B1099" s="0" t="inlineStr">
        <is>
          <t xml:space="preserve">N0040621P0071</t>
        </is>
      </c>
      <c r="D1099" s="0" t="inlineStr">
        <is>
          <t xml:space="preserve">small_craft</t>
        </is>
      </c>
      <c r="E1099" s="0" t="inlineStr">
        <is>
          <t xml:space="preserve">PIER SIDE SUPPLY INC</t>
        </is>
      </c>
      <c r="F1099" s="0" t="inlineStr">
        <is>
          <t xml:space="preserve">B</t>
        </is>
      </c>
      <c r="G1099" s="4">
        <v>0.035172800000000004</v>
      </c>
      <c r="H1099" s="0" t="inlineStr">
        <is>
          <t xml:space="preserve">2020-12-28</t>
        </is>
      </c>
      <c r="I1099" s="0" t="inlineStr">
        <is>
          <t xml:space="preserve">no</t>
        </is>
      </c>
      <c r="J1099" s="0" t="inlineStr">
        <is>
          <t xml:space="preserve">N0040621Q0045</t>
        </is>
      </c>
      <c r="K1099" s="0" t="inlineStr">
        <is>
          <t xml:space="preserve">NONE</t>
        </is>
      </c>
    </row>
    <row r="1100">
      <c r="B1100" s="0" t="inlineStr">
        <is>
          <t xml:space="preserve">N0010421PCC86</t>
        </is>
      </c>
      <c r="D1100" s="0" t="inlineStr">
        <is>
          <t xml:space="preserve">small_craft</t>
        </is>
      </c>
      <c r="E1100" s="0" t="inlineStr">
        <is>
          <t xml:space="preserve">P.S.I REPAIR SERVICES, INC.</t>
        </is>
      </c>
      <c r="F1100" s="0" t="inlineStr">
        <is>
          <t xml:space="preserve">B</t>
        </is>
      </c>
      <c r="G1100" s="4">
        <v>0.0351</v>
      </c>
      <c r="H1100" s="0" t="inlineStr">
        <is>
          <t xml:space="preserve">2021-07-19</t>
        </is>
      </c>
      <c r="I1100" s="0" t="inlineStr">
        <is>
          <t xml:space="preserve">no</t>
        </is>
      </c>
      <c r="K1100" s="0" t="inlineStr">
        <is>
          <t xml:space="preserve">NONE</t>
        </is>
      </c>
    </row>
    <row r="1101">
      <c r="B1101" s="0" t="inlineStr">
        <is>
          <t xml:space="preserve">N0010415PCE02</t>
        </is>
      </c>
      <c r="D1101" s="0" t="inlineStr">
        <is>
          <t xml:space="preserve">small_craft</t>
        </is>
      </c>
      <c r="E1101" s="0" t="inlineStr">
        <is>
          <t xml:space="preserve">DEFENSE MARITIME SOLUTIONS, INC.</t>
        </is>
      </c>
      <c r="F1101" s="0" t="inlineStr">
        <is>
          <t xml:space="preserve">B</t>
        </is>
      </c>
      <c r="G1101" s="4">
        <v>0.035035</v>
      </c>
      <c r="H1101" s="0" t="inlineStr">
        <is>
          <t xml:space="preserve">2015-05-19</t>
        </is>
      </c>
      <c r="I1101" s="0" t="inlineStr">
        <is>
          <t xml:space="preserve">no</t>
        </is>
      </c>
      <c r="K1101" s="0" t="inlineStr">
        <is>
          <t xml:space="preserve">NONE</t>
        </is>
      </c>
    </row>
    <row r="1102">
      <c r="B1102" s="0" t="inlineStr">
        <is>
          <t xml:space="preserve">N3220526P5025</t>
        </is>
      </c>
      <c r="D1102" s="0" t="inlineStr">
        <is>
          <t xml:space="preserve">small_craft</t>
        </is>
      </c>
      <c r="E1102" s="0" t="inlineStr">
        <is>
          <t xml:space="preserve">FASSMER SERVICE AMERICA LLC</t>
        </is>
      </c>
      <c r="F1102" s="0" t="inlineStr">
        <is>
          <t xml:space="preserve">B</t>
        </is>
      </c>
      <c r="G1102" s="4">
        <v>0.034995160000000004</v>
      </c>
      <c r="H1102" s="0" t="inlineStr">
        <is>
          <t xml:space="preserve">2025-12-17</t>
        </is>
      </c>
      <c r="I1102" s="0" t="inlineStr">
        <is>
          <t xml:space="preserve">yes</t>
        </is>
      </c>
      <c r="J1102" s="0" t="inlineStr">
        <is>
          <t xml:space="preserve">N3220526Q7018</t>
        </is>
      </c>
      <c r="K1102" s="0" t="inlineStr">
        <is>
          <t xml:space="preserve">NONE</t>
        </is>
      </c>
    </row>
    <row r="1103">
      <c r="B1103" s="0" t="inlineStr">
        <is>
          <t xml:space="preserve">N0010420PEA1W</t>
        </is>
      </c>
      <c r="D1103" s="0" t="inlineStr">
        <is>
          <t xml:space="preserve">small_craft</t>
        </is>
      </c>
      <c r="E1103" s="0" t="inlineStr">
        <is>
          <t xml:space="preserve">ISA (WYOMING) CORP</t>
        </is>
      </c>
      <c r="F1103" s="0" t="inlineStr">
        <is>
          <t xml:space="preserve">B</t>
        </is>
      </c>
      <c r="G1103" s="4">
        <v>0.034929999999999996</v>
      </c>
      <c r="H1103" s="0" t="inlineStr">
        <is>
          <t xml:space="preserve">2020-04-30</t>
        </is>
      </c>
      <c r="I1103" s="0" t="inlineStr">
        <is>
          <t xml:space="preserve">no</t>
        </is>
      </c>
      <c r="K1103" s="0" t="inlineStr">
        <is>
          <t xml:space="preserve">NONE</t>
        </is>
      </c>
    </row>
    <row r="1104">
      <c r="B1104" s="0" t="inlineStr">
        <is>
          <t xml:space="preserve">N6893625F5110</t>
        </is>
      </c>
      <c r="C1104" s="0" t="inlineStr">
        <is>
          <t xml:space="preserve">47QSWA22D0051</t>
        </is>
      </c>
      <c r="D1104" s="0" t="inlineStr">
        <is>
          <t xml:space="preserve">small_craft</t>
        </is>
      </c>
      <c r="E1104" s="0" t="inlineStr">
        <is>
          <t xml:space="preserve">NW BEND BOATS, LLC</t>
        </is>
      </c>
      <c r="F1104" s="0" t="inlineStr">
        <is>
          <t xml:space="preserve">C</t>
        </is>
      </c>
      <c r="G1104" s="4">
        <v>0.03456962</v>
      </c>
      <c r="H1104" s="0" t="inlineStr">
        <is>
          <t xml:space="preserve">2025-08-11</t>
        </is>
      </c>
      <c r="I1104" s="0" t="inlineStr">
        <is>
          <t xml:space="preserve">yes</t>
        </is>
      </c>
      <c r="K1104" s="0" t="inlineStr">
        <is>
          <t xml:space="preserve">NONE</t>
        </is>
      </c>
    </row>
    <row r="1105">
      <c r="B1105" s="0" t="inlineStr">
        <is>
          <t xml:space="preserve">N0010425PBV82</t>
        </is>
      </c>
      <c r="D1105" s="0" t="inlineStr">
        <is>
          <t xml:space="preserve">small_craft</t>
        </is>
      </c>
      <c r="E1105" s="0" t="inlineStr">
        <is>
          <t xml:space="preserve">GAFFEL EQUIPMENT</t>
        </is>
      </c>
      <c r="F1105" s="0" t="inlineStr">
        <is>
          <t xml:space="preserve">B</t>
        </is>
      </c>
      <c r="G1105" s="4">
        <v>0.034524</v>
      </c>
      <c r="H1105" s="0" t="inlineStr">
        <is>
          <t xml:space="preserve">2025-06-05</t>
        </is>
      </c>
      <c r="I1105" s="0" t="inlineStr">
        <is>
          <t xml:space="preserve">no</t>
        </is>
      </c>
      <c r="K1105" s="0" t="inlineStr">
        <is>
          <t xml:space="preserve">NONE</t>
        </is>
      </c>
    </row>
    <row r="1106">
      <c r="B1106" s="0" t="inlineStr">
        <is>
          <t xml:space="preserve">N3220520F2297</t>
        </is>
      </c>
      <c r="C1106" s="0" t="inlineStr">
        <is>
          <t xml:space="preserve">N3220517D4700</t>
        </is>
      </c>
      <c r="D1106" s="0" t="inlineStr">
        <is>
          <t xml:space="preserve">other_small</t>
        </is>
      </c>
      <c r="E1106" s="0" t="inlineStr">
        <is>
          <t xml:space="preserve">LAKE SHORE SYSTEMS, INC.</t>
        </is>
      </c>
      <c r="F1106" s="0" t="inlineStr">
        <is>
          <t xml:space="preserve">C</t>
        </is>
      </c>
      <c r="G1106" s="4">
        <v>0.034519999999999995</v>
      </c>
      <c r="H1106" s="0" t="inlineStr">
        <is>
          <t xml:space="preserve">2020-07-20</t>
        </is>
      </c>
      <c r="I1106" s="0" t="inlineStr">
        <is>
          <t xml:space="preserve">no</t>
        </is>
      </c>
      <c r="K1106" s="0" t="inlineStr">
        <is>
          <t xml:space="preserve">NONE</t>
        </is>
      </c>
    </row>
    <row r="1107">
      <c r="B1107" s="0" t="inlineStr">
        <is>
          <t xml:space="preserve">N0010425PFC92</t>
        </is>
      </c>
      <c r="D1107" s="0" t="inlineStr">
        <is>
          <t xml:space="preserve">small_craft</t>
        </is>
      </c>
      <c r="E1107" s="0" t="inlineStr">
        <is>
          <t xml:space="preserve">FLUIDYNE CORPORATION</t>
        </is>
      </c>
      <c r="F1107" s="0" t="inlineStr">
        <is>
          <t xml:space="preserve">B</t>
        </is>
      </c>
      <c r="G1107" s="4">
        <v>0.03447</v>
      </c>
      <c r="H1107" s="0" t="inlineStr">
        <is>
          <t xml:space="preserve">2025-05-28</t>
        </is>
      </c>
      <c r="I1107" s="0" t="inlineStr">
        <is>
          <t xml:space="preserve">no</t>
        </is>
      </c>
      <c r="J1107" s="0" t="inlineStr">
        <is>
          <t xml:space="preserve">N0010423QFB96</t>
        </is>
      </c>
      <c r="K1107" s="0" t="inlineStr">
        <is>
          <t xml:space="preserve">NONE</t>
        </is>
      </c>
    </row>
    <row r="1108">
      <c r="B1108" s="0" t="inlineStr">
        <is>
          <t xml:space="preserve">N0024418P0488</t>
        </is>
      </c>
      <c r="D1108" s="0" t="inlineStr">
        <is>
          <t xml:space="preserve">small_craft</t>
        </is>
      </c>
      <c r="E1108" s="0" t="inlineStr">
        <is>
          <t xml:space="preserve">DEMAREE INFLATABLE BOATS INC</t>
        </is>
      </c>
      <c r="F1108" s="0" t="inlineStr">
        <is>
          <t xml:space="preserve">B</t>
        </is>
      </c>
      <c r="G1108" s="4">
        <v>0.03445</v>
      </c>
      <c r="H1108" s="0" t="inlineStr">
        <is>
          <t xml:space="preserve">2018-09-17</t>
        </is>
      </c>
      <c r="I1108" s="0" t="inlineStr">
        <is>
          <t xml:space="preserve">no</t>
        </is>
      </c>
      <c r="J1108" s="0" t="inlineStr">
        <is>
          <t xml:space="preserve">N0024418Q0276</t>
        </is>
      </c>
      <c r="K1108" s="0" t="inlineStr">
        <is>
          <t xml:space="preserve">NONE</t>
        </is>
      </c>
    </row>
    <row r="1109">
      <c r="B1109" s="0" t="inlineStr">
        <is>
          <t xml:space="preserve">N3220520P0303</t>
        </is>
      </c>
      <c r="D1109" s="0" t="inlineStr">
        <is>
          <t xml:space="preserve">small_craft</t>
        </is>
      </c>
      <c r="E1109" s="0" t="inlineStr">
        <is>
          <t xml:space="preserve">PUGET SOUND INFLATABLES, INC.</t>
        </is>
      </c>
      <c r="F1109" s="0" t="inlineStr">
        <is>
          <t xml:space="preserve">B</t>
        </is>
      </c>
      <c r="G1109" s="4">
        <v>0.034265</v>
      </c>
      <c r="H1109" s="0" t="inlineStr">
        <is>
          <t xml:space="preserve">2020-04-08</t>
        </is>
      </c>
      <c r="I1109" s="0" t="inlineStr">
        <is>
          <t xml:space="preserve">no</t>
        </is>
      </c>
      <c r="J1109" s="0" t="inlineStr">
        <is>
          <t xml:space="preserve">N3220520Q0279</t>
        </is>
      </c>
      <c r="K1109" s="0" t="inlineStr">
        <is>
          <t xml:space="preserve">NONE</t>
        </is>
      </c>
    </row>
    <row r="1110">
      <c r="B1110" s="0" t="inlineStr">
        <is>
          <t xml:space="preserve">N3220519P6194</t>
        </is>
      </c>
      <c r="D1110" s="0" t="inlineStr">
        <is>
          <t xml:space="preserve">small_craft</t>
        </is>
      </c>
      <c r="E1110" s="0" t="inlineStr">
        <is>
          <t xml:space="preserve">FASSMER SERVICE AMERICA LLC</t>
        </is>
      </c>
      <c r="F1110" s="0" t="inlineStr">
        <is>
          <t xml:space="preserve">B</t>
        </is>
      </c>
      <c r="G1110" s="4">
        <v>0.03405673</v>
      </c>
      <c r="H1110" s="0" t="inlineStr">
        <is>
          <t xml:space="preserve">2019-09-05</t>
        </is>
      </c>
      <c r="I1110" s="0" t="inlineStr">
        <is>
          <t xml:space="preserve">no</t>
        </is>
      </c>
      <c r="J1110" s="0" t="inlineStr">
        <is>
          <t xml:space="preserve">N3220519Q6194</t>
        </is>
      </c>
      <c r="K1110" s="0" t="inlineStr">
        <is>
          <t xml:space="preserve">NONE</t>
        </is>
      </c>
    </row>
    <row r="1111">
      <c r="B1111" s="0" t="inlineStr">
        <is>
          <t xml:space="preserve">N3943025P0007</t>
        </is>
      </c>
      <c r="D1111" s="0" t="inlineStr">
        <is>
          <t xml:space="preserve">other_small</t>
        </is>
      </c>
      <c r="E1111" s="0" t="inlineStr">
        <is>
          <t xml:space="preserve">BRUSCO TUG &amp; BARGE, INC.</t>
        </is>
      </c>
      <c r="F1111" s="0" t="inlineStr">
        <is>
          <t xml:space="preserve">B</t>
        </is>
      </c>
      <c r="G1111" s="4">
        <v>0.033999999999999996</v>
      </c>
      <c r="H1111" s="0" t="inlineStr">
        <is>
          <t xml:space="preserve">2025-08-21</t>
        </is>
      </c>
      <c r="I1111" s="0" t="inlineStr">
        <is>
          <t xml:space="preserve">yes</t>
        </is>
      </c>
      <c r="K1111" s="0" t="inlineStr">
        <is>
          <t xml:space="preserve">NONE</t>
        </is>
      </c>
    </row>
    <row r="1112">
      <c r="B1112" s="0" t="inlineStr">
        <is>
          <t xml:space="preserve">M6700115P1501</t>
        </is>
      </c>
      <c r="D1112" s="0" t="inlineStr">
        <is>
          <t xml:space="preserve">small_craft</t>
        </is>
      </c>
      <c r="E1112" s="0" t="inlineStr">
        <is>
          <t xml:space="preserve">CENTRAL FLORIDA YAMAHA INC</t>
        </is>
      </c>
      <c r="F1112" s="0" t="inlineStr">
        <is>
          <t xml:space="preserve">B</t>
        </is>
      </c>
      <c r="G1112" s="4">
        <v>0.03392451999999999</v>
      </c>
      <c r="H1112" s="0" t="inlineStr">
        <is>
          <t xml:space="preserve">2015-08-26</t>
        </is>
      </c>
      <c r="I1112" s="0" t="inlineStr">
        <is>
          <t xml:space="preserve">no</t>
        </is>
      </c>
      <c r="J1112" s="0" t="inlineStr">
        <is>
          <t xml:space="preserve">M6700115T1299</t>
        </is>
      </c>
      <c r="K1112" s="0" t="inlineStr">
        <is>
          <t xml:space="preserve">NONE</t>
        </is>
      </c>
    </row>
    <row r="1113">
      <c r="B1113" s="0" t="inlineStr">
        <is>
          <t xml:space="preserve">N0010421PND60</t>
        </is>
      </c>
      <c r="D1113" s="0" t="inlineStr">
        <is>
          <t xml:space="preserve">small_craft</t>
        </is>
      </c>
      <c r="E1113" s="0" t="inlineStr">
        <is>
          <t xml:space="preserve">ALLARD NAZARIAN GROUP, INC.</t>
        </is>
      </c>
      <c r="F1113" s="0" t="inlineStr">
        <is>
          <t xml:space="preserve">B</t>
        </is>
      </c>
      <c r="G1113" s="4">
        <v>0.033914</v>
      </c>
      <c r="H1113" s="0" t="inlineStr">
        <is>
          <t xml:space="preserve">2021-08-30</t>
        </is>
      </c>
      <c r="I1113" s="0" t="inlineStr">
        <is>
          <t xml:space="preserve">no</t>
        </is>
      </c>
      <c r="K1113" s="0" t="inlineStr">
        <is>
          <t xml:space="preserve">NONE</t>
        </is>
      </c>
    </row>
    <row r="1114">
      <c r="B1114" s="0" t="inlineStr">
        <is>
          <t xml:space="preserve">N0040619P0330</t>
        </is>
      </c>
      <c r="D1114" s="0" t="inlineStr">
        <is>
          <t xml:space="preserve">small_craft</t>
        </is>
      </c>
      <c r="E1114" s="0" t="inlineStr">
        <is>
          <t xml:space="preserve">PIER SIDE SUPPLY INC</t>
        </is>
      </c>
      <c r="F1114" s="0" t="inlineStr">
        <is>
          <t xml:space="preserve">B</t>
        </is>
      </c>
      <c r="G1114" s="4">
        <v>0.0339</v>
      </c>
      <c r="H1114" s="0" t="inlineStr">
        <is>
          <t xml:space="preserve">2019-05-13</t>
        </is>
      </c>
      <c r="I1114" s="0" t="inlineStr">
        <is>
          <t xml:space="preserve">no</t>
        </is>
      </c>
      <c r="K1114" s="0" t="inlineStr">
        <is>
          <t xml:space="preserve">NONE</t>
        </is>
      </c>
    </row>
    <row r="1115">
      <c r="B1115" s="0" t="inlineStr">
        <is>
          <t xml:space="preserve">N6133123P0154</t>
        </is>
      </c>
      <c r="D1115" s="0" t="inlineStr">
        <is>
          <t xml:space="preserve">small_craft</t>
        </is>
      </c>
      <c r="E1115" s="0" t="inlineStr">
        <is>
          <t xml:space="preserve">MIG GOV, LLC</t>
        </is>
      </c>
      <c r="F1115" s="0" t="inlineStr">
        <is>
          <t xml:space="preserve">B</t>
        </is>
      </c>
      <c r="G1115" s="4">
        <v>0.03378</v>
      </c>
      <c r="H1115" s="0" t="inlineStr">
        <is>
          <t xml:space="preserve">2023-05-05</t>
        </is>
      </c>
      <c r="I1115" s="0" t="inlineStr">
        <is>
          <t xml:space="preserve">no</t>
        </is>
      </c>
      <c r="J1115" s="0" t="inlineStr">
        <is>
          <t xml:space="preserve">N6133123TJK39</t>
        </is>
      </c>
      <c r="K1115" s="0" t="inlineStr">
        <is>
          <t xml:space="preserve">NONE</t>
        </is>
      </c>
    </row>
    <row r="1116">
      <c r="B1116" s="0" t="inlineStr">
        <is>
          <t xml:space="preserve">N0024416P0489</t>
        </is>
      </c>
      <c r="D1116" s="0" t="inlineStr">
        <is>
          <t xml:space="preserve">small_craft</t>
        </is>
      </c>
      <c r="E1116" s="0" t="inlineStr">
        <is>
          <t xml:space="preserve">MAURER MARINE, INC.</t>
        </is>
      </c>
      <c r="F1116" s="0" t="inlineStr">
        <is>
          <t xml:space="preserve">B</t>
        </is>
      </c>
      <c r="G1116" s="4">
        <v>0.033479999999999996</v>
      </c>
      <c r="H1116" s="0" t="inlineStr">
        <is>
          <t xml:space="preserve">2016-08-11</t>
        </is>
      </c>
      <c r="I1116" s="0" t="inlineStr">
        <is>
          <t xml:space="preserve">no</t>
        </is>
      </c>
      <c r="K1116" s="0" t="inlineStr">
        <is>
          <t xml:space="preserve">NONE</t>
        </is>
      </c>
    </row>
    <row r="1117">
      <c r="B1117" s="0" t="inlineStr">
        <is>
          <t xml:space="preserve">N0010425PBZ92</t>
        </is>
      </c>
      <c r="D1117" s="0" t="inlineStr">
        <is>
          <t xml:space="preserve">small_craft</t>
        </is>
      </c>
      <c r="E1117" s="0" t="inlineStr">
        <is>
          <t xml:space="preserve">S I T CORPORATION</t>
        </is>
      </c>
      <c r="F1117" s="0" t="inlineStr">
        <is>
          <t xml:space="preserve">B</t>
        </is>
      </c>
      <c r="G1117" s="4">
        <v>0.0334</v>
      </c>
      <c r="H1117" s="0" t="inlineStr">
        <is>
          <t xml:space="preserve">2025-08-12</t>
        </is>
      </c>
      <c r="I1117" s="0" t="inlineStr">
        <is>
          <t xml:space="preserve">yes</t>
        </is>
      </c>
      <c r="J1117" s="0" t="inlineStr">
        <is>
          <t xml:space="preserve">N0010425QBW14</t>
        </is>
      </c>
      <c r="K1117" s="0" t="inlineStr">
        <is>
          <t xml:space="preserve">NONE</t>
        </is>
      </c>
    </row>
    <row r="1118">
      <c r="B1118" s="0" t="inlineStr">
        <is>
          <t xml:space="preserve">N0024421P0506</t>
        </is>
      </c>
      <c r="D1118" s="0" t="inlineStr">
        <is>
          <t xml:space="preserve">small_craft</t>
        </is>
      </c>
      <c r="E1118" s="0" t="inlineStr">
        <is>
          <t xml:space="preserve">METCALF MARINE EXHAUST INC</t>
        </is>
      </c>
      <c r="F1118" s="0" t="inlineStr">
        <is>
          <t xml:space="preserve">B</t>
        </is>
      </c>
      <c r="G1118" s="4">
        <v>0.0334</v>
      </c>
      <c r="H1118" s="0" t="inlineStr">
        <is>
          <t xml:space="preserve">2021-09-29</t>
        </is>
      </c>
      <c r="I1118" s="0" t="inlineStr">
        <is>
          <t xml:space="preserve">no</t>
        </is>
      </c>
      <c r="K1118" s="0" t="inlineStr">
        <is>
          <t xml:space="preserve">NONE</t>
        </is>
      </c>
    </row>
    <row r="1119">
      <c r="B1119" s="0" t="inlineStr">
        <is>
          <t xml:space="preserve">M6786119P0012</t>
        </is>
      </c>
      <c r="D1119" s="0" t="inlineStr">
        <is>
          <t xml:space="preserve">small_craft</t>
        </is>
      </c>
      <c r="E1119" s="0" t="inlineStr">
        <is>
          <t xml:space="preserve">PRO-LINE PROCUREMENT SERVICES LLC</t>
        </is>
      </c>
      <c r="F1119" s="0" t="inlineStr">
        <is>
          <t xml:space="preserve">B</t>
        </is>
      </c>
      <c r="G1119" s="4">
        <v>0.033299999999999996</v>
      </c>
      <c r="H1119" s="0" t="inlineStr">
        <is>
          <t xml:space="preserve">2019-02-13</t>
        </is>
      </c>
      <c r="I1119" s="0" t="inlineStr">
        <is>
          <t xml:space="preserve">no</t>
        </is>
      </c>
      <c r="J1119" s="0" t="inlineStr">
        <is>
          <t xml:space="preserve">M6786119Q0010</t>
        </is>
      </c>
      <c r="K1119" s="0" t="inlineStr">
        <is>
          <t xml:space="preserve">NONE</t>
        </is>
      </c>
    </row>
    <row r="1120">
      <c r="B1120" s="0" t="inlineStr">
        <is>
          <t xml:space="preserve">N4044320P0127</t>
        </is>
      </c>
      <c r="D1120" s="0" t="inlineStr">
        <is>
          <t xml:space="preserve">small_craft</t>
        </is>
      </c>
      <c r="E1120" s="0" t="inlineStr">
        <is>
          <t xml:space="preserve">FASSMER SERVICE AMERICA LLC</t>
        </is>
      </c>
      <c r="F1120" s="0" t="inlineStr">
        <is>
          <t xml:space="preserve">B</t>
        </is>
      </c>
      <c r="G1120" s="4">
        <v>0.03305353</v>
      </c>
      <c r="H1120" s="0" t="inlineStr">
        <is>
          <t xml:space="preserve">2020-09-30</t>
        </is>
      </c>
      <c r="I1120" s="0" t="inlineStr">
        <is>
          <t xml:space="preserve">no</t>
        </is>
      </c>
      <c r="J1120" s="0" t="inlineStr">
        <is>
          <t xml:space="preserve">N4044320Q0127</t>
        </is>
      </c>
      <c r="K1120" s="0" t="inlineStr">
        <is>
          <t xml:space="preserve">NONE</t>
        </is>
      </c>
    </row>
    <row r="1121">
      <c r="B1121" s="0" t="inlineStr">
        <is>
          <t xml:space="preserve">N3220519F6711</t>
        </is>
      </c>
      <c r="C1121" s="0" t="inlineStr">
        <is>
          <t xml:space="preserve">N3220517D4700</t>
        </is>
      </c>
      <c r="D1121" s="0" t="inlineStr">
        <is>
          <t xml:space="preserve">other_small</t>
        </is>
      </c>
      <c r="E1121" s="0" t="inlineStr">
        <is>
          <t xml:space="preserve">LAKE SHORE SYSTEMS, INC.</t>
        </is>
      </c>
      <c r="F1121" s="0" t="inlineStr">
        <is>
          <t xml:space="preserve">C</t>
        </is>
      </c>
      <c r="G1121" s="4">
        <v>0.03303983</v>
      </c>
      <c r="H1121" s="0" t="inlineStr">
        <is>
          <t xml:space="preserve">2019-02-08</t>
        </is>
      </c>
      <c r="I1121" s="0" t="inlineStr">
        <is>
          <t xml:space="preserve">no</t>
        </is>
      </c>
      <c r="K1121" s="0" t="inlineStr">
        <is>
          <t xml:space="preserve">NONE</t>
        </is>
      </c>
    </row>
    <row r="1122">
      <c r="B1122" s="0" t="inlineStr">
        <is>
          <t xml:space="preserve">N6874225F0968</t>
        </is>
      </c>
      <c r="C1122" s="0" t="inlineStr">
        <is>
          <t xml:space="preserve">47QSWA22D0051</t>
        </is>
      </c>
      <c r="D1122" s="0" t="inlineStr">
        <is>
          <t xml:space="preserve">small_craft</t>
        </is>
      </c>
      <c r="E1122" s="0" t="inlineStr">
        <is>
          <t xml:space="preserve">NW BEND BOATS, LLC</t>
        </is>
      </c>
      <c r="F1122" s="0" t="inlineStr">
        <is>
          <t xml:space="preserve">C</t>
        </is>
      </c>
      <c r="G1122" s="4">
        <v>0.032944339999999996</v>
      </c>
      <c r="H1122" s="0" t="inlineStr">
        <is>
          <t xml:space="preserve">2025-07-22</t>
        </is>
      </c>
      <c r="I1122" s="0" t="inlineStr">
        <is>
          <t xml:space="preserve">yes</t>
        </is>
      </c>
      <c r="K1122" s="0" t="inlineStr">
        <is>
          <t xml:space="preserve">NONE</t>
        </is>
      </c>
    </row>
    <row r="1123">
      <c r="B1123" s="0" t="inlineStr">
        <is>
          <t xml:space="preserve">N0010426PUA05</t>
        </is>
      </c>
      <c r="D1123" s="0" t="inlineStr">
        <is>
          <t xml:space="preserve">small_craft</t>
        </is>
      </c>
      <c r="E1123" s="0" t="inlineStr">
        <is>
          <t xml:space="preserve">TENCARVA MACHINERY COMPANY, LLC</t>
        </is>
      </c>
      <c r="F1123" s="0" t="inlineStr">
        <is>
          <t xml:space="preserve">B</t>
        </is>
      </c>
      <c r="G1123" s="4">
        <v>0.032837</v>
      </c>
      <c r="H1123" s="0" t="inlineStr">
        <is>
          <t xml:space="preserve">2025-10-31</t>
        </is>
      </c>
      <c r="I1123" s="0" t="inlineStr">
        <is>
          <t xml:space="preserve">yes</t>
        </is>
      </c>
      <c r="J1123" s="0" t="inlineStr">
        <is>
          <t xml:space="preserve">N0010423QUE63</t>
        </is>
      </c>
      <c r="K1123" s="0" t="inlineStr">
        <is>
          <t xml:space="preserve">NONE</t>
        </is>
      </c>
    </row>
    <row r="1124">
      <c r="B1124" s="0" t="inlineStr">
        <is>
          <t xml:space="preserve">N0040625PS485</t>
        </is>
      </c>
      <c r="D1124" s="0" t="inlineStr">
        <is>
          <t xml:space="preserve">small_craft</t>
        </is>
      </c>
      <c r="E1124" s="0" t="inlineStr">
        <is>
          <t xml:space="preserve">RAILWAY SPECIALTIES CORP</t>
        </is>
      </c>
      <c r="F1124" s="0" t="inlineStr">
        <is>
          <t xml:space="preserve">B</t>
        </is>
      </c>
      <c r="G1124" s="4">
        <v>0.032828300000000005</v>
      </c>
      <c r="H1124" s="0" t="inlineStr">
        <is>
          <t xml:space="preserve">2025-09-08</t>
        </is>
      </c>
      <c r="I1124" s="0" t="inlineStr">
        <is>
          <t xml:space="preserve">yes</t>
        </is>
      </c>
      <c r="K1124" s="0" t="inlineStr">
        <is>
          <t xml:space="preserve">NONE</t>
        </is>
      </c>
    </row>
    <row r="1125">
      <c r="B1125" s="0" t="inlineStr">
        <is>
          <t xml:space="preserve">N4044319P0184</t>
        </is>
      </c>
      <c r="D1125" s="0" t="inlineStr">
        <is>
          <t xml:space="preserve">small_craft</t>
        </is>
      </c>
      <c r="E1125" s="0" t="inlineStr">
        <is>
          <t xml:space="preserve">FASSMER SERVICE AMERICA LLC</t>
        </is>
      </c>
      <c r="F1125" s="0" t="inlineStr">
        <is>
          <t xml:space="preserve">B</t>
        </is>
      </c>
      <c r="G1125" s="4">
        <v>0.032792</v>
      </c>
      <c r="H1125" s="0" t="inlineStr">
        <is>
          <t xml:space="preserve">2019-05-23</t>
        </is>
      </c>
      <c r="I1125" s="0" t="inlineStr">
        <is>
          <t xml:space="preserve">no</t>
        </is>
      </c>
      <c r="J1125" s="0" t="inlineStr">
        <is>
          <t xml:space="preserve">N4044319Q0184</t>
        </is>
      </c>
      <c r="K1125" s="0" t="inlineStr">
        <is>
          <t xml:space="preserve">NONE</t>
        </is>
      </c>
    </row>
    <row r="1126">
      <c r="B1126" s="0" t="inlineStr">
        <is>
          <t xml:space="preserve">M6740017P0100</t>
        </is>
      </c>
      <c r="D1126" s="0" t="inlineStr">
        <is>
          <t xml:space="preserve">small_craft</t>
        </is>
      </c>
      <c r="E1126" s="0" t="inlineStr">
        <is>
          <t xml:space="preserve">MARINE LAND CO.,LTD.</t>
        </is>
      </c>
      <c r="F1126" s="0" t="inlineStr">
        <is>
          <t xml:space="preserve">B</t>
        </is>
      </c>
      <c r="G1126" s="4">
        <v>0.03233923</v>
      </c>
      <c r="H1126" s="0" t="inlineStr">
        <is>
          <t xml:space="preserve">2017-08-02</t>
        </is>
      </c>
      <c r="I1126" s="0" t="inlineStr">
        <is>
          <t xml:space="preserve">no</t>
        </is>
      </c>
      <c r="J1126" s="0" t="inlineStr">
        <is>
          <t xml:space="preserve">M6740017Q0039</t>
        </is>
      </c>
      <c r="K1126" s="0" t="inlineStr">
        <is>
          <t xml:space="preserve">NONE</t>
        </is>
      </c>
    </row>
    <row r="1127">
      <c r="B1127" s="0" t="inlineStr">
        <is>
          <t xml:space="preserve">N0002422P2205</t>
        </is>
      </c>
      <c r="D1127" s="0" t="inlineStr">
        <is>
          <t xml:space="preserve">small_craft</t>
        </is>
      </c>
      <c r="E1127" s="0" t="inlineStr">
        <is>
          <t xml:space="preserve">GRAVOIS ALUMINUM BOATS LLC</t>
        </is>
      </c>
      <c r="F1127" s="0" t="inlineStr">
        <is>
          <t xml:space="preserve">B</t>
        </is>
      </c>
      <c r="G1127" s="4">
        <v>0.032337</v>
      </c>
      <c r="H1127" s="0" t="inlineStr">
        <is>
          <t xml:space="preserve">2022-06-21</t>
        </is>
      </c>
      <c r="I1127" s="0" t="inlineStr">
        <is>
          <t xml:space="preserve">no</t>
        </is>
      </c>
      <c r="J1127" s="0" t="inlineStr">
        <is>
          <t xml:space="preserve">N0002422R2205</t>
        </is>
      </c>
      <c r="K1127" s="0" t="inlineStr">
        <is>
          <t xml:space="preserve">NONE</t>
        </is>
      </c>
    </row>
    <row r="1128">
      <c r="B1128" s="0" t="inlineStr">
        <is>
          <t xml:space="preserve">N0010424PX035</t>
        </is>
      </c>
      <c r="D1128" s="0" t="inlineStr">
        <is>
          <t xml:space="preserve">small_craft</t>
        </is>
      </c>
      <c r="E1128" s="0" t="inlineStr">
        <is>
          <t xml:space="preserve">PRAKTEK, INC.</t>
        </is>
      </c>
      <c r="F1128" s="0" t="inlineStr">
        <is>
          <t xml:space="preserve">B</t>
        </is>
      </c>
      <c r="G1128" s="4">
        <v>0.032235599999999996</v>
      </c>
      <c r="H1128" s="0" t="inlineStr">
        <is>
          <t xml:space="preserve">2024-06-03</t>
        </is>
      </c>
      <c r="I1128" s="0" t="inlineStr">
        <is>
          <t xml:space="preserve">no</t>
        </is>
      </c>
      <c r="J1128" s="0" t="inlineStr">
        <is>
          <t xml:space="preserve">N0010424QX025</t>
        </is>
      </c>
      <c r="K1128" s="0" t="inlineStr">
        <is>
          <t xml:space="preserve">NONE</t>
        </is>
      </c>
    </row>
    <row r="1129">
      <c r="B1129" s="0" t="inlineStr">
        <is>
          <t xml:space="preserve">0081</t>
        </is>
      </c>
      <c r="C1129" s="0" t="inlineStr">
        <is>
          <t xml:space="preserve">N3220513D2001</t>
        </is>
      </c>
      <c r="D1129" s="0" t="inlineStr">
        <is>
          <t xml:space="preserve">other_small</t>
        </is>
      </c>
      <c r="E1129" s="0" t="inlineStr">
        <is>
          <t xml:space="preserve">AUSTAL USA, LLC</t>
        </is>
      </c>
      <c r="F1129" s="0" t="inlineStr">
        <is>
          <t xml:space="preserve">C</t>
        </is>
      </c>
      <c r="G1129" s="4">
        <v>0.03222424</v>
      </c>
      <c r="H1129" s="0" t="inlineStr">
        <is>
          <t xml:space="preserve">2017-01-17</t>
        </is>
      </c>
      <c r="I1129" s="0" t="inlineStr">
        <is>
          <t xml:space="preserve">no</t>
        </is>
      </c>
      <c r="J1129" s="0" t="inlineStr">
        <is>
          <t xml:space="preserve">N4044212R2004</t>
        </is>
      </c>
      <c r="K1129" s="0" t="inlineStr">
        <is>
          <t xml:space="preserve">NONE</t>
        </is>
      </c>
    </row>
    <row r="1130">
      <c r="B1130" s="0" t="inlineStr">
        <is>
          <t xml:space="preserve">N0010416PNG04</t>
        </is>
      </c>
      <c r="D1130" s="0" t="inlineStr">
        <is>
          <t xml:space="preserve">small_craft</t>
        </is>
      </c>
      <c r="E1130" s="0" t="inlineStr">
        <is>
          <t xml:space="preserve">D. L. MARTIN CO.</t>
        </is>
      </c>
      <c r="F1130" s="0" t="inlineStr">
        <is>
          <t xml:space="preserve">B</t>
        </is>
      </c>
      <c r="G1130" s="4">
        <v>0.03219888</v>
      </c>
      <c r="H1130" s="0" t="inlineStr">
        <is>
          <t xml:space="preserve">2016-07-06</t>
        </is>
      </c>
      <c r="I1130" s="0" t="inlineStr">
        <is>
          <t xml:space="preserve">no</t>
        </is>
      </c>
      <c r="K1130" s="0" t="inlineStr">
        <is>
          <t xml:space="preserve">NONE</t>
        </is>
      </c>
    </row>
    <row r="1131">
      <c r="B1131" s="0" t="inlineStr">
        <is>
          <t xml:space="preserve">N6227119P5047</t>
        </is>
      </c>
      <c r="D1131" s="0" t="inlineStr">
        <is>
          <t xml:space="preserve">small_craft</t>
        </is>
      </c>
      <c r="E1131" s="0" t="inlineStr">
        <is>
          <t xml:space="preserve">TRAKKA USA LLC</t>
        </is>
      </c>
      <c r="F1131" s="0" t="inlineStr">
        <is>
          <t xml:space="preserve">B</t>
        </is>
      </c>
      <c r="G1131" s="4">
        <v>0.032</v>
      </c>
      <c r="H1131" s="0" t="inlineStr">
        <is>
          <t xml:space="preserve">2019-09-24</t>
        </is>
      </c>
      <c r="I1131" s="0" t="inlineStr">
        <is>
          <t xml:space="preserve">no</t>
        </is>
      </c>
      <c r="J1131" s="0" t="inlineStr">
        <is>
          <t xml:space="preserve">N6227119Q5047</t>
        </is>
      </c>
      <c r="K1131" s="0" t="inlineStr">
        <is>
          <t xml:space="preserve">NONE</t>
        </is>
      </c>
    </row>
    <row r="1132">
      <c r="B1132" s="0" t="inlineStr">
        <is>
          <t xml:space="preserve">N0040616P2336</t>
        </is>
      </c>
      <c r="D1132" s="0" t="inlineStr">
        <is>
          <t xml:space="preserve">small_craft</t>
        </is>
      </c>
      <c r="E1132" s="0" t="inlineStr">
        <is>
          <t xml:space="preserve">J.D.A. MARITIME, INC.</t>
        </is>
      </c>
      <c r="F1132" s="0" t="inlineStr">
        <is>
          <t xml:space="preserve">B</t>
        </is>
      </c>
      <c r="G1132" s="4">
        <v>0.031974999999999996</v>
      </c>
      <c r="H1132" s="0" t="inlineStr">
        <is>
          <t xml:space="preserve">2016-07-01</t>
        </is>
      </c>
      <c r="I1132" s="0" t="inlineStr">
        <is>
          <t xml:space="preserve">no</t>
        </is>
      </c>
      <c r="K1132" s="0" t="inlineStr">
        <is>
          <t xml:space="preserve">NONE</t>
        </is>
      </c>
    </row>
    <row r="1133">
      <c r="B1133" s="0" t="inlineStr">
        <is>
          <t xml:space="preserve">M0031818P0032</t>
        </is>
      </c>
      <c r="D1133" s="0" t="inlineStr">
        <is>
          <t xml:space="preserve">small_craft</t>
        </is>
      </c>
      <c r="E1133" s="0" t="inlineStr">
        <is>
          <t xml:space="preserve">B &amp; H INTERNATIONAL LLC</t>
        </is>
      </c>
      <c r="F1133" s="0" t="inlineStr">
        <is>
          <t xml:space="preserve">B</t>
        </is>
      </c>
      <c r="G1133" s="4">
        <v>0.03189351</v>
      </c>
      <c r="H1133" s="0" t="inlineStr">
        <is>
          <t xml:space="preserve">2018-08-02</t>
        </is>
      </c>
      <c r="I1133" s="0" t="inlineStr">
        <is>
          <t xml:space="preserve">no</t>
        </is>
      </c>
      <c r="J1133" s="0" t="inlineStr">
        <is>
          <t xml:space="preserve">M0031818Q0019</t>
        </is>
      </c>
      <c r="K1133" s="0" t="inlineStr">
        <is>
          <t xml:space="preserve">NONE</t>
        </is>
      </c>
    </row>
    <row r="1134">
      <c r="B1134" s="0" t="inlineStr">
        <is>
          <t xml:space="preserve">N0017420P0053</t>
        </is>
      </c>
      <c r="D1134" s="0" t="inlineStr">
        <is>
          <t xml:space="preserve">other_small</t>
        </is>
      </c>
      <c r="E1134" s="0" t="inlineStr">
        <is>
          <t xml:space="preserve">RESODYN ACOUSTIC MIXERS, INCORPORATED</t>
        </is>
      </c>
      <c r="F1134" s="0" t="inlineStr">
        <is>
          <t xml:space="preserve">B</t>
        </is>
      </c>
      <c r="G1134" s="4">
        <v>0.03184</v>
      </c>
      <c r="H1134" s="0" t="inlineStr">
        <is>
          <t xml:space="preserve">2020-02-05</t>
        </is>
      </c>
      <c r="I1134" s="0" t="inlineStr">
        <is>
          <t xml:space="preserve">no</t>
        </is>
      </c>
      <c r="J1134" s="0" t="inlineStr">
        <is>
          <t xml:space="preserve">N0017420Q0011</t>
        </is>
      </c>
      <c r="K1134" s="0" t="inlineStr">
        <is>
          <t xml:space="preserve">NONE</t>
        </is>
      </c>
    </row>
    <row r="1135">
      <c r="B1135" s="0" t="inlineStr">
        <is>
          <t xml:space="preserve">N0040618P0644</t>
        </is>
      </c>
      <c r="D1135" s="0" t="inlineStr">
        <is>
          <t xml:space="preserve">small_craft</t>
        </is>
      </c>
      <c r="E1135" s="0" t="inlineStr">
        <is>
          <t xml:space="preserve">JUNIPER ELBOW CO. INC.</t>
        </is>
      </c>
      <c r="F1135" s="0" t="inlineStr">
        <is>
          <t xml:space="preserve">B</t>
        </is>
      </c>
      <c r="G1135" s="4">
        <v>0.031824</v>
      </c>
      <c r="H1135" s="0" t="inlineStr">
        <is>
          <t xml:space="preserve">2018-02-20</t>
        </is>
      </c>
      <c r="I1135" s="0" t="inlineStr">
        <is>
          <t xml:space="preserve">no</t>
        </is>
      </c>
      <c r="J1135" s="0" t="inlineStr">
        <is>
          <t xml:space="preserve">N0040618Q0016</t>
        </is>
      </c>
      <c r="K1135" s="0" t="inlineStr">
        <is>
          <t xml:space="preserve">NONE</t>
        </is>
      </c>
    </row>
    <row r="1136">
      <c r="B1136" s="0" t="inlineStr">
        <is>
          <t xml:space="preserve">N3220520F0590</t>
        </is>
      </c>
      <c r="C1136" s="0" t="inlineStr">
        <is>
          <t xml:space="preserve">N3220517D4700</t>
        </is>
      </c>
      <c r="D1136" s="0" t="inlineStr">
        <is>
          <t xml:space="preserve">other_small</t>
        </is>
      </c>
      <c r="E1136" s="0" t="inlineStr">
        <is>
          <t xml:space="preserve">LAKE SHORE SYSTEMS, INC.</t>
        </is>
      </c>
      <c r="F1136" s="0" t="inlineStr">
        <is>
          <t xml:space="preserve">C</t>
        </is>
      </c>
      <c r="G1136" s="4">
        <v>0.031792</v>
      </c>
      <c r="H1136" s="0" t="inlineStr">
        <is>
          <t xml:space="preserve">2019-12-05</t>
        </is>
      </c>
      <c r="I1136" s="0" t="inlineStr">
        <is>
          <t xml:space="preserve">no</t>
        </is>
      </c>
      <c r="K1136" s="0" t="inlineStr">
        <is>
          <t xml:space="preserve">NONE</t>
        </is>
      </c>
    </row>
    <row r="1137">
      <c r="B1137" s="0" t="inlineStr">
        <is>
          <t xml:space="preserve">N4044617P0094</t>
        </is>
      </c>
      <c r="D1137" s="0" t="inlineStr">
        <is>
          <t xml:space="preserve">small_craft</t>
        </is>
      </c>
      <c r="E1137" s="0" t="inlineStr">
        <is>
          <t xml:space="preserve">WILLARD MARINE, INC.</t>
        </is>
      </c>
      <c r="F1137" s="0" t="inlineStr">
        <is>
          <t xml:space="preserve">B</t>
        </is>
      </c>
      <c r="G1137" s="4">
        <v>0.03172</v>
      </c>
      <c r="H1137" s="0" t="inlineStr">
        <is>
          <t xml:space="preserve">2017-05-14</t>
        </is>
      </c>
      <c r="I1137" s="0" t="inlineStr">
        <is>
          <t xml:space="preserve">no</t>
        </is>
      </c>
      <c r="J1137" s="0" t="inlineStr">
        <is>
          <t xml:space="preserve">N4044617R0094</t>
        </is>
      </c>
      <c r="K1137" s="0" t="inlineStr">
        <is>
          <t xml:space="preserve">NONE</t>
        </is>
      </c>
    </row>
    <row r="1138">
      <c r="B1138" s="0" t="inlineStr">
        <is>
          <t xml:space="preserve">N0010422PLB15</t>
        </is>
      </c>
      <c r="D1138" s="0" t="inlineStr">
        <is>
          <t xml:space="preserve">small_craft</t>
        </is>
      </c>
      <c r="E1138" s="0" t="inlineStr">
        <is>
          <t xml:space="preserve">JA MOODY LLC</t>
        </is>
      </c>
      <c r="F1138" s="0" t="inlineStr">
        <is>
          <t xml:space="preserve">B</t>
        </is>
      </c>
      <c r="G1138" s="4">
        <v>0.03144051</v>
      </c>
      <c r="H1138" s="0" t="inlineStr">
        <is>
          <t xml:space="preserve">2022-03-01</t>
        </is>
      </c>
      <c r="I1138" s="0" t="inlineStr">
        <is>
          <t xml:space="preserve">no</t>
        </is>
      </c>
      <c r="K1138" s="0" t="inlineStr">
        <is>
          <t xml:space="preserve">NONE</t>
        </is>
      </c>
    </row>
    <row r="1139">
      <c r="B1139" s="0" t="inlineStr">
        <is>
          <t xml:space="preserve">N0010422FY701</t>
        </is>
      </c>
      <c r="C1139" s="0" t="inlineStr">
        <is>
          <t xml:space="preserve">N0010422GY701</t>
        </is>
      </c>
      <c r="D1139" s="0" t="inlineStr">
        <is>
          <t xml:space="preserve">small_craft</t>
        </is>
      </c>
      <c r="E1139" s="0" t="inlineStr">
        <is>
          <t xml:space="preserve">L3 TECHNOLOGIES, INC.</t>
        </is>
      </c>
      <c r="F1139" s="0" t="inlineStr">
        <is>
          <t xml:space="preserve">C</t>
        </is>
      </c>
      <c r="G1139" s="4">
        <v>0.03136304</v>
      </c>
      <c r="H1139" s="0" t="inlineStr">
        <is>
          <t xml:space="preserve">2022-04-13</t>
        </is>
      </c>
      <c r="I1139" s="0" t="inlineStr">
        <is>
          <t xml:space="preserve">no</t>
        </is>
      </c>
      <c r="K1139" s="0" t="inlineStr">
        <is>
          <t xml:space="preserve">NONE</t>
        </is>
      </c>
    </row>
    <row r="1140">
      <c r="B1140" s="0" t="inlineStr">
        <is>
          <t xml:space="preserve">N0010421PEF14</t>
        </is>
      </c>
      <c r="D1140" s="0" t="inlineStr">
        <is>
          <t xml:space="preserve">small_craft</t>
        </is>
      </c>
      <c r="E1140" s="0" t="inlineStr">
        <is>
          <t xml:space="preserve">DUTCH VALLEY SUPPLY CO.</t>
        </is>
      </c>
      <c r="F1140" s="0" t="inlineStr">
        <is>
          <t xml:space="preserve">B</t>
        </is>
      </c>
      <c r="G1140" s="4">
        <v>0.0312254</v>
      </c>
      <c r="H1140" s="0" t="inlineStr">
        <is>
          <t xml:space="preserve">2021-06-24</t>
        </is>
      </c>
      <c r="I1140" s="0" t="inlineStr">
        <is>
          <t xml:space="preserve">no</t>
        </is>
      </c>
      <c r="K1140" s="0" t="inlineStr">
        <is>
          <t xml:space="preserve">NONE</t>
        </is>
      </c>
    </row>
    <row r="1141">
      <c r="B1141" s="0" t="inlineStr">
        <is>
          <t xml:space="preserve">N4044207P5460</t>
        </is>
      </c>
      <c r="D1141" s="0" t="inlineStr">
        <is>
          <t xml:space="preserve">other_small</t>
        </is>
      </c>
      <c r="E1141" s="0" t="inlineStr">
        <is>
          <t xml:space="preserve">A W CHESTERTON CO</t>
        </is>
      </c>
      <c r="F1141" s="0" t="inlineStr">
        <is>
          <t xml:space="preserve">B</t>
        </is>
      </c>
      <c r="G1141" s="4">
        <v>0.031224599999999998</v>
      </c>
      <c r="H1141" s="0" t="inlineStr">
        <is>
          <t xml:space="preserve">2007-04-03</t>
        </is>
      </c>
      <c r="I1141" s="0" t="inlineStr">
        <is>
          <t xml:space="preserve">no</t>
        </is>
      </c>
      <c r="K1141" s="0" t="inlineStr">
        <is>
          <t xml:space="preserve">NONE</t>
        </is>
      </c>
    </row>
    <row r="1142">
      <c r="B1142" s="0" t="inlineStr">
        <is>
          <t xml:space="preserve">N0010422PDA40</t>
        </is>
      </c>
      <c r="D1142" s="0" t="inlineStr">
        <is>
          <t xml:space="preserve">small_craft</t>
        </is>
      </c>
      <c r="E1142" s="0" t="inlineStr">
        <is>
          <t xml:space="preserve">CONTINENTAL TIDE DEFENSE SYSTEMS, INC.</t>
        </is>
      </c>
      <c r="F1142" s="0" t="inlineStr">
        <is>
          <t xml:space="preserve">B</t>
        </is>
      </c>
      <c r="G1142" s="4">
        <v>0.03107755</v>
      </c>
      <c r="H1142" s="0" t="inlineStr">
        <is>
          <t xml:space="preserve">2021-10-29</t>
        </is>
      </c>
      <c r="I1142" s="0" t="inlineStr">
        <is>
          <t xml:space="preserve">no</t>
        </is>
      </c>
      <c r="K1142" s="0" t="inlineStr">
        <is>
          <t xml:space="preserve">NONE</t>
        </is>
      </c>
    </row>
    <row r="1143">
      <c r="B1143" s="0" t="inlineStr">
        <is>
          <t xml:space="preserve">N0018915P1253</t>
        </is>
      </c>
      <c r="D1143" s="0" t="inlineStr">
        <is>
          <t xml:space="preserve">small_craft</t>
        </is>
      </c>
      <c r="E1143" s="0" t="inlineStr">
        <is>
          <t xml:space="preserve">CENTRAL FLORIDA YAMAHA INC</t>
        </is>
      </c>
      <c r="F1143" s="0" t="inlineStr">
        <is>
          <t xml:space="preserve">B</t>
        </is>
      </c>
      <c r="G1143" s="4">
        <v>0.031016669999999996</v>
      </c>
      <c r="H1143" s="0" t="inlineStr">
        <is>
          <t xml:space="preserve">2015-09-11</t>
        </is>
      </c>
      <c r="I1143" s="0" t="inlineStr">
        <is>
          <t xml:space="preserve">no</t>
        </is>
      </c>
      <c r="J1143" s="0" t="inlineStr">
        <is>
          <t xml:space="preserve">N0018915T0337</t>
        </is>
      </c>
      <c r="K1143" s="0" t="inlineStr">
        <is>
          <t xml:space="preserve">NONE</t>
        </is>
      </c>
    </row>
    <row r="1144">
      <c r="B1144" s="0" t="inlineStr">
        <is>
          <t xml:space="preserve">N0024420P0019</t>
        </is>
      </c>
      <c r="D1144" s="0" t="inlineStr">
        <is>
          <t xml:space="preserve">small_craft</t>
        </is>
      </c>
      <c r="E1144" s="0" t="inlineStr">
        <is>
          <t xml:space="preserve">WELIN LAMBIE LIMITED</t>
        </is>
      </c>
      <c r="F1144" s="0" t="inlineStr">
        <is>
          <t xml:space="preserve">B</t>
        </is>
      </c>
      <c r="G1144" s="4">
        <v>0.03091845</v>
      </c>
      <c r="H1144" s="0" t="inlineStr">
        <is>
          <t xml:space="preserve">2019-11-07</t>
        </is>
      </c>
      <c r="I1144" s="0" t="inlineStr">
        <is>
          <t xml:space="preserve">no</t>
        </is>
      </c>
      <c r="J1144" s="0" t="inlineStr">
        <is>
          <t xml:space="preserve">N0024420Q0013</t>
        </is>
      </c>
      <c r="K1144" s="0" t="inlineStr">
        <is>
          <t xml:space="preserve">NONE</t>
        </is>
      </c>
    </row>
    <row r="1145">
      <c r="B1145" s="0" t="inlineStr">
        <is>
          <t xml:space="preserve">M6785417P1243</t>
        </is>
      </c>
      <c r="D1145" s="0" t="inlineStr">
        <is>
          <t xml:space="preserve">small_craft</t>
        </is>
      </c>
      <c r="E1145" s="0" t="inlineStr">
        <is>
          <t xml:space="preserve">STIDD SYSTEMS, INC.</t>
        </is>
      </c>
      <c r="F1145" s="0" t="inlineStr">
        <is>
          <t xml:space="preserve">B</t>
        </is>
      </c>
      <c r="G1145" s="4">
        <v>0.030831849999999997</v>
      </c>
      <c r="H1145" s="0" t="inlineStr">
        <is>
          <t xml:space="preserve">2017-07-31</t>
        </is>
      </c>
      <c r="I1145" s="0" t="inlineStr">
        <is>
          <t xml:space="preserve">no</t>
        </is>
      </c>
      <c r="J1145" s="0" t="inlineStr">
        <is>
          <t xml:space="preserve">M6785417Q1243</t>
        </is>
      </c>
      <c r="K1145" s="0" t="inlineStr">
        <is>
          <t xml:space="preserve">NONE</t>
        </is>
      </c>
    </row>
    <row r="1146">
      <c r="B1146" s="0" t="inlineStr">
        <is>
          <t xml:space="preserve">N0010425PUB87</t>
        </is>
      </c>
      <c r="D1146" s="0" t="inlineStr">
        <is>
          <t xml:space="preserve">small_craft</t>
        </is>
      </c>
      <c r="E1146" s="0" t="inlineStr">
        <is>
          <t xml:space="preserve">NORTHROP GRUMMAN SYSTEMS CORPORATION</t>
        </is>
      </c>
      <c r="F1146" s="0" t="inlineStr">
        <is>
          <t xml:space="preserve">B</t>
        </is>
      </c>
      <c r="G1146" s="4">
        <v>0.03057954</v>
      </c>
      <c r="H1146" s="0" t="inlineStr">
        <is>
          <t xml:space="preserve">2025-05-12</t>
        </is>
      </c>
      <c r="I1146" s="0" t="inlineStr">
        <is>
          <t xml:space="preserve">no</t>
        </is>
      </c>
      <c r="K1146" s="0" t="inlineStr">
        <is>
          <t xml:space="preserve">NONE</t>
        </is>
      </c>
    </row>
    <row r="1147">
      <c r="B1147" s="0" t="inlineStr">
        <is>
          <t xml:space="preserve">N0010424PEE53</t>
        </is>
      </c>
      <c r="D1147" s="0" t="inlineStr">
        <is>
          <t xml:space="preserve">small_craft</t>
        </is>
      </c>
      <c r="E1147" s="0" t="inlineStr">
        <is>
          <t xml:space="preserve">GAFFEL EQUIPMENT</t>
        </is>
      </c>
      <c r="F1147" s="0" t="inlineStr">
        <is>
          <t xml:space="preserve">B</t>
        </is>
      </c>
      <c r="G1147" s="4">
        <v>0.03051</v>
      </c>
      <c r="H1147" s="0" t="inlineStr">
        <is>
          <t xml:space="preserve">2024-08-27</t>
        </is>
      </c>
      <c r="I1147" s="0" t="inlineStr">
        <is>
          <t xml:space="preserve">no</t>
        </is>
      </c>
      <c r="J1147" s="0" t="inlineStr">
        <is>
          <t xml:space="preserve">N0010424QBY49</t>
        </is>
      </c>
      <c r="K1147" s="0" t="inlineStr">
        <is>
          <t xml:space="preserve">NONE</t>
        </is>
      </c>
    </row>
    <row r="1148">
      <c r="B1148" s="0" t="inlineStr">
        <is>
          <t xml:space="preserve">N6600117P6864</t>
        </is>
      </c>
      <c r="D1148" s="0" t="inlineStr">
        <is>
          <t xml:space="preserve">small_craft</t>
        </is>
      </c>
      <c r="E1148" s="0" t="inlineStr">
        <is>
          <t xml:space="preserve">MAURER MARINE, INC.</t>
        </is>
      </c>
      <c r="F1148" s="0" t="inlineStr">
        <is>
          <t xml:space="preserve">B</t>
        </is>
      </c>
      <c r="G1148" s="4">
        <v>0.030488499999999998</v>
      </c>
      <c r="H1148" s="0" t="inlineStr">
        <is>
          <t xml:space="preserve">2017-06-26</t>
        </is>
      </c>
      <c r="I1148" s="0" t="inlineStr">
        <is>
          <t xml:space="preserve">no</t>
        </is>
      </c>
      <c r="J1148" s="0" t="inlineStr">
        <is>
          <t xml:space="preserve">N6600117Q6856</t>
        </is>
      </c>
      <c r="K1148" s="0" t="inlineStr">
        <is>
          <t xml:space="preserve">NONE</t>
        </is>
      </c>
    </row>
    <row r="1149">
      <c r="B1149" s="0" t="inlineStr">
        <is>
          <t xml:space="preserve">N0010424PZB22</t>
        </is>
      </c>
      <c r="D1149" s="0" t="inlineStr">
        <is>
          <t xml:space="preserve">small_craft</t>
        </is>
      </c>
      <c r="E1149" s="0" t="inlineStr">
        <is>
          <t xml:space="preserve">MAROTTA CONTROLS INC</t>
        </is>
      </c>
      <c r="F1149" s="0" t="inlineStr">
        <is>
          <t xml:space="preserve">B</t>
        </is>
      </c>
      <c r="G1149" s="4">
        <v>0.03042</v>
      </c>
      <c r="H1149" s="0" t="inlineStr">
        <is>
          <t xml:space="preserve">2024-08-28</t>
        </is>
      </c>
      <c r="I1149" s="0" t="inlineStr">
        <is>
          <t xml:space="preserve">no</t>
        </is>
      </c>
      <c r="K1149" s="0" t="inlineStr">
        <is>
          <t xml:space="preserve">NONE</t>
        </is>
      </c>
    </row>
    <row r="1150">
      <c r="B1150" s="0" t="inlineStr">
        <is>
          <t xml:space="preserve">N0040619P0498</t>
        </is>
      </c>
      <c r="D1150" s="0" t="inlineStr">
        <is>
          <t xml:space="preserve">small_craft</t>
        </is>
      </c>
      <c r="E1150" s="0" t="inlineStr">
        <is>
          <t xml:space="preserve">ADVANTEC MANUFACTURING USA, INC.</t>
        </is>
      </c>
      <c r="F1150" s="0" t="inlineStr">
        <is>
          <t xml:space="preserve">B</t>
        </is>
      </c>
      <c r="G1150" s="4">
        <v>0.03036744</v>
      </c>
      <c r="H1150" s="0" t="inlineStr">
        <is>
          <t xml:space="preserve">2019-08-19</t>
        </is>
      </c>
      <c r="I1150" s="0" t="inlineStr">
        <is>
          <t xml:space="preserve">no</t>
        </is>
      </c>
      <c r="J1150" s="0" t="inlineStr">
        <is>
          <t xml:space="preserve">N0040619Q0262</t>
        </is>
      </c>
      <c r="K1150" s="0" t="inlineStr">
        <is>
          <t xml:space="preserve">NONE</t>
        </is>
      </c>
    </row>
    <row r="1151">
      <c r="B1151" s="0" t="inlineStr">
        <is>
          <t xml:space="preserve">N0060417P4047</t>
        </is>
      </c>
      <c r="D1151" s="0" t="inlineStr">
        <is>
          <t xml:space="preserve">small_craft</t>
        </is>
      </c>
      <c r="E1151" s="0" t="inlineStr">
        <is>
          <t xml:space="preserve">ZODIAC OF NORTH AMERICA, INC.</t>
        </is>
      </c>
      <c r="F1151" s="0" t="inlineStr">
        <is>
          <t xml:space="preserve">B</t>
        </is>
      </c>
      <c r="G1151" s="4">
        <v>0.03027656</v>
      </c>
      <c r="H1151" s="0" t="inlineStr">
        <is>
          <t xml:space="preserve">2017-04-10</t>
        </is>
      </c>
      <c r="I1151" s="0" t="inlineStr">
        <is>
          <t xml:space="preserve">no</t>
        </is>
      </c>
      <c r="J1151" s="0" t="inlineStr">
        <is>
          <t xml:space="preserve">N0060417Q4010</t>
        </is>
      </c>
      <c r="K1151" s="0" t="inlineStr">
        <is>
          <t xml:space="preserve">NONE</t>
        </is>
      </c>
    </row>
    <row r="1152">
      <c r="B1152" s="0" t="inlineStr">
        <is>
          <t xml:space="preserve">N3220517F1150</t>
        </is>
      </c>
      <c r="C1152" s="0" t="inlineStr">
        <is>
          <t xml:space="preserve">N3220517D4700</t>
        </is>
      </c>
      <c r="D1152" s="0" t="inlineStr">
        <is>
          <t xml:space="preserve">other_small</t>
        </is>
      </c>
      <c r="E1152" s="0" t="inlineStr">
        <is>
          <t xml:space="preserve">LAKE SHORE SYSTEMS, INC.</t>
        </is>
      </c>
      <c r="F1152" s="0" t="inlineStr">
        <is>
          <t xml:space="preserve">C</t>
        </is>
      </c>
      <c r="G1152" s="4">
        <v>0.030239</v>
      </c>
      <c r="H1152" s="0" t="inlineStr">
        <is>
          <t xml:space="preserve">2017-08-18</t>
        </is>
      </c>
      <c r="I1152" s="0" t="inlineStr">
        <is>
          <t xml:space="preserve">no</t>
        </is>
      </c>
      <c r="K1152" s="0" t="inlineStr">
        <is>
          <t xml:space="preserve">NONE</t>
        </is>
      </c>
    </row>
    <row r="1153">
      <c r="B1153" s="0" t="inlineStr">
        <is>
          <t xml:space="preserve">0010</t>
        </is>
      </c>
      <c r="C1153" s="0" t="inlineStr">
        <is>
          <t xml:space="preserve">N3220517D4700</t>
        </is>
      </c>
      <c r="D1153" s="0" t="inlineStr">
        <is>
          <t xml:space="preserve">other_small</t>
        </is>
      </c>
      <c r="E1153" s="0" t="inlineStr">
        <is>
          <t xml:space="preserve">LAKE SHORE SYSTEMS, INC.</t>
        </is>
      </c>
      <c r="F1153" s="0" t="inlineStr">
        <is>
          <t xml:space="preserve">C</t>
        </is>
      </c>
      <c r="G1153" s="4">
        <v>0.030239</v>
      </c>
      <c r="H1153" s="0" t="inlineStr">
        <is>
          <t xml:space="preserve">2017-02-27</t>
        </is>
      </c>
      <c r="I1153" s="0" t="inlineStr">
        <is>
          <t xml:space="preserve">no</t>
        </is>
      </c>
      <c r="K1153" s="0" t="inlineStr">
        <is>
          <t xml:space="preserve">NONE</t>
        </is>
      </c>
    </row>
    <row r="1154">
      <c r="B1154" s="0" t="inlineStr">
        <is>
          <t xml:space="preserve">N0010423FY704</t>
        </is>
      </c>
      <c r="C1154" s="0" t="inlineStr">
        <is>
          <t xml:space="preserve">N0010422GY701</t>
        </is>
      </c>
      <c r="D1154" s="0" t="inlineStr">
        <is>
          <t xml:space="preserve">small_craft</t>
        </is>
      </c>
      <c r="E1154" s="0" t="inlineStr">
        <is>
          <t xml:space="preserve">L3 TECHNOLOGIES, INC.</t>
        </is>
      </c>
      <c r="F1154" s="0" t="inlineStr">
        <is>
          <t xml:space="preserve">C</t>
        </is>
      </c>
      <c r="G1154" s="4">
        <v>0.030199999999999998</v>
      </c>
      <c r="H1154" s="0" t="inlineStr">
        <is>
          <t xml:space="preserve">2022-12-27</t>
        </is>
      </c>
      <c r="I1154" s="0" t="inlineStr">
        <is>
          <t xml:space="preserve">no</t>
        </is>
      </c>
      <c r="K1154" s="0" t="inlineStr">
        <is>
          <t xml:space="preserve">NONE</t>
        </is>
      </c>
    </row>
    <row r="1155">
      <c r="B1155" s="0" t="inlineStr">
        <is>
          <t xml:space="preserve">N0010421PLC06</t>
        </is>
      </c>
      <c r="D1155" s="0" t="inlineStr">
        <is>
          <t xml:space="preserve">small_craft</t>
        </is>
      </c>
      <c r="E1155" s="0" t="inlineStr">
        <is>
          <t xml:space="preserve">L3HARRIS TECHNOLOGIES, INC</t>
        </is>
      </c>
      <c r="F1155" s="0" t="inlineStr">
        <is>
          <t xml:space="preserve">B</t>
        </is>
      </c>
      <c r="G1155" s="4">
        <v>0.030192</v>
      </c>
      <c r="H1155" s="0" t="inlineStr">
        <is>
          <t xml:space="preserve">2021-08-05</t>
        </is>
      </c>
      <c r="I1155" s="0" t="inlineStr">
        <is>
          <t xml:space="preserve">no</t>
        </is>
      </c>
      <c r="J1155" s="0" t="inlineStr">
        <is>
          <t xml:space="preserve">N0010421QLA03</t>
        </is>
      </c>
      <c r="K1155" s="0" t="inlineStr">
        <is>
          <t xml:space="preserve">NONE</t>
        </is>
      </c>
    </row>
    <row r="1156">
      <c r="B1156" s="0" t="inlineStr">
        <is>
          <t xml:space="preserve">0013</t>
        </is>
      </c>
      <c r="C1156" s="0" t="inlineStr">
        <is>
          <t xml:space="preserve">N6230613D9S01</t>
        </is>
      </c>
      <c r="D1156" s="0" t="inlineStr">
        <is>
          <t xml:space="preserve">small_craft</t>
        </is>
      </c>
      <c r="E1156" s="0" t="inlineStr">
        <is>
          <t xml:space="preserve">SAUNDERS ENGINE &amp; EQUIPMENT CO INC</t>
        </is>
      </c>
      <c r="F1156" s="0" t="inlineStr">
        <is>
          <t xml:space="preserve">C</t>
        </is>
      </c>
      <c r="G1156" s="4">
        <v>0.03003765</v>
      </c>
      <c r="H1156" s="0" t="inlineStr">
        <is>
          <t xml:space="preserve">2015-03-06</t>
        </is>
      </c>
      <c r="I1156" s="0" t="inlineStr">
        <is>
          <t xml:space="preserve">no</t>
        </is>
      </c>
      <c r="J1156" s="0" t="inlineStr">
        <is>
          <t xml:space="preserve">N6230612R9S01</t>
        </is>
      </c>
      <c r="K1156" s="0" t="inlineStr">
        <is>
          <t xml:space="preserve">NONE</t>
        </is>
      </c>
    </row>
    <row r="1157">
      <c r="B1157" s="0" t="inlineStr">
        <is>
          <t xml:space="preserve">N0040622P0650</t>
        </is>
      </c>
      <c r="D1157" s="0" t="inlineStr">
        <is>
          <t xml:space="preserve">small_craft</t>
        </is>
      </c>
      <c r="E1157" s="0" t="inlineStr">
        <is>
          <t xml:space="preserve">J. W. MARINE EQUIPMENT, INC.</t>
        </is>
      </c>
      <c r="F1157" s="0" t="inlineStr">
        <is>
          <t xml:space="preserve">B</t>
        </is>
      </c>
      <c r="G1157" s="4">
        <v>0.02984412</v>
      </c>
      <c r="H1157" s="0" t="inlineStr">
        <is>
          <t xml:space="preserve">2022-07-20</t>
        </is>
      </c>
      <c r="I1157" s="0" t="inlineStr">
        <is>
          <t xml:space="preserve">no</t>
        </is>
      </c>
      <c r="J1157" s="0" t="inlineStr">
        <is>
          <t xml:space="preserve">N0040622Q0615</t>
        </is>
      </c>
      <c r="K1157" s="0" t="inlineStr">
        <is>
          <t xml:space="preserve">NONE</t>
        </is>
      </c>
    </row>
    <row r="1158">
      <c r="B1158" s="0" t="inlineStr">
        <is>
          <t xml:space="preserve">N0010421PLC04</t>
        </is>
      </c>
      <c r="D1158" s="0" t="inlineStr">
        <is>
          <t xml:space="preserve">small_craft</t>
        </is>
      </c>
      <c r="E1158" s="0" t="inlineStr">
        <is>
          <t xml:space="preserve">LARRY E. WILBUR</t>
        </is>
      </c>
      <c r="F1158" s="0" t="inlineStr">
        <is>
          <t xml:space="preserve">B</t>
        </is>
      </c>
      <c r="G1158" s="4">
        <v>0.029775</v>
      </c>
      <c r="H1158" s="0" t="inlineStr">
        <is>
          <t xml:space="preserve">2021-09-13</t>
        </is>
      </c>
      <c r="I1158" s="0" t="inlineStr">
        <is>
          <t xml:space="preserve">no</t>
        </is>
      </c>
      <c r="J1158" s="0" t="inlineStr">
        <is>
          <t xml:space="preserve">N0010421QLC00</t>
        </is>
      </c>
      <c r="K1158" s="0" t="inlineStr">
        <is>
          <t xml:space="preserve">NONE</t>
        </is>
      </c>
    </row>
    <row r="1159">
      <c r="B1159" s="0" t="inlineStr">
        <is>
          <t xml:space="preserve">N0010422PLD00</t>
        </is>
      </c>
      <c r="D1159" s="0" t="inlineStr">
        <is>
          <t xml:space="preserve">small_craft</t>
        </is>
      </c>
      <c r="E1159" s="0" t="inlineStr">
        <is>
          <t xml:space="preserve">GLOBAL INCORPORATED</t>
        </is>
      </c>
      <c r="F1159" s="0" t="inlineStr">
        <is>
          <t xml:space="preserve">B</t>
        </is>
      </c>
      <c r="G1159" s="4">
        <v>0.02976913</v>
      </c>
      <c r="H1159" s="0" t="inlineStr">
        <is>
          <t xml:space="preserve">2022-07-05</t>
        </is>
      </c>
      <c r="I1159" s="0" t="inlineStr">
        <is>
          <t xml:space="preserve">no</t>
        </is>
      </c>
      <c r="K1159" s="0" t="inlineStr">
        <is>
          <t xml:space="preserve">NONE</t>
        </is>
      </c>
    </row>
    <row r="1160">
      <c r="B1160" s="0" t="inlineStr">
        <is>
          <t xml:space="preserve">N0010424PBG16</t>
        </is>
      </c>
      <c r="D1160" s="0" t="inlineStr">
        <is>
          <t xml:space="preserve">small_craft</t>
        </is>
      </c>
      <c r="E1160" s="0" t="inlineStr">
        <is>
          <t xml:space="preserve">DUTCH VALLEY SUPPLY CO.</t>
        </is>
      </c>
      <c r="F1160" s="0" t="inlineStr">
        <is>
          <t xml:space="preserve">B</t>
        </is>
      </c>
      <c r="G1160" s="4">
        <v>0.02970056</v>
      </c>
      <c r="H1160" s="0" t="inlineStr">
        <is>
          <t xml:space="preserve">2023-12-12</t>
        </is>
      </c>
      <c r="I1160" s="0" t="inlineStr">
        <is>
          <t xml:space="preserve">no</t>
        </is>
      </c>
      <c r="K1160" s="0" t="inlineStr">
        <is>
          <t xml:space="preserve">NONE</t>
        </is>
      </c>
    </row>
    <row r="1161">
      <c r="B1161" s="0" t="inlineStr">
        <is>
          <t xml:space="preserve">N0010417PEC46</t>
        </is>
      </c>
      <c r="D1161" s="0" t="inlineStr">
        <is>
          <t xml:space="preserve">small_craft</t>
        </is>
      </c>
      <c r="E1161" s="0" t="inlineStr">
        <is>
          <t xml:space="preserve">NUFLO, INC.</t>
        </is>
      </c>
      <c r="F1161" s="0" t="inlineStr">
        <is>
          <t xml:space="preserve">B</t>
        </is>
      </c>
      <c r="G1161" s="4">
        <v>0.029699999999999997</v>
      </c>
      <c r="H1161" s="0" t="inlineStr">
        <is>
          <t xml:space="preserve">2017-04-27</t>
        </is>
      </c>
      <c r="I1161" s="0" t="inlineStr">
        <is>
          <t xml:space="preserve">no</t>
        </is>
      </c>
      <c r="K1161" s="0" t="inlineStr">
        <is>
          <t xml:space="preserve">NONE</t>
        </is>
      </c>
    </row>
    <row r="1162">
      <c r="B1162" s="0" t="inlineStr">
        <is>
          <t xml:space="preserve">N0010421PEL04</t>
        </is>
      </c>
      <c r="D1162" s="0" t="inlineStr">
        <is>
          <t xml:space="preserve">small_craft</t>
        </is>
      </c>
      <c r="E1162" s="0" t="inlineStr">
        <is>
          <t xml:space="preserve">DIBERT VALVE AND FITTING COMPANY, INCORPORATED</t>
        </is>
      </c>
      <c r="F1162" s="0" t="inlineStr">
        <is>
          <t xml:space="preserve">B</t>
        </is>
      </c>
      <c r="G1162" s="4">
        <v>0.029660669999999997</v>
      </c>
      <c r="H1162" s="0" t="inlineStr">
        <is>
          <t xml:space="preserve">2021-08-03</t>
        </is>
      </c>
      <c r="I1162" s="0" t="inlineStr">
        <is>
          <t xml:space="preserve">no</t>
        </is>
      </c>
      <c r="J1162" s="0" t="inlineStr">
        <is>
          <t xml:space="preserve">N0010420QBR73</t>
        </is>
      </c>
      <c r="K1162" s="0" t="inlineStr">
        <is>
          <t xml:space="preserve">NONE</t>
        </is>
      </c>
    </row>
    <row r="1163">
      <c r="B1163" s="0" t="inlineStr">
        <is>
          <t xml:space="preserve">N0040622P0500</t>
        </is>
      </c>
      <c r="D1163" s="0" t="inlineStr">
        <is>
          <t xml:space="preserve">small_craft</t>
        </is>
      </c>
      <c r="E1163" s="0" t="inlineStr">
        <is>
          <t xml:space="preserve">PACIFIC MARITIME INDUSTRIES CORP.</t>
        </is>
      </c>
      <c r="F1163" s="0" t="inlineStr">
        <is>
          <t xml:space="preserve">B</t>
        </is>
      </c>
      <c r="G1163" s="4">
        <v>0.0295</v>
      </c>
      <c r="H1163" s="0" t="inlineStr">
        <is>
          <t xml:space="preserve">2022-06-01</t>
        </is>
      </c>
      <c r="I1163" s="0" t="inlineStr">
        <is>
          <t xml:space="preserve">no</t>
        </is>
      </c>
      <c r="J1163" s="0" t="inlineStr">
        <is>
          <t xml:space="preserve">N0040622Q0507</t>
        </is>
      </c>
      <c r="K1163" s="0" t="inlineStr">
        <is>
          <t xml:space="preserve">NONE</t>
        </is>
      </c>
    </row>
    <row r="1164">
      <c r="B1164" s="0" t="inlineStr">
        <is>
          <t xml:space="preserve">N3220517P4331</t>
        </is>
      </c>
      <c r="D1164" s="0" t="inlineStr">
        <is>
          <t xml:space="preserve">small_craft</t>
        </is>
      </c>
      <c r="E1164" s="0" t="inlineStr">
        <is>
          <t xml:space="preserve">J. W. MARINE EQUIPMENT, INC.</t>
        </is>
      </c>
      <c r="F1164" s="0" t="inlineStr">
        <is>
          <t xml:space="preserve">B</t>
        </is>
      </c>
      <c r="G1164" s="4">
        <v>0.029435</v>
      </c>
      <c r="H1164" s="0" t="inlineStr">
        <is>
          <t xml:space="preserve">2017-04-03</t>
        </is>
      </c>
      <c r="I1164" s="0" t="inlineStr">
        <is>
          <t xml:space="preserve">no</t>
        </is>
      </c>
      <c r="J1164" s="0" t="inlineStr">
        <is>
          <t xml:space="preserve">N3220517T4331</t>
        </is>
      </c>
      <c r="K1164" s="0" t="inlineStr">
        <is>
          <t xml:space="preserve">NONE</t>
        </is>
      </c>
    </row>
    <row r="1165">
      <c r="B1165" s="0" t="inlineStr">
        <is>
          <t xml:space="preserve">N0018919P0441</t>
        </is>
      </c>
      <c r="D1165" s="0" t="inlineStr">
        <is>
          <t xml:space="preserve">small_craft</t>
        </is>
      </c>
      <c r="E1165" s="0" t="inlineStr">
        <is>
          <t xml:space="preserve">JDCI ENTERPRISES, INC.</t>
        </is>
      </c>
      <c r="F1165" s="0" t="inlineStr">
        <is>
          <t xml:space="preserve">B</t>
        </is>
      </c>
      <c r="G1165" s="4">
        <v>0.029362599999999996</v>
      </c>
      <c r="H1165" s="0" t="inlineStr">
        <is>
          <t xml:space="preserve">2019-05-31</t>
        </is>
      </c>
      <c r="I1165" s="0" t="inlineStr">
        <is>
          <t xml:space="preserve">no</t>
        </is>
      </c>
      <c r="J1165" s="0" t="inlineStr">
        <is>
          <t xml:space="preserve">N0018919Q0242</t>
        </is>
      </c>
      <c r="K1165" s="0" t="inlineStr">
        <is>
          <t xml:space="preserve">NONE</t>
        </is>
      </c>
    </row>
    <row r="1166">
      <c r="B1166" s="0" t="inlineStr">
        <is>
          <t xml:space="preserve">N0010424PDC51</t>
        </is>
      </c>
      <c r="D1166" s="0" t="inlineStr">
        <is>
          <t xml:space="preserve">small_craft</t>
        </is>
      </c>
      <c r="E1166" s="0" t="inlineStr">
        <is>
          <t xml:space="preserve">EVAC NORTH AMERICA INC</t>
        </is>
      </c>
      <c r="F1166" s="0" t="inlineStr">
        <is>
          <t xml:space="preserve">B</t>
        </is>
      </c>
      <c r="G1166" s="4">
        <v>0.029325</v>
      </c>
      <c r="H1166" s="0" t="inlineStr">
        <is>
          <t xml:space="preserve">2024-09-04</t>
        </is>
      </c>
      <c r="I1166" s="0" t="inlineStr">
        <is>
          <t xml:space="preserve">no</t>
        </is>
      </c>
      <c r="K1166" s="0" t="inlineStr">
        <is>
          <t xml:space="preserve">NONE</t>
        </is>
      </c>
    </row>
    <row r="1167">
      <c r="B1167" s="0" t="inlineStr">
        <is>
          <t xml:space="preserve">N3220515P3707</t>
        </is>
      </c>
      <c r="D1167" s="0" t="inlineStr">
        <is>
          <t xml:space="preserve">small_craft</t>
        </is>
      </c>
      <c r="E1167" s="0" t="inlineStr">
        <is>
          <t xml:space="preserve">MOTOR-SERVICES HUGO STAMP, INC</t>
        </is>
      </c>
      <c r="F1167" s="0" t="inlineStr">
        <is>
          <t xml:space="preserve">B</t>
        </is>
      </c>
      <c r="G1167" s="4">
        <v>0.029314999999999997</v>
      </c>
      <c r="H1167" s="0" t="inlineStr">
        <is>
          <t xml:space="preserve">2015-07-07</t>
        </is>
      </c>
      <c r="I1167" s="0" t="inlineStr">
        <is>
          <t xml:space="preserve">no</t>
        </is>
      </c>
      <c r="K1167" s="0" t="inlineStr">
        <is>
          <t xml:space="preserve">NONE</t>
        </is>
      </c>
    </row>
    <row r="1168">
      <c r="B1168" s="0" t="inlineStr">
        <is>
          <t xml:space="preserve">N0040623P0704</t>
        </is>
      </c>
      <c r="D1168" s="0" t="inlineStr">
        <is>
          <t xml:space="preserve">small_craft</t>
        </is>
      </c>
      <c r="E1168" s="0" t="inlineStr">
        <is>
          <t xml:space="preserve">FASSMER SERVICE AMERICA LLC</t>
        </is>
      </c>
      <c r="F1168" s="0" t="inlineStr">
        <is>
          <t xml:space="preserve">B</t>
        </is>
      </c>
      <c r="G1168" s="4">
        <v>0.0293</v>
      </c>
      <c r="H1168" s="0" t="inlineStr">
        <is>
          <t xml:space="preserve">2023-07-26</t>
        </is>
      </c>
      <c r="I1168" s="0" t="inlineStr">
        <is>
          <t xml:space="preserve">no</t>
        </is>
      </c>
      <c r="J1168" s="0" t="inlineStr">
        <is>
          <t xml:space="preserve">N0040623Q0773</t>
        </is>
      </c>
      <c r="K1168" s="0" t="inlineStr">
        <is>
          <t xml:space="preserve">NONE</t>
        </is>
      </c>
    </row>
    <row r="1169">
      <c r="B1169" s="0" t="inlineStr">
        <is>
          <t xml:space="preserve">N6893615P0727</t>
        </is>
      </c>
      <c r="D1169" s="0" t="inlineStr">
        <is>
          <t xml:space="preserve">small_craft</t>
        </is>
      </c>
      <c r="E1169" s="0" t="inlineStr">
        <is>
          <t xml:space="preserve">WILSON PONTOONS INC</t>
        </is>
      </c>
      <c r="F1169" s="0" t="inlineStr">
        <is>
          <t xml:space="preserve">B</t>
        </is>
      </c>
      <c r="G1169" s="4">
        <v>0.02915</v>
      </c>
      <c r="H1169" s="0" t="inlineStr">
        <is>
          <t xml:space="preserve">2015-08-30</t>
        </is>
      </c>
      <c r="I1169" s="0" t="inlineStr">
        <is>
          <t xml:space="preserve">no</t>
        </is>
      </c>
      <c r="J1169" s="0" t="inlineStr">
        <is>
          <t xml:space="preserve">N6893615T0264</t>
        </is>
      </c>
      <c r="K1169" s="0" t="inlineStr">
        <is>
          <t xml:space="preserve">NONE</t>
        </is>
      </c>
    </row>
    <row r="1170">
      <c r="B1170" s="0" t="inlineStr">
        <is>
          <t xml:space="preserve">N3220517P4309</t>
        </is>
      </c>
      <c r="D1170" s="0" t="inlineStr">
        <is>
          <t xml:space="preserve">small_craft</t>
        </is>
      </c>
      <c r="E1170" s="0" t="inlineStr">
        <is>
          <t xml:space="preserve">J. W. MARINE EQUIPMENT, INC.</t>
        </is>
      </c>
      <c r="F1170" s="0" t="inlineStr">
        <is>
          <t xml:space="preserve">B</t>
        </is>
      </c>
      <c r="G1170" s="4">
        <v>0.02914</v>
      </c>
      <c r="H1170" s="0" t="inlineStr">
        <is>
          <t xml:space="preserve">2017-03-17</t>
        </is>
      </c>
      <c r="I1170" s="0" t="inlineStr">
        <is>
          <t xml:space="preserve">no</t>
        </is>
      </c>
      <c r="J1170" s="0" t="inlineStr">
        <is>
          <t xml:space="preserve">N3220517T4309</t>
        </is>
      </c>
      <c r="K1170" s="0" t="inlineStr">
        <is>
          <t xml:space="preserve">NONE</t>
        </is>
      </c>
    </row>
    <row r="1171">
      <c r="B1171" s="0" t="inlineStr">
        <is>
          <t xml:space="preserve">N0010418PFF44</t>
        </is>
      </c>
      <c r="D1171" s="0" t="inlineStr">
        <is>
          <t xml:space="preserve">small_craft</t>
        </is>
      </c>
      <c r="E1171" s="0" t="inlineStr">
        <is>
          <t xml:space="preserve">CURTISS-WRIGHT ELECTRO-MECHANICAL CORPORATION</t>
        </is>
      </c>
      <c r="F1171" s="0" t="inlineStr">
        <is>
          <t xml:space="preserve">B</t>
        </is>
      </c>
      <c r="G1171" s="4">
        <v>0.029068999999999998</v>
      </c>
      <c r="H1171" s="0" t="inlineStr">
        <is>
          <t xml:space="preserve">2018-05-11</t>
        </is>
      </c>
      <c r="I1171" s="0" t="inlineStr">
        <is>
          <t xml:space="preserve">no</t>
        </is>
      </c>
      <c r="K1171" s="0" t="inlineStr">
        <is>
          <t xml:space="preserve">NONE</t>
        </is>
      </c>
    </row>
    <row r="1172">
      <c r="B1172" s="0" t="inlineStr">
        <is>
          <t xml:space="preserve">N6146316FN001</t>
        </is>
      </c>
      <c r="C1172" s="0" t="inlineStr">
        <is>
          <t xml:space="preserve">N0003312D2100</t>
        </is>
      </c>
      <c r="D1172" s="0" t="inlineStr">
        <is>
          <t xml:space="preserve">other_small</t>
        </is>
      </c>
      <c r="E1172" s="0" t="inlineStr">
        <is>
          <t xml:space="preserve">MCALLISTER TOWING OF VIRGINIA INC</t>
        </is>
      </c>
      <c r="F1172" s="0" t="inlineStr">
        <is>
          <t xml:space="preserve">C</t>
        </is>
      </c>
      <c r="G1172" s="4">
        <v>0.029065499999999998</v>
      </c>
      <c r="H1172" s="0" t="inlineStr">
        <is>
          <t xml:space="preserve">2015-10-01</t>
        </is>
      </c>
      <c r="I1172" s="0" t="inlineStr">
        <is>
          <t xml:space="preserve">no</t>
        </is>
      </c>
      <c r="J1172" s="0" t="inlineStr">
        <is>
          <t xml:space="preserve">N0003312R2100</t>
        </is>
      </c>
      <c r="K1172" s="0" t="inlineStr">
        <is>
          <t xml:space="preserve">NONE</t>
        </is>
      </c>
    </row>
    <row r="1173">
      <c r="B1173" s="0" t="inlineStr">
        <is>
          <t xml:space="preserve">N3220519P4535</t>
        </is>
      </c>
      <c r="D1173" s="0" t="inlineStr">
        <is>
          <t xml:space="preserve">small_craft</t>
        </is>
      </c>
      <c r="E1173" s="0" t="inlineStr">
        <is>
          <t xml:space="preserve">FASSMER SERVICE AMERICA LLC</t>
        </is>
      </c>
      <c r="F1173" s="0" t="inlineStr">
        <is>
          <t xml:space="preserve">B</t>
        </is>
      </c>
      <c r="G1173" s="4">
        <v>0.029054049999999998</v>
      </c>
      <c r="H1173" s="0" t="inlineStr">
        <is>
          <t xml:space="preserve">2019-02-08</t>
        </is>
      </c>
      <c r="I1173" s="0" t="inlineStr">
        <is>
          <t xml:space="preserve">no</t>
        </is>
      </c>
      <c r="J1173" s="0" t="inlineStr">
        <is>
          <t xml:space="preserve">N3220519Q4535</t>
        </is>
      </c>
      <c r="K1173" s="0" t="inlineStr">
        <is>
          <t xml:space="preserve">NONE</t>
        </is>
      </c>
    </row>
    <row r="1174">
      <c r="B1174" s="0" t="inlineStr">
        <is>
          <t xml:space="preserve">N0010421PCD53</t>
        </is>
      </c>
      <c r="D1174" s="0" t="inlineStr">
        <is>
          <t xml:space="preserve">small_craft</t>
        </is>
      </c>
      <c r="E1174" s="0" t="inlineStr">
        <is>
          <t xml:space="preserve">TRIMAN INDUSTRIES INC</t>
        </is>
      </c>
      <c r="F1174" s="0" t="inlineStr">
        <is>
          <t xml:space="preserve">B</t>
        </is>
      </c>
      <c r="G1174" s="4">
        <v>0.029013599999999997</v>
      </c>
      <c r="H1174" s="0" t="inlineStr">
        <is>
          <t xml:space="preserve">2021-07-30</t>
        </is>
      </c>
      <c r="I1174" s="0" t="inlineStr">
        <is>
          <t xml:space="preserve">no</t>
        </is>
      </c>
      <c r="K1174" s="0" t="inlineStr">
        <is>
          <t xml:space="preserve">NONE</t>
        </is>
      </c>
    </row>
    <row r="1175">
      <c r="B1175" s="0" t="inlineStr">
        <is>
          <t xml:space="preserve">N0010421PCF85</t>
        </is>
      </c>
      <c r="D1175" s="0" t="inlineStr">
        <is>
          <t xml:space="preserve">small_craft</t>
        </is>
      </c>
      <c r="E1175" s="0" t="inlineStr">
        <is>
          <t xml:space="preserve">EASTERN INDUSTRIAL PRODUCTS, INC.</t>
        </is>
      </c>
      <c r="F1175" s="0" t="inlineStr">
        <is>
          <t xml:space="preserve">B</t>
        </is>
      </c>
      <c r="G1175" s="4">
        <v>0.028957999999999998</v>
      </c>
      <c r="H1175" s="0" t="inlineStr">
        <is>
          <t xml:space="preserve">2021-09-24</t>
        </is>
      </c>
      <c r="I1175" s="0" t="inlineStr">
        <is>
          <t xml:space="preserve">no</t>
        </is>
      </c>
      <c r="K1175" s="0" t="inlineStr">
        <is>
          <t xml:space="preserve">NONE</t>
        </is>
      </c>
    </row>
    <row r="1176">
      <c r="B1176" s="0" t="inlineStr">
        <is>
          <t xml:space="preserve">N6883623P0161</t>
        </is>
      </c>
      <c r="D1176" s="0" t="inlineStr">
        <is>
          <t xml:space="preserve">small_craft</t>
        </is>
      </c>
      <c r="E1176" s="0" t="inlineStr">
        <is>
          <t xml:space="preserve">SOCAL MARITIME SUPPORT LLC</t>
        </is>
      </c>
      <c r="F1176" s="0" t="inlineStr">
        <is>
          <t xml:space="preserve">B</t>
        </is>
      </c>
      <c r="G1176" s="4">
        <v>0.028932509999999998</v>
      </c>
      <c r="H1176" s="0" t="inlineStr">
        <is>
          <t xml:space="preserve">2023-05-25</t>
        </is>
      </c>
      <c r="I1176" s="0" t="inlineStr">
        <is>
          <t xml:space="preserve">no</t>
        </is>
      </c>
      <c r="K1176" s="0" t="inlineStr">
        <is>
          <t xml:space="preserve">NONE</t>
        </is>
      </c>
    </row>
    <row r="1177">
      <c r="B1177" s="0" t="inlineStr">
        <is>
          <t xml:space="preserve">N0040615F0545</t>
        </is>
      </c>
      <c r="C1177" s="0" t="inlineStr">
        <is>
          <t xml:space="preserve">GS07F0308V</t>
        </is>
      </c>
      <c r="D1177" s="0" t="inlineStr">
        <is>
          <t xml:space="preserve">small_craft</t>
        </is>
      </c>
      <c r="E1177" s="0" t="inlineStr">
        <is>
          <t xml:space="preserve">JDCI ENTERPRISES, INC.</t>
        </is>
      </c>
      <c r="F1177" s="0" t="inlineStr">
        <is>
          <t xml:space="preserve">C</t>
        </is>
      </c>
      <c r="G1177" s="4">
        <v>0.028911199999999998</v>
      </c>
      <c r="H1177" s="0" t="inlineStr">
        <is>
          <t xml:space="preserve">2015-09-11</t>
        </is>
      </c>
      <c r="I1177" s="0" t="inlineStr">
        <is>
          <t xml:space="preserve">no</t>
        </is>
      </c>
      <c r="J1177" s="0" t="inlineStr">
        <is>
          <t xml:space="preserve">N0040615T0417</t>
        </is>
      </c>
      <c r="K1177" s="0" t="inlineStr">
        <is>
          <t xml:space="preserve">NONE</t>
        </is>
      </c>
    </row>
    <row r="1178">
      <c r="B1178" s="0" t="inlineStr">
        <is>
          <t xml:space="preserve">N6600125P6106</t>
        </is>
      </c>
      <c r="D1178" s="0" t="inlineStr">
        <is>
          <t xml:space="preserve">small_craft</t>
        </is>
      </c>
      <c r="E1178" s="0" t="inlineStr">
        <is>
          <t xml:space="preserve">HYDRA MARINE LLC</t>
        </is>
      </c>
      <c r="F1178" s="0" t="inlineStr">
        <is>
          <t xml:space="preserve">B</t>
        </is>
      </c>
      <c r="G1178" s="4">
        <v>0.028834669999999996</v>
      </c>
      <c r="H1178" s="0" t="inlineStr">
        <is>
          <t xml:space="preserve">2025-03-28</t>
        </is>
      </c>
      <c r="I1178" s="0" t="inlineStr">
        <is>
          <t xml:space="preserve">no</t>
        </is>
      </c>
      <c r="J1178" s="0" t="inlineStr">
        <is>
          <t xml:space="preserve">N6600125Q6106</t>
        </is>
      </c>
      <c r="K1178" s="0" t="inlineStr">
        <is>
          <t xml:space="preserve">NONE</t>
        </is>
      </c>
    </row>
    <row r="1179">
      <c r="B1179" s="0" t="inlineStr">
        <is>
          <t xml:space="preserve">N4940016PG002</t>
        </is>
      </c>
      <c r="D1179" s="0" t="inlineStr">
        <is>
          <t xml:space="preserve">small_craft</t>
        </is>
      </c>
      <c r="E1179" s="0" t="inlineStr">
        <is>
          <t xml:space="preserve">FELMAR MAINTENANCE SERVICES</t>
        </is>
      </c>
      <c r="F1179" s="0" t="inlineStr">
        <is>
          <t xml:space="preserve">B</t>
        </is>
      </c>
      <c r="G1179" s="4">
        <v>0.0288</v>
      </c>
      <c r="H1179" s="0" t="inlineStr">
        <is>
          <t xml:space="preserve">2015-10-05</t>
        </is>
      </c>
      <c r="I1179" s="0" t="inlineStr">
        <is>
          <t xml:space="preserve">no</t>
        </is>
      </c>
      <c r="J1179" s="0" t="inlineStr">
        <is>
          <t xml:space="preserve">N4940015TB287</t>
        </is>
      </c>
      <c r="K1179" s="0" t="inlineStr">
        <is>
          <t xml:space="preserve">NONE</t>
        </is>
      </c>
    </row>
    <row r="1180">
      <c r="B1180" s="0" t="inlineStr">
        <is>
          <t xml:space="preserve">0020</t>
        </is>
      </c>
      <c r="C1180" s="0" t="inlineStr">
        <is>
          <t xml:space="preserve">N3220513D2001</t>
        </is>
      </c>
      <c r="D1180" s="0" t="inlineStr">
        <is>
          <t xml:space="preserve">other_small</t>
        </is>
      </c>
      <c r="E1180" s="0" t="inlineStr">
        <is>
          <t xml:space="preserve">AUSTAL USA, LLC</t>
        </is>
      </c>
      <c r="F1180" s="0" t="inlineStr">
        <is>
          <t xml:space="preserve">C</t>
        </is>
      </c>
      <c r="G1180" s="4">
        <v>0.02876651</v>
      </c>
      <c r="H1180" s="0" t="inlineStr">
        <is>
          <t xml:space="preserve">2015-05-27</t>
        </is>
      </c>
      <c r="I1180" s="0" t="inlineStr">
        <is>
          <t xml:space="preserve">no</t>
        </is>
      </c>
      <c r="J1180" s="0" t="inlineStr">
        <is>
          <t xml:space="preserve">N4044212R2004</t>
        </is>
      </c>
      <c r="K1180" s="0" t="inlineStr">
        <is>
          <t xml:space="preserve">NONE</t>
        </is>
      </c>
    </row>
    <row r="1181">
      <c r="B1181" s="0" t="inlineStr">
        <is>
          <t xml:space="preserve">N0010421PDC38</t>
        </is>
      </c>
      <c r="D1181" s="0" t="inlineStr">
        <is>
          <t xml:space="preserve">small_craft</t>
        </is>
      </c>
      <c r="E1181" s="0" t="inlineStr">
        <is>
          <t xml:space="preserve">R F PRODUCTS, INC</t>
        </is>
      </c>
      <c r="F1181" s="0" t="inlineStr">
        <is>
          <t xml:space="preserve">B</t>
        </is>
      </c>
      <c r="G1181" s="4">
        <v>0.02864</v>
      </c>
      <c r="H1181" s="0" t="inlineStr">
        <is>
          <t xml:space="preserve">2021-09-03</t>
        </is>
      </c>
      <c r="I1181" s="0" t="inlineStr">
        <is>
          <t xml:space="preserve">no</t>
        </is>
      </c>
      <c r="K1181" s="0" t="inlineStr">
        <is>
          <t xml:space="preserve">NONE</t>
        </is>
      </c>
    </row>
    <row r="1182">
      <c r="B1182" s="0" t="inlineStr">
        <is>
          <t xml:space="preserve">N0040623P0619</t>
        </is>
      </c>
      <c r="D1182" s="0" t="inlineStr">
        <is>
          <t xml:space="preserve">small_craft</t>
        </is>
      </c>
      <c r="E1182" s="0" t="inlineStr">
        <is>
          <t xml:space="preserve">WING INFLATABLES INC</t>
        </is>
      </c>
      <c r="F1182" s="0" t="inlineStr">
        <is>
          <t xml:space="preserve">B</t>
        </is>
      </c>
      <c r="G1182" s="4">
        <v>0.02857096</v>
      </c>
      <c r="H1182" s="0" t="inlineStr">
        <is>
          <t xml:space="preserve">2023-06-21</t>
        </is>
      </c>
      <c r="I1182" s="0" t="inlineStr">
        <is>
          <t xml:space="preserve">no</t>
        </is>
      </c>
      <c r="K1182" s="0" t="inlineStr">
        <is>
          <t xml:space="preserve">NONE</t>
        </is>
      </c>
    </row>
    <row r="1183">
      <c r="B1183" s="0" t="inlineStr">
        <is>
          <t xml:space="preserve">LH54</t>
        </is>
      </c>
      <c r="C1183" s="0" t="inlineStr">
        <is>
          <t xml:space="preserve">N0003312D2100</t>
        </is>
      </c>
      <c r="D1183" s="0" t="inlineStr">
        <is>
          <t xml:space="preserve">other_small</t>
        </is>
      </c>
      <c r="E1183" s="0" t="inlineStr">
        <is>
          <t xml:space="preserve">MCALLISTER TOWING OF VIRGINIA INC</t>
        </is>
      </c>
      <c r="F1183" s="0" t="inlineStr">
        <is>
          <t xml:space="preserve">C</t>
        </is>
      </c>
      <c r="G1183" s="4">
        <v>0.028485</v>
      </c>
      <c r="H1183" s="0" t="inlineStr">
        <is>
          <t xml:space="preserve">2016-10-08</t>
        </is>
      </c>
      <c r="I1183" s="0" t="inlineStr">
        <is>
          <t xml:space="preserve">no</t>
        </is>
      </c>
      <c r="J1183" s="0" t="inlineStr">
        <is>
          <t xml:space="preserve">N0003312R2100</t>
        </is>
      </c>
      <c r="K1183" s="0" t="inlineStr">
        <is>
          <t xml:space="preserve">NONE</t>
        </is>
      </c>
    </row>
    <row r="1184">
      <c r="B1184" s="0" t="inlineStr">
        <is>
          <t xml:space="preserve">N3220517P4725</t>
        </is>
      </c>
      <c r="D1184" s="0" t="inlineStr">
        <is>
          <t xml:space="preserve">small_craft</t>
        </is>
      </c>
      <c r="E1184" s="0" t="inlineStr">
        <is>
          <t xml:space="preserve">J. W. MARINE EQUIPMENT, INC.</t>
        </is>
      </c>
      <c r="F1184" s="0" t="inlineStr">
        <is>
          <t xml:space="preserve">B</t>
        </is>
      </c>
      <c r="G1184" s="4">
        <v>0.02846</v>
      </c>
      <c r="H1184" s="0" t="inlineStr">
        <is>
          <t xml:space="preserve">2017-06-20</t>
        </is>
      </c>
      <c r="I1184" s="0" t="inlineStr">
        <is>
          <t xml:space="preserve">no</t>
        </is>
      </c>
      <c r="J1184" s="0" t="inlineStr">
        <is>
          <t xml:space="preserve">N3220517Q4371</t>
        </is>
      </c>
      <c r="K1184" s="0" t="inlineStr">
        <is>
          <t xml:space="preserve">NONE</t>
        </is>
      </c>
    </row>
    <row r="1185">
      <c r="B1185" s="0" t="inlineStr">
        <is>
          <t xml:space="preserve">N0010421PCA62</t>
        </is>
      </c>
      <c r="D1185" s="0" t="inlineStr">
        <is>
          <t xml:space="preserve">small_craft</t>
        </is>
      </c>
      <c r="E1185" s="0" t="inlineStr">
        <is>
          <t xml:space="preserve">POWERSTAR INC</t>
        </is>
      </c>
      <c r="F1185" s="0" t="inlineStr">
        <is>
          <t xml:space="preserve">B</t>
        </is>
      </c>
      <c r="G1185" s="4">
        <v>0.0282</v>
      </c>
      <c r="H1185" s="0" t="inlineStr">
        <is>
          <t xml:space="preserve">2020-12-07</t>
        </is>
      </c>
      <c r="I1185" s="0" t="inlineStr">
        <is>
          <t xml:space="preserve">no</t>
        </is>
      </c>
      <c r="K1185" s="0" t="inlineStr">
        <is>
          <t xml:space="preserve">NONE</t>
        </is>
      </c>
    </row>
    <row r="1186">
      <c r="B1186" s="0" t="inlineStr">
        <is>
          <t xml:space="preserve">N0010418PCE98</t>
        </is>
      </c>
      <c r="D1186" s="0" t="inlineStr">
        <is>
          <t xml:space="preserve">small_craft</t>
        </is>
      </c>
      <c r="E1186" s="0" t="inlineStr">
        <is>
          <t xml:space="preserve">JERED LLC</t>
        </is>
      </c>
      <c r="F1186" s="0" t="inlineStr">
        <is>
          <t xml:space="preserve">B</t>
        </is>
      </c>
      <c r="G1186" s="4">
        <v>0.02803309</v>
      </c>
      <c r="H1186" s="0" t="inlineStr">
        <is>
          <t xml:space="preserve">2018-08-06</t>
        </is>
      </c>
      <c r="I1186" s="0" t="inlineStr">
        <is>
          <t xml:space="preserve">no</t>
        </is>
      </c>
      <c r="K1186" s="0" t="inlineStr">
        <is>
          <t xml:space="preserve">NONE</t>
        </is>
      </c>
    </row>
    <row r="1187">
      <c r="B1187" s="0" t="inlineStr">
        <is>
          <t xml:space="preserve">N0001420P4003</t>
        </is>
      </c>
      <c r="D1187" s="0" t="inlineStr">
        <is>
          <t xml:space="preserve">usv_core</t>
        </is>
      </c>
      <c r="E1187" s="0" t="inlineStr">
        <is>
          <t xml:space="preserve">SANDESTIN INVESTMENTS LLC</t>
        </is>
      </c>
      <c r="F1187" s="0" t="inlineStr">
        <is>
          <t xml:space="preserve">B</t>
        </is>
      </c>
      <c r="G1187" s="4">
        <v>0.027999999999999997</v>
      </c>
      <c r="H1187" s="0" t="inlineStr">
        <is>
          <t xml:space="preserve">2019-12-20</t>
        </is>
      </c>
      <c r="I1187" s="0" t="inlineStr">
        <is>
          <t xml:space="preserve">no</t>
        </is>
      </c>
      <c r="J1187" s="0" t="inlineStr">
        <is>
          <t xml:space="preserve">N0001420Q0002</t>
        </is>
      </c>
      <c r="K1187" s="0" t="inlineStr">
        <is>
          <t xml:space="preserve">NONE</t>
        </is>
      </c>
    </row>
    <row r="1188">
      <c r="B1188" s="0" t="inlineStr">
        <is>
          <t xml:space="preserve">LH52</t>
        </is>
      </c>
      <c r="C1188" s="0" t="inlineStr">
        <is>
          <t xml:space="preserve">N0003312D2100</t>
        </is>
      </c>
      <c r="D1188" s="0" t="inlineStr">
        <is>
          <t xml:space="preserve">other_small</t>
        </is>
      </c>
      <c r="E1188" s="0" t="inlineStr">
        <is>
          <t xml:space="preserve">MCALLISTER TOWING OF VIRGINIA INC</t>
        </is>
      </c>
      <c r="F1188" s="0" t="inlineStr">
        <is>
          <t xml:space="preserve">C</t>
        </is>
      </c>
      <c r="G1188" s="4">
        <v>0.027854999999999998</v>
      </c>
      <c r="H1188" s="0" t="inlineStr">
        <is>
          <t xml:space="preserve">2016-10-04</t>
        </is>
      </c>
      <c r="I1188" s="0" t="inlineStr">
        <is>
          <t xml:space="preserve">no</t>
        </is>
      </c>
      <c r="J1188" s="0" t="inlineStr">
        <is>
          <t xml:space="preserve">N0003312R2100</t>
        </is>
      </c>
      <c r="K1188" s="0" t="inlineStr">
        <is>
          <t xml:space="preserve">NONE</t>
        </is>
      </c>
    </row>
    <row r="1189">
      <c r="B1189" s="0" t="inlineStr">
        <is>
          <t xml:space="preserve">N0040619P0107</t>
        </is>
      </c>
      <c r="D1189" s="0" t="inlineStr">
        <is>
          <t xml:space="preserve">small_craft</t>
        </is>
      </c>
      <c r="E1189" s="0" t="inlineStr">
        <is>
          <t xml:space="preserve">J.D.A. MARITIME, INC.</t>
        </is>
      </c>
      <c r="F1189" s="0" t="inlineStr">
        <is>
          <t xml:space="preserve">B</t>
        </is>
      </c>
      <c r="G1189" s="4">
        <v>0.027819999999999998</v>
      </c>
      <c r="H1189" s="0" t="inlineStr">
        <is>
          <t xml:space="preserve">2018-12-19</t>
        </is>
      </c>
      <c r="I1189" s="0" t="inlineStr">
        <is>
          <t xml:space="preserve">no</t>
        </is>
      </c>
      <c r="J1189" s="0" t="inlineStr">
        <is>
          <t xml:space="preserve">N0040619Q0050</t>
        </is>
      </c>
      <c r="K1189" s="0" t="inlineStr">
        <is>
          <t xml:space="preserve">NONE</t>
        </is>
      </c>
    </row>
    <row r="1190">
      <c r="B1190" s="0" t="inlineStr">
        <is>
          <t xml:space="preserve">N3220519P6529</t>
        </is>
      </c>
      <c r="D1190" s="0" t="inlineStr">
        <is>
          <t xml:space="preserve">small_craft</t>
        </is>
      </c>
      <c r="E1190" s="0" t="inlineStr">
        <is>
          <t xml:space="preserve">J. W. MARINE EQUIPMENT, INC.</t>
        </is>
      </c>
      <c r="F1190" s="0" t="inlineStr">
        <is>
          <t xml:space="preserve">B</t>
        </is>
      </c>
      <c r="G1190" s="4">
        <v>0.027733999999999998</v>
      </c>
      <c r="H1190" s="0" t="inlineStr">
        <is>
          <t xml:space="preserve">2019-01-18</t>
        </is>
      </c>
      <c r="I1190" s="0" t="inlineStr">
        <is>
          <t xml:space="preserve">no</t>
        </is>
      </c>
      <c r="J1190" s="0" t="inlineStr">
        <is>
          <t xml:space="preserve">N3220519Q6529</t>
        </is>
      </c>
      <c r="K1190" s="0" t="inlineStr">
        <is>
          <t xml:space="preserve">NONE</t>
        </is>
      </c>
    </row>
    <row r="1191">
      <c r="B1191" s="0" t="inlineStr">
        <is>
          <t xml:space="preserve">N0010426PFA48</t>
        </is>
      </c>
      <c r="D1191" s="0" t="inlineStr">
        <is>
          <t xml:space="preserve">small_craft</t>
        </is>
      </c>
      <c r="E1191" s="0" t="inlineStr">
        <is>
          <t xml:space="preserve">SAE MANUFACTURING SPECIALTIES CORP.</t>
        </is>
      </c>
      <c r="F1191" s="0" t="inlineStr">
        <is>
          <t xml:space="preserve">B</t>
        </is>
      </c>
      <c r="G1191" s="4">
        <v>0.0277</v>
      </c>
      <c r="H1191" s="0" t="inlineStr">
        <is>
          <t xml:space="preserve">2025-11-20</t>
        </is>
      </c>
      <c r="I1191" s="0" t="inlineStr">
        <is>
          <t xml:space="preserve">yes</t>
        </is>
      </c>
      <c r="J1191" s="0" t="inlineStr">
        <is>
          <t xml:space="preserve">N0010426QFA28</t>
        </is>
      </c>
      <c r="K1191" s="0" t="inlineStr">
        <is>
          <t xml:space="preserve">NONE</t>
        </is>
      </c>
    </row>
    <row r="1192">
      <c r="B1192" s="0" t="inlineStr">
        <is>
          <t xml:space="preserve">N0017422P0175</t>
        </is>
      </c>
      <c r="D1192" s="0" t="inlineStr">
        <is>
          <t xml:space="preserve">small_craft</t>
        </is>
      </c>
      <c r="E1192" s="0" t="inlineStr">
        <is>
          <t xml:space="preserve">ATLANTIC DIVING SUPPLY, INC.</t>
        </is>
      </c>
      <c r="F1192" s="0" t="inlineStr">
        <is>
          <t xml:space="preserve">B</t>
        </is>
      </c>
      <c r="G1192" s="4">
        <v>0.027502569999999997</v>
      </c>
      <c r="H1192" s="0" t="inlineStr">
        <is>
          <t xml:space="preserve">2022-08-04</t>
        </is>
      </c>
      <c r="I1192" s="0" t="inlineStr">
        <is>
          <t xml:space="preserve">no</t>
        </is>
      </c>
      <c r="J1192" s="0" t="inlineStr">
        <is>
          <t xml:space="preserve">N0017422R0068</t>
        </is>
      </c>
      <c r="K1192" s="0" t="inlineStr">
        <is>
          <t xml:space="preserve">NONE</t>
        </is>
      </c>
    </row>
    <row r="1193">
      <c r="B1193" s="0" t="inlineStr">
        <is>
          <t xml:space="preserve">LH53</t>
        </is>
      </c>
      <c r="C1193" s="0" t="inlineStr">
        <is>
          <t xml:space="preserve">N0003312D2100</t>
        </is>
      </c>
      <c r="D1193" s="0" t="inlineStr">
        <is>
          <t xml:space="preserve">other_small</t>
        </is>
      </c>
      <c r="E1193" s="0" t="inlineStr">
        <is>
          <t xml:space="preserve">MCALLISTER TOWING OF VIRGINIA INC</t>
        </is>
      </c>
      <c r="F1193" s="0" t="inlineStr">
        <is>
          <t xml:space="preserve">C</t>
        </is>
      </c>
      <c r="G1193" s="4">
        <v>0.02745</v>
      </c>
      <c r="H1193" s="0" t="inlineStr">
        <is>
          <t xml:space="preserve">2016-10-05</t>
        </is>
      </c>
      <c r="I1193" s="0" t="inlineStr">
        <is>
          <t xml:space="preserve">no</t>
        </is>
      </c>
      <c r="J1193" s="0" t="inlineStr">
        <is>
          <t xml:space="preserve">N0003312R2100</t>
        </is>
      </c>
      <c r="K1193" s="0" t="inlineStr">
        <is>
          <t xml:space="preserve">NONE</t>
        </is>
      </c>
    </row>
    <row r="1194">
      <c r="B1194" s="0" t="inlineStr">
        <is>
          <t xml:space="preserve">N0010423FY702</t>
        </is>
      </c>
      <c r="C1194" s="0" t="inlineStr">
        <is>
          <t xml:space="preserve">N0010422GY701</t>
        </is>
      </c>
      <c r="D1194" s="0" t="inlineStr">
        <is>
          <t xml:space="preserve">small_craft</t>
        </is>
      </c>
      <c r="E1194" s="0" t="inlineStr">
        <is>
          <t xml:space="preserve">L3 TECHNOLOGIES, INC.</t>
        </is>
      </c>
      <c r="F1194" s="0" t="inlineStr">
        <is>
          <t xml:space="preserve">C</t>
        </is>
      </c>
      <c r="G1194" s="4">
        <v>0.027319999999999997</v>
      </c>
      <c r="H1194" s="0" t="inlineStr">
        <is>
          <t xml:space="preserve">2022-11-09</t>
        </is>
      </c>
      <c r="I1194" s="0" t="inlineStr">
        <is>
          <t xml:space="preserve">no</t>
        </is>
      </c>
      <c r="K1194" s="0" t="inlineStr">
        <is>
          <t xml:space="preserve">NONE</t>
        </is>
      </c>
    </row>
    <row r="1195">
      <c r="B1195" s="0" t="inlineStr">
        <is>
          <t xml:space="preserve">N3220519P4055</t>
        </is>
      </c>
      <c r="D1195" s="0" t="inlineStr">
        <is>
          <t xml:space="preserve">small_craft</t>
        </is>
      </c>
      <c r="E1195" s="0" t="inlineStr">
        <is>
          <t xml:space="preserve">WING INFLATABLES INC</t>
        </is>
      </c>
      <c r="F1195" s="0" t="inlineStr">
        <is>
          <t xml:space="preserve">B</t>
        </is>
      </c>
      <c r="G1195" s="4">
        <v>0.027063999999999998</v>
      </c>
      <c r="H1195" s="0" t="inlineStr">
        <is>
          <t xml:space="preserve">2019-05-03</t>
        </is>
      </c>
      <c r="I1195" s="0" t="inlineStr">
        <is>
          <t xml:space="preserve">no</t>
        </is>
      </c>
      <c r="J1195" s="0" t="inlineStr">
        <is>
          <t xml:space="preserve">N3220519Q4055</t>
        </is>
      </c>
      <c r="K1195" s="0" t="inlineStr">
        <is>
          <t xml:space="preserve">NONE</t>
        </is>
      </c>
    </row>
    <row r="1196">
      <c r="B1196" s="0" t="inlineStr">
        <is>
          <t xml:space="preserve">N0040616P3277</t>
        </is>
      </c>
      <c r="D1196" s="0" t="inlineStr">
        <is>
          <t xml:space="preserve">small_craft</t>
        </is>
      </c>
      <c r="E1196" s="0" t="inlineStr">
        <is>
          <t xml:space="preserve">WING INFLATABLES INC</t>
        </is>
      </c>
      <c r="F1196" s="0" t="inlineStr">
        <is>
          <t xml:space="preserve">B</t>
        </is>
      </c>
      <c r="G1196" s="4">
        <v>0.0269922</v>
      </c>
      <c r="H1196" s="0" t="inlineStr">
        <is>
          <t xml:space="preserve">2016-09-12</t>
        </is>
      </c>
      <c r="I1196" s="0" t="inlineStr">
        <is>
          <t xml:space="preserve">no</t>
        </is>
      </c>
      <c r="J1196" s="0" t="inlineStr">
        <is>
          <t xml:space="preserve">N0040616T0384</t>
        </is>
      </c>
      <c r="K1196" s="0" t="inlineStr">
        <is>
          <t xml:space="preserve">NONE</t>
        </is>
      </c>
    </row>
    <row r="1197">
      <c r="B1197" s="0" t="inlineStr">
        <is>
          <t xml:space="preserve">N4044319P0162</t>
        </is>
      </c>
      <c r="D1197" s="0" t="inlineStr">
        <is>
          <t xml:space="preserve">small_craft</t>
        </is>
      </c>
      <c r="E1197" s="0" t="inlineStr">
        <is>
          <t xml:space="preserve">FASSMER SERVICE AMERICA LLC</t>
        </is>
      </c>
      <c r="F1197" s="0" t="inlineStr">
        <is>
          <t xml:space="preserve">B</t>
        </is>
      </c>
      <c r="G1197" s="4">
        <v>0.02678075</v>
      </c>
      <c r="H1197" s="0" t="inlineStr">
        <is>
          <t xml:space="preserve">2019-04-25</t>
        </is>
      </c>
      <c r="I1197" s="0" t="inlineStr">
        <is>
          <t xml:space="preserve">no</t>
        </is>
      </c>
      <c r="J1197" s="0" t="inlineStr">
        <is>
          <t xml:space="preserve">N4044319Q0162</t>
        </is>
      </c>
      <c r="K1197" s="0" t="inlineStr">
        <is>
          <t xml:space="preserve">NONE</t>
        </is>
      </c>
    </row>
    <row r="1198">
      <c r="B1198" s="0" t="inlineStr">
        <is>
          <t xml:space="preserve">N5005421P0161</t>
        </is>
      </c>
      <c r="D1198" s="0" t="inlineStr">
        <is>
          <t xml:space="preserve">small_craft</t>
        </is>
      </c>
      <c r="E1198" s="0" t="inlineStr">
        <is>
          <t xml:space="preserve">BATH IRON WORKS CORPORATION</t>
        </is>
      </c>
      <c r="F1198" s="0" t="inlineStr">
        <is>
          <t xml:space="preserve">B</t>
        </is>
      </c>
      <c r="G1198" s="4">
        <v>0.0267764</v>
      </c>
      <c r="H1198" s="0" t="inlineStr">
        <is>
          <t xml:space="preserve">2021-08-04</t>
        </is>
      </c>
      <c r="I1198" s="0" t="inlineStr">
        <is>
          <t xml:space="preserve">no</t>
        </is>
      </c>
      <c r="K1198" s="0" t="inlineStr">
        <is>
          <t xml:space="preserve">NONE</t>
        </is>
      </c>
    </row>
    <row r="1199">
      <c r="B1199" s="0" t="inlineStr">
        <is>
          <t xml:space="preserve">N0018920P0318</t>
        </is>
      </c>
      <c r="D1199" s="0" t="inlineStr">
        <is>
          <t xml:space="preserve">small_craft</t>
        </is>
      </c>
      <c r="E1199" s="0" t="inlineStr">
        <is>
          <t xml:space="preserve">WING INFLATABLES INC</t>
        </is>
      </c>
      <c r="F1199" s="0" t="inlineStr">
        <is>
          <t xml:space="preserve">B</t>
        </is>
      </c>
      <c r="G1199" s="4">
        <v>0.02676306</v>
      </c>
      <c r="H1199" s="0" t="inlineStr">
        <is>
          <t xml:space="preserve">2020-05-21</t>
        </is>
      </c>
      <c r="I1199" s="0" t="inlineStr">
        <is>
          <t xml:space="preserve">no</t>
        </is>
      </c>
      <c r="J1199" s="0" t="inlineStr">
        <is>
          <t xml:space="preserve">N0018920R0044</t>
        </is>
      </c>
      <c r="K1199" s="0" t="inlineStr">
        <is>
          <t xml:space="preserve">NONE</t>
        </is>
      </c>
    </row>
    <row r="1200">
      <c r="B1200" s="0" t="inlineStr">
        <is>
          <t xml:space="preserve">N6883617P1012</t>
        </is>
      </c>
      <c r="D1200" s="0" t="inlineStr">
        <is>
          <t xml:space="preserve">small_craft</t>
        </is>
      </c>
      <c r="E1200" s="0" t="inlineStr">
        <is>
          <t xml:space="preserve">JET DOCK SYSTEMS INC</t>
        </is>
      </c>
      <c r="F1200" s="0" t="inlineStr">
        <is>
          <t xml:space="preserve">B</t>
        </is>
      </c>
      <c r="G1200" s="4">
        <v>0.02674536</v>
      </c>
      <c r="H1200" s="0" t="inlineStr">
        <is>
          <t xml:space="preserve">2017-09-26</t>
        </is>
      </c>
      <c r="I1200" s="0" t="inlineStr">
        <is>
          <t xml:space="preserve">no</t>
        </is>
      </c>
      <c r="J1200" s="0" t="inlineStr">
        <is>
          <t xml:space="preserve">N6883617Q0421</t>
        </is>
      </c>
      <c r="K1200" s="0" t="inlineStr">
        <is>
          <t xml:space="preserve">NONE</t>
        </is>
      </c>
    </row>
    <row r="1201">
      <c r="B1201" s="0" t="inlineStr">
        <is>
          <t xml:space="preserve">N0010420PCA04</t>
        </is>
      </c>
      <c r="D1201" s="0" t="inlineStr">
        <is>
          <t xml:space="preserve">small_craft</t>
        </is>
      </c>
      <c r="E1201" s="0" t="inlineStr">
        <is>
          <t xml:space="preserve">ITL LLC</t>
        </is>
      </c>
      <c r="F1201" s="0" t="inlineStr">
        <is>
          <t xml:space="preserve">B</t>
        </is>
      </c>
      <c r="G1201" s="4">
        <v>0.0262933</v>
      </c>
      <c r="H1201" s="0" t="inlineStr">
        <is>
          <t xml:space="preserve">2019-12-17</t>
        </is>
      </c>
      <c r="I1201" s="0" t="inlineStr">
        <is>
          <t xml:space="preserve">no</t>
        </is>
      </c>
      <c r="K1201" s="0" t="inlineStr">
        <is>
          <t xml:space="preserve">NONE</t>
        </is>
      </c>
    </row>
    <row r="1202">
      <c r="B1202" s="0" t="inlineStr">
        <is>
          <t xml:space="preserve">N3220513P1395</t>
        </is>
      </c>
      <c r="D1202" s="0" t="inlineStr">
        <is>
          <t xml:space="preserve">small_craft</t>
        </is>
      </c>
      <c r="E1202" s="0" t="inlineStr">
        <is>
          <t xml:space="preserve">MARINE SYSTEMS, INC.</t>
        </is>
      </c>
      <c r="F1202" s="0" t="inlineStr">
        <is>
          <t xml:space="preserve">B</t>
        </is>
      </c>
      <c r="G1202" s="4">
        <v>0.026243279999999997</v>
      </c>
      <c r="H1202" s="0" t="inlineStr">
        <is>
          <t xml:space="preserve">2013-08-08</t>
        </is>
      </c>
      <c r="I1202" s="0" t="inlineStr">
        <is>
          <t xml:space="preserve">no</t>
        </is>
      </c>
      <c r="J1202" s="0" t="inlineStr">
        <is>
          <t xml:space="preserve">N3220513T1273</t>
        </is>
      </c>
      <c r="K1202" s="0" t="inlineStr">
        <is>
          <t xml:space="preserve">NONE</t>
        </is>
      </c>
    </row>
    <row r="1203">
      <c r="B1203" s="0" t="inlineStr">
        <is>
          <t xml:space="preserve">N0040616P3092</t>
        </is>
      </c>
      <c r="D1203" s="0" t="inlineStr">
        <is>
          <t xml:space="preserve">small_craft</t>
        </is>
      </c>
      <c r="E1203" s="0" t="inlineStr">
        <is>
          <t xml:space="preserve">J.D.A. MARITIME, INC.</t>
        </is>
      </c>
      <c r="F1203" s="0" t="inlineStr">
        <is>
          <t xml:space="preserve">B</t>
        </is>
      </c>
      <c r="G1203" s="4">
        <v>0.026099999999999998</v>
      </c>
      <c r="H1203" s="0" t="inlineStr">
        <is>
          <t xml:space="preserve">2016-08-29</t>
        </is>
      </c>
      <c r="I1203" s="0" t="inlineStr">
        <is>
          <t xml:space="preserve">no</t>
        </is>
      </c>
      <c r="J1203" s="0" t="inlineStr">
        <is>
          <t xml:space="preserve">N0040616T0644</t>
        </is>
      </c>
      <c r="K1203" s="0" t="inlineStr">
        <is>
          <t xml:space="preserve">NONE</t>
        </is>
      </c>
    </row>
    <row r="1204">
      <c r="B1204" s="0" t="inlineStr">
        <is>
          <t xml:space="preserve">N0018922P0802</t>
        </is>
      </c>
      <c r="D1204" s="0" t="inlineStr">
        <is>
          <t xml:space="preserve">usv_core</t>
        </is>
      </c>
      <c r="E1204" s="0" t="inlineStr">
        <is>
          <t xml:space="preserve">C W LAWLEY, INCORPORATED</t>
        </is>
      </c>
      <c r="F1204" s="0" t="inlineStr">
        <is>
          <t xml:space="preserve">B</t>
        </is>
      </c>
      <c r="G1204" s="4">
        <v>0.026</v>
      </c>
      <c r="H1204" s="0" t="inlineStr">
        <is>
          <t xml:space="preserve">2022-09-28</t>
        </is>
      </c>
      <c r="I1204" s="0" t="inlineStr">
        <is>
          <t xml:space="preserve">no</t>
        </is>
      </c>
      <c r="J1204" s="0" t="inlineStr">
        <is>
          <t xml:space="preserve">N0018922Q0423</t>
        </is>
      </c>
      <c r="K1204" s="0" t="inlineStr">
        <is>
          <t xml:space="preserve">NONE</t>
        </is>
      </c>
    </row>
    <row r="1205">
      <c r="B1205" s="0" t="inlineStr">
        <is>
          <t xml:space="preserve">M0068116P0135</t>
        </is>
      </c>
      <c r="D1205" s="0" t="inlineStr">
        <is>
          <t xml:space="preserve">small_craft</t>
        </is>
      </c>
      <c r="E1205" s="0" t="inlineStr">
        <is>
          <t xml:space="preserve">SOUTH BAY MOTORSPORTS</t>
        </is>
      </c>
      <c r="F1205" s="0" t="inlineStr">
        <is>
          <t xml:space="preserve">B</t>
        </is>
      </c>
      <c r="G1205" s="4">
        <v>0.025936999999999998</v>
      </c>
      <c r="H1205" s="0" t="inlineStr">
        <is>
          <t xml:space="preserve">2016-08-31</t>
        </is>
      </c>
      <c r="I1205" s="0" t="inlineStr">
        <is>
          <t xml:space="preserve">no</t>
        </is>
      </c>
      <c r="J1205" s="0" t="inlineStr">
        <is>
          <t xml:space="preserve">M0068116T0052</t>
        </is>
      </c>
      <c r="K1205" s="0" t="inlineStr">
        <is>
          <t xml:space="preserve">NONE</t>
        </is>
      </c>
    </row>
    <row r="1206">
      <c r="B1206" s="0" t="inlineStr">
        <is>
          <t xml:space="preserve">N0010421PBV81</t>
        </is>
      </c>
      <c r="D1206" s="0" t="inlineStr">
        <is>
          <t xml:space="preserve">small_craft</t>
        </is>
      </c>
      <c r="E1206" s="0" t="inlineStr">
        <is>
          <t xml:space="preserve">MDF TECHNOLOGIES INC</t>
        </is>
      </c>
      <c r="F1206" s="0" t="inlineStr">
        <is>
          <t xml:space="preserve">B</t>
        </is>
      </c>
      <c r="G1206" s="4">
        <v>0.0258</v>
      </c>
      <c r="H1206" s="0" t="inlineStr">
        <is>
          <t xml:space="preserve">2021-04-14</t>
        </is>
      </c>
      <c r="I1206" s="0" t="inlineStr">
        <is>
          <t xml:space="preserve">no</t>
        </is>
      </c>
      <c r="K1206" s="0" t="inlineStr">
        <is>
          <t xml:space="preserve">NONE</t>
        </is>
      </c>
    </row>
    <row r="1207">
      <c r="B1207" s="0" t="inlineStr">
        <is>
          <t xml:space="preserve">N0040619P0402</t>
        </is>
      </c>
      <c r="D1207" s="0" t="inlineStr">
        <is>
          <t xml:space="preserve">small_craft</t>
        </is>
      </c>
      <c r="E1207" s="0" t="inlineStr">
        <is>
          <t xml:space="preserve">JUNIPER ELBOW CO. INC.</t>
        </is>
      </c>
      <c r="F1207" s="0" t="inlineStr">
        <is>
          <t xml:space="preserve">B</t>
        </is>
      </c>
      <c r="G1207" s="4">
        <v>0.02569477</v>
      </c>
      <c r="H1207" s="0" t="inlineStr">
        <is>
          <t xml:space="preserve">2019-06-28</t>
        </is>
      </c>
      <c r="I1207" s="0" t="inlineStr">
        <is>
          <t xml:space="preserve">no</t>
        </is>
      </c>
      <c r="K1207" s="0" t="inlineStr">
        <is>
          <t xml:space="preserve">NONE</t>
        </is>
      </c>
    </row>
    <row r="1208">
      <c r="B1208" s="0" t="inlineStr">
        <is>
          <t xml:space="preserve">N0010421PEJ02</t>
        </is>
      </c>
      <c r="D1208" s="0" t="inlineStr">
        <is>
          <t xml:space="preserve">small_craft</t>
        </is>
      </c>
      <c r="E1208" s="0" t="inlineStr">
        <is>
          <t xml:space="preserve">HAN-BOONE INTERNATIONAL, INC.</t>
        </is>
      </c>
      <c r="F1208" s="0" t="inlineStr">
        <is>
          <t xml:space="preserve">B</t>
        </is>
      </c>
      <c r="G1208" s="4">
        <v>0.02560104</v>
      </c>
      <c r="H1208" s="0" t="inlineStr">
        <is>
          <t xml:space="preserve">2021-07-15</t>
        </is>
      </c>
      <c r="I1208" s="0" t="inlineStr">
        <is>
          <t xml:space="preserve">no</t>
        </is>
      </c>
      <c r="J1208" s="0" t="inlineStr">
        <is>
          <t xml:space="preserve">N0010421QBP25</t>
        </is>
      </c>
      <c r="K1208" s="0" t="inlineStr">
        <is>
          <t xml:space="preserve">NONE</t>
        </is>
      </c>
    </row>
    <row r="1209">
      <c r="B1209" s="0" t="inlineStr">
        <is>
          <t xml:space="preserve">N0010420PXC00</t>
        </is>
      </c>
      <c r="D1209" s="0" t="inlineStr">
        <is>
          <t xml:space="preserve">small_craft</t>
        </is>
      </c>
      <c r="E1209" s="0" t="inlineStr">
        <is>
          <t xml:space="preserve">VIRGINIA ELECTRONIC SYSTEMS, INC.</t>
        </is>
      </c>
      <c r="F1209" s="0" t="inlineStr">
        <is>
          <t xml:space="preserve">B</t>
        </is>
      </c>
      <c r="G1209" s="4">
        <v>0.02555</v>
      </c>
      <c r="H1209" s="0" t="inlineStr">
        <is>
          <t xml:space="preserve">2020-08-28</t>
        </is>
      </c>
      <c r="I1209" s="0" t="inlineStr">
        <is>
          <t xml:space="preserve">no</t>
        </is>
      </c>
      <c r="K1209" s="0" t="inlineStr">
        <is>
          <t xml:space="preserve">NONE</t>
        </is>
      </c>
    </row>
    <row r="1210">
      <c r="B1210" s="0" t="inlineStr">
        <is>
          <t xml:space="preserve">N0040619P0740</t>
        </is>
      </c>
      <c r="D1210" s="0" t="inlineStr">
        <is>
          <t xml:space="preserve">small_craft</t>
        </is>
      </c>
      <c r="E1210" s="0" t="inlineStr">
        <is>
          <t xml:space="preserve">KLB ENTERPRISES CORP</t>
        </is>
      </c>
      <c r="F1210" s="0" t="inlineStr">
        <is>
          <t xml:space="preserve">B</t>
        </is>
      </c>
      <c r="G1210" s="4">
        <v>0.02543406</v>
      </c>
      <c r="H1210" s="0" t="inlineStr">
        <is>
          <t xml:space="preserve">2019-09-21</t>
        </is>
      </c>
      <c r="I1210" s="0" t="inlineStr">
        <is>
          <t xml:space="preserve">no</t>
        </is>
      </c>
      <c r="J1210" s="0" t="inlineStr">
        <is>
          <t xml:space="preserve">N0040619Q0399</t>
        </is>
      </c>
      <c r="K1210" s="0" t="inlineStr">
        <is>
          <t xml:space="preserve">NONE</t>
        </is>
      </c>
    </row>
    <row r="1211">
      <c r="B1211" s="0" t="inlineStr">
        <is>
          <t xml:space="preserve">N0010418PNB86</t>
        </is>
      </c>
      <c r="D1211" s="0" t="inlineStr">
        <is>
          <t xml:space="preserve">small_craft</t>
        </is>
      </c>
      <c r="E1211" s="0" t="inlineStr">
        <is>
          <t xml:space="preserve">GK MECHANICAL SYSTEMS LLC</t>
        </is>
      </c>
      <c r="F1211" s="0" t="inlineStr">
        <is>
          <t xml:space="preserve">B</t>
        </is>
      </c>
      <c r="G1211" s="4">
        <v>0.025398999999999998</v>
      </c>
      <c r="H1211" s="0" t="inlineStr">
        <is>
          <t xml:space="preserve">2018-02-06</t>
        </is>
      </c>
      <c r="I1211" s="0" t="inlineStr">
        <is>
          <t xml:space="preserve">no</t>
        </is>
      </c>
      <c r="K1211" s="0" t="inlineStr">
        <is>
          <t xml:space="preserve">NONE</t>
        </is>
      </c>
    </row>
    <row r="1212">
      <c r="B1212" s="0" t="inlineStr">
        <is>
          <t xml:space="preserve">N0010421PCD87</t>
        </is>
      </c>
      <c r="D1212" s="0" t="inlineStr">
        <is>
          <t xml:space="preserve">small_craft</t>
        </is>
      </c>
      <c r="E1212" s="0" t="inlineStr">
        <is>
          <t xml:space="preserve">NORTHROP GRUMMAN SYSTEMS CORPORATION</t>
        </is>
      </c>
      <c r="F1212" s="0" t="inlineStr">
        <is>
          <t xml:space="preserve">B</t>
        </is>
      </c>
      <c r="G1212" s="4">
        <v>0.02527497</v>
      </c>
      <c r="H1212" s="0" t="inlineStr">
        <is>
          <t xml:space="preserve">2021-07-21</t>
        </is>
      </c>
      <c r="I1212" s="0" t="inlineStr">
        <is>
          <t xml:space="preserve">no</t>
        </is>
      </c>
      <c r="K1212" s="0" t="inlineStr">
        <is>
          <t xml:space="preserve">NONE</t>
        </is>
      </c>
    </row>
    <row r="1213">
      <c r="B1213" s="0" t="inlineStr">
        <is>
          <t xml:space="preserve">M6700422P1028</t>
        </is>
      </c>
      <c r="D1213" s="0" t="inlineStr">
        <is>
          <t xml:space="preserve">small_craft</t>
        </is>
      </c>
      <c r="E1213" s="0" t="inlineStr">
        <is>
          <t xml:space="preserve">CANNON MARINE PARTNERS, LLC</t>
        </is>
      </c>
      <c r="F1213" s="0" t="inlineStr">
        <is>
          <t xml:space="preserve">B</t>
        </is>
      </c>
      <c r="G1213" s="4">
        <v>0.025269599999999996</v>
      </c>
      <c r="H1213" s="0" t="inlineStr">
        <is>
          <t xml:space="preserve">2022-09-27</t>
        </is>
      </c>
      <c r="I1213" s="0" t="inlineStr">
        <is>
          <t xml:space="preserve">no</t>
        </is>
      </c>
      <c r="J1213" s="0" t="inlineStr">
        <is>
          <t xml:space="preserve">M6700422Q1029</t>
        </is>
      </c>
      <c r="K1213" s="0" t="inlineStr">
        <is>
          <t xml:space="preserve">NONE</t>
        </is>
      </c>
    </row>
    <row r="1214">
      <c r="B1214" s="0" t="inlineStr">
        <is>
          <t xml:space="preserve">N6883622P0195</t>
        </is>
      </c>
      <c r="D1214" s="0" t="inlineStr">
        <is>
          <t xml:space="preserve">small_craft</t>
        </is>
      </c>
      <c r="E1214" s="0" t="inlineStr">
        <is>
          <t xml:space="preserve">ADI TECHNOLOGIES INC.</t>
        </is>
      </c>
      <c r="F1214" s="0" t="inlineStr">
        <is>
          <t xml:space="preserve">B</t>
        </is>
      </c>
      <c r="G1214" s="4">
        <v>0.0251967</v>
      </c>
      <c r="H1214" s="0" t="inlineStr">
        <is>
          <t xml:space="preserve">2022-06-29</t>
        </is>
      </c>
      <c r="I1214" s="0" t="inlineStr">
        <is>
          <t xml:space="preserve">no</t>
        </is>
      </c>
      <c r="J1214" s="0" t="inlineStr">
        <is>
          <t xml:space="preserve">N6883622Q0219</t>
        </is>
      </c>
      <c r="K1214" s="0" t="inlineStr">
        <is>
          <t xml:space="preserve">NONE</t>
        </is>
      </c>
    </row>
    <row r="1215">
      <c r="B1215" s="0" t="inlineStr">
        <is>
          <t xml:space="preserve">N0010424PEA47</t>
        </is>
      </c>
      <c r="D1215" s="0" t="inlineStr">
        <is>
          <t xml:space="preserve">small_craft</t>
        </is>
      </c>
      <c r="E1215" s="0" t="inlineStr">
        <is>
          <t xml:space="preserve">GENERAL NUCLEAR CORP</t>
        </is>
      </c>
      <c r="F1215" s="0" t="inlineStr">
        <is>
          <t xml:space="preserve">B</t>
        </is>
      </c>
      <c r="G1215" s="4">
        <v>0.025131999999999998</v>
      </c>
      <c r="H1215" s="0" t="inlineStr">
        <is>
          <t xml:space="preserve">2024-07-03</t>
        </is>
      </c>
      <c r="I1215" s="0" t="inlineStr">
        <is>
          <t xml:space="preserve">no</t>
        </is>
      </c>
      <c r="K1215" s="0" t="inlineStr">
        <is>
          <t xml:space="preserve">NONE</t>
        </is>
      </c>
    </row>
    <row r="1216">
      <c r="B1216" s="0" t="inlineStr">
        <is>
          <t xml:space="preserve">0012</t>
        </is>
      </c>
      <c r="C1216" s="0" t="inlineStr">
        <is>
          <t xml:space="preserve">N3220517D4700</t>
        </is>
      </c>
      <c r="D1216" s="0" t="inlineStr">
        <is>
          <t xml:space="preserve">other_small</t>
        </is>
      </c>
      <c r="E1216" s="0" t="inlineStr">
        <is>
          <t xml:space="preserve">LAKE SHORE SYSTEMS, INC.</t>
        </is>
      </c>
      <c r="F1216" s="0" t="inlineStr">
        <is>
          <t xml:space="preserve">C</t>
        </is>
      </c>
      <c r="G1216" s="4">
        <v>0.025090259999999996</v>
      </c>
      <c r="H1216" s="0" t="inlineStr">
        <is>
          <t xml:space="preserve">2017-03-17</t>
        </is>
      </c>
      <c r="I1216" s="0" t="inlineStr">
        <is>
          <t xml:space="preserve">no</t>
        </is>
      </c>
      <c r="K1216" s="0" t="inlineStr">
        <is>
          <t xml:space="preserve">NONE</t>
        </is>
      </c>
    </row>
    <row r="1217">
      <c r="B1217" s="0" t="inlineStr">
        <is>
          <t xml:space="preserve">N0010420PEL25</t>
        </is>
      </c>
      <c r="D1217" s="0" t="inlineStr">
        <is>
          <t xml:space="preserve">small_craft</t>
        </is>
      </c>
      <c r="E1217" s="0" t="inlineStr">
        <is>
          <t xml:space="preserve">JTF BUSINESS SYSTEMS CORPORATION</t>
        </is>
      </c>
      <c r="F1217" s="0" t="inlineStr">
        <is>
          <t xml:space="preserve">B</t>
        </is>
      </c>
      <c r="G1217" s="4">
        <v>0.025056</v>
      </c>
      <c r="H1217" s="0" t="inlineStr">
        <is>
          <t xml:space="preserve">2020-07-02</t>
        </is>
      </c>
      <c r="I1217" s="0" t="inlineStr">
        <is>
          <t xml:space="preserve">no</t>
        </is>
      </c>
      <c r="J1217" s="0" t="inlineStr">
        <is>
          <t xml:space="preserve">N0010420QEF45</t>
        </is>
      </c>
      <c r="K1217" s="0" t="inlineStr">
        <is>
          <t xml:space="preserve">NONE</t>
        </is>
      </c>
    </row>
    <row r="1218">
      <c r="B1218" s="0" t="inlineStr">
        <is>
          <t xml:space="preserve">N0010426PTA15</t>
        </is>
      </c>
      <c r="D1218" s="0" t="inlineStr">
        <is>
          <t xml:space="preserve">small_craft</t>
        </is>
      </c>
      <c r="E1218" s="0" t="inlineStr">
        <is>
          <t xml:space="preserve">NOBLES WORLDWIDE, INC.</t>
        </is>
      </c>
      <c r="F1218" s="0" t="inlineStr">
        <is>
          <t xml:space="preserve">B</t>
        </is>
      </c>
      <c r="G1218" s="4">
        <v>0.02500939</v>
      </c>
      <c r="H1218" s="0" t="inlineStr">
        <is>
          <t xml:space="preserve">2026-01-21</t>
        </is>
      </c>
      <c r="I1218" s="0" t="inlineStr">
        <is>
          <t xml:space="preserve">yes</t>
        </is>
      </c>
      <c r="K1218" s="0" t="inlineStr">
        <is>
          <t xml:space="preserve">NONE</t>
        </is>
      </c>
    </row>
    <row r="1219">
      <c r="B1219" s="0" t="inlineStr">
        <is>
          <t xml:space="preserve">N0002417P2203</t>
        </is>
      </c>
      <c r="D1219" s="0" t="inlineStr">
        <is>
          <t xml:space="preserve">small_craft</t>
        </is>
      </c>
      <c r="E1219" s="0" t="inlineStr">
        <is>
          <t xml:space="preserve">GRAVOIS ALUMINUM BOATS LLC</t>
        </is>
      </c>
      <c r="F1219" s="0" t="inlineStr">
        <is>
          <t xml:space="preserve">B</t>
        </is>
      </c>
      <c r="G1219" s="4">
        <v>0.024999999999999998</v>
      </c>
      <c r="H1219" s="0" t="inlineStr">
        <is>
          <t xml:space="preserve">2016-11-22</t>
        </is>
      </c>
      <c r="I1219" s="0" t="inlineStr">
        <is>
          <t xml:space="preserve">no</t>
        </is>
      </c>
      <c r="J1219" s="0" t="inlineStr">
        <is>
          <t xml:space="preserve">N0002417R2203</t>
        </is>
      </c>
      <c r="K1219" s="0" t="inlineStr">
        <is>
          <t xml:space="preserve">NONE</t>
        </is>
      </c>
    </row>
    <row r="1220">
      <c r="B1220" s="0" t="inlineStr">
        <is>
          <t xml:space="preserve">N0040619P0760</t>
        </is>
      </c>
      <c r="D1220" s="0" t="inlineStr">
        <is>
          <t xml:space="preserve">small_craft</t>
        </is>
      </c>
      <c r="E1220" s="0" t="inlineStr">
        <is>
          <t xml:space="preserve">JUNIPER ELBOW CO. INC.</t>
        </is>
      </c>
      <c r="F1220" s="0" t="inlineStr">
        <is>
          <t xml:space="preserve">B</t>
        </is>
      </c>
      <c r="G1220" s="4">
        <v>0.024999</v>
      </c>
      <c r="H1220" s="0" t="inlineStr">
        <is>
          <t xml:space="preserve">2019-09-25</t>
        </is>
      </c>
      <c r="I1220" s="0" t="inlineStr">
        <is>
          <t xml:space="preserve">no</t>
        </is>
      </c>
      <c r="K1220" s="0" t="inlineStr">
        <is>
          <t xml:space="preserve">NONE</t>
        </is>
      </c>
    </row>
    <row r="1221">
      <c r="B1221" s="0" t="inlineStr">
        <is>
          <t xml:space="preserve">N6874219F0005</t>
        </is>
      </c>
      <c r="C1221" s="0" t="inlineStr">
        <is>
          <t xml:space="preserve">47QSMA18D08QH</t>
        </is>
      </c>
      <c r="D1221" s="0" t="inlineStr">
        <is>
          <t xml:space="preserve">other_small</t>
        </is>
      </c>
      <c r="E1221" s="0" t="inlineStr">
        <is>
          <t xml:space="preserve">MACGYVER SOLUTIONS, INC.</t>
        </is>
      </c>
      <c r="F1221" s="0" t="inlineStr">
        <is>
          <t xml:space="preserve">C</t>
        </is>
      </c>
      <c r="G1221" s="4">
        <v>0.024996499999999998</v>
      </c>
      <c r="H1221" s="0" t="inlineStr">
        <is>
          <t xml:space="preserve">2019-09-19</t>
        </is>
      </c>
      <c r="I1221" s="0" t="inlineStr">
        <is>
          <t xml:space="preserve">no</t>
        </is>
      </c>
      <c r="K1221" s="0" t="inlineStr">
        <is>
          <t xml:space="preserve">NONE</t>
        </is>
      </c>
    </row>
    <row r="1222">
      <c r="B1222" s="0" t="inlineStr">
        <is>
          <t xml:space="preserve">N0040617P2213</t>
        </is>
      </c>
      <c r="D1222" s="0" t="inlineStr">
        <is>
          <t xml:space="preserve">small_craft</t>
        </is>
      </c>
      <c r="E1222" s="0" t="inlineStr">
        <is>
          <t xml:space="preserve">J.D.A. MARITIME, INC.</t>
        </is>
      </c>
      <c r="F1222" s="0" t="inlineStr">
        <is>
          <t xml:space="preserve">B</t>
        </is>
      </c>
      <c r="G1222" s="4">
        <v>0.024995</v>
      </c>
      <c r="H1222" s="0" t="inlineStr">
        <is>
          <t xml:space="preserve">2017-06-29</t>
        </is>
      </c>
      <c r="I1222" s="0" t="inlineStr">
        <is>
          <t xml:space="preserve">no</t>
        </is>
      </c>
      <c r="K1222" s="0" t="inlineStr">
        <is>
          <t xml:space="preserve">NONE</t>
        </is>
      </c>
    </row>
    <row r="1223">
      <c r="B1223" s="0" t="inlineStr">
        <is>
          <t xml:space="preserve">N0010422PDA18</t>
        </is>
      </c>
      <c r="D1223" s="0" t="inlineStr">
        <is>
          <t xml:space="preserve">small_craft</t>
        </is>
      </c>
      <c r="E1223" s="0" t="inlineStr">
        <is>
          <t xml:space="preserve">DURAMAX MARINE, LLC</t>
        </is>
      </c>
      <c r="F1223" s="0" t="inlineStr">
        <is>
          <t xml:space="preserve">B</t>
        </is>
      </c>
      <c r="G1223" s="4">
        <v>0.024856</v>
      </c>
      <c r="H1223" s="0" t="inlineStr">
        <is>
          <t xml:space="preserve">2021-10-08</t>
        </is>
      </c>
      <c r="I1223" s="0" t="inlineStr">
        <is>
          <t xml:space="preserve">no</t>
        </is>
      </c>
      <c r="K1223" s="0" t="inlineStr">
        <is>
          <t xml:space="preserve">NONE</t>
        </is>
      </c>
    </row>
    <row r="1224">
      <c r="B1224" s="0" t="inlineStr">
        <is>
          <t xml:space="preserve">N0003925F1011</t>
        </is>
      </c>
      <c r="C1224" s="0" t="inlineStr">
        <is>
          <t xml:space="preserve">N0003921D6001</t>
        </is>
      </c>
      <c r="D1224" s="0" t="inlineStr">
        <is>
          <t xml:space="preserve">small_craft</t>
        </is>
      </c>
      <c r="E1224" s="0" t="inlineStr">
        <is>
          <t xml:space="preserve">TELEDYNE BROWN ENGINEERING, INC.</t>
        </is>
      </c>
      <c r="F1224" s="0" t="inlineStr">
        <is>
          <t xml:space="preserve">C</t>
        </is>
      </c>
      <c r="G1224" s="4">
        <v>0.02484127</v>
      </c>
      <c r="H1224" s="0" t="inlineStr">
        <is>
          <t xml:space="preserve">2025-04-21</t>
        </is>
      </c>
      <c r="I1224" s="0" t="inlineStr">
        <is>
          <t xml:space="preserve">no</t>
        </is>
      </c>
      <c r="J1224" s="0" t="inlineStr">
        <is>
          <t xml:space="preserve">N0003921R1000</t>
        </is>
      </c>
      <c r="K1224" s="0" t="inlineStr">
        <is>
          <t xml:space="preserve">NONE</t>
        </is>
      </c>
    </row>
    <row r="1225">
      <c r="B1225" s="0" t="inlineStr">
        <is>
          <t xml:space="preserve">N0016725F0036</t>
        </is>
      </c>
      <c r="C1225" s="0" t="inlineStr">
        <is>
          <t xml:space="preserve">N0016723A0051</t>
        </is>
      </c>
      <c r="D1225" s="0" t="inlineStr">
        <is>
          <t xml:space="preserve">small_craft</t>
        </is>
      </c>
      <c r="E1225" s="0" t="inlineStr">
        <is>
          <t xml:space="preserve">UNITED STATES MARINE INC</t>
        </is>
      </c>
      <c r="F1225" s="0" t="inlineStr">
        <is>
          <t xml:space="preserve">A</t>
        </is>
      </c>
      <c r="G1225" s="4">
        <v>0.02481281</v>
      </c>
      <c r="H1225" s="0" t="inlineStr">
        <is>
          <t xml:space="preserve">2024-12-16</t>
        </is>
      </c>
      <c r="I1225" s="0" t="inlineStr">
        <is>
          <t xml:space="preserve">no</t>
        </is>
      </c>
      <c r="J1225" s="0" t="inlineStr">
        <is>
          <t xml:space="preserve">N0016725Q0041</t>
        </is>
      </c>
      <c r="K1225" s="0" t="inlineStr">
        <is>
          <t xml:space="preserve">NONE</t>
        </is>
      </c>
    </row>
    <row r="1226">
      <c r="B1226" s="0" t="inlineStr">
        <is>
          <t xml:space="preserve">N0024419F0039</t>
        </is>
      </c>
      <c r="C1226" s="0" t="inlineStr">
        <is>
          <t xml:space="preserve">GS07F0101K</t>
        </is>
      </c>
      <c r="D1226" s="0" t="inlineStr">
        <is>
          <t xml:space="preserve">small_craft</t>
        </is>
      </c>
      <c r="E1226" s="0" t="inlineStr">
        <is>
          <t xml:space="preserve">STIDD SYSTEMS, INC.</t>
        </is>
      </c>
      <c r="F1226" s="0" t="inlineStr">
        <is>
          <t xml:space="preserve">C</t>
        </is>
      </c>
      <c r="G1226" s="4">
        <v>0.02476833</v>
      </c>
      <c r="H1226" s="0" t="inlineStr">
        <is>
          <t xml:space="preserve">2018-11-08</t>
        </is>
      </c>
      <c r="I1226" s="0" t="inlineStr">
        <is>
          <t xml:space="preserve">no</t>
        </is>
      </c>
      <c r="J1226" s="0" t="inlineStr">
        <is>
          <t xml:space="preserve">N0024419Q0014</t>
        </is>
      </c>
      <c r="K1226" s="0" t="inlineStr">
        <is>
          <t xml:space="preserve">NONE</t>
        </is>
      </c>
    </row>
    <row r="1227">
      <c r="B1227" s="0" t="inlineStr">
        <is>
          <t xml:space="preserve">M6785417P1301</t>
        </is>
      </c>
      <c r="D1227" s="0" t="inlineStr">
        <is>
          <t xml:space="preserve">small_craft</t>
        </is>
      </c>
      <c r="E1227" s="0" t="inlineStr">
        <is>
          <t xml:space="preserve">STIDD SYSTEMS, INC.</t>
        </is>
      </c>
      <c r="F1227" s="0" t="inlineStr">
        <is>
          <t xml:space="preserve">B</t>
        </is>
      </c>
      <c r="G1227" s="4">
        <v>0.024651</v>
      </c>
      <c r="H1227" s="0" t="inlineStr">
        <is>
          <t xml:space="preserve">2017-09-29</t>
        </is>
      </c>
      <c r="I1227" s="0" t="inlineStr">
        <is>
          <t xml:space="preserve">no</t>
        </is>
      </c>
      <c r="J1227" s="0" t="inlineStr">
        <is>
          <t xml:space="preserve">M6785417Q1301</t>
        </is>
      </c>
      <c r="K1227" s="0" t="inlineStr">
        <is>
          <t xml:space="preserve">NONE</t>
        </is>
      </c>
    </row>
    <row r="1228">
      <c r="B1228" s="0" t="inlineStr">
        <is>
          <t xml:space="preserve">N0018918P1218</t>
        </is>
      </c>
      <c r="D1228" s="0" t="inlineStr">
        <is>
          <t xml:space="preserve">small_craft</t>
        </is>
      </c>
      <c r="E1228" s="0" t="inlineStr">
        <is>
          <t xml:space="preserve">WING INFLATABLES INC</t>
        </is>
      </c>
      <c r="F1228" s="0" t="inlineStr">
        <is>
          <t xml:space="preserve">B</t>
        </is>
      </c>
      <c r="G1228" s="4">
        <v>0.02465</v>
      </c>
      <c r="H1228" s="0" t="inlineStr">
        <is>
          <t xml:space="preserve">2018-08-30</t>
        </is>
      </c>
      <c r="I1228" s="0" t="inlineStr">
        <is>
          <t xml:space="preserve">no</t>
        </is>
      </c>
      <c r="K1228" s="0" t="inlineStr">
        <is>
          <t xml:space="preserve">NONE</t>
        </is>
      </c>
    </row>
    <row r="1229">
      <c r="B1229" s="0" t="inlineStr">
        <is>
          <t xml:space="preserve">N4044207P5850</t>
        </is>
      </c>
      <c r="D1229" s="0" t="inlineStr">
        <is>
          <t xml:space="preserve">small_craft</t>
        </is>
      </c>
      <c r="E1229" s="0" t="inlineStr">
        <is>
          <t xml:space="preserve">ALLIGATOR MARINE INC</t>
        </is>
      </c>
      <c r="F1229" s="0" t="inlineStr">
        <is>
          <t xml:space="preserve">B</t>
        </is>
      </c>
      <c r="G1229" s="4">
        <v>0.024628999999999998</v>
      </c>
      <c r="H1229" s="0" t="inlineStr">
        <is>
          <t xml:space="preserve">2007-08-17</t>
        </is>
      </c>
      <c r="I1229" s="0" t="inlineStr">
        <is>
          <t xml:space="preserve">no</t>
        </is>
      </c>
      <c r="K1229" s="0" t="inlineStr">
        <is>
          <t xml:space="preserve">NONE</t>
        </is>
      </c>
    </row>
    <row r="1230">
      <c r="B1230" s="0" t="inlineStr">
        <is>
          <t xml:space="preserve">N0040616P0333</t>
        </is>
      </c>
      <c r="D1230" s="0" t="inlineStr">
        <is>
          <t xml:space="preserve">small_craft</t>
        </is>
      </c>
      <c r="E1230" s="0" t="inlineStr">
        <is>
          <t xml:space="preserve">J.D.A. MARITIME, INC.</t>
        </is>
      </c>
      <c r="F1230" s="0" t="inlineStr">
        <is>
          <t xml:space="preserve">B</t>
        </is>
      </c>
      <c r="G1230" s="4">
        <v>0.024624999999999998</v>
      </c>
      <c r="H1230" s="0" t="inlineStr">
        <is>
          <t xml:space="preserve">2015-11-18</t>
        </is>
      </c>
      <c r="I1230" s="0" t="inlineStr">
        <is>
          <t xml:space="preserve">no</t>
        </is>
      </c>
      <c r="J1230" s="0" t="inlineStr">
        <is>
          <t xml:space="preserve">N0040616T0010</t>
        </is>
      </c>
      <c r="K1230" s="0" t="inlineStr">
        <is>
          <t xml:space="preserve">NONE</t>
        </is>
      </c>
    </row>
    <row r="1231">
      <c r="B1231" s="0" t="inlineStr">
        <is>
          <t xml:space="preserve">N0010423PXC10</t>
        </is>
      </c>
      <c r="D1231" s="0" t="inlineStr">
        <is>
          <t xml:space="preserve">small_craft</t>
        </is>
      </c>
      <c r="E1231" s="0" t="inlineStr">
        <is>
          <t xml:space="preserve">OHIO MACHINERY CO</t>
        </is>
      </c>
      <c r="F1231" s="0" t="inlineStr">
        <is>
          <t xml:space="preserve">B</t>
        </is>
      </c>
      <c r="G1231" s="4">
        <v>0.0246</v>
      </c>
      <c r="H1231" s="0" t="inlineStr">
        <is>
          <t xml:space="preserve">2023-03-30</t>
        </is>
      </c>
      <c r="I1231" s="0" t="inlineStr">
        <is>
          <t xml:space="preserve">no</t>
        </is>
      </c>
      <c r="K1231" s="0" t="inlineStr">
        <is>
          <t xml:space="preserve">NONE</t>
        </is>
      </c>
    </row>
    <row r="1232">
      <c r="B1232" s="0" t="inlineStr">
        <is>
          <t xml:space="preserve">N3220518F2581</t>
        </is>
      </c>
      <c r="C1232" s="0" t="inlineStr">
        <is>
          <t xml:space="preserve">N3220517D4700</t>
        </is>
      </c>
      <c r="D1232" s="0" t="inlineStr">
        <is>
          <t xml:space="preserve">other_small</t>
        </is>
      </c>
      <c r="E1232" s="0" t="inlineStr">
        <is>
          <t xml:space="preserve">LAKE SHORE SYSTEMS, INC.</t>
        </is>
      </c>
      <c r="F1232" s="0" t="inlineStr">
        <is>
          <t xml:space="preserve">C</t>
        </is>
      </c>
      <c r="G1232" s="4">
        <v>0.024554</v>
      </c>
      <c r="H1232" s="0" t="inlineStr">
        <is>
          <t xml:space="preserve">2018-02-08</t>
        </is>
      </c>
      <c r="I1232" s="0" t="inlineStr">
        <is>
          <t xml:space="preserve">no</t>
        </is>
      </c>
      <c r="K1232" s="0" t="inlineStr">
        <is>
          <t xml:space="preserve">NONE</t>
        </is>
      </c>
    </row>
    <row r="1233">
      <c r="B1233" s="0" t="inlineStr">
        <is>
          <t xml:space="preserve">M0031822P0009</t>
        </is>
      </c>
      <c r="D1233" s="0" t="inlineStr">
        <is>
          <t xml:space="preserve">small_craft</t>
        </is>
      </c>
      <c r="E1233" s="0" t="inlineStr">
        <is>
          <t xml:space="preserve">SAFE BOATS INTERNATIONAL LLC</t>
        </is>
      </c>
      <c r="F1233" s="0" t="inlineStr">
        <is>
          <t xml:space="preserve">B</t>
        </is>
      </c>
      <c r="G1233" s="4">
        <v>0.02451148</v>
      </c>
      <c r="H1233" s="0" t="inlineStr">
        <is>
          <t xml:space="preserve">2022-06-06</t>
        </is>
      </c>
      <c r="I1233" s="0" t="inlineStr">
        <is>
          <t xml:space="preserve">no</t>
        </is>
      </c>
      <c r="J1233" s="0" t="inlineStr">
        <is>
          <t xml:space="preserve">M0031822Q0012</t>
        </is>
      </c>
      <c r="K1233" s="0" t="inlineStr">
        <is>
          <t xml:space="preserve">NONE</t>
        </is>
      </c>
    </row>
    <row r="1234">
      <c r="B1234" s="0" t="inlineStr">
        <is>
          <t xml:space="preserve">M6786125P0029</t>
        </is>
      </c>
      <c r="D1234" s="0" t="inlineStr">
        <is>
          <t xml:space="preserve">small_craft</t>
        </is>
      </c>
      <c r="E1234" s="0" t="inlineStr">
        <is>
          <t xml:space="preserve">NR FRAGRANCES &amp; COSMETICS INC</t>
        </is>
      </c>
      <c r="F1234" s="0" t="inlineStr">
        <is>
          <t xml:space="preserve">B</t>
        </is>
      </c>
      <c r="G1234" s="4">
        <v>0.0244745</v>
      </c>
      <c r="H1234" s="0" t="inlineStr">
        <is>
          <t xml:space="preserve">2025-08-27</t>
        </is>
      </c>
      <c r="I1234" s="0" t="inlineStr">
        <is>
          <t xml:space="preserve">yes</t>
        </is>
      </c>
      <c r="J1234" s="0" t="inlineStr">
        <is>
          <t xml:space="preserve">M6786125Q0039</t>
        </is>
      </c>
      <c r="K1234" s="0" t="inlineStr">
        <is>
          <t xml:space="preserve">NONE</t>
        </is>
      </c>
    </row>
    <row r="1235">
      <c r="B1235" s="0" t="inlineStr">
        <is>
          <t xml:space="preserve">N0018923P0545</t>
        </is>
      </c>
      <c r="D1235" s="0" t="inlineStr">
        <is>
          <t xml:space="preserve">small_craft</t>
        </is>
      </c>
      <c r="E1235" s="0" t="inlineStr">
        <is>
          <t xml:space="preserve">BLIND AND VISION IMPAIRED, VIRGINIA DEPARTMENT FOR THE</t>
        </is>
      </c>
      <c r="F1235" s="0" t="inlineStr">
        <is>
          <t xml:space="preserve">B</t>
        </is>
      </c>
      <c r="G1235" s="4">
        <v>0.024422199999999998</v>
      </c>
      <c r="H1235" s="0" t="inlineStr">
        <is>
          <t xml:space="preserve">2023-08-03</t>
        </is>
      </c>
      <c r="I1235" s="0" t="inlineStr">
        <is>
          <t xml:space="preserve">no</t>
        </is>
      </c>
      <c r="K1235" s="0" t="inlineStr">
        <is>
          <t xml:space="preserve">NONE</t>
        </is>
      </c>
    </row>
    <row r="1236">
      <c r="B1236" s="0" t="inlineStr">
        <is>
          <t xml:space="preserve">N0040618P0928</t>
        </is>
      </c>
      <c r="D1236" s="0" t="inlineStr">
        <is>
          <t xml:space="preserve">small_craft</t>
        </is>
      </c>
      <c r="E1236" s="0" t="inlineStr">
        <is>
          <t xml:space="preserve">STRONGWELL CORPORATION</t>
        </is>
      </c>
      <c r="F1236" s="0" t="inlineStr">
        <is>
          <t xml:space="preserve">B</t>
        </is>
      </c>
      <c r="G1236" s="4">
        <v>0.0243491</v>
      </c>
      <c r="H1236" s="0" t="inlineStr">
        <is>
          <t xml:space="preserve">2018-04-26</t>
        </is>
      </c>
      <c r="I1236" s="0" t="inlineStr">
        <is>
          <t xml:space="preserve">no</t>
        </is>
      </c>
      <c r="K1236" s="0" t="inlineStr">
        <is>
          <t xml:space="preserve">NONE</t>
        </is>
      </c>
    </row>
    <row r="1237">
      <c r="B1237" s="0" t="inlineStr">
        <is>
          <t xml:space="preserve">N3220518P2047</t>
        </is>
      </c>
      <c r="D1237" s="0" t="inlineStr">
        <is>
          <t xml:space="preserve">small_craft</t>
        </is>
      </c>
      <c r="E1237" s="0" t="inlineStr">
        <is>
          <t xml:space="preserve">WING INFLATABLES INC</t>
        </is>
      </c>
      <c r="F1237" s="0" t="inlineStr">
        <is>
          <t xml:space="preserve">B</t>
        </is>
      </c>
      <c r="G1237" s="4">
        <v>0.024249999999999997</v>
      </c>
      <c r="H1237" s="0" t="inlineStr">
        <is>
          <t xml:space="preserve">2018-02-01</t>
        </is>
      </c>
      <c r="I1237" s="0" t="inlineStr">
        <is>
          <t xml:space="preserve">no</t>
        </is>
      </c>
      <c r="J1237" s="0" t="inlineStr">
        <is>
          <t xml:space="preserve">N3220518Q0131</t>
        </is>
      </c>
      <c r="K1237" s="0" t="inlineStr">
        <is>
          <t xml:space="preserve">NONE</t>
        </is>
      </c>
    </row>
    <row r="1238">
      <c r="B1238" s="0" t="inlineStr">
        <is>
          <t xml:space="preserve">N0040620P0554</t>
        </is>
      </c>
      <c r="D1238" s="0" t="inlineStr">
        <is>
          <t xml:space="preserve">small_craft</t>
        </is>
      </c>
      <c r="E1238" s="0" t="inlineStr">
        <is>
          <t xml:space="preserve">DEFENSE MARITIME SOLUTIONS, INC.</t>
        </is>
      </c>
      <c r="F1238" s="0" t="inlineStr">
        <is>
          <t xml:space="preserve">B</t>
        </is>
      </c>
      <c r="G1238" s="4">
        <v>0.02414502</v>
      </c>
      <c r="H1238" s="0" t="inlineStr">
        <is>
          <t xml:space="preserve">2020-09-01</t>
        </is>
      </c>
      <c r="I1238" s="0" t="inlineStr">
        <is>
          <t xml:space="preserve">no</t>
        </is>
      </c>
      <c r="J1238" s="0" t="inlineStr">
        <is>
          <t xml:space="preserve">N0040620Q0393</t>
        </is>
      </c>
      <c r="K1238" s="0" t="inlineStr">
        <is>
          <t xml:space="preserve">NONE</t>
        </is>
      </c>
    </row>
    <row r="1239">
      <c r="B1239" s="0" t="inlineStr">
        <is>
          <t xml:space="preserve">N6227115M1118</t>
        </is>
      </c>
      <c r="D1239" s="0" t="inlineStr">
        <is>
          <t xml:space="preserve">other_small</t>
        </is>
      </c>
      <c r="E1239" s="0" t="inlineStr">
        <is>
          <t xml:space="preserve">MOORING SYSTEMS, INCORPORATED</t>
        </is>
      </c>
      <c r="F1239" s="0" t="inlineStr">
        <is>
          <t xml:space="preserve">B</t>
        </is>
      </c>
      <c r="G1239" s="4">
        <v>0.024095</v>
      </c>
      <c r="H1239" s="0" t="inlineStr">
        <is>
          <t xml:space="preserve">2015-03-20</t>
        </is>
      </c>
      <c r="I1239" s="0" t="inlineStr">
        <is>
          <t xml:space="preserve">no</t>
        </is>
      </c>
      <c r="J1239" s="0" t="inlineStr">
        <is>
          <t xml:space="preserve">N6227115Q1118</t>
        </is>
      </c>
      <c r="K1239" s="0" t="inlineStr">
        <is>
          <t xml:space="preserve">NONE</t>
        </is>
      </c>
    </row>
    <row r="1240">
      <c r="B1240" s="0" t="inlineStr">
        <is>
          <t xml:space="preserve">M6016914PSA26</t>
        </is>
      </c>
      <c r="D1240" s="0" t="inlineStr">
        <is>
          <t xml:space="preserve">small_craft</t>
        </is>
      </c>
      <c r="E1240" s="0" t="inlineStr">
        <is>
          <t xml:space="preserve">MCELVEEN, RICHARD K</t>
        </is>
      </c>
      <c r="F1240" s="0" t="inlineStr">
        <is>
          <t xml:space="preserve">B</t>
        </is>
      </c>
      <c r="G1240" s="4">
        <v>0.024</v>
      </c>
      <c r="H1240" s="0" t="inlineStr">
        <is>
          <t xml:space="preserve">2014-09-25</t>
        </is>
      </c>
      <c r="I1240" s="0" t="inlineStr">
        <is>
          <t xml:space="preserve">no</t>
        </is>
      </c>
      <c r="J1240" s="0" t="inlineStr">
        <is>
          <t xml:space="preserve">M6016914TJ027</t>
        </is>
      </c>
      <c r="K1240" s="0" t="inlineStr">
        <is>
          <t xml:space="preserve">NONE</t>
        </is>
      </c>
    </row>
    <row r="1241">
      <c r="B1241" s="0" t="inlineStr">
        <is>
          <t xml:space="preserve">N0010422PDA15</t>
        </is>
      </c>
      <c r="D1241" s="0" t="inlineStr">
        <is>
          <t xml:space="preserve">small_craft</t>
        </is>
      </c>
      <c r="E1241" s="0" t="inlineStr">
        <is>
          <t xml:space="preserve">DURAMAX MARINE, LLC</t>
        </is>
      </c>
      <c r="F1241" s="0" t="inlineStr">
        <is>
          <t xml:space="preserve">B</t>
        </is>
      </c>
      <c r="G1241" s="4">
        <v>0.02392</v>
      </c>
      <c r="H1241" s="0" t="inlineStr">
        <is>
          <t xml:space="preserve">2021-10-08</t>
        </is>
      </c>
      <c r="I1241" s="0" t="inlineStr">
        <is>
          <t xml:space="preserve">no</t>
        </is>
      </c>
      <c r="K1241" s="0" t="inlineStr">
        <is>
          <t xml:space="preserve">NONE</t>
        </is>
      </c>
    </row>
    <row r="1242">
      <c r="B1242" s="0" t="inlineStr">
        <is>
          <t xml:space="preserve">N0010422PDA39</t>
        </is>
      </c>
      <c r="D1242" s="0" t="inlineStr">
        <is>
          <t xml:space="preserve">small_craft</t>
        </is>
      </c>
      <c r="E1242" s="0" t="inlineStr">
        <is>
          <t xml:space="preserve">L3 TECHNOLOGIES, INC.</t>
        </is>
      </c>
      <c r="F1242" s="0" t="inlineStr">
        <is>
          <t xml:space="preserve">B</t>
        </is>
      </c>
      <c r="G1242" s="4">
        <v>0.023794</v>
      </c>
      <c r="H1242" s="0" t="inlineStr">
        <is>
          <t xml:space="preserve">2021-11-19</t>
        </is>
      </c>
      <c r="I1242" s="0" t="inlineStr">
        <is>
          <t xml:space="preserve">no</t>
        </is>
      </c>
      <c r="K1242" s="0" t="inlineStr">
        <is>
          <t xml:space="preserve">NONE</t>
        </is>
      </c>
    </row>
    <row r="1243">
      <c r="B1243" s="0" t="inlineStr">
        <is>
          <t xml:space="preserve">N0018920P0028</t>
        </is>
      </c>
      <c r="D1243" s="0" t="inlineStr">
        <is>
          <t xml:space="preserve">small_craft</t>
        </is>
      </c>
      <c r="E1243" s="0" t="inlineStr">
        <is>
          <t xml:space="preserve">BEACH MARINE SERVICES INC</t>
        </is>
      </c>
      <c r="F1243" s="0" t="inlineStr">
        <is>
          <t xml:space="preserve">B</t>
        </is>
      </c>
      <c r="G1243" s="4">
        <v>0.0237262</v>
      </c>
      <c r="H1243" s="0" t="inlineStr">
        <is>
          <t xml:space="preserve">2020-03-04</t>
        </is>
      </c>
      <c r="I1243" s="0" t="inlineStr">
        <is>
          <t xml:space="preserve">no</t>
        </is>
      </c>
      <c r="J1243" s="0" t="inlineStr">
        <is>
          <t xml:space="preserve">N0018920Q0059</t>
        </is>
      </c>
      <c r="K1243" s="0" t="inlineStr">
        <is>
          <t xml:space="preserve">NONE</t>
        </is>
      </c>
    </row>
    <row r="1244">
      <c r="B1244" s="0" t="inlineStr">
        <is>
          <t xml:space="preserve">N4033920PD005</t>
        </is>
      </c>
      <c r="D1244" s="0" t="inlineStr">
        <is>
          <t xml:space="preserve">small_craft</t>
        </is>
      </c>
      <c r="E1244" s="0" t="inlineStr">
        <is>
          <t xml:space="preserve">EVERLLENCE MIDDLE EAST AND AFRICA L.L.C</t>
        </is>
      </c>
      <c r="F1244" s="0" t="inlineStr">
        <is>
          <t xml:space="preserve">B</t>
        </is>
      </c>
      <c r="G1244" s="4">
        <v>0.023504999999999998</v>
      </c>
      <c r="H1244" s="0" t="inlineStr">
        <is>
          <t xml:space="preserve">2019-10-14</t>
        </is>
      </c>
      <c r="I1244" s="0" t="inlineStr">
        <is>
          <t xml:space="preserve">no</t>
        </is>
      </c>
      <c r="J1244" s="0" t="inlineStr">
        <is>
          <t xml:space="preserve">N4033920QD004</t>
        </is>
      </c>
      <c r="K1244" s="0" t="inlineStr">
        <is>
          <t xml:space="preserve">NONE</t>
        </is>
      </c>
    </row>
    <row r="1245">
      <c r="B1245" s="0" t="inlineStr">
        <is>
          <t xml:space="preserve">N3220516P7494</t>
        </is>
      </c>
      <c r="D1245" s="0" t="inlineStr">
        <is>
          <t xml:space="preserve">small_craft</t>
        </is>
      </c>
      <c r="E1245" s="0" t="inlineStr">
        <is>
          <t xml:space="preserve">VANE BROTHERS MARINE SAFETY &amp; SERVICES, INC</t>
        </is>
      </c>
      <c r="F1245" s="0" t="inlineStr">
        <is>
          <t xml:space="preserve">B</t>
        </is>
      </c>
      <c r="G1245" s="4">
        <v>0.0235</v>
      </c>
      <c r="H1245" s="0" t="inlineStr">
        <is>
          <t xml:space="preserve">2016-07-26</t>
        </is>
      </c>
      <c r="I1245" s="0" t="inlineStr">
        <is>
          <t xml:space="preserve">no</t>
        </is>
      </c>
      <c r="J1245" s="0" t="inlineStr">
        <is>
          <t xml:space="preserve">N3220516T7494</t>
        </is>
      </c>
      <c r="K1245" s="0" t="inlineStr">
        <is>
          <t xml:space="preserve">NONE</t>
        </is>
      </c>
    </row>
    <row r="1246">
      <c r="B1246" s="0" t="inlineStr">
        <is>
          <t xml:space="preserve">N0040621P0519</t>
        </is>
      </c>
      <c r="D1246" s="0" t="inlineStr">
        <is>
          <t xml:space="preserve">small_craft</t>
        </is>
      </c>
      <c r="E1246" s="0" t="inlineStr">
        <is>
          <t xml:space="preserve">COMMERCIAL &amp; MARINE PRODUCTS CORP</t>
        </is>
      </c>
      <c r="F1246" s="0" t="inlineStr">
        <is>
          <t xml:space="preserve">B</t>
        </is>
      </c>
      <c r="G1246" s="4">
        <v>0.0234195</v>
      </c>
      <c r="H1246" s="0" t="inlineStr">
        <is>
          <t xml:space="preserve">2021-08-20</t>
        </is>
      </c>
      <c r="I1246" s="0" t="inlineStr">
        <is>
          <t xml:space="preserve">no</t>
        </is>
      </c>
      <c r="J1246" s="0" t="inlineStr">
        <is>
          <t xml:space="preserve">N0040621Q0284</t>
        </is>
      </c>
      <c r="K1246" s="0" t="inlineStr">
        <is>
          <t xml:space="preserve">NONE</t>
        </is>
      </c>
    </row>
    <row r="1247">
      <c r="B1247" s="0" t="inlineStr">
        <is>
          <t xml:space="preserve">N0040621P0017</t>
        </is>
      </c>
      <c r="D1247" s="0" t="inlineStr">
        <is>
          <t xml:space="preserve">small_craft</t>
        </is>
      </c>
      <c r="E1247" s="0" t="inlineStr">
        <is>
          <t xml:space="preserve">SAFE BOATS INTERNATIONAL LLC</t>
        </is>
      </c>
      <c r="F1247" s="0" t="inlineStr">
        <is>
          <t xml:space="preserve">B</t>
        </is>
      </c>
      <c r="G1247" s="4">
        <v>0.023389319999999998</v>
      </c>
      <c r="H1247" s="0" t="inlineStr">
        <is>
          <t xml:space="preserve">2020-11-24</t>
        </is>
      </c>
      <c r="I1247" s="0" t="inlineStr">
        <is>
          <t xml:space="preserve">no</t>
        </is>
      </c>
      <c r="K1247" s="0" t="inlineStr">
        <is>
          <t xml:space="preserve">NONE</t>
        </is>
      </c>
    </row>
    <row r="1248">
      <c r="B1248" s="0" t="inlineStr">
        <is>
          <t xml:space="preserve">N6264923F0298</t>
        </is>
      </c>
      <c r="C1248" s="0" t="inlineStr">
        <is>
          <t xml:space="preserve">N6264923A0001</t>
        </is>
      </c>
      <c r="D1248" s="0" t="inlineStr">
        <is>
          <t xml:space="preserve">small_craft</t>
        </is>
      </c>
      <c r="E1248" s="0" t="inlineStr">
        <is>
          <t xml:space="preserve">MISCELLANEOUS FOREIGN AWARDEES</t>
        </is>
      </c>
      <c r="F1248" s="0" t="inlineStr">
        <is>
          <t xml:space="preserve">A</t>
        </is>
      </c>
      <c r="G1248" s="4">
        <v>0.023326339999999997</v>
      </c>
      <c r="H1248" s="0" t="inlineStr">
        <is>
          <t xml:space="preserve">2023-01-19</t>
        </is>
      </c>
      <c r="I1248" s="0" t="inlineStr">
        <is>
          <t xml:space="preserve">no</t>
        </is>
      </c>
      <c r="K1248" s="0" t="inlineStr">
        <is>
          <t xml:space="preserve">NONE</t>
        </is>
      </c>
    </row>
    <row r="1249">
      <c r="B1249" s="0" t="inlineStr">
        <is>
          <t xml:space="preserve">N4008521P0046</t>
        </is>
      </c>
      <c r="D1249" s="0" t="inlineStr">
        <is>
          <t xml:space="preserve">small_craft</t>
        </is>
      </c>
      <c r="E1249" s="0" t="inlineStr">
        <is>
          <t xml:space="preserve">ATLANTIC MARINE, LLC</t>
        </is>
      </c>
      <c r="F1249" s="0" t="inlineStr">
        <is>
          <t xml:space="preserve">B</t>
        </is>
      </c>
      <c r="G1249" s="4">
        <v>0.02329386</v>
      </c>
      <c r="H1249" s="0" t="inlineStr">
        <is>
          <t xml:space="preserve">2021-09-22</t>
        </is>
      </c>
      <c r="I1249" s="0" t="inlineStr">
        <is>
          <t xml:space="preserve">no</t>
        </is>
      </c>
      <c r="K1249" s="0" t="inlineStr">
        <is>
          <t xml:space="preserve">NONE</t>
        </is>
      </c>
    </row>
    <row r="1250">
      <c r="B1250" s="0" t="inlineStr">
        <is>
          <t xml:space="preserve">N0010421PLC85</t>
        </is>
      </c>
      <c r="D1250" s="0" t="inlineStr">
        <is>
          <t xml:space="preserve">small_craft</t>
        </is>
      </c>
      <c r="E1250" s="0" t="inlineStr">
        <is>
          <t xml:space="preserve">GENERAL DYNAMICS-OTS, INC.</t>
        </is>
      </c>
      <c r="F1250" s="0" t="inlineStr">
        <is>
          <t xml:space="preserve">B</t>
        </is>
      </c>
      <c r="G1250" s="4">
        <v>0.023273</v>
      </c>
      <c r="H1250" s="0" t="inlineStr">
        <is>
          <t xml:space="preserve">2021-09-28</t>
        </is>
      </c>
      <c r="I1250" s="0" t="inlineStr">
        <is>
          <t xml:space="preserve">no</t>
        </is>
      </c>
      <c r="K1250" s="0" t="inlineStr">
        <is>
          <t xml:space="preserve">NONE</t>
        </is>
      </c>
    </row>
    <row r="1251">
      <c r="B1251" s="0" t="inlineStr">
        <is>
          <t xml:space="preserve">N0010422PDD70</t>
        </is>
      </c>
      <c r="D1251" s="0" t="inlineStr">
        <is>
          <t xml:space="preserve">small_craft</t>
        </is>
      </c>
      <c r="E1251" s="0" t="inlineStr">
        <is>
          <t xml:space="preserve">WALZ &amp; KRENZER INC</t>
        </is>
      </c>
      <c r="F1251" s="0" t="inlineStr">
        <is>
          <t xml:space="preserve">B</t>
        </is>
      </c>
      <c r="G1251" s="4">
        <v>0.0232</v>
      </c>
      <c r="H1251" s="0" t="inlineStr">
        <is>
          <t xml:space="preserve">2022-09-08</t>
        </is>
      </c>
      <c r="I1251" s="0" t="inlineStr">
        <is>
          <t xml:space="preserve">no</t>
        </is>
      </c>
      <c r="K1251" s="0" t="inlineStr">
        <is>
          <t xml:space="preserve">NONE</t>
        </is>
      </c>
    </row>
    <row r="1252">
      <c r="B1252" s="0" t="inlineStr">
        <is>
          <t xml:space="preserve">N6523626PE004</t>
        </is>
      </c>
      <c r="D1252" s="0" t="inlineStr">
        <is>
          <t xml:space="preserve">usv_core</t>
        </is>
      </c>
      <c r="E1252" s="0" t="inlineStr">
        <is>
          <t xml:space="preserve">FOXTROT RESEARCH CORP</t>
        </is>
      </c>
      <c r="F1252" s="0" t="inlineStr">
        <is>
          <t xml:space="preserve">B</t>
        </is>
      </c>
      <c r="G1252" s="4">
        <v>0.023198999999999997</v>
      </c>
      <c r="H1252" s="0" t="inlineStr">
        <is>
          <t xml:space="preserve">2025-12-10</t>
        </is>
      </c>
      <c r="I1252" s="0" t="inlineStr">
        <is>
          <t xml:space="preserve">yes</t>
        </is>
      </c>
      <c r="J1252" s="0" t="inlineStr">
        <is>
          <t xml:space="preserve">N6523626R0034</t>
        </is>
      </c>
      <c r="K1252" s="0" t="inlineStr">
        <is>
          <t xml:space="preserve">NONE</t>
        </is>
      </c>
    </row>
    <row r="1253">
      <c r="B1253" s="0" t="inlineStr">
        <is>
          <t xml:space="preserve">N0010412PCG37</t>
        </is>
      </c>
      <c r="D1253" s="0" t="inlineStr">
        <is>
          <t xml:space="preserve">small_craft</t>
        </is>
      </c>
      <c r="E1253" s="0" t="inlineStr">
        <is>
          <t xml:space="preserve">GLOBAL INCORPORATED</t>
        </is>
      </c>
      <c r="F1253" s="0" t="inlineStr">
        <is>
          <t xml:space="preserve">B</t>
        </is>
      </c>
      <c r="G1253" s="4">
        <v>0.023169580000000002</v>
      </c>
      <c r="H1253" s="0" t="inlineStr">
        <is>
          <t xml:space="preserve">2012-03-15</t>
        </is>
      </c>
      <c r="I1253" s="0" t="inlineStr">
        <is>
          <t xml:space="preserve">no</t>
        </is>
      </c>
      <c r="K1253" s="0" t="inlineStr">
        <is>
          <t xml:space="preserve">NONE</t>
        </is>
      </c>
    </row>
    <row r="1254">
      <c r="B1254" s="0" t="inlineStr">
        <is>
          <t xml:space="preserve">N0003923F1026</t>
        </is>
      </c>
      <c r="C1254" s="0" t="inlineStr">
        <is>
          <t xml:space="preserve">N0003921D6001</t>
        </is>
      </c>
      <c r="D1254" s="0" t="inlineStr">
        <is>
          <t xml:space="preserve">small_craft</t>
        </is>
      </c>
      <c r="E1254" s="0" t="inlineStr">
        <is>
          <t xml:space="preserve">TELEDYNE BROWN ENGINEERING, INC.</t>
        </is>
      </c>
      <c r="F1254" s="0" t="inlineStr">
        <is>
          <t xml:space="preserve">C</t>
        </is>
      </c>
      <c r="G1254" s="4">
        <v>0.02305038</v>
      </c>
      <c r="H1254" s="0" t="inlineStr">
        <is>
          <t xml:space="preserve">2023-05-25</t>
        </is>
      </c>
      <c r="I1254" s="0" t="inlineStr">
        <is>
          <t xml:space="preserve">no</t>
        </is>
      </c>
      <c r="J1254" s="0" t="inlineStr">
        <is>
          <t xml:space="preserve">N0003921R1000</t>
        </is>
      </c>
      <c r="K1254" s="0" t="inlineStr">
        <is>
          <t xml:space="preserve">NONE</t>
        </is>
      </c>
    </row>
    <row r="1255">
      <c r="B1255" s="0" t="inlineStr">
        <is>
          <t xml:space="preserve">N6227114M1147</t>
        </is>
      </c>
      <c r="D1255" s="0" t="inlineStr">
        <is>
          <t xml:space="preserve">other_small</t>
        </is>
      </c>
      <c r="E1255" s="0" t="inlineStr">
        <is>
          <t xml:space="preserve">WOODS HOLE OCEANOGRAPHIC INSTITUTION</t>
        </is>
      </c>
      <c r="F1255" s="0" t="inlineStr">
        <is>
          <t xml:space="preserve">B</t>
        </is>
      </c>
      <c r="G1255" s="4">
        <v>0.022853</v>
      </c>
      <c r="H1255" s="0" t="inlineStr">
        <is>
          <t xml:space="preserve">2014-06-20</t>
        </is>
      </c>
      <c r="I1255" s="0" t="inlineStr">
        <is>
          <t xml:space="preserve">no</t>
        </is>
      </c>
      <c r="J1255" s="0" t="inlineStr">
        <is>
          <t xml:space="preserve">N6227114Q1147</t>
        </is>
      </c>
      <c r="K1255" s="0" t="inlineStr">
        <is>
          <t xml:space="preserve">NONE</t>
        </is>
      </c>
    </row>
    <row r="1256">
      <c r="B1256" s="0" t="inlineStr">
        <is>
          <t xml:space="preserve">N0010421PDD37</t>
        </is>
      </c>
      <c r="D1256" s="0" t="inlineStr">
        <is>
          <t xml:space="preserve">small_craft</t>
        </is>
      </c>
      <c r="E1256" s="0" t="inlineStr">
        <is>
          <t xml:space="preserve">LEIDOS, INC.</t>
        </is>
      </c>
      <c r="F1256" s="0" t="inlineStr">
        <is>
          <t xml:space="preserve">B</t>
        </is>
      </c>
      <c r="G1256" s="4">
        <v>0.022785</v>
      </c>
      <c r="H1256" s="0" t="inlineStr">
        <is>
          <t xml:space="preserve">2021-09-02</t>
        </is>
      </c>
      <c r="I1256" s="0" t="inlineStr">
        <is>
          <t xml:space="preserve">no</t>
        </is>
      </c>
      <c r="K1256" s="0" t="inlineStr">
        <is>
          <t xml:space="preserve">NONE</t>
        </is>
      </c>
    </row>
    <row r="1257">
      <c r="B1257" s="0" t="inlineStr">
        <is>
          <t xml:space="preserve">1007</t>
        </is>
      </c>
      <c r="C1257" s="0" t="inlineStr">
        <is>
          <t xml:space="preserve">N0010416DX004</t>
        </is>
      </c>
      <c r="D1257" s="0" t="inlineStr">
        <is>
          <t xml:space="preserve">small_craft</t>
        </is>
      </c>
      <c r="E1257" s="0" t="inlineStr">
        <is>
          <t xml:space="preserve">WING INFLATABLES INC</t>
        </is>
      </c>
      <c r="F1257" s="0" t="inlineStr">
        <is>
          <t xml:space="preserve">C</t>
        </is>
      </c>
      <c r="G1257" s="4">
        <v>0.022664</v>
      </c>
      <c r="H1257" s="0" t="inlineStr">
        <is>
          <t xml:space="preserve">2017-01-19</t>
        </is>
      </c>
      <c r="I1257" s="0" t="inlineStr">
        <is>
          <t xml:space="preserve">no</t>
        </is>
      </c>
      <c r="K1257" s="0" t="inlineStr">
        <is>
          <t xml:space="preserve">NONE</t>
        </is>
      </c>
    </row>
    <row r="1258">
      <c r="B1258" s="0" t="inlineStr">
        <is>
          <t xml:space="preserve">1004</t>
        </is>
      </c>
      <c r="C1258" s="0" t="inlineStr">
        <is>
          <t xml:space="preserve">N0010416DX004</t>
        </is>
      </c>
      <c r="D1258" s="0" t="inlineStr">
        <is>
          <t xml:space="preserve">small_craft</t>
        </is>
      </c>
      <c r="E1258" s="0" t="inlineStr">
        <is>
          <t xml:space="preserve">WING INFLATABLES INC</t>
        </is>
      </c>
      <c r="F1258" s="0" t="inlineStr">
        <is>
          <t xml:space="preserve">C</t>
        </is>
      </c>
      <c r="G1258" s="4">
        <v>0.022664</v>
      </c>
      <c r="H1258" s="0" t="inlineStr">
        <is>
          <t xml:space="preserve">2016-09-27</t>
        </is>
      </c>
      <c r="I1258" s="0" t="inlineStr">
        <is>
          <t xml:space="preserve">no</t>
        </is>
      </c>
      <c r="K1258" s="0" t="inlineStr">
        <is>
          <t xml:space="preserve">NONE</t>
        </is>
      </c>
    </row>
    <row r="1259">
      <c r="B1259" s="0" t="inlineStr">
        <is>
          <t xml:space="preserve">N0018916P1678</t>
        </is>
      </c>
      <c r="D1259" s="0" t="inlineStr">
        <is>
          <t xml:space="preserve">small_craft</t>
        </is>
      </c>
      <c r="E1259" s="0" t="inlineStr">
        <is>
          <t xml:space="preserve">XRAM LIMITED</t>
        </is>
      </c>
      <c r="F1259" s="0" t="inlineStr">
        <is>
          <t xml:space="preserve">B</t>
        </is>
      </c>
      <c r="G1259" s="4">
        <v>0.022534799999999997</v>
      </c>
      <c r="H1259" s="0" t="inlineStr">
        <is>
          <t xml:space="preserve">2016-09-28</t>
        </is>
      </c>
      <c r="I1259" s="0" t="inlineStr">
        <is>
          <t xml:space="preserve">no</t>
        </is>
      </c>
      <c r="K1259" s="0" t="inlineStr">
        <is>
          <t xml:space="preserve">NONE</t>
        </is>
      </c>
    </row>
    <row r="1260">
      <c r="B1260" s="0" t="inlineStr">
        <is>
          <t xml:space="preserve">N0040620P0053</t>
        </is>
      </c>
      <c r="D1260" s="0" t="inlineStr">
        <is>
          <t xml:space="preserve">small_craft</t>
        </is>
      </c>
      <c r="E1260" s="0" t="inlineStr">
        <is>
          <t xml:space="preserve">WASHINGTON CHAIN &amp; SUPPLY, INC.</t>
        </is>
      </c>
      <c r="F1260" s="0" t="inlineStr">
        <is>
          <t xml:space="preserve">B</t>
        </is>
      </c>
      <c r="G1260" s="4">
        <v>0.022439999999999998</v>
      </c>
      <c r="H1260" s="0" t="inlineStr">
        <is>
          <t xml:space="preserve">2019-12-02</t>
        </is>
      </c>
      <c r="I1260" s="0" t="inlineStr">
        <is>
          <t xml:space="preserve">no</t>
        </is>
      </c>
      <c r="K1260" s="0" t="inlineStr">
        <is>
          <t xml:space="preserve">NONE</t>
        </is>
      </c>
    </row>
    <row r="1261">
      <c r="B1261" s="0" t="inlineStr">
        <is>
          <t xml:space="preserve">N0010422FY700</t>
        </is>
      </c>
      <c r="C1261" s="0" t="inlineStr">
        <is>
          <t xml:space="preserve">N0010422GY701</t>
        </is>
      </c>
      <c r="D1261" s="0" t="inlineStr">
        <is>
          <t xml:space="preserve">small_craft</t>
        </is>
      </c>
      <c r="E1261" s="0" t="inlineStr">
        <is>
          <t xml:space="preserve">L3 TECHNOLOGIES, INC.</t>
        </is>
      </c>
      <c r="F1261" s="0" t="inlineStr">
        <is>
          <t xml:space="preserve">C</t>
        </is>
      </c>
      <c r="G1261" s="4">
        <v>0.02242178</v>
      </c>
      <c r="H1261" s="0" t="inlineStr">
        <is>
          <t xml:space="preserve">2022-01-31</t>
        </is>
      </c>
      <c r="I1261" s="0" t="inlineStr">
        <is>
          <t xml:space="preserve">no</t>
        </is>
      </c>
      <c r="J1261" s="0" t="inlineStr">
        <is>
          <t xml:space="preserve">N0010421QDE44</t>
        </is>
      </c>
      <c r="K1261" s="0" t="inlineStr">
        <is>
          <t xml:space="preserve">NONE</t>
        </is>
      </c>
    </row>
    <row r="1262">
      <c r="B1262" s="0" t="inlineStr">
        <is>
          <t xml:space="preserve">N0010421PCA60</t>
        </is>
      </c>
      <c r="D1262" s="0" t="inlineStr">
        <is>
          <t xml:space="preserve">small_craft</t>
        </is>
      </c>
      <c r="E1262" s="0" t="inlineStr">
        <is>
          <t xml:space="preserve">DYNALEC CORPORATION</t>
        </is>
      </c>
      <c r="F1262" s="0" t="inlineStr">
        <is>
          <t xml:space="preserve">B</t>
        </is>
      </c>
      <c r="G1262" s="4">
        <v>0.022361</v>
      </c>
      <c r="H1262" s="0" t="inlineStr">
        <is>
          <t xml:space="preserve">2020-12-07</t>
        </is>
      </c>
      <c r="I1262" s="0" t="inlineStr">
        <is>
          <t xml:space="preserve">no</t>
        </is>
      </c>
      <c r="K1262" s="0" t="inlineStr">
        <is>
          <t xml:space="preserve">NONE</t>
        </is>
      </c>
    </row>
    <row r="1263">
      <c r="B1263" s="0" t="inlineStr">
        <is>
          <t xml:space="preserve">N0040616P3204</t>
        </is>
      </c>
      <c r="D1263" s="0" t="inlineStr">
        <is>
          <t xml:space="preserve">small_craft</t>
        </is>
      </c>
      <c r="E1263" s="0" t="inlineStr">
        <is>
          <t xml:space="preserve">WING INFLATABLES, INC.</t>
        </is>
      </c>
      <c r="F1263" s="0" t="inlineStr">
        <is>
          <t xml:space="preserve">B</t>
        </is>
      </c>
      <c r="G1263" s="4">
        <v>0.022291</v>
      </c>
      <c r="H1263" s="0" t="inlineStr">
        <is>
          <t xml:space="preserve">2016-09-08</t>
        </is>
      </c>
      <c r="I1263" s="0" t="inlineStr">
        <is>
          <t xml:space="preserve">no</t>
        </is>
      </c>
      <c r="K1263" s="0" t="inlineStr">
        <is>
          <t xml:space="preserve">NONE</t>
        </is>
      </c>
    </row>
    <row r="1264">
      <c r="B1264" s="0" t="inlineStr">
        <is>
          <t xml:space="preserve">N0018915P0520</t>
        </is>
      </c>
      <c r="D1264" s="0" t="inlineStr">
        <is>
          <t xml:space="preserve">small_craft</t>
        </is>
      </c>
      <c r="E1264" s="0" t="inlineStr">
        <is>
          <t xml:space="preserve">GRAVOIS ALUMINUM BOATS LLC</t>
        </is>
      </c>
      <c r="F1264" s="0" t="inlineStr">
        <is>
          <t xml:space="preserve">B</t>
        </is>
      </c>
      <c r="G1264" s="4">
        <v>0.0222224</v>
      </c>
      <c r="H1264" s="0" t="inlineStr">
        <is>
          <t xml:space="preserve">2015-04-17</t>
        </is>
      </c>
      <c r="I1264" s="0" t="inlineStr">
        <is>
          <t xml:space="preserve">no</t>
        </is>
      </c>
      <c r="K1264" s="0" t="inlineStr">
        <is>
          <t xml:space="preserve">NONE</t>
        </is>
      </c>
    </row>
    <row r="1265">
      <c r="B1265" s="0" t="inlineStr">
        <is>
          <t xml:space="preserve">N0018923P0502</t>
        </is>
      </c>
      <c r="D1265" s="0" t="inlineStr">
        <is>
          <t xml:space="preserve">small_craft</t>
        </is>
      </c>
      <c r="E1265" s="0" t="inlineStr">
        <is>
          <t xml:space="preserve">LIFE RAFT &amp; SURVIVAL EQUIPMENT, INC.</t>
        </is>
      </c>
      <c r="F1265" s="0" t="inlineStr">
        <is>
          <t xml:space="preserve">B</t>
        </is>
      </c>
      <c r="G1265" s="4">
        <v>0.022199999999999998</v>
      </c>
      <c r="H1265" s="0" t="inlineStr">
        <is>
          <t xml:space="preserve">2023-07-24</t>
        </is>
      </c>
      <c r="I1265" s="0" t="inlineStr">
        <is>
          <t xml:space="preserve">no</t>
        </is>
      </c>
      <c r="K1265" s="0" t="inlineStr">
        <is>
          <t xml:space="preserve">NONE</t>
        </is>
      </c>
    </row>
    <row r="1266">
      <c r="B1266" s="0" t="inlineStr">
        <is>
          <t xml:space="preserve">N6227115M1403</t>
        </is>
      </c>
      <c r="D1266" s="0" t="inlineStr">
        <is>
          <t xml:space="preserve">other_small</t>
        </is>
      </c>
      <c r="E1266" s="0" t="inlineStr">
        <is>
          <t xml:space="preserve">HII UNMANNED SYSTEMS, INC</t>
        </is>
      </c>
      <c r="F1266" s="0" t="inlineStr">
        <is>
          <t xml:space="preserve">B</t>
        </is>
      </c>
      <c r="G1266" s="4">
        <v>0.022174</v>
      </c>
      <c r="H1266" s="0" t="inlineStr">
        <is>
          <t xml:space="preserve">2015-09-24</t>
        </is>
      </c>
      <c r="I1266" s="0" t="inlineStr">
        <is>
          <t xml:space="preserve">no</t>
        </is>
      </c>
      <c r="J1266" s="0" t="inlineStr">
        <is>
          <t xml:space="preserve">N6227115Q1403</t>
        </is>
      </c>
      <c r="K1266" s="0" t="inlineStr">
        <is>
          <t xml:space="preserve">NONE</t>
        </is>
      </c>
    </row>
    <row r="1267">
      <c r="B1267" s="0" t="inlineStr">
        <is>
          <t xml:space="preserve">N6893616P0327</t>
        </is>
      </c>
      <c r="D1267" s="0" t="inlineStr">
        <is>
          <t xml:space="preserve">small_craft</t>
        </is>
      </c>
      <c r="E1267" s="0" t="inlineStr">
        <is>
          <t xml:space="preserve">WEST MARINE PRODUCTS, INC.</t>
        </is>
      </c>
      <c r="F1267" s="0" t="inlineStr">
        <is>
          <t xml:space="preserve">B</t>
        </is>
      </c>
      <c r="G1267" s="4">
        <v>0.022099999999999998</v>
      </c>
      <c r="H1267" s="0" t="inlineStr">
        <is>
          <t xml:space="preserve">2016-03-16</t>
        </is>
      </c>
      <c r="I1267" s="0" t="inlineStr">
        <is>
          <t xml:space="preserve">no</t>
        </is>
      </c>
      <c r="K1267" s="0" t="inlineStr">
        <is>
          <t xml:space="preserve">NONE</t>
        </is>
      </c>
    </row>
    <row r="1268">
      <c r="B1268" s="0" t="inlineStr">
        <is>
          <t xml:space="preserve">N6883616P0213</t>
        </is>
      </c>
      <c r="D1268" s="0" t="inlineStr">
        <is>
          <t xml:space="preserve">small_craft</t>
        </is>
      </c>
      <c r="E1268" s="0" t="inlineStr">
        <is>
          <t xml:space="preserve">PEMCO-NAVAL ENGINEERING WORKS INC</t>
        </is>
      </c>
      <c r="F1268" s="0" t="inlineStr">
        <is>
          <t xml:space="preserve">B</t>
        </is>
      </c>
      <c r="G1268" s="4">
        <v>0.022077</v>
      </c>
      <c r="H1268" s="0" t="inlineStr">
        <is>
          <t xml:space="preserve">2016-01-27</t>
        </is>
      </c>
      <c r="I1268" s="0" t="inlineStr">
        <is>
          <t xml:space="preserve">no</t>
        </is>
      </c>
      <c r="K1268" s="0" t="inlineStr">
        <is>
          <t xml:space="preserve">NONE</t>
        </is>
      </c>
    </row>
    <row r="1269">
      <c r="B1269" s="0" t="inlineStr">
        <is>
          <t xml:space="preserve">N0010421PNA30</t>
        </is>
      </c>
      <c r="D1269" s="0" t="inlineStr">
        <is>
          <t xml:space="preserve">small_craft</t>
        </is>
      </c>
      <c r="E1269" s="0" t="inlineStr">
        <is>
          <t xml:space="preserve">MINOR RUBBER CO INC</t>
        </is>
      </c>
      <c r="F1269" s="0" t="inlineStr">
        <is>
          <t xml:space="preserve">B</t>
        </is>
      </c>
      <c r="G1269" s="4">
        <v>0.022013099999999997</v>
      </c>
      <c r="H1269" s="0" t="inlineStr">
        <is>
          <t xml:space="preserve">2020-11-25</t>
        </is>
      </c>
      <c r="I1269" s="0" t="inlineStr">
        <is>
          <t xml:space="preserve">no</t>
        </is>
      </c>
      <c r="K1269" s="0" t="inlineStr">
        <is>
          <t xml:space="preserve">NONE</t>
        </is>
      </c>
    </row>
    <row r="1270">
      <c r="B1270" s="0" t="inlineStr">
        <is>
          <t xml:space="preserve">N0040620P0259</t>
        </is>
      </c>
      <c r="D1270" s="0" t="inlineStr">
        <is>
          <t xml:space="preserve">small_craft</t>
        </is>
      </c>
      <c r="E1270" s="0" t="inlineStr">
        <is>
          <t xml:space="preserve">CORNELL-CARR CO., INC.</t>
        </is>
      </c>
      <c r="F1270" s="0" t="inlineStr">
        <is>
          <t xml:space="preserve">B</t>
        </is>
      </c>
      <c r="G1270" s="4">
        <v>0.022</v>
      </c>
      <c r="H1270" s="0" t="inlineStr">
        <is>
          <t xml:space="preserve">2020-04-03</t>
        </is>
      </c>
      <c r="I1270" s="0" t="inlineStr">
        <is>
          <t xml:space="preserve">no</t>
        </is>
      </c>
      <c r="K1270" s="0" t="inlineStr">
        <is>
          <t xml:space="preserve">NONE</t>
        </is>
      </c>
    </row>
    <row r="1271">
      <c r="B1271" s="0" t="inlineStr">
        <is>
          <t xml:space="preserve">LH81</t>
        </is>
      </c>
      <c r="C1271" s="0" t="inlineStr">
        <is>
          <t xml:space="preserve">N6238715D2104</t>
        </is>
      </c>
      <c r="D1271" s="0" t="inlineStr">
        <is>
          <t xml:space="preserve">other_small</t>
        </is>
      </c>
      <c r="E1271" s="0" t="inlineStr">
        <is>
          <t xml:space="preserve">MCALLISTER TOWING AND TRANSPORTATION COMPANY, INC.</t>
        </is>
      </c>
      <c r="F1271" s="0" t="inlineStr">
        <is>
          <t xml:space="preserve">C</t>
        </is>
      </c>
      <c r="G1271" s="4">
        <v>0.021995</v>
      </c>
      <c r="H1271" s="0" t="inlineStr">
        <is>
          <t xml:space="preserve">2018-06-07</t>
        </is>
      </c>
      <c r="I1271" s="0" t="inlineStr">
        <is>
          <t xml:space="preserve">no</t>
        </is>
      </c>
      <c r="J1271" s="0" t="inlineStr">
        <is>
          <t xml:space="preserve">N6238715R2104</t>
        </is>
      </c>
      <c r="K1271" s="0" t="inlineStr">
        <is>
          <t xml:space="preserve">NONE</t>
        </is>
      </c>
    </row>
    <row r="1272">
      <c r="B1272" s="0" t="inlineStr">
        <is>
          <t xml:space="preserve">N5005419P0025</t>
        </is>
      </c>
      <c r="D1272" s="0" t="inlineStr">
        <is>
          <t xml:space="preserve">small_craft</t>
        </is>
      </c>
      <c r="E1272" s="0" t="inlineStr">
        <is>
          <t xml:space="preserve">OCEAN MARINE INC.</t>
        </is>
      </c>
      <c r="F1272" s="0" t="inlineStr">
        <is>
          <t xml:space="preserve">B</t>
        </is>
      </c>
      <c r="G1272" s="4">
        <v>0.021968389999999997</v>
      </c>
      <c r="H1272" s="0" t="inlineStr">
        <is>
          <t xml:space="preserve">2019-02-06</t>
        </is>
      </c>
      <c r="I1272" s="0" t="inlineStr">
        <is>
          <t xml:space="preserve">no</t>
        </is>
      </c>
      <c r="J1272" s="0" t="inlineStr">
        <is>
          <t xml:space="preserve">N5005419T0002</t>
        </is>
      </c>
      <c r="K1272" s="0" t="inlineStr">
        <is>
          <t xml:space="preserve">NONE</t>
        </is>
      </c>
    </row>
    <row r="1273">
      <c r="B1273" s="0" t="inlineStr">
        <is>
          <t xml:space="preserve">N0010422PUA97</t>
        </is>
      </c>
      <c r="D1273" s="0" t="inlineStr">
        <is>
          <t xml:space="preserve">small_craft</t>
        </is>
      </c>
      <c r="E1273" s="0" t="inlineStr">
        <is>
          <t xml:space="preserve">DYNALEC CORPORATION</t>
        </is>
      </c>
      <c r="F1273" s="0" t="inlineStr">
        <is>
          <t xml:space="preserve">B</t>
        </is>
      </c>
      <c r="G1273" s="4">
        <v>0.0219254</v>
      </c>
      <c r="H1273" s="0" t="inlineStr">
        <is>
          <t xml:space="preserve">2022-05-18</t>
        </is>
      </c>
      <c r="I1273" s="0" t="inlineStr">
        <is>
          <t xml:space="preserve">no</t>
        </is>
      </c>
      <c r="J1273" s="0" t="inlineStr">
        <is>
          <t xml:space="preserve">N0010422QUB75</t>
        </is>
      </c>
      <c r="K1273" s="0" t="inlineStr">
        <is>
          <t xml:space="preserve">NONE</t>
        </is>
      </c>
    </row>
    <row r="1274">
      <c r="B1274" s="0" t="inlineStr">
        <is>
          <t xml:space="preserve">N0040621P0478</t>
        </is>
      </c>
      <c r="D1274" s="0" t="inlineStr">
        <is>
          <t xml:space="preserve">small_craft</t>
        </is>
      </c>
      <c r="E1274" s="0" t="inlineStr">
        <is>
          <t xml:space="preserve">ROYAL MEDIA NETWORK, INC.</t>
        </is>
      </c>
      <c r="F1274" s="0" t="inlineStr">
        <is>
          <t xml:space="preserve">B</t>
        </is>
      </c>
      <c r="G1274" s="4">
        <v>0.021834589999999997</v>
      </c>
      <c r="H1274" s="0" t="inlineStr">
        <is>
          <t xml:space="preserve">2021-08-03</t>
        </is>
      </c>
      <c r="I1274" s="0" t="inlineStr">
        <is>
          <t xml:space="preserve">no</t>
        </is>
      </c>
      <c r="J1274" s="0" t="inlineStr">
        <is>
          <t xml:space="preserve">N0040621Q0424</t>
        </is>
      </c>
      <c r="K1274" s="0" t="inlineStr">
        <is>
          <t xml:space="preserve">NONE</t>
        </is>
      </c>
    </row>
    <row r="1275">
      <c r="B1275" s="0" t="inlineStr">
        <is>
          <t xml:space="preserve">N6449816P5306</t>
        </is>
      </c>
      <c r="D1275" s="0" t="inlineStr">
        <is>
          <t xml:space="preserve">other_small</t>
        </is>
      </c>
      <c r="E1275" s="0" t="inlineStr">
        <is>
          <t xml:space="preserve">ROBONATION INC.</t>
        </is>
      </c>
      <c r="F1275" s="0" t="inlineStr">
        <is>
          <t xml:space="preserve">B</t>
        </is>
      </c>
      <c r="G1275" s="4">
        <v>0.02180896</v>
      </c>
      <c r="H1275" s="0" t="inlineStr">
        <is>
          <t xml:space="preserve">2016-09-01</t>
        </is>
      </c>
      <c r="I1275" s="0" t="inlineStr">
        <is>
          <t xml:space="preserve">no</t>
        </is>
      </c>
      <c r="K1275" s="0" t="inlineStr">
        <is>
          <t xml:space="preserve">NONE</t>
        </is>
      </c>
    </row>
    <row r="1276">
      <c r="B1276" s="0" t="inlineStr">
        <is>
          <t xml:space="preserve">N0010421PEK01</t>
        </is>
      </c>
      <c r="D1276" s="0" t="inlineStr">
        <is>
          <t xml:space="preserve">small_craft</t>
        </is>
      </c>
      <c r="E1276" s="0" t="inlineStr">
        <is>
          <t xml:space="preserve">III WILLIAMS LLC</t>
        </is>
      </c>
      <c r="F1276" s="0" t="inlineStr">
        <is>
          <t xml:space="preserve">B</t>
        </is>
      </c>
      <c r="G1276" s="4">
        <v>0.0217317</v>
      </c>
      <c r="H1276" s="0" t="inlineStr">
        <is>
          <t xml:space="preserve">2021-08-03</t>
        </is>
      </c>
      <c r="I1276" s="0" t="inlineStr">
        <is>
          <t xml:space="preserve">no</t>
        </is>
      </c>
      <c r="J1276" s="0" t="inlineStr">
        <is>
          <t xml:space="preserve">N0010421QEB29</t>
        </is>
      </c>
      <c r="K1276" s="0" t="inlineStr">
        <is>
          <t xml:space="preserve">NONE</t>
        </is>
      </c>
    </row>
    <row r="1277">
      <c r="B1277" s="0" t="inlineStr">
        <is>
          <t xml:space="preserve">N0010423PDB34</t>
        </is>
      </c>
      <c r="D1277" s="0" t="inlineStr">
        <is>
          <t xml:space="preserve">small_craft</t>
        </is>
      </c>
      <c r="E1277" s="0" t="inlineStr">
        <is>
          <t xml:space="preserve">FAIRBANKS MORSE, LLC</t>
        </is>
      </c>
      <c r="F1277" s="0" t="inlineStr">
        <is>
          <t xml:space="preserve">B</t>
        </is>
      </c>
      <c r="G1277" s="4">
        <v>0.02155998</v>
      </c>
      <c r="H1277" s="0" t="inlineStr">
        <is>
          <t xml:space="preserve">2023-01-26</t>
        </is>
      </c>
      <c r="I1277" s="0" t="inlineStr">
        <is>
          <t xml:space="preserve">no</t>
        </is>
      </c>
      <c r="J1277" s="0" t="inlineStr">
        <is>
          <t xml:space="preserve">N0010423QDA68</t>
        </is>
      </c>
      <c r="K1277" s="0" t="inlineStr">
        <is>
          <t xml:space="preserve">NONE</t>
        </is>
      </c>
    </row>
    <row r="1278">
      <c r="B1278" s="0" t="inlineStr">
        <is>
          <t xml:space="preserve">N0040620P0268</t>
        </is>
      </c>
      <c r="D1278" s="0" t="inlineStr">
        <is>
          <t xml:space="preserve">small_craft</t>
        </is>
      </c>
      <c r="E1278" s="0" t="inlineStr">
        <is>
          <t xml:space="preserve">ADVANTEC MANUFACTURING USA, INC.</t>
        </is>
      </c>
      <c r="F1278" s="0" t="inlineStr">
        <is>
          <t xml:space="preserve">B</t>
        </is>
      </c>
      <c r="G1278" s="4">
        <v>0.021446999999999997</v>
      </c>
      <c r="H1278" s="0" t="inlineStr">
        <is>
          <t xml:space="preserve">2020-04-08</t>
        </is>
      </c>
      <c r="I1278" s="0" t="inlineStr">
        <is>
          <t xml:space="preserve">no</t>
        </is>
      </c>
      <c r="J1278" s="0" t="inlineStr">
        <is>
          <t xml:space="preserve">N0040620Q0152</t>
        </is>
      </c>
      <c r="K1278" s="0" t="inlineStr">
        <is>
          <t xml:space="preserve">NONE</t>
        </is>
      </c>
    </row>
    <row r="1279">
      <c r="B1279" s="0" t="inlineStr">
        <is>
          <t xml:space="preserve">N0040621P0267</t>
        </is>
      </c>
      <c r="D1279" s="0" t="inlineStr">
        <is>
          <t xml:space="preserve">small_craft</t>
        </is>
      </c>
      <c r="E1279" s="0" t="inlineStr">
        <is>
          <t xml:space="preserve">ROLLS-ROYCE MARINE NORTH AMERICA INC.</t>
        </is>
      </c>
      <c r="F1279" s="0" t="inlineStr">
        <is>
          <t xml:space="preserve">B</t>
        </is>
      </c>
      <c r="G1279" s="4">
        <v>0.021443</v>
      </c>
      <c r="H1279" s="0" t="inlineStr">
        <is>
          <t xml:space="preserve">2021-04-08</t>
        </is>
      </c>
      <c r="I1279" s="0" t="inlineStr">
        <is>
          <t xml:space="preserve">no</t>
        </is>
      </c>
      <c r="K1279" s="0" t="inlineStr">
        <is>
          <t xml:space="preserve">NONE</t>
        </is>
      </c>
    </row>
    <row r="1280">
      <c r="B1280" s="0" t="inlineStr">
        <is>
          <t xml:space="preserve">N0010422PZB02</t>
        </is>
      </c>
      <c r="D1280" s="0" t="inlineStr">
        <is>
          <t xml:space="preserve">small_craft</t>
        </is>
      </c>
      <c r="E1280" s="0" t="inlineStr">
        <is>
          <t xml:space="preserve">ELECTRIC BOAT CORPORATION</t>
        </is>
      </c>
      <c r="F1280" s="0" t="inlineStr">
        <is>
          <t xml:space="preserve">B</t>
        </is>
      </c>
      <c r="G1280" s="4">
        <v>0.021335</v>
      </c>
      <c r="H1280" s="0" t="inlineStr">
        <is>
          <t xml:space="preserve">2022-09-01</t>
        </is>
      </c>
      <c r="I1280" s="0" t="inlineStr">
        <is>
          <t xml:space="preserve">no</t>
        </is>
      </c>
      <c r="J1280" s="0" t="inlineStr">
        <is>
          <t xml:space="preserve">N0010422QZB81</t>
        </is>
      </c>
      <c r="K1280" s="0" t="inlineStr">
        <is>
          <t xml:space="preserve">NONE</t>
        </is>
      </c>
    </row>
    <row r="1281">
      <c r="B1281" s="0" t="inlineStr">
        <is>
          <t xml:space="preserve">N4033918PD077</t>
        </is>
      </c>
      <c r="D1281" s="0" t="inlineStr">
        <is>
          <t xml:space="preserve">small_craft</t>
        </is>
      </c>
      <c r="E1281" s="0" t="inlineStr">
        <is>
          <t xml:space="preserve">GRANDWELD(BRANCH OF ATOS INTERNATIONAL)L.L.C</t>
        </is>
      </c>
      <c r="F1281" s="0" t="inlineStr">
        <is>
          <t xml:space="preserve">B</t>
        </is>
      </c>
      <c r="G1281" s="4">
        <v>0.021305249999999998</v>
      </c>
      <c r="H1281" s="0" t="inlineStr">
        <is>
          <t xml:space="preserve">2018-03-12</t>
        </is>
      </c>
      <c r="I1281" s="0" t="inlineStr">
        <is>
          <t xml:space="preserve">no</t>
        </is>
      </c>
      <c r="J1281" s="0" t="inlineStr">
        <is>
          <t xml:space="preserve">N4033918QD041</t>
        </is>
      </c>
      <c r="K1281" s="0" t="inlineStr">
        <is>
          <t xml:space="preserve">NONE</t>
        </is>
      </c>
    </row>
    <row r="1282">
      <c r="B1282" s="0" t="inlineStr">
        <is>
          <t xml:space="preserve">N0040620P0060</t>
        </is>
      </c>
      <c r="D1282" s="0" t="inlineStr">
        <is>
          <t xml:space="preserve">small_craft</t>
        </is>
      </c>
      <c r="E1282" s="0" t="inlineStr">
        <is>
          <t xml:space="preserve">ADVANTEC MANUFACTURING USA, INC.</t>
        </is>
      </c>
      <c r="F1282" s="0" t="inlineStr">
        <is>
          <t xml:space="preserve">B</t>
        </is>
      </c>
      <c r="G1282" s="4">
        <v>0.02124558</v>
      </c>
      <c r="H1282" s="0" t="inlineStr">
        <is>
          <t xml:space="preserve">2019-12-09</t>
        </is>
      </c>
      <c r="I1282" s="0" t="inlineStr">
        <is>
          <t xml:space="preserve">no</t>
        </is>
      </c>
      <c r="K1282" s="0" t="inlineStr">
        <is>
          <t xml:space="preserve">NONE</t>
        </is>
      </c>
    </row>
    <row r="1283">
      <c r="B1283" s="0" t="inlineStr">
        <is>
          <t xml:space="preserve">N0010422PSA91</t>
        </is>
      </c>
      <c r="D1283" s="0" t="inlineStr">
        <is>
          <t xml:space="preserve">small_craft</t>
        </is>
      </c>
      <c r="E1283" s="0" t="inlineStr">
        <is>
          <t xml:space="preserve">KAMPI COMPONENTS CO INC</t>
        </is>
      </c>
      <c r="F1283" s="0" t="inlineStr">
        <is>
          <t xml:space="preserve">B</t>
        </is>
      </c>
      <c r="G1283" s="4">
        <v>0.0211925</v>
      </c>
      <c r="H1283" s="0" t="inlineStr">
        <is>
          <t xml:space="preserve">2022-05-10</t>
        </is>
      </c>
      <c r="I1283" s="0" t="inlineStr">
        <is>
          <t xml:space="preserve">no</t>
        </is>
      </c>
      <c r="J1283" s="0" t="inlineStr">
        <is>
          <t xml:space="preserve">N0010422QSA81</t>
        </is>
      </c>
      <c r="K1283" s="0" t="inlineStr">
        <is>
          <t xml:space="preserve">NONE</t>
        </is>
      </c>
    </row>
    <row r="1284">
      <c r="B1284" s="0" t="inlineStr">
        <is>
          <t xml:space="preserve">N6883622P0156</t>
        </is>
      </c>
      <c r="D1284" s="0" t="inlineStr">
        <is>
          <t xml:space="preserve">small_craft</t>
        </is>
      </c>
      <c r="E1284" s="0" t="inlineStr">
        <is>
          <t xml:space="preserve">SAUER COMPRESSORS USA, INC.</t>
        </is>
      </c>
      <c r="F1284" s="0" t="inlineStr">
        <is>
          <t xml:space="preserve">B</t>
        </is>
      </c>
      <c r="G1284" s="4">
        <v>0.02117262</v>
      </c>
      <c r="H1284" s="0" t="inlineStr">
        <is>
          <t xml:space="preserve">2022-05-02</t>
        </is>
      </c>
      <c r="I1284" s="0" t="inlineStr">
        <is>
          <t xml:space="preserve">no</t>
        </is>
      </c>
      <c r="J1284" s="0" t="inlineStr">
        <is>
          <t xml:space="preserve">N6883622Q0202</t>
        </is>
      </c>
      <c r="K1284" s="0" t="inlineStr">
        <is>
          <t xml:space="preserve">NONE</t>
        </is>
      </c>
    </row>
    <row r="1285">
      <c r="B1285" s="0" t="inlineStr">
        <is>
          <t xml:space="preserve">M0068115P0144</t>
        </is>
      </c>
      <c r="D1285" s="0" t="inlineStr">
        <is>
          <t xml:space="preserve">small_craft</t>
        </is>
      </c>
      <c r="E1285" s="0" t="inlineStr">
        <is>
          <t xml:space="preserve">TEMECULA MOTORSPORTS, INC.</t>
        </is>
      </c>
      <c r="F1285" s="0" t="inlineStr">
        <is>
          <t xml:space="preserve">B</t>
        </is>
      </c>
      <c r="G1285" s="4">
        <v>0.02099415</v>
      </c>
      <c r="H1285" s="0" t="inlineStr">
        <is>
          <t xml:space="preserve">2015-08-04</t>
        </is>
      </c>
      <c r="I1285" s="0" t="inlineStr">
        <is>
          <t xml:space="preserve">no</t>
        </is>
      </c>
      <c r="J1285" s="0" t="inlineStr">
        <is>
          <t xml:space="preserve">M0068115T0164</t>
        </is>
      </c>
      <c r="K1285" s="0" t="inlineStr">
        <is>
          <t xml:space="preserve">NONE</t>
        </is>
      </c>
    </row>
    <row r="1286">
      <c r="B1286" s="0" t="inlineStr">
        <is>
          <t xml:space="preserve">N0040615P2688</t>
        </is>
      </c>
      <c r="D1286" s="0" t="inlineStr">
        <is>
          <t xml:space="preserve">small_craft</t>
        </is>
      </c>
      <c r="E1286" s="0" t="inlineStr">
        <is>
          <t xml:space="preserve">RAILWAY SPECIALTIES CORP</t>
        </is>
      </c>
      <c r="F1286" s="0" t="inlineStr">
        <is>
          <t xml:space="preserve">B</t>
        </is>
      </c>
      <c r="G1286" s="4">
        <v>0.02093</v>
      </c>
      <c r="H1286" s="0" t="inlineStr">
        <is>
          <t xml:space="preserve">2015-06-01</t>
        </is>
      </c>
      <c r="I1286" s="0" t="inlineStr">
        <is>
          <t xml:space="preserve">no</t>
        </is>
      </c>
      <c r="K1286" s="0" t="inlineStr">
        <is>
          <t xml:space="preserve">NONE</t>
        </is>
      </c>
    </row>
    <row r="1287">
      <c r="B1287" s="0" t="inlineStr">
        <is>
          <t xml:space="preserve">N0040622P0537</t>
        </is>
      </c>
      <c r="D1287" s="0" t="inlineStr">
        <is>
          <t xml:space="preserve">small_craft</t>
        </is>
      </c>
      <c r="E1287" s="0" t="inlineStr">
        <is>
          <t xml:space="preserve">JUNIPER ELBOW CO. INC.</t>
        </is>
      </c>
      <c r="F1287" s="0" t="inlineStr">
        <is>
          <t xml:space="preserve">B</t>
        </is>
      </c>
      <c r="G1287" s="4">
        <v>0.02089</v>
      </c>
      <c r="H1287" s="0" t="inlineStr">
        <is>
          <t xml:space="preserve">2022-06-13</t>
        </is>
      </c>
      <c r="I1287" s="0" t="inlineStr">
        <is>
          <t xml:space="preserve">no</t>
        </is>
      </c>
      <c r="J1287" s="0" t="inlineStr">
        <is>
          <t xml:space="preserve">N0040622Q0526</t>
        </is>
      </c>
      <c r="K1287" s="0" t="inlineStr">
        <is>
          <t xml:space="preserve">NONE</t>
        </is>
      </c>
    </row>
    <row r="1288">
      <c r="B1288" s="0" t="inlineStr">
        <is>
          <t xml:space="preserve">LH72</t>
        </is>
      </c>
      <c r="C1288" s="0" t="inlineStr">
        <is>
          <t xml:space="preserve">N6238715D2104</t>
        </is>
      </c>
      <c r="D1288" s="0" t="inlineStr">
        <is>
          <t xml:space="preserve">other_small</t>
        </is>
      </c>
      <c r="E1288" s="0" t="inlineStr">
        <is>
          <t xml:space="preserve">MCALLISTER TOWING AND TRANSPORTATION COMPANY, INC.</t>
        </is>
      </c>
      <c r="F1288" s="0" t="inlineStr">
        <is>
          <t xml:space="preserve">C</t>
        </is>
      </c>
      <c r="G1288" s="4">
        <v>0.02086047</v>
      </c>
      <c r="H1288" s="0" t="inlineStr">
        <is>
          <t xml:space="preserve">2017-07-23</t>
        </is>
      </c>
      <c r="I1288" s="0" t="inlineStr">
        <is>
          <t xml:space="preserve">no</t>
        </is>
      </c>
      <c r="J1288" s="0" t="inlineStr">
        <is>
          <t xml:space="preserve">N6238715R2104</t>
        </is>
      </c>
      <c r="K1288" s="0" t="inlineStr">
        <is>
          <t xml:space="preserve">NONE</t>
        </is>
      </c>
    </row>
    <row r="1289">
      <c r="B1289" s="0" t="inlineStr">
        <is>
          <t xml:space="preserve">N0010422PXB60</t>
        </is>
      </c>
      <c r="D1289" s="0" t="inlineStr">
        <is>
          <t xml:space="preserve">small_craft</t>
        </is>
      </c>
      <c r="E1289" s="0" t="inlineStr">
        <is>
          <t xml:space="preserve">VIRGINIA ELECTRONIC SYSTEMS, INC.</t>
        </is>
      </c>
      <c r="F1289" s="0" t="inlineStr">
        <is>
          <t xml:space="preserve">B</t>
        </is>
      </c>
      <c r="G1289" s="4">
        <v>0.0208</v>
      </c>
      <c r="H1289" s="0" t="inlineStr">
        <is>
          <t xml:space="preserve">2022-07-06</t>
        </is>
      </c>
      <c r="I1289" s="0" t="inlineStr">
        <is>
          <t xml:space="preserve">no</t>
        </is>
      </c>
      <c r="K1289" s="0" t="inlineStr">
        <is>
          <t xml:space="preserve">NONE</t>
        </is>
      </c>
    </row>
    <row r="1290">
      <c r="B1290" s="0" t="inlineStr">
        <is>
          <t xml:space="preserve">N0010421PFB49</t>
        </is>
      </c>
      <c r="D1290" s="0" t="inlineStr">
        <is>
          <t xml:space="preserve">small_craft</t>
        </is>
      </c>
      <c r="E1290" s="0" t="inlineStr">
        <is>
          <t xml:space="preserve">CUNICO CORPORATION</t>
        </is>
      </c>
      <c r="F1290" s="0" t="inlineStr">
        <is>
          <t xml:space="preserve">B</t>
        </is>
      </c>
      <c r="G1290" s="4">
        <v>0.020755</v>
      </c>
      <c r="H1290" s="0" t="inlineStr">
        <is>
          <t xml:space="preserve">2021-08-19</t>
        </is>
      </c>
      <c r="I1290" s="0" t="inlineStr">
        <is>
          <t xml:space="preserve">no</t>
        </is>
      </c>
      <c r="J1290" s="0" t="inlineStr">
        <is>
          <t xml:space="preserve">N0010421QFB96</t>
        </is>
      </c>
      <c r="K1290" s="0" t="inlineStr">
        <is>
          <t xml:space="preserve">NONE</t>
        </is>
      </c>
    </row>
    <row r="1291">
      <c r="B1291" s="0" t="inlineStr">
        <is>
          <t xml:space="preserve">M0031822P0029</t>
        </is>
      </c>
      <c r="D1291" s="0" t="inlineStr">
        <is>
          <t xml:space="preserve">small_craft</t>
        </is>
      </c>
      <c r="E1291" s="0" t="inlineStr">
        <is>
          <t xml:space="preserve">HYDRONALIX INC</t>
        </is>
      </c>
      <c r="F1291" s="0" t="inlineStr">
        <is>
          <t xml:space="preserve">B</t>
        </is>
      </c>
      <c r="G1291" s="4">
        <v>0.020723</v>
      </c>
      <c r="H1291" s="0" t="inlineStr">
        <is>
          <t xml:space="preserve">2022-09-16</t>
        </is>
      </c>
      <c r="I1291" s="0" t="inlineStr">
        <is>
          <t xml:space="preserve">no</t>
        </is>
      </c>
      <c r="J1291" s="0" t="inlineStr">
        <is>
          <t xml:space="preserve">M0031822Q0036</t>
        </is>
      </c>
      <c r="K1291" s="0" t="inlineStr">
        <is>
          <t xml:space="preserve">NONE</t>
        </is>
      </c>
    </row>
    <row r="1292">
      <c r="B1292" s="0" t="inlineStr">
        <is>
          <t xml:space="preserve">N0010423PXC03</t>
        </is>
      </c>
      <c r="D1292" s="0" t="inlineStr">
        <is>
          <t xml:space="preserve">small_craft</t>
        </is>
      </c>
      <c r="E1292" s="0" t="inlineStr">
        <is>
          <t xml:space="preserve">WING INFLATABLES INC</t>
        </is>
      </c>
      <c r="F1292" s="0" t="inlineStr">
        <is>
          <t xml:space="preserve">B</t>
        </is>
      </c>
      <c r="G1292" s="4">
        <v>0.02064657</v>
      </c>
      <c r="H1292" s="0" t="inlineStr">
        <is>
          <t xml:space="preserve">2023-03-22</t>
        </is>
      </c>
      <c r="I1292" s="0" t="inlineStr">
        <is>
          <t xml:space="preserve">no</t>
        </is>
      </c>
      <c r="K1292" s="0" t="inlineStr">
        <is>
          <t xml:space="preserve">NONE</t>
        </is>
      </c>
    </row>
    <row r="1293">
      <c r="B1293" s="0" t="inlineStr">
        <is>
          <t xml:space="preserve">N0040617P1304</t>
        </is>
      </c>
      <c r="D1293" s="0" t="inlineStr">
        <is>
          <t xml:space="preserve">small_craft</t>
        </is>
      </c>
      <c r="E1293" s="0" t="inlineStr">
        <is>
          <t xml:space="preserve">WING INFLATABLES INC</t>
        </is>
      </c>
      <c r="F1293" s="0" t="inlineStr">
        <is>
          <t xml:space="preserve">B</t>
        </is>
      </c>
      <c r="G1293" s="4">
        <v>0.020607999999999998</v>
      </c>
      <c r="H1293" s="0" t="inlineStr">
        <is>
          <t xml:space="preserve">2017-03-26</t>
        </is>
      </c>
      <c r="I1293" s="0" t="inlineStr">
        <is>
          <t xml:space="preserve">no</t>
        </is>
      </c>
      <c r="K1293" s="0" t="inlineStr">
        <is>
          <t xml:space="preserve">NONE</t>
        </is>
      </c>
    </row>
    <row r="1294">
      <c r="B1294" s="0" t="inlineStr">
        <is>
          <t xml:space="preserve">LH60</t>
        </is>
      </c>
      <c r="C1294" s="0" t="inlineStr">
        <is>
          <t xml:space="preserve">N6238715D2104</t>
        </is>
      </c>
      <c r="D1294" s="0" t="inlineStr">
        <is>
          <t xml:space="preserve">other_small</t>
        </is>
      </c>
      <c r="E1294" s="0" t="inlineStr">
        <is>
          <t xml:space="preserve">MCALLISTER TOWING AND TRANSPORTATION COMPANY, INC.</t>
        </is>
      </c>
      <c r="F1294" s="0" t="inlineStr">
        <is>
          <t xml:space="preserve">C</t>
        </is>
      </c>
      <c r="G1294" s="4">
        <v>0.020576999999999998</v>
      </c>
      <c r="H1294" s="0" t="inlineStr">
        <is>
          <t xml:space="preserve">2017-05-15</t>
        </is>
      </c>
      <c r="I1294" s="0" t="inlineStr">
        <is>
          <t xml:space="preserve">no</t>
        </is>
      </c>
      <c r="J1294" s="0" t="inlineStr">
        <is>
          <t xml:space="preserve">N6238715R2104</t>
        </is>
      </c>
      <c r="K1294" s="0" t="inlineStr">
        <is>
          <t xml:space="preserve">NONE</t>
        </is>
      </c>
    </row>
    <row r="1295">
      <c r="B1295" s="0" t="inlineStr">
        <is>
          <t xml:space="preserve">N3220518P1037</t>
        </is>
      </c>
      <c r="D1295" s="0" t="inlineStr">
        <is>
          <t xml:space="preserve">small_craft</t>
        </is>
      </c>
      <c r="E1295" s="0" t="inlineStr">
        <is>
          <t xml:space="preserve">PALFINGER MARINE USA, LLC</t>
        </is>
      </c>
      <c r="F1295" s="0" t="inlineStr">
        <is>
          <t xml:space="preserve">B</t>
        </is>
      </c>
      <c r="G1295" s="4">
        <v>0.02056</v>
      </c>
      <c r="H1295" s="0" t="inlineStr">
        <is>
          <t xml:space="preserve">2017-12-11</t>
        </is>
      </c>
      <c r="I1295" s="0" t="inlineStr">
        <is>
          <t xml:space="preserve">no</t>
        </is>
      </c>
      <c r="J1295" s="0" t="inlineStr">
        <is>
          <t xml:space="preserve">N3220518Q0080</t>
        </is>
      </c>
      <c r="K1295" s="0" t="inlineStr">
        <is>
          <t xml:space="preserve">NONE</t>
        </is>
      </c>
    </row>
    <row r="1296">
      <c r="B1296" s="0" t="inlineStr">
        <is>
          <t xml:space="preserve">N0040616F0248</t>
        </is>
      </c>
      <c r="C1296" s="0" t="inlineStr">
        <is>
          <t xml:space="preserve">GS07F163CA</t>
        </is>
      </c>
      <c r="D1296" s="0" t="inlineStr">
        <is>
          <t xml:space="preserve">small_craft</t>
        </is>
      </c>
      <c r="E1296" s="0" t="inlineStr">
        <is>
          <t xml:space="preserve">SUNSET MARINE, INC.</t>
        </is>
      </c>
      <c r="F1296" s="0" t="inlineStr">
        <is>
          <t xml:space="preserve">C</t>
        </is>
      </c>
      <c r="G1296" s="4">
        <v>0.02051</v>
      </c>
      <c r="H1296" s="0" t="inlineStr">
        <is>
          <t xml:space="preserve">2016-07-27</t>
        </is>
      </c>
      <c r="I1296" s="0" t="inlineStr">
        <is>
          <t xml:space="preserve">no</t>
        </is>
      </c>
      <c r="K1296" s="0" t="inlineStr">
        <is>
          <t xml:space="preserve">NONE</t>
        </is>
      </c>
    </row>
    <row r="1297">
      <c r="B1297" s="0" t="inlineStr">
        <is>
          <t xml:space="preserve">N0040625PS519</t>
        </is>
      </c>
      <c r="D1297" s="0" t="inlineStr">
        <is>
          <t xml:space="preserve">small_craft</t>
        </is>
      </c>
      <c r="E1297" s="0" t="inlineStr">
        <is>
          <t xml:space="preserve">PIER SIDE SUPPLY INC</t>
        </is>
      </c>
      <c r="F1297" s="0" t="inlineStr">
        <is>
          <t xml:space="preserve">B</t>
        </is>
      </c>
      <c r="G1297" s="4">
        <v>0.0202</v>
      </c>
      <c r="H1297" s="0" t="inlineStr">
        <is>
          <t xml:space="preserve">2025-09-11</t>
        </is>
      </c>
      <c r="I1297" s="0" t="inlineStr">
        <is>
          <t xml:space="preserve">yes</t>
        </is>
      </c>
      <c r="J1297" s="0" t="inlineStr">
        <is>
          <t xml:space="preserve">N0040625QS505</t>
        </is>
      </c>
      <c r="K1297" s="0" t="inlineStr">
        <is>
          <t xml:space="preserve">NONE</t>
        </is>
      </c>
    </row>
    <row r="1298">
      <c r="B1298" s="0" t="inlineStr">
        <is>
          <t xml:space="preserve">N0010423PUA47</t>
        </is>
      </c>
      <c r="D1298" s="0" t="inlineStr">
        <is>
          <t xml:space="preserve">small_craft</t>
        </is>
      </c>
      <c r="E1298" s="0" t="inlineStr">
        <is>
          <t xml:space="preserve">IXI TECHNOLOGY INC</t>
        </is>
      </c>
      <c r="F1298" s="0" t="inlineStr">
        <is>
          <t xml:space="preserve">B</t>
        </is>
      </c>
      <c r="G1298" s="4">
        <v>0.0201</v>
      </c>
      <c r="H1298" s="0" t="inlineStr">
        <is>
          <t xml:space="preserve">2022-11-01</t>
        </is>
      </c>
      <c r="I1298" s="0" t="inlineStr">
        <is>
          <t xml:space="preserve">no</t>
        </is>
      </c>
      <c r="K1298" s="0" t="inlineStr">
        <is>
          <t xml:space="preserve">NONE</t>
        </is>
      </c>
    </row>
    <row r="1299">
      <c r="B1299" s="0" t="inlineStr">
        <is>
          <t xml:space="preserve">N0010416PEA51</t>
        </is>
      </c>
      <c r="D1299" s="0" t="inlineStr">
        <is>
          <t xml:space="preserve">small_craft</t>
        </is>
      </c>
      <c r="E1299" s="0" t="inlineStr">
        <is>
          <t xml:space="preserve">PEERLESS MFG CO</t>
        </is>
      </c>
      <c r="F1299" s="0" t="inlineStr">
        <is>
          <t xml:space="preserve">B</t>
        </is>
      </c>
      <c r="G1299" s="4">
        <v>0.0201</v>
      </c>
      <c r="H1299" s="0" t="inlineStr">
        <is>
          <t xml:space="preserve">2016-03-23</t>
        </is>
      </c>
      <c r="I1299" s="0" t="inlineStr">
        <is>
          <t xml:space="preserve">no</t>
        </is>
      </c>
      <c r="K1299" s="0" t="inlineStr">
        <is>
          <t xml:space="preserve">NONE</t>
        </is>
      </c>
    </row>
    <row r="1300">
      <c r="B1300" s="0" t="inlineStr">
        <is>
          <t xml:space="preserve">N6600115P6729</t>
        </is>
      </c>
      <c r="D1300" s="0" t="inlineStr">
        <is>
          <t xml:space="preserve">small_craft</t>
        </is>
      </c>
      <c r="E1300" s="0" t="inlineStr">
        <is>
          <t xml:space="preserve">NW BEND BOATS, LLC</t>
        </is>
      </c>
      <c r="F1300" s="0" t="inlineStr">
        <is>
          <t xml:space="preserve">B</t>
        </is>
      </c>
      <c r="G1300" s="4">
        <v>0.02009614</v>
      </c>
      <c r="H1300" s="0" t="inlineStr">
        <is>
          <t xml:space="preserve">2015-04-16</t>
        </is>
      </c>
      <c r="I1300" s="0" t="inlineStr">
        <is>
          <t xml:space="preserve">no</t>
        </is>
      </c>
      <c r="K1300" s="0" t="inlineStr">
        <is>
          <t xml:space="preserve">NONE</t>
        </is>
      </c>
    </row>
    <row r="1301">
      <c r="B1301" s="0" t="inlineStr">
        <is>
          <t xml:space="preserve">N6146319FLH84</t>
        </is>
      </c>
      <c r="C1301" s="0" t="inlineStr">
        <is>
          <t xml:space="preserve">N6238715D2104</t>
        </is>
      </c>
      <c r="D1301" s="0" t="inlineStr">
        <is>
          <t xml:space="preserve">other_small</t>
        </is>
      </c>
      <c r="E1301" s="0" t="inlineStr">
        <is>
          <t xml:space="preserve">MCALLISTER TOWING AND TRANSPORTATION COMPANY, INC.</t>
        </is>
      </c>
      <c r="F1301" s="0" t="inlineStr">
        <is>
          <t xml:space="preserve">C</t>
        </is>
      </c>
      <c r="G1301" s="4">
        <v>0.020012</v>
      </c>
      <c r="H1301" s="0" t="inlineStr">
        <is>
          <t xml:space="preserve">2019-05-30</t>
        </is>
      </c>
      <c r="I1301" s="0" t="inlineStr">
        <is>
          <t xml:space="preserve">no</t>
        </is>
      </c>
      <c r="J1301" s="0" t="inlineStr">
        <is>
          <t xml:space="preserve">N6238715R2104</t>
        </is>
      </c>
      <c r="K1301" s="0" t="inlineStr">
        <is>
          <t xml:space="preserve">NONE</t>
        </is>
      </c>
    </row>
    <row r="1302">
      <c r="B1302" s="0" t="inlineStr">
        <is>
          <t xml:space="preserve">N0001418P4005</t>
        </is>
      </c>
      <c r="D1302" s="0" t="inlineStr">
        <is>
          <t xml:space="preserve">usv_core</t>
        </is>
      </c>
      <c r="E1302" s="0" t="inlineStr">
        <is>
          <t xml:space="preserve">SANDESTIN INVESTMENTS LLC</t>
        </is>
      </c>
      <c r="F1302" s="0" t="inlineStr">
        <is>
          <t xml:space="preserve">B</t>
        </is>
      </c>
      <c r="G1302" s="4">
        <v>0.02</v>
      </c>
      <c r="H1302" s="0" t="inlineStr">
        <is>
          <t xml:space="preserve">2018-01-24</t>
        </is>
      </c>
      <c r="I1302" s="0" t="inlineStr">
        <is>
          <t xml:space="preserve">no</t>
        </is>
      </c>
      <c r="J1302" s="0" t="inlineStr">
        <is>
          <t xml:space="preserve">N0001417Q0038</t>
        </is>
      </c>
      <c r="K1302" s="0" t="inlineStr">
        <is>
          <t xml:space="preserve">NONE</t>
        </is>
      </c>
    </row>
    <row r="1303">
      <c r="B1303" s="0" t="inlineStr">
        <is>
          <t xml:space="preserve">N0010425PYB29</t>
        </is>
      </c>
      <c r="D1303" s="0" t="inlineStr">
        <is>
          <t xml:space="preserve">small_craft</t>
        </is>
      </c>
      <c r="E1303" s="0" t="inlineStr">
        <is>
          <t xml:space="preserve">ASTRO MACHINE &amp; TOOL WORKS, LLC</t>
        </is>
      </c>
      <c r="F1303" s="0" t="inlineStr">
        <is>
          <t xml:space="preserve">B</t>
        </is>
      </c>
      <c r="G1303" s="4">
        <v>0.02</v>
      </c>
      <c r="H1303" s="0" t="inlineStr">
        <is>
          <t xml:space="preserve">2025-07-24</t>
        </is>
      </c>
      <c r="I1303" s="0" t="inlineStr">
        <is>
          <t xml:space="preserve">yes</t>
        </is>
      </c>
      <c r="K1303" s="0" t="inlineStr">
        <is>
          <t xml:space="preserve">NONE</t>
        </is>
      </c>
    </row>
    <row r="1304">
      <c r="B1304" s="0" t="inlineStr">
        <is>
          <t xml:space="preserve">N0040619P0272</t>
        </is>
      </c>
      <c r="D1304" s="0" t="inlineStr">
        <is>
          <t xml:space="preserve">small_craft</t>
        </is>
      </c>
      <c r="E1304" s="0" t="inlineStr">
        <is>
          <t xml:space="preserve">JUNIPER ELBOW CO. INC.</t>
        </is>
      </c>
      <c r="F1304" s="0" t="inlineStr">
        <is>
          <t xml:space="preserve">B</t>
        </is>
      </c>
      <c r="G1304" s="4">
        <v>0.019986</v>
      </c>
      <c r="H1304" s="0" t="inlineStr">
        <is>
          <t xml:space="preserve">2019-04-10</t>
        </is>
      </c>
      <c r="I1304" s="0" t="inlineStr">
        <is>
          <t xml:space="preserve">no</t>
        </is>
      </c>
      <c r="K1304" s="0" t="inlineStr">
        <is>
          <t xml:space="preserve">NONE</t>
        </is>
      </c>
    </row>
    <row r="1305">
      <c r="B1305" s="0" t="inlineStr">
        <is>
          <t xml:space="preserve">N0010423PQC02</t>
        </is>
      </c>
      <c r="D1305" s="0" t="inlineStr">
        <is>
          <t xml:space="preserve">small_craft</t>
        </is>
      </c>
      <c r="E1305" s="0" t="inlineStr">
        <is>
          <t xml:space="preserve">CORNET TECHNOLOGY, INC.</t>
        </is>
      </c>
      <c r="F1305" s="0" t="inlineStr">
        <is>
          <t xml:space="preserve">B</t>
        </is>
      </c>
      <c r="G1305" s="4">
        <v>0.019968</v>
      </c>
      <c r="H1305" s="0" t="inlineStr">
        <is>
          <t xml:space="preserve">2023-03-31</t>
        </is>
      </c>
      <c r="I1305" s="0" t="inlineStr">
        <is>
          <t xml:space="preserve">no</t>
        </is>
      </c>
      <c r="K1305" s="0" t="inlineStr">
        <is>
          <t xml:space="preserve">NONE</t>
        </is>
      </c>
    </row>
    <row r="1306">
      <c r="B1306" s="0" t="inlineStr">
        <is>
          <t xml:space="preserve">N6133124P1092</t>
        </is>
      </c>
      <c r="D1306" s="0" t="inlineStr">
        <is>
          <t xml:space="preserve">usv_core</t>
        </is>
      </c>
      <c r="E1306" s="0" t="inlineStr">
        <is>
          <t xml:space="preserve">AMERICAN POLYFILM, INC.</t>
        </is>
      </c>
      <c r="F1306" s="0" t="inlineStr">
        <is>
          <t xml:space="preserve">B</t>
        </is>
      </c>
      <c r="G1306" s="4">
        <v>0.019925</v>
      </c>
      <c r="H1306" s="0" t="inlineStr">
        <is>
          <t xml:space="preserve">2024-08-01</t>
        </is>
      </c>
      <c r="I1306" s="0" t="inlineStr">
        <is>
          <t xml:space="preserve">no</t>
        </is>
      </c>
      <c r="K1306" s="0" t="inlineStr">
        <is>
          <t xml:space="preserve">NONE</t>
        </is>
      </c>
    </row>
    <row r="1307">
      <c r="B1307" s="0" t="inlineStr">
        <is>
          <t xml:space="preserve">N0010426PYB15</t>
        </is>
      </c>
      <c r="D1307" s="0" t="inlineStr">
        <is>
          <t xml:space="preserve">small_craft</t>
        </is>
      </c>
      <c r="E1307" s="0" t="inlineStr">
        <is>
          <t xml:space="preserve">NORTHROP GRUMMAN SYSTEMS CORPORATION</t>
        </is>
      </c>
      <c r="F1307" s="0" t="inlineStr">
        <is>
          <t xml:space="preserve">B</t>
        </is>
      </c>
      <c r="G1307" s="4">
        <v>0.019912</v>
      </c>
      <c r="H1307" s="0" t="inlineStr">
        <is>
          <t xml:space="preserve">2026-01-07</t>
        </is>
      </c>
      <c r="I1307" s="0" t="inlineStr">
        <is>
          <t xml:space="preserve">yes</t>
        </is>
      </c>
      <c r="K1307" s="0" t="inlineStr">
        <is>
          <t xml:space="preserve">NONE</t>
        </is>
      </c>
    </row>
    <row r="1308">
      <c r="B1308" s="0" t="inlineStr">
        <is>
          <t xml:space="preserve">N0040624P0764</t>
        </is>
      </c>
      <c r="D1308" s="0" t="inlineStr">
        <is>
          <t xml:space="preserve">small_craft</t>
        </is>
      </c>
      <c r="E1308" s="0" t="inlineStr">
        <is>
          <t xml:space="preserve">FASSMER SERVICE AMERICA LLC</t>
        </is>
      </c>
      <c r="F1308" s="0" t="inlineStr">
        <is>
          <t xml:space="preserve">B</t>
        </is>
      </c>
      <c r="G1308" s="4">
        <v>0.019837999999999998</v>
      </c>
      <c r="H1308" s="0" t="inlineStr">
        <is>
          <t xml:space="preserve">2024-09-05</t>
        </is>
      </c>
      <c r="I1308" s="0" t="inlineStr">
        <is>
          <t xml:space="preserve">no</t>
        </is>
      </c>
      <c r="J1308" s="0" t="inlineStr">
        <is>
          <t xml:space="preserve">N0040624Q0685</t>
        </is>
      </c>
      <c r="K1308" s="0" t="inlineStr">
        <is>
          <t xml:space="preserve">NONE</t>
        </is>
      </c>
    </row>
    <row r="1309">
      <c r="B1309" s="0" t="inlineStr">
        <is>
          <t xml:space="preserve">N0040623P0105</t>
        </is>
      </c>
      <c r="D1309" s="0" t="inlineStr">
        <is>
          <t xml:space="preserve">small_craft</t>
        </is>
      </c>
      <c r="E1309" s="0" t="inlineStr">
        <is>
          <t xml:space="preserve">JUNIPER ELBOW CO. INC.</t>
        </is>
      </c>
      <c r="F1309" s="0" t="inlineStr">
        <is>
          <t xml:space="preserve">B</t>
        </is>
      </c>
      <c r="G1309" s="4">
        <v>0.019762139999999997</v>
      </c>
      <c r="H1309" s="0" t="inlineStr">
        <is>
          <t xml:space="preserve">2022-12-20</t>
        </is>
      </c>
      <c r="I1309" s="0" t="inlineStr">
        <is>
          <t xml:space="preserve">no</t>
        </is>
      </c>
      <c r="J1309" s="0" t="inlineStr">
        <is>
          <t xml:space="preserve">N0040623Q0114</t>
        </is>
      </c>
      <c r="K1309" s="0" t="inlineStr">
        <is>
          <t xml:space="preserve">NONE</t>
        </is>
      </c>
    </row>
    <row r="1310">
      <c r="B1310" s="0" t="inlineStr">
        <is>
          <t xml:space="preserve">N3220518P4164</t>
        </is>
      </c>
      <c r="D1310" s="0" t="inlineStr">
        <is>
          <t xml:space="preserve">other_small</t>
        </is>
      </c>
      <c r="E1310" s="0" t="inlineStr">
        <is>
          <t xml:space="preserve">SAUER COMPRESSORS USA, INC.</t>
        </is>
      </c>
      <c r="F1310" s="0" t="inlineStr">
        <is>
          <t xml:space="preserve">B</t>
        </is>
      </c>
      <c r="G1310" s="4">
        <v>0.01974538</v>
      </c>
      <c r="H1310" s="0" t="inlineStr">
        <is>
          <t xml:space="preserve">2018-03-01</t>
        </is>
      </c>
      <c r="I1310" s="0" t="inlineStr">
        <is>
          <t xml:space="preserve">no</t>
        </is>
      </c>
      <c r="J1310" s="0" t="inlineStr">
        <is>
          <t xml:space="preserve">N3220518Q4165</t>
        </is>
      </c>
      <c r="K1310" s="0" t="inlineStr">
        <is>
          <t xml:space="preserve">NONE</t>
        </is>
      </c>
    </row>
    <row r="1311">
      <c r="B1311" s="0" t="inlineStr">
        <is>
          <t xml:space="preserve">N4044207P5563</t>
        </is>
      </c>
      <c r="D1311" s="0" t="inlineStr">
        <is>
          <t xml:space="preserve">other_small</t>
        </is>
      </c>
      <c r="E1311" s="0" t="inlineStr">
        <is>
          <t xml:space="preserve">RENK CORP</t>
        </is>
      </c>
      <c r="F1311" s="0" t="inlineStr">
        <is>
          <t xml:space="preserve">B</t>
        </is>
      </c>
      <c r="G1311" s="4">
        <v>0.019688</v>
      </c>
      <c r="H1311" s="0" t="inlineStr">
        <is>
          <t xml:space="preserve">2007-05-09</t>
        </is>
      </c>
      <c r="I1311" s="0" t="inlineStr">
        <is>
          <t xml:space="preserve">no</t>
        </is>
      </c>
      <c r="K1311" s="0" t="inlineStr">
        <is>
          <t xml:space="preserve">NONE</t>
        </is>
      </c>
    </row>
    <row r="1312">
      <c r="B1312" s="0" t="inlineStr">
        <is>
          <t xml:space="preserve">M6700115P1297</t>
        </is>
      </c>
      <c r="D1312" s="0" t="inlineStr">
        <is>
          <t xml:space="preserve">small_craft</t>
        </is>
      </c>
      <c r="E1312" s="0" t="inlineStr">
        <is>
          <t xml:space="preserve">PERFORMANCE EAST, INC</t>
        </is>
      </c>
      <c r="F1312" s="0" t="inlineStr">
        <is>
          <t xml:space="preserve">B</t>
        </is>
      </c>
      <c r="G1312" s="4">
        <v>0.019656999999999997</v>
      </c>
      <c r="H1312" s="0" t="inlineStr">
        <is>
          <t xml:space="preserve">2015-07-16</t>
        </is>
      </c>
      <c r="I1312" s="0" t="inlineStr">
        <is>
          <t xml:space="preserve">no</t>
        </is>
      </c>
      <c r="K1312" s="0" t="inlineStr">
        <is>
          <t xml:space="preserve">NONE</t>
        </is>
      </c>
    </row>
    <row r="1313">
      <c r="B1313" s="0" t="inlineStr">
        <is>
          <t xml:space="preserve">SPRMM118PWD03</t>
        </is>
      </c>
      <c r="D1313" s="0" t="inlineStr">
        <is>
          <t xml:space="preserve">usv_core</t>
        </is>
      </c>
      <c r="E1313" s="0" t="inlineStr">
        <is>
          <t xml:space="preserve">HII UNMANNED MARITIME SYSTEMS INC.</t>
        </is>
      </c>
      <c r="F1313" s="0" t="inlineStr">
        <is>
          <t xml:space="preserve">B</t>
        </is>
      </c>
      <c r="G1313" s="4">
        <v>0.0195752</v>
      </c>
      <c r="H1313" s="0" t="inlineStr">
        <is>
          <t xml:space="preserve">2018-03-05</t>
        </is>
      </c>
      <c r="I1313" s="0" t="inlineStr">
        <is>
          <t xml:space="preserve">no</t>
        </is>
      </c>
      <c r="J1313" s="0" t="inlineStr">
        <is>
          <t xml:space="preserve">SPRMM117QWG11</t>
        </is>
      </c>
      <c r="K1313" s="0" t="inlineStr">
        <is>
          <t xml:space="preserve">NONE</t>
        </is>
      </c>
    </row>
    <row r="1314">
      <c r="B1314" s="0" t="inlineStr">
        <is>
          <t xml:space="preserve">N0010420PCA56</t>
        </is>
      </c>
      <c r="D1314" s="0" t="inlineStr">
        <is>
          <t xml:space="preserve">small_craft</t>
        </is>
      </c>
      <c r="E1314" s="0" t="inlineStr">
        <is>
          <t xml:space="preserve">ADVANCED TURBINE SERVICES, L.L.C.</t>
        </is>
      </c>
      <c r="F1314" s="0" t="inlineStr">
        <is>
          <t xml:space="preserve">B</t>
        </is>
      </c>
      <c r="G1314" s="4">
        <v>0.01955752</v>
      </c>
      <c r="H1314" s="0" t="inlineStr">
        <is>
          <t xml:space="preserve">2019-12-17</t>
        </is>
      </c>
      <c r="I1314" s="0" t="inlineStr">
        <is>
          <t xml:space="preserve">no</t>
        </is>
      </c>
      <c r="K1314" s="0" t="inlineStr">
        <is>
          <t xml:space="preserve">NONE</t>
        </is>
      </c>
    </row>
    <row r="1315">
      <c r="B1315" s="0" t="inlineStr">
        <is>
          <t xml:space="preserve">N0010420PCA51</t>
        </is>
      </c>
      <c r="D1315" s="0" t="inlineStr">
        <is>
          <t xml:space="preserve">small_craft</t>
        </is>
      </c>
      <c r="E1315" s="0" t="inlineStr">
        <is>
          <t xml:space="preserve">ADVANCED TURBINE SERVICES, L.L.C.</t>
        </is>
      </c>
      <c r="F1315" s="0" t="inlineStr">
        <is>
          <t xml:space="preserve">B</t>
        </is>
      </c>
      <c r="G1315" s="4">
        <v>0.01955752</v>
      </c>
      <c r="H1315" s="0" t="inlineStr">
        <is>
          <t xml:space="preserve">2019-12-17</t>
        </is>
      </c>
      <c r="I1315" s="0" t="inlineStr">
        <is>
          <t xml:space="preserve">no</t>
        </is>
      </c>
      <c r="K1315" s="0" t="inlineStr">
        <is>
          <t xml:space="preserve">NONE</t>
        </is>
      </c>
    </row>
    <row r="1316">
      <c r="B1316" s="0" t="inlineStr">
        <is>
          <t xml:space="preserve">N6449821P5172</t>
        </is>
      </c>
      <c r="D1316" s="0" t="inlineStr">
        <is>
          <t xml:space="preserve">small_craft</t>
        </is>
      </c>
      <c r="E1316" s="0" t="inlineStr">
        <is>
          <t xml:space="preserve">ROLLS-ROYCE MARINE NORTH AMERICA INC.</t>
        </is>
      </c>
      <c r="F1316" s="0" t="inlineStr">
        <is>
          <t xml:space="preserve">B</t>
        </is>
      </c>
      <c r="G1316" s="4">
        <v>0.019337999999999998</v>
      </c>
      <c r="H1316" s="0" t="inlineStr">
        <is>
          <t xml:space="preserve">2021-04-13</t>
        </is>
      </c>
      <c r="I1316" s="0" t="inlineStr">
        <is>
          <t xml:space="preserve">no</t>
        </is>
      </c>
      <c r="K1316" s="0" t="inlineStr">
        <is>
          <t xml:space="preserve">NONE</t>
        </is>
      </c>
    </row>
    <row r="1317">
      <c r="B1317" s="0" t="inlineStr">
        <is>
          <t xml:space="preserve">LH58</t>
        </is>
      </c>
      <c r="C1317" s="0" t="inlineStr">
        <is>
          <t xml:space="preserve">N0003312D2100</t>
        </is>
      </c>
      <c r="D1317" s="0" t="inlineStr">
        <is>
          <t xml:space="preserve">other_small</t>
        </is>
      </c>
      <c r="E1317" s="0" t="inlineStr">
        <is>
          <t xml:space="preserve">MCALLISTER TOWING OF VIRGINIA INC</t>
        </is>
      </c>
      <c r="F1317" s="0" t="inlineStr">
        <is>
          <t xml:space="preserve">C</t>
        </is>
      </c>
      <c r="G1317" s="4">
        <v>0.019334999999999998</v>
      </c>
      <c r="H1317" s="0" t="inlineStr">
        <is>
          <t xml:space="preserve">2016-10-08</t>
        </is>
      </c>
      <c r="I1317" s="0" t="inlineStr">
        <is>
          <t xml:space="preserve">no</t>
        </is>
      </c>
      <c r="J1317" s="0" t="inlineStr">
        <is>
          <t xml:space="preserve">N0003312R2100</t>
        </is>
      </c>
      <c r="K1317" s="0" t="inlineStr">
        <is>
          <t xml:space="preserve">NONE</t>
        </is>
      </c>
    </row>
    <row r="1318">
      <c r="B1318" s="0" t="inlineStr">
        <is>
          <t xml:space="preserve">N6133116P4593</t>
        </is>
      </c>
      <c r="D1318" s="0" t="inlineStr">
        <is>
          <t xml:space="preserve">small_craft</t>
        </is>
      </c>
      <c r="E1318" s="0" t="inlineStr">
        <is>
          <t xml:space="preserve">BRUNSWICK COMMERCIAL &amp; GOVERNMENT PRODUCTS, INC.</t>
        </is>
      </c>
      <c r="F1318" s="0" t="inlineStr">
        <is>
          <t xml:space="preserve">B</t>
        </is>
      </c>
      <c r="G1318" s="4">
        <v>0.019288319999999998</v>
      </c>
      <c r="H1318" s="0" t="inlineStr">
        <is>
          <t xml:space="preserve">2016-09-26</t>
        </is>
      </c>
      <c r="I1318" s="0" t="inlineStr">
        <is>
          <t xml:space="preserve">no</t>
        </is>
      </c>
      <c r="J1318" s="0" t="inlineStr">
        <is>
          <t xml:space="preserve">N6133116T4584</t>
        </is>
      </c>
      <c r="K1318" s="0" t="inlineStr">
        <is>
          <t xml:space="preserve">NONE</t>
        </is>
      </c>
    </row>
    <row r="1319">
      <c r="B1319" s="0" t="inlineStr">
        <is>
          <t xml:space="preserve">N0016721F0038</t>
        </is>
      </c>
      <c r="C1319" s="0" t="inlineStr">
        <is>
          <t xml:space="preserve">N0016720D0001</t>
        </is>
      </c>
      <c r="D1319" s="0" t="inlineStr">
        <is>
          <t xml:space="preserve">small_craft</t>
        </is>
      </c>
      <c r="E1319" s="0" t="inlineStr">
        <is>
          <t xml:space="preserve">ANCHOR INNOVATION, INC.</t>
        </is>
      </c>
      <c r="F1319" s="0" t="inlineStr">
        <is>
          <t xml:space="preserve">C</t>
        </is>
      </c>
      <c r="G1319" s="4">
        <v>0.019240419999999998</v>
      </c>
      <c r="H1319" s="0" t="inlineStr">
        <is>
          <t xml:space="preserve">2021-02-23</t>
        </is>
      </c>
      <c r="I1319" s="0" t="inlineStr">
        <is>
          <t xml:space="preserve">no</t>
        </is>
      </c>
      <c r="J1319" s="0" t="inlineStr">
        <is>
          <t xml:space="preserve">N0016719R0012</t>
        </is>
      </c>
      <c r="K1319" s="0" t="inlineStr">
        <is>
          <t xml:space="preserve">NONE</t>
        </is>
      </c>
    </row>
    <row r="1320">
      <c r="B1320" s="0" t="inlineStr">
        <is>
          <t xml:space="preserve">N6133116P4532</t>
        </is>
      </c>
      <c r="D1320" s="0" t="inlineStr">
        <is>
          <t xml:space="preserve">small_craft</t>
        </is>
      </c>
      <c r="E1320" s="0" t="inlineStr">
        <is>
          <t xml:space="preserve">NVISION SOLUTIONS INC</t>
        </is>
      </c>
      <c r="F1320" s="0" t="inlineStr">
        <is>
          <t xml:space="preserve">B</t>
        </is>
      </c>
      <c r="G1320" s="4">
        <v>0.019230119999999996</v>
      </c>
      <c r="H1320" s="0" t="inlineStr">
        <is>
          <t xml:space="preserve">2016-01-28</t>
        </is>
      </c>
      <c r="I1320" s="0" t="inlineStr">
        <is>
          <t xml:space="preserve">no</t>
        </is>
      </c>
      <c r="K1320" s="0" t="inlineStr">
        <is>
          <t xml:space="preserve">NONE</t>
        </is>
      </c>
    </row>
    <row r="1321">
      <c r="B1321" s="0" t="inlineStr">
        <is>
          <t xml:space="preserve">N0010423PCB64</t>
        </is>
      </c>
      <c r="D1321" s="0" t="inlineStr">
        <is>
          <t xml:space="preserve">small_craft</t>
        </is>
      </c>
      <c r="E1321" s="0" t="inlineStr">
        <is>
          <t xml:space="preserve">H &amp; P TECHNOLOGIES INC.</t>
        </is>
      </c>
      <c r="F1321" s="0" t="inlineStr">
        <is>
          <t xml:space="preserve">B</t>
        </is>
      </c>
      <c r="G1321" s="4">
        <v>0.01916</v>
      </c>
      <c r="H1321" s="0" t="inlineStr">
        <is>
          <t xml:space="preserve">2023-03-20</t>
        </is>
      </c>
      <c r="I1321" s="0" t="inlineStr">
        <is>
          <t xml:space="preserve">no</t>
        </is>
      </c>
      <c r="K1321" s="0" t="inlineStr">
        <is>
          <t xml:space="preserve">NONE</t>
        </is>
      </c>
    </row>
    <row r="1322">
      <c r="B1322" s="0" t="inlineStr">
        <is>
          <t xml:space="preserve">N0040615P2844</t>
        </is>
      </c>
      <c r="D1322" s="0" t="inlineStr">
        <is>
          <t xml:space="preserve">small_craft</t>
        </is>
      </c>
      <c r="E1322" s="0" t="inlineStr">
        <is>
          <t xml:space="preserve">WILLARD MARINE, INC.</t>
        </is>
      </c>
      <c r="F1322" s="0" t="inlineStr">
        <is>
          <t xml:space="preserve">B</t>
        </is>
      </c>
      <c r="G1322" s="4">
        <v>0.01902</v>
      </c>
      <c r="H1322" s="0" t="inlineStr">
        <is>
          <t xml:space="preserve">2015-06-12</t>
        </is>
      </c>
      <c r="I1322" s="0" t="inlineStr">
        <is>
          <t xml:space="preserve">no</t>
        </is>
      </c>
      <c r="K1322" s="0" t="inlineStr">
        <is>
          <t xml:space="preserve">NONE</t>
        </is>
      </c>
    </row>
    <row r="1323">
      <c r="B1323" s="0" t="inlineStr">
        <is>
          <t xml:space="preserve">N4019216P7060</t>
        </is>
      </c>
      <c r="D1323" s="0" t="inlineStr">
        <is>
          <t xml:space="preserve">small_craft</t>
        </is>
      </c>
      <c r="E1323" s="0" t="inlineStr">
        <is>
          <t xml:space="preserve">INTERNATIONAL ROYAL INC</t>
        </is>
      </c>
      <c r="F1323" s="0" t="inlineStr">
        <is>
          <t xml:space="preserve">B</t>
        </is>
      </c>
      <c r="G1323" s="4">
        <v>0.018997999999999998</v>
      </c>
      <c r="H1323" s="0" t="inlineStr">
        <is>
          <t xml:space="preserve">2016-09-22</t>
        </is>
      </c>
      <c r="I1323" s="0" t="inlineStr">
        <is>
          <t xml:space="preserve">no</t>
        </is>
      </c>
      <c r="J1323" s="0" t="inlineStr">
        <is>
          <t xml:space="preserve">N4019216Q7060</t>
        </is>
      </c>
      <c r="K1323" s="0" t="inlineStr">
        <is>
          <t xml:space="preserve">NONE</t>
        </is>
      </c>
    </row>
    <row r="1324">
      <c r="B1324" s="0" t="inlineStr">
        <is>
          <t xml:space="preserve">N0010420PXB79</t>
        </is>
      </c>
      <c r="D1324" s="0" t="inlineStr">
        <is>
          <t xml:space="preserve">small_craft</t>
        </is>
      </c>
      <c r="E1324" s="0" t="inlineStr">
        <is>
          <t xml:space="preserve">WING INFLATABLES INC</t>
        </is>
      </c>
      <c r="F1324" s="0" t="inlineStr">
        <is>
          <t xml:space="preserve">B</t>
        </is>
      </c>
      <c r="G1324" s="4">
        <v>0.01893737</v>
      </c>
      <c r="H1324" s="0" t="inlineStr">
        <is>
          <t xml:space="preserve">2020-07-01</t>
        </is>
      </c>
      <c r="I1324" s="0" t="inlineStr">
        <is>
          <t xml:space="preserve">no</t>
        </is>
      </c>
      <c r="K1324" s="0" t="inlineStr">
        <is>
          <t xml:space="preserve">NONE</t>
        </is>
      </c>
    </row>
    <row r="1325">
      <c r="B1325" s="0" t="inlineStr">
        <is>
          <t xml:space="preserve">N6133115P0046</t>
        </is>
      </c>
      <c r="D1325" s="0" t="inlineStr">
        <is>
          <t xml:space="preserve">small_craft</t>
        </is>
      </c>
      <c r="E1325" s="0" t="inlineStr">
        <is>
          <t xml:space="preserve">ASTRO MACHINE WORKS INC</t>
        </is>
      </c>
      <c r="F1325" s="0" t="inlineStr">
        <is>
          <t xml:space="preserve">B</t>
        </is>
      </c>
      <c r="G1325" s="4">
        <v>0.01892</v>
      </c>
      <c r="H1325" s="0" t="inlineStr">
        <is>
          <t xml:space="preserve">2015-06-12</t>
        </is>
      </c>
      <c r="I1325" s="0" t="inlineStr">
        <is>
          <t xml:space="preserve">no</t>
        </is>
      </c>
      <c r="J1325" s="0" t="inlineStr">
        <is>
          <t xml:space="preserve">N6133115T0082</t>
        </is>
      </c>
      <c r="K1325" s="0" t="inlineStr">
        <is>
          <t xml:space="preserve">NONE</t>
        </is>
      </c>
    </row>
    <row r="1326">
      <c r="B1326" s="0" t="inlineStr">
        <is>
          <t xml:space="preserve">N0010426PFA42</t>
        </is>
      </c>
      <c r="D1326" s="0" t="inlineStr">
        <is>
          <t xml:space="preserve">small_craft</t>
        </is>
      </c>
      <c r="E1326" s="0" t="inlineStr">
        <is>
          <t xml:space="preserve">MARMETAL INDUSTRIES, LLC</t>
        </is>
      </c>
      <c r="F1326" s="0" t="inlineStr">
        <is>
          <t xml:space="preserve">B</t>
        </is>
      </c>
      <c r="G1326" s="4">
        <v>0.018886999999999998</v>
      </c>
      <c r="H1326" s="0" t="inlineStr">
        <is>
          <t xml:space="preserve">2025-11-14</t>
        </is>
      </c>
      <c r="I1326" s="0" t="inlineStr">
        <is>
          <t xml:space="preserve">yes</t>
        </is>
      </c>
      <c r="J1326" s="0" t="inlineStr">
        <is>
          <t xml:space="preserve">N0010426QFA24</t>
        </is>
      </c>
      <c r="K1326" s="0" t="inlineStr">
        <is>
          <t xml:space="preserve">NONE</t>
        </is>
      </c>
    </row>
    <row r="1327">
      <c r="B1327" s="0" t="inlineStr">
        <is>
          <t xml:space="preserve">N3220518F2075</t>
        </is>
      </c>
      <c r="C1327" s="0" t="inlineStr">
        <is>
          <t xml:space="preserve">N3220517D4700</t>
        </is>
      </c>
      <c r="D1327" s="0" t="inlineStr">
        <is>
          <t xml:space="preserve">other_small</t>
        </is>
      </c>
      <c r="E1327" s="0" t="inlineStr">
        <is>
          <t xml:space="preserve">LAKE SHORE SYSTEMS, INC.</t>
        </is>
      </c>
      <c r="F1327" s="0" t="inlineStr">
        <is>
          <t xml:space="preserve">C</t>
        </is>
      </c>
      <c r="G1327" s="4">
        <v>0.01884184</v>
      </c>
      <c r="H1327" s="0" t="inlineStr">
        <is>
          <t xml:space="preserve">2017-12-05</t>
        </is>
      </c>
      <c r="I1327" s="0" t="inlineStr">
        <is>
          <t xml:space="preserve">no</t>
        </is>
      </c>
      <c r="K1327" s="0" t="inlineStr">
        <is>
          <t xml:space="preserve">NONE</t>
        </is>
      </c>
    </row>
    <row r="1328">
      <c r="B1328" s="0" t="inlineStr">
        <is>
          <t xml:space="preserve">N0040622P0569</t>
        </is>
      </c>
      <c r="D1328" s="0" t="inlineStr">
        <is>
          <t xml:space="preserve">small_craft</t>
        </is>
      </c>
      <c r="E1328" s="0" t="inlineStr">
        <is>
          <t xml:space="preserve">PIER SIDE SUPPLY INC</t>
        </is>
      </c>
      <c r="F1328" s="0" t="inlineStr">
        <is>
          <t xml:space="preserve">B</t>
        </is>
      </c>
      <c r="G1328" s="4">
        <v>0.01884</v>
      </c>
      <c r="H1328" s="0" t="inlineStr">
        <is>
          <t xml:space="preserve">2022-06-27</t>
        </is>
      </c>
      <c r="I1328" s="0" t="inlineStr">
        <is>
          <t xml:space="preserve">no</t>
        </is>
      </c>
      <c r="J1328" s="0" t="inlineStr">
        <is>
          <t xml:space="preserve">N0040622Q0499</t>
        </is>
      </c>
      <c r="K1328" s="0" t="inlineStr">
        <is>
          <t xml:space="preserve">NONE</t>
        </is>
      </c>
    </row>
    <row r="1329">
      <c r="B1329" s="0" t="inlineStr">
        <is>
          <t xml:space="preserve">N3220518P4475</t>
        </is>
      </c>
      <c r="D1329" s="0" t="inlineStr">
        <is>
          <t xml:space="preserve">small_craft</t>
        </is>
      </c>
      <c r="E1329" s="0" t="inlineStr">
        <is>
          <t xml:space="preserve">FASSMER SERVICE AMERICA LLC</t>
        </is>
      </c>
      <c r="F1329" s="0" t="inlineStr">
        <is>
          <t xml:space="preserve">B</t>
        </is>
      </c>
      <c r="G1329" s="4">
        <v>0.018797599999999998</v>
      </c>
      <c r="H1329" s="0" t="inlineStr">
        <is>
          <t xml:space="preserve">2018-03-30</t>
        </is>
      </c>
      <c r="I1329" s="0" t="inlineStr">
        <is>
          <t xml:space="preserve">no</t>
        </is>
      </c>
      <c r="J1329" s="0" t="inlineStr">
        <is>
          <t xml:space="preserve">N3220518Q4475</t>
        </is>
      </c>
      <c r="K1329" s="0" t="inlineStr">
        <is>
          <t xml:space="preserve">NONE</t>
        </is>
      </c>
    </row>
    <row r="1330">
      <c r="B1330" s="0" t="inlineStr">
        <is>
          <t xml:space="preserve">N0024423P0136</t>
        </is>
      </c>
      <c r="D1330" s="0" t="inlineStr">
        <is>
          <t xml:space="preserve">small_craft</t>
        </is>
      </c>
      <c r="E1330" s="0" t="inlineStr">
        <is>
          <t xml:space="preserve">WING INFLATABLES, INC.</t>
        </is>
      </c>
      <c r="F1330" s="0" t="inlineStr">
        <is>
          <t xml:space="preserve">B</t>
        </is>
      </c>
      <c r="G1330" s="4">
        <v>0.01879289</v>
      </c>
      <c r="H1330" s="0" t="inlineStr">
        <is>
          <t xml:space="preserve">2023-04-13</t>
        </is>
      </c>
      <c r="I1330" s="0" t="inlineStr">
        <is>
          <t xml:space="preserve">no</t>
        </is>
      </c>
      <c r="K1330" s="0" t="inlineStr">
        <is>
          <t xml:space="preserve">NONE</t>
        </is>
      </c>
    </row>
    <row r="1331">
      <c r="B1331" s="0" t="inlineStr">
        <is>
          <t xml:space="preserve">N0040620P0545</t>
        </is>
      </c>
      <c r="D1331" s="0" t="inlineStr">
        <is>
          <t xml:space="preserve">small_craft</t>
        </is>
      </c>
      <c r="E1331" s="0" t="inlineStr">
        <is>
          <t xml:space="preserve">CONTRACTOR SUPPLY SOLUTIONS LLC</t>
        </is>
      </c>
      <c r="F1331" s="0" t="inlineStr">
        <is>
          <t xml:space="preserve">B</t>
        </is>
      </c>
      <c r="G1331" s="4">
        <v>0.018777</v>
      </c>
      <c r="H1331" s="0" t="inlineStr">
        <is>
          <t xml:space="preserve">2020-08-31</t>
        </is>
      </c>
      <c r="I1331" s="0" t="inlineStr">
        <is>
          <t xml:space="preserve">no</t>
        </is>
      </c>
      <c r="J1331" s="0" t="inlineStr">
        <is>
          <t xml:space="preserve">N0040620Q0314</t>
        </is>
      </c>
      <c r="K1331" s="0" t="inlineStr">
        <is>
          <t xml:space="preserve">NONE</t>
        </is>
      </c>
    </row>
    <row r="1332">
      <c r="B1332" s="0" t="inlineStr">
        <is>
          <t xml:space="preserve">N0040620P0274</t>
        </is>
      </c>
      <c r="D1332" s="0" t="inlineStr">
        <is>
          <t xml:space="preserve">small_craft</t>
        </is>
      </c>
      <c r="E1332" s="0" t="inlineStr">
        <is>
          <t xml:space="preserve">RAILWAY SPECIALTIES CORP</t>
        </is>
      </c>
      <c r="F1332" s="0" t="inlineStr">
        <is>
          <t xml:space="preserve">B</t>
        </is>
      </c>
      <c r="G1332" s="4">
        <v>0.01877</v>
      </c>
      <c r="H1332" s="0" t="inlineStr">
        <is>
          <t xml:space="preserve">2020-04-17</t>
        </is>
      </c>
      <c r="I1332" s="0" t="inlineStr">
        <is>
          <t xml:space="preserve">no</t>
        </is>
      </c>
      <c r="K1332" s="0" t="inlineStr">
        <is>
          <t xml:space="preserve">NONE</t>
        </is>
      </c>
    </row>
    <row r="1333">
      <c r="B1333" s="0" t="inlineStr">
        <is>
          <t xml:space="preserve">N0040615P3966</t>
        </is>
      </c>
      <c r="D1333" s="0" t="inlineStr">
        <is>
          <t xml:space="preserve">small_craft</t>
        </is>
      </c>
      <c r="E1333" s="0" t="inlineStr">
        <is>
          <t xml:space="preserve">J.D.A. MARITIME, INC.</t>
        </is>
      </c>
      <c r="F1333" s="0" t="inlineStr">
        <is>
          <t xml:space="preserve">B</t>
        </is>
      </c>
      <c r="G1333" s="4">
        <v>0.018675</v>
      </c>
      <c r="H1333" s="0" t="inlineStr">
        <is>
          <t xml:space="preserve">2015-09-11</t>
        </is>
      </c>
      <c r="I1333" s="0" t="inlineStr">
        <is>
          <t xml:space="preserve">no</t>
        </is>
      </c>
      <c r="K1333" s="0" t="inlineStr">
        <is>
          <t xml:space="preserve">NONE</t>
        </is>
      </c>
    </row>
    <row r="1334">
      <c r="B1334" s="0" t="inlineStr">
        <is>
          <t xml:space="preserve">N0040619P0770</t>
        </is>
      </c>
      <c r="D1334" s="0" t="inlineStr">
        <is>
          <t xml:space="preserve">small_craft</t>
        </is>
      </c>
      <c r="E1334" s="0" t="inlineStr">
        <is>
          <t xml:space="preserve">JUNIPER ELBOW CO. INC.</t>
        </is>
      </c>
      <c r="F1334" s="0" t="inlineStr">
        <is>
          <t xml:space="preserve">B</t>
        </is>
      </c>
      <c r="G1334" s="4">
        <v>0.018591069999999998</v>
      </c>
      <c r="H1334" s="0" t="inlineStr">
        <is>
          <t xml:space="preserve">2019-09-27</t>
        </is>
      </c>
      <c r="I1334" s="0" t="inlineStr">
        <is>
          <t xml:space="preserve">no</t>
        </is>
      </c>
      <c r="K1334" s="0" t="inlineStr">
        <is>
          <t xml:space="preserve">NONE</t>
        </is>
      </c>
    </row>
    <row r="1335">
      <c r="B1335" s="0" t="inlineStr">
        <is>
          <t xml:space="preserve">N0040615P2993</t>
        </is>
      </c>
      <c r="D1335" s="0" t="inlineStr">
        <is>
          <t xml:space="preserve">small_craft</t>
        </is>
      </c>
      <c r="E1335" s="0" t="inlineStr">
        <is>
          <t xml:space="preserve">WING INFLATABLES INC</t>
        </is>
      </c>
      <c r="F1335" s="0" t="inlineStr">
        <is>
          <t xml:space="preserve">B</t>
        </is>
      </c>
      <c r="G1335" s="4">
        <v>0.01855</v>
      </c>
      <c r="H1335" s="0" t="inlineStr">
        <is>
          <t xml:space="preserve">2015-07-06</t>
        </is>
      </c>
      <c r="I1335" s="0" t="inlineStr">
        <is>
          <t xml:space="preserve">no</t>
        </is>
      </c>
      <c r="K1335" s="0" t="inlineStr">
        <is>
          <t xml:space="preserve">NONE</t>
        </is>
      </c>
    </row>
    <row r="1336">
      <c r="B1336" s="0" t="inlineStr">
        <is>
          <t xml:space="preserve">M6890916P7620</t>
        </is>
      </c>
      <c r="D1336" s="0" t="inlineStr">
        <is>
          <t xml:space="preserve">small_craft</t>
        </is>
      </c>
      <c r="E1336" s="0" t="inlineStr">
        <is>
          <t xml:space="preserve">KRUGER INDUSTRIES, INC.</t>
        </is>
      </c>
      <c r="F1336" s="0" t="inlineStr">
        <is>
          <t xml:space="preserve">B</t>
        </is>
      </c>
      <c r="G1336" s="4">
        <v>0.018503799999999997</v>
      </c>
      <c r="H1336" s="0" t="inlineStr">
        <is>
          <t xml:space="preserve">2016-02-02</t>
        </is>
      </c>
      <c r="I1336" s="0" t="inlineStr">
        <is>
          <t xml:space="preserve">no</t>
        </is>
      </c>
      <c r="K1336" s="0" t="inlineStr">
        <is>
          <t xml:space="preserve">NONE</t>
        </is>
      </c>
    </row>
    <row r="1337">
      <c r="B1337" s="0" t="inlineStr">
        <is>
          <t xml:space="preserve">N6146319FLH86</t>
        </is>
      </c>
      <c r="C1337" s="0" t="inlineStr">
        <is>
          <t xml:space="preserve">N6238715D2104</t>
        </is>
      </c>
      <c r="D1337" s="0" t="inlineStr">
        <is>
          <t xml:space="preserve">other_small</t>
        </is>
      </c>
      <c r="E1337" s="0" t="inlineStr">
        <is>
          <t xml:space="preserve">MCALLISTER TOWING AND TRANSPORTATION COMPANY, INC.</t>
        </is>
      </c>
      <c r="F1337" s="0" t="inlineStr">
        <is>
          <t xml:space="preserve">C</t>
        </is>
      </c>
      <c r="G1337" s="4">
        <v>0.018491999999999998</v>
      </c>
      <c r="H1337" s="0" t="inlineStr">
        <is>
          <t xml:space="preserve">2019-05-30</t>
        </is>
      </c>
      <c r="I1337" s="0" t="inlineStr">
        <is>
          <t xml:space="preserve">no</t>
        </is>
      </c>
      <c r="J1337" s="0" t="inlineStr">
        <is>
          <t xml:space="preserve">N6238715R2104</t>
        </is>
      </c>
      <c r="K1337" s="0" t="inlineStr">
        <is>
          <t xml:space="preserve">NONE</t>
        </is>
      </c>
    </row>
    <row r="1338">
      <c r="B1338" s="0" t="inlineStr">
        <is>
          <t xml:space="preserve">N0010416PEA43</t>
        </is>
      </c>
      <c r="D1338" s="0" t="inlineStr">
        <is>
          <t xml:space="preserve">small_craft</t>
        </is>
      </c>
      <c r="E1338" s="0" t="inlineStr">
        <is>
          <t xml:space="preserve">PEERLESS MFG CO</t>
        </is>
      </c>
      <c r="F1338" s="0" t="inlineStr">
        <is>
          <t xml:space="preserve">B</t>
        </is>
      </c>
      <c r="G1338" s="4">
        <v>0.018439999999999998</v>
      </c>
      <c r="H1338" s="0" t="inlineStr">
        <is>
          <t xml:space="preserve">2016-03-23</t>
        </is>
      </c>
      <c r="I1338" s="0" t="inlineStr">
        <is>
          <t xml:space="preserve">no</t>
        </is>
      </c>
      <c r="K1338" s="0" t="inlineStr">
        <is>
          <t xml:space="preserve">NONE</t>
        </is>
      </c>
    </row>
    <row r="1339">
      <c r="B1339" s="0" t="inlineStr">
        <is>
          <t xml:space="preserve">N0018919P0474</t>
        </is>
      </c>
      <c r="D1339" s="0" t="inlineStr">
        <is>
          <t xml:space="preserve">small_craft</t>
        </is>
      </c>
      <c r="E1339" s="0" t="inlineStr">
        <is>
          <t xml:space="preserve">SAFE BOATS INTERNATIONAL LLC</t>
        </is>
      </c>
      <c r="F1339" s="0" t="inlineStr">
        <is>
          <t xml:space="preserve">B</t>
        </is>
      </c>
      <c r="G1339" s="4">
        <v>0.018434</v>
      </c>
      <c r="H1339" s="0" t="inlineStr">
        <is>
          <t xml:space="preserve">2019-06-13</t>
        </is>
      </c>
      <c r="I1339" s="0" t="inlineStr">
        <is>
          <t xml:space="preserve">no</t>
        </is>
      </c>
      <c r="K1339" s="0" t="inlineStr">
        <is>
          <t xml:space="preserve">NONE</t>
        </is>
      </c>
    </row>
    <row r="1340">
      <c r="B1340" s="0" t="inlineStr">
        <is>
          <t xml:space="preserve">N0040620P0164</t>
        </is>
      </c>
      <c r="D1340" s="0" t="inlineStr">
        <is>
          <t xml:space="preserve">small_craft</t>
        </is>
      </c>
      <c r="E1340" s="0" t="inlineStr">
        <is>
          <t xml:space="preserve">THE ENTWISTLE COMPANY LLC</t>
        </is>
      </c>
      <c r="F1340" s="0" t="inlineStr">
        <is>
          <t xml:space="preserve">B</t>
        </is>
      </c>
      <c r="G1340" s="4">
        <v>0.0184205</v>
      </c>
      <c r="H1340" s="0" t="inlineStr">
        <is>
          <t xml:space="preserve">2020-02-06</t>
        </is>
      </c>
      <c r="I1340" s="0" t="inlineStr">
        <is>
          <t xml:space="preserve">no</t>
        </is>
      </c>
      <c r="K1340" s="0" t="inlineStr">
        <is>
          <t xml:space="preserve">NONE</t>
        </is>
      </c>
    </row>
    <row r="1341">
      <c r="B1341" s="0" t="inlineStr">
        <is>
          <t xml:space="preserve">N3220521P4118</t>
        </is>
      </c>
      <c r="D1341" s="0" t="inlineStr">
        <is>
          <t xml:space="preserve">small_craft</t>
        </is>
      </c>
      <c r="E1341" s="0" t="inlineStr">
        <is>
          <t xml:space="preserve">WILLARD MARINE, INC.</t>
        </is>
      </c>
      <c r="F1341" s="0" t="inlineStr">
        <is>
          <t xml:space="preserve">B</t>
        </is>
      </c>
      <c r="G1341" s="4">
        <v>0.01827225</v>
      </c>
      <c r="H1341" s="0" t="inlineStr">
        <is>
          <t xml:space="preserve">2020-11-09</t>
        </is>
      </c>
      <c r="I1341" s="0" t="inlineStr">
        <is>
          <t xml:space="preserve">no</t>
        </is>
      </c>
      <c r="K1341" s="0" t="inlineStr">
        <is>
          <t xml:space="preserve">NONE</t>
        </is>
      </c>
    </row>
    <row r="1342">
      <c r="B1342" s="0" t="inlineStr">
        <is>
          <t xml:space="preserve">N0010421PDB96</t>
        </is>
      </c>
      <c r="D1342" s="0" t="inlineStr">
        <is>
          <t xml:space="preserve">small_craft</t>
        </is>
      </c>
      <c r="E1342" s="0" t="inlineStr">
        <is>
          <t xml:space="preserve">TELEDYNE RESON INC</t>
        </is>
      </c>
      <c r="F1342" s="0" t="inlineStr">
        <is>
          <t xml:space="preserve">B</t>
        </is>
      </c>
      <c r="G1342" s="4">
        <v>0.018259499999999998</v>
      </c>
      <c r="H1342" s="0" t="inlineStr">
        <is>
          <t xml:space="preserve">2021-06-11</t>
        </is>
      </c>
      <c r="I1342" s="0" t="inlineStr">
        <is>
          <t xml:space="preserve">no</t>
        </is>
      </c>
      <c r="K1342" s="0" t="inlineStr">
        <is>
          <t xml:space="preserve">NONE</t>
        </is>
      </c>
    </row>
    <row r="1343">
      <c r="B1343" s="0" t="inlineStr">
        <is>
          <t xml:space="preserve">N0040616P2236</t>
        </is>
      </c>
      <c r="D1343" s="0" t="inlineStr">
        <is>
          <t xml:space="preserve">small_craft</t>
        </is>
      </c>
      <c r="E1343" s="0" t="inlineStr">
        <is>
          <t xml:space="preserve">PACIFIC MARITIME INDUSTRIES CORP.</t>
        </is>
      </c>
      <c r="F1343" s="0" t="inlineStr">
        <is>
          <t xml:space="preserve">B</t>
        </is>
      </c>
      <c r="G1343" s="4">
        <v>0.0182</v>
      </c>
      <c r="H1343" s="0" t="inlineStr">
        <is>
          <t xml:space="preserve">2016-06-02</t>
        </is>
      </c>
      <c r="I1343" s="0" t="inlineStr">
        <is>
          <t xml:space="preserve">no</t>
        </is>
      </c>
      <c r="K1343" s="0" t="inlineStr">
        <is>
          <t xml:space="preserve">NONE</t>
        </is>
      </c>
    </row>
    <row r="1344">
      <c r="B1344" s="0" t="inlineStr">
        <is>
          <t xml:space="preserve">0058</t>
        </is>
      </c>
      <c r="C1344" s="0" t="inlineStr">
        <is>
          <t xml:space="preserve">N3220513D2000</t>
        </is>
      </c>
      <c r="D1344" s="0" t="inlineStr">
        <is>
          <t xml:space="preserve">other_small</t>
        </is>
      </c>
      <c r="E1344" s="0" t="inlineStr">
        <is>
          <t xml:space="preserve">ROLLS-ROYCE SOLUTIONS AMERICA INC</t>
        </is>
      </c>
      <c r="F1344" s="0" t="inlineStr">
        <is>
          <t xml:space="preserve">C</t>
        </is>
      </c>
      <c r="G1344" s="4">
        <v>0.018174299999999997</v>
      </c>
      <c r="H1344" s="0" t="inlineStr">
        <is>
          <t xml:space="preserve">2015-09-21</t>
        </is>
      </c>
      <c r="I1344" s="0" t="inlineStr">
        <is>
          <t xml:space="preserve">no</t>
        </is>
      </c>
      <c r="J1344" s="0" t="inlineStr">
        <is>
          <t xml:space="preserve">N4044211R2005</t>
        </is>
      </c>
      <c r="K1344" s="0" t="inlineStr">
        <is>
          <t xml:space="preserve">NONE</t>
        </is>
      </c>
    </row>
    <row r="1345">
      <c r="B1345" s="0" t="inlineStr">
        <is>
          <t xml:space="preserve">N0017816V0015</t>
        </is>
      </c>
      <c r="D1345" s="0" t="inlineStr">
        <is>
          <t xml:space="preserve">small_craft</t>
        </is>
      </c>
      <c r="E1345" s="0" t="inlineStr">
        <is>
          <t xml:space="preserve">GOLDSBOROUGH INC</t>
        </is>
      </c>
      <c r="F1345" s="0" t="inlineStr">
        <is>
          <t xml:space="preserve">B</t>
        </is>
      </c>
      <c r="G1345" s="4">
        <v>0.018154999999999998</v>
      </c>
      <c r="H1345" s="0" t="inlineStr">
        <is>
          <t xml:space="preserve">2016-02-18</t>
        </is>
      </c>
      <c r="I1345" s="0" t="inlineStr">
        <is>
          <t xml:space="preserve">no</t>
        </is>
      </c>
      <c r="K1345" s="0" t="inlineStr">
        <is>
          <t xml:space="preserve">NONE</t>
        </is>
      </c>
    </row>
    <row r="1346">
      <c r="B1346" s="0" t="inlineStr">
        <is>
          <t xml:space="preserve">N0010425PLA23</t>
        </is>
      </c>
      <c r="D1346" s="0" t="inlineStr">
        <is>
          <t xml:space="preserve">small_craft</t>
        </is>
      </c>
      <c r="E1346" s="0" t="inlineStr">
        <is>
          <t xml:space="preserve">HOWDEN NORTH AMERICA INC</t>
        </is>
      </c>
      <c r="F1346" s="0" t="inlineStr">
        <is>
          <t xml:space="preserve">B</t>
        </is>
      </c>
      <c r="G1346" s="4">
        <v>0.018130999999999998</v>
      </c>
      <c r="H1346" s="0" t="inlineStr">
        <is>
          <t xml:space="preserve">2024-10-21</t>
        </is>
      </c>
      <c r="I1346" s="0" t="inlineStr">
        <is>
          <t xml:space="preserve">no</t>
        </is>
      </c>
      <c r="J1346" s="0" t="inlineStr">
        <is>
          <t xml:space="preserve">N0010425QLA03</t>
        </is>
      </c>
      <c r="K1346" s="0" t="inlineStr">
        <is>
          <t xml:space="preserve">NONE</t>
        </is>
      </c>
    </row>
    <row r="1347">
      <c r="B1347" s="0" t="inlineStr">
        <is>
          <t xml:space="preserve">N0010426PBN89</t>
        </is>
      </c>
      <c r="D1347" s="0" t="inlineStr">
        <is>
          <t xml:space="preserve">small_craft</t>
        </is>
      </c>
      <c r="E1347" s="0" t="inlineStr">
        <is>
          <t xml:space="preserve">ADIRONDACK ELECTRONICS INC</t>
        </is>
      </c>
      <c r="F1347" s="0" t="inlineStr">
        <is>
          <t xml:space="preserve">B</t>
        </is>
      </c>
      <c r="G1347" s="4">
        <v>0.0181125</v>
      </c>
      <c r="H1347" s="0" t="inlineStr">
        <is>
          <t xml:space="preserve">2026-03-20</t>
        </is>
      </c>
      <c r="I1347" s="0" t="inlineStr">
        <is>
          <t xml:space="preserve">yes</t>
        </is>
      </c>
      <c r="K1347" s="0" t="inlineStr">
        <is>
          <t xml:space="preserve">NONE</t>
        </is>
      </c>
    </row>
    <row r="1348">
      <c r="B1348" s="0" t="inlineStr">
        <is>
          <t xml:space="preserve">N0016420P0068</t>
        </is>
      </c>
      <c r="D1348" s="0" t="inlineStr">
        <is>
          <t xml:space="preserve">small_craft</t>
        </is>
      </c>
      <c r="E1348" s="0" t="inlineStr">
        <is>
          <t xml:space="preserve">POSEIDON,LLC</t>
        </is>
      </c>
      <c r="F1348" s="0" t="inlineStr">
        <is>
          <t xml:space="preserve">B</t>
        </is>
      </c>
      <c r="G1348" s="4">
        <v>0.01809096</v>
      </c>
      <c r="H1348" s="0" t="inlineStr">
        <is>
          <t xml:space="preserve">2020-01-06</t>
        </is>
      </c>
      <c r="I1348" s="0" t="inlineStr">
        <is>
          <t xml:space="preserve">no</t>
        </is>
      </c>
      <c r="K1348" s="0" t="inlineStr">
        <is>
          <t xml:space="preserve">NONE</t>
        </is>
      </c>
    </row>
    <row r="1349">
      <c r="B1349" s="0" t="inlineStr">
        <is>
          <t xml:space="preserve">N3220520F2432</t>
        </is>
      </c>
      <c r="C1349" s="0" t="inlineStr">
        <is>
          <t xml:space="preserve">N3220517D4700</t>
        </is>
      </c>
      <c r="D1349" s="0" t="inlineStr">
        <is>
          <t xml:space="preserve">other_small</t>
        </is>
      </c>
      <c r="E1349" s="0" t="inlineStr">
        <is>
          <t xml:space="preserve">LAKE SHORE SYSTEMS, INC.</t>
        </is>
      </c>
      <c r="F1349" s="0" t="inlineStr">
        <is>
          <t xml:space="preserve">C</t>
        </is>
      </c>
      <c r="G1349" s="4">
        <v>0.018064359999999998</v>
      </c>
      <c r="H1349" s="0" t="inlineStr">
        <is>
          <t xml:space="preserve">2020-07-28</t>
        </is>
      </c>
      <c r="I1349" s="0" t="inlineStr">
        <is>
          <t xml:space="preserve">no</t>
        </is>
      </c>
      <c r="K1349" s="0" t="inlineStr">
        <is>
          <t xml:space="preserve">NONE</t>
        </is>
      </c>
    </row>
    <row r="1350">
      <c r="B1350" s="0" t="inlineStr">
        <is>
          <t xml:space="preserve">N4019215P7038</t>
        </is>
      </c>
      <c r="D1350" s="0" t="inlineStr">
        <is>
          <t xml:space="preserve">small_craft</t>
        </is>
      </c>
      <c r="E1350" s="0" t="inlineStr">
        <is>
          <t xml:space="preserve">INTERNATIONAL ROYAL INC</t>
        </is>
      </c>
      <c r="F1350" s="0" t="inlineStr">
        <is>
          <t xml:space="preserve">B</t>
        </is>
      </c>
      <c r="G1350" s="4">
        <v>0.017998</v>
      </c>
      <c r="H1350" s="0" t="inlineStr">
        <is>
          <t xml:space="preserve">2015-09-23</t>
        </is>
      </c>
      <c r="I1350" s="0" t="inlineStr">
        <is>
          <t xml:space="preserve">no</t>
        </is>
      </c>
      <c r="K1350" s="0" t="inlineStr">
        <is>
          <t xml:space="preserve">NONE</t>
        </is>
      </c>
    </row>
    <row r="1351">
      <c r="B1351" s="0" t="inlineStr">
        <is>
          <t xml:space="preserve">N6600122P6111</t>
        </is>
      </c>
      <c r="D1351" s="0" t="inlineStr">
        <is>
          <t xml:space="preserve">usv_core</t>
        </is>
      </c>
      <c r="E1351" s="0" t="inlineStr">
        <is>
          <t xml:space="preserve">EVERGREEN FIRE ALARMS LLC</t>
        </is>
      </c>
      <c r="F1351" s="0" t="inlineStr">
        <is>
          <t xml:space="preserve">B</t>
        </is>
      </c>
      <c r="G1351" s="4">
        <v>0.01795658</v>
      </c>
      <c r="H1351" s="0" t="inlineStr">
        <is>
          <t xml:space="preserve">2022-02-04</t>
        </is>
      </c>
      <c r="I1351" s="0" t="inlineStr">
        <is>
          <t xml:space="preserve">no</t>
        </is>
      </c>
      <c r="K1351" s="0" t="inlineStr">
        <is>
          <t xml:space="preserve">NONE</t>
        </is>
      </c>
    </row>
    <row r="1352">
      <c r="B1352" s="0" t="inlineStr">
        <is>
          <t xml:space="preserve">M6890916P7657</t>
        </is>
      </c>
      <c r="D1352" s="0" t="inlineStr">
        <is>
          <t xml:space="preserve">small_craft</t>
        </is>
      </c>
      <c r="E1352" s="0" t="inlineStr">
        <is>
          <t xml:space="preserve">WILLARD MARINE, INC.</t>
        </is>
      </c>
      <c r="F1352" s="0" t="inlineStr">
        <is>
          <t xml:space="preserve">B</t>
        </is>
      </c>
      <c r="G1352" s="4">
        <v>0.01792824</v>
      </c>
      <c r="H1352" s="0" t="inlineStr">
        <is>
          <t xml:space="preserve">2016-07-26</t>
        </is>
      </c>
      <c r="I1352" s="0" t="inlineStr">
        <is>
          <t xml:space="preserve">no</t>
        </is>
      </c>
      <c r="J1352" s="0" t="inlineStr">
        <is>
          <t xml:space="preserve">M6890916Q7657</t>
        </is>
      </c>
      <c r="K1352" s="0" t="inlineStr">
        <is>
          <t xml:space="preserve">NONE</t>
        </is>
      </c>
    </row>
    <row r="1353">
      <c r="B1353" s="0" t="inlineStr">
        <is>
          <t xml:space="preserve">N0010421PXB62</t>
        </is>
      </c>
      <c r="D1353" s="0" t="inlineStr">
        <is>
          <t xml:space="preserve">small_craft</t>
        </is>
      </c>
      <c r="E1353" s="0" t="inlineStr">
        <is>
          <t xml:space="preserve">WING INFLATABLES INC</t>
        </is>
      </c>
      <c r="F1353" s="0" t="inlineStr">
        <is>
          <t xml:space="preserve">B</t>
        </is>
      </c>
      <c r="G1353" s="4">
        <v>0.01792</v>
      </c>
      <c r="H1353" s="0" t="inlineStr">
        <is>
          <t xml:space="preserve">2021-07-06</t>
        </is>
      </c>
      <c r="I1353" s="0" t="inlineStr">
        <is>
          <t xml:space="preserve">no</t>
        </is>
      </c>
      <c r="K1353" s="0" t="inlineStr">
        <is>
          <t xml:space="preserve">NONE</t>
        </is>
      </c>
    </row>
    <row r="1354">
      <c r="B1354" s="0" t="inlineStr">
        <is>
          <t xml:space="preserve">N0010420PED73</t>
        </is>
      </c>
      <c r="D1354" s="0" t="inlineStr">
        <is>
          <t xml:space="preserve">small_craft</t>
        </is>
      </c>
      <c r="E1354" s="0" t="inlineStr">
        <is>
          <t xml:space="preserve">AQUAPHOENIX SCIENTIFIC, LLC</t>
        </is>
      </c>
      <c r="F1354" s="0" t="inlineStr">
        <is>
          <t xml:space="preserve">B</t>
        </is>
      </c>
      <c r="G1354" s="4">
        <v>0.01789</v>
      </c>
      <c r="H1354" s="0" t="inlineStr">
        <is>
          <t xml:space="preserve">2020-05-14</t>
        </is>
      </c>
      <c r="I1354" s="0" t="inlineStr">
        <is>
          <t xml:space="preserve">no</t>
        </is>
      </c>
      <c r="K1354" s="0" t="inlineStr">
        <is>
          <t xml:space="preserve">NONE</t>
        </is>
      </c>
    </row>
    <row r="1355">
      <c r="B1355" s="0" t="inlineStr">
        <is>
          <t xml:space="preserve">N0018916P0691</t>
        </is>
      </c>
      <c r="D1355" s="0" t="inlineStr">
        <is>
          <t xml:space="preserve">small_craft</t>
        </is>
      </c>
      <c r="E1355" s="0" t="inlineStr">
        <is>
          <t xml:space="preserve">STIDD SYSTEMS, INC.</t>
        </is>
      </c>
      <c r="F1355" s="0" t="inlineStr">
        <is>
          <t xml:space="preserve">B</t>
        </is>
      </c>
      <c r="G1355" s="4">
        <v>0.01781827</v>
      </c>
      <c r="H1355" s="0" t="inlineStr">
        <is>
          <t xml:space="preserve">2016-05-06</t>
        </is>
      </c>
      <c r="I1355" s="0" t="inlineStr">
        <is>
          <t xml:space="preserve">no</t>
        </is>
      </c>
      <c r="K1355" s="0" t="inlineStr">
        <is>
          <t xml:space="preserve">NONE</t>
        </is>
      </c>
    </row>
    <row r="1356">
      <c r="B1356" s="0" t="inlineStr">
        <is>
          <t xml:space="preserve">N0040624P0130</t>
        </is>
      </c>
      <c r="D1356" s="0" t="inlineStr">
        <is>
          <t xml:space="preserve">small_craft</t>
        </is>
      </c>
      <c r="E1356" s="0" t="inlineStr">
        <is>
          <t xml:space="preserve">PACIFIC MARINE DISTRIBUTORS ACQUISITION, LLC</t>
        </is>
      </c>
      <c r="F1356" s="0" t="inlineStr">
        <is>
          <t xml:space="preserve">B</t>
        </is>
      </c>
      <c r="G1356" s="4">
        <v>0.017750009999999997</v>
      </c>
      <c r="H1356" s="0" t="inlineStr">
        <is>
          <t xml:space="preserve">2024-01-10</t>
        </is>
      </c>
      <c r="I1356" s="0" t="inlineStr">
        <is>
          <t xml:space="preserve">no</t>
        </is>
      </c>
      <c r="J1356" s="0" t="inlineStr">
        <is>
          <t xml:space="preserve">N0040624Q0133</t>
        </is>
      </c>
      <c r="K1356" s="0" t="inlineStr">
        <is>
          <t xml:space="preserve">NONE</t>
        </is>
      </c>
    </row>
    <row r="1357">
      <c r="B1357" s="0" t="inlineStr">
        <is>
          <t xml:space="preserve">N0040621P0599</t>
        </is>
      </c>
      <c r="D1357" s="0" t="inlineStr">
        <is>
          <t xml:space="preserve">small_craft</t>
        </is>
      </c>
      <c r="E1357" s="0" t="inlineStr">
        <is>
          <t xml:space="preserve">BLACKBERRY SERVICES LLC</t>
        </is>
      </c>
      <c r="F1357" s="0" t="inlineStr">
        <is>
          <t xml:space="preserve">B</t>
        </is>
      </c>
      <c r="G1357" s="4">
        <v>0.017742</v>
      </c>
      <c r="H1357" s="0" t="inlineStr">
        <is>
          <t xml:space="preserve">2021-09-02</t>
        </is>
      </c>
      <c r="I1357" s="0" t="inlineStr">
        <is>
          <t xml:space="preserve">no</t>
        </is>
      </c>
      <c r="K1357" s="0" t="inlineStr">
        <is>
          <t xml:space="preserve">NONE</t>
        </is>
      </c>
    </row>
    <row r="1358">
      <c r="B1358" s="0" t="inlineStr">
        <is>
          <t xml:space="preserve">N0010426PQA58</t>
        </is>
      </c>
      <c r="D1358" s="0" t="inlineStr">
        <is>
          <t xml:space="preserve">small_craft</t>
        </is>
      </c>
      <c r="E1358" s="0" t="inlineStr">
        <is>
          <t xml:space="preserve">CORNET TECHNOLOGY, INC.</t>
        </is>
      </c>
      <c r="F1358" s="0" t="inlineStr">
        <is>
          <t xml:space="preserve">B</t>
        </is>
      </c>
      <c r="G1358" s="4">
        <v>0.017731999999999998</v>
      </c>
      <c r="H1358" s="0" t="inlineStr">
        <is>
          <t xml:space="preserve">2026-01-23</t>
        </is>
      </c>
      <c r="I1358" s="0" t="inlineStr">
        <is>
          <t xml:space="preserve">yes</t>
        </is>
      </c>
      <c r="J1358" s="0" t="inlineStr">
        <is>
          <t xml:space="preserve">N0010425QQD32</t>
        </is>
      </c>
      <c r="K1358" s="0" t="inlineStr">
        <is>
          <t xml:space="preserve">NONE</t>
        </is>
      </c>
    </row>
    <row r="1359">
      <c r="B1359" s="0" t="inlineStr">
        <is>
          <t xml:space="preserve">N0010421PDD87</t>
        </is>
      </c>
      <c r="D1359" s="0" t="inlineStr">
        <is>
          <t xml:space="preserve">small_craft</t>
        </is>
      </c>
      <c r="E1359" s="0" t="inlineStr">
        <is>
          <t xml:space="preserve">TIMKEN GEARS &amp; SERVICES INC.</t>
        </is>
      </c>
      <c r="F1359" s="0" t="inlineStr">
        <is>
          <t xml:space="preserve">B</t>
        </is>
      </c>
      <c r="G1359" s="4">
        <v>0.017716</v>
      </c>
      <c r="H1359" s="0" t="inlineStr">
        <is>
          <t xml:space="preserve">2021-09-24</t>
        </is>
      </c>
      <c r="I1359" s="0" t="inlineStr">
        <is>
          <t xml:space="preserve">no</t>
        </is>
      </c>
      <c r="K1359" s="0" t="inlineStr">
        <is>
          <t xml:space="preserve">NONE</t>
        </is>
      </c>
    </row>
    <row r="1360">
      <c r="B1360" s="0" t="inlineStr">
        <is>
          <t xml:space="preserve">N0016722P0170</t>
        </is>
      </c>
      <c r="D1360" s="0" t="inlineStr">
        <is>
          <t xml:space="preserve">small_craft</t>
        </is>
      </c>
      <c r="E1360" s="0" t="inlineStr">
        <is>
          <t xml:space="preserve">WING INFLATABLES INC</t>
        </is>
      </c>
      <c r="F1360" s="0" t="inlineStr">
        <is>
          <t xml:space="preserve">B</t>
        </is>
      </c>
      <c r="G1360" s="4">
        <v>0.01761536</v>
      </c>
      <c r="H1360" s="0" t="inlineStr">
        <is>
          <t xml:space="preserve">2022-07-27</t>
        </is>
      </c>
      <c r="I1360" s="0" t="inlineStr">
        <is>
          <t xml:space="preserve">no</t>
        </is>
      </c>
      <c r="K1360" s="0" t="inlineStr">
        <is>
          <t xml:space="preserve">NONE</t>
        </is>
      </c>
    </row>
    <row r="1361">
      <c r="B1361" s="0" t="inlineStr">
        <is>
          <t xml:space="preserve">N0040617P0249</t>
        </is>
      </c>
      <c r="D1361" s="0" t="inlineStr">
        <is>
          <t xml:space="preserve">small_craft</t>
        </is>
      </c>
      <c r="E1361" s="0" t="inlineStr">
        <is>
          <t xml:space="preserve">PACIFIC MARITIME INDUSTRIES CORP.</t>
        </is>
      </c>
      <c r="F1361" s="0" t="inlineStr">
        <is>
          <t xml:space="preserve">B</t>
        </is>
      </c>
      <c r="G1361" s="4">
        <v>0.017599999999999998</v>
      </c>
      <c r="H1361" s="0" t="inlineStr">
        <is>
          <t xml:space="preserve">2016-11-21</t>
        </is>
      </c>
      <c r="I1361" s="0" t="inlineStr">
        <is>
          <t xml:space="preserve">no</t>
        </is>
      </c>
      <c r="K1361" s="0" t="inlineStr">
        <is>
          <t xml:space="preserve">NONE</t>
        </is>
      </c>
    </row>
    <row r="1362">
      <c r="B1362" s="0" t="inlineStr">
        <is>
          <t xml:space="preserve">N0010422PNC74</t>
        </is>
      </c>
      <c r="D1362" s="0" t="inlineStr">
        <is>
          <t xml:space="preserve">small_craft</t>
        </is>
      </c>
      <c r="E1362" s="0" t="inlineStr">
        <is>
          <t xml:space="preserve">CHESAPEAKE MARINE REFRIGERATION CORP</t>
        </is>
      </c>
      <c r="F1362" s="0" t="inlineStr">
        <is>
          <t xml:space="preserve">B</t>
        </is>
      </c>
      <c r="G1362" s="4">
        <v>0.017599999999999998</v>
      </c>
      <c r="H1362" s="0" t="inlineStr">
        <is>
          <t xml:space="preserve">2022-07-18</t>
        </is>
      </c>
      <c r="I1362" s="0" t="inlineStr">
        <is>
          <t xml:space="preserve">no</t>
        </is>
      </c>
      <c r="K1362" s="0" t="inlineStr">
        <is>
          <t xml:space="preserve">NONE</t>
        </is>
      </c>
    </row>
    <row r="1363">
      <c r="B1363" s="0" t="inlineStr">
        <is>
          <t xml:space="preserve">N0060420P4039</t>
        </is>
      </c>
      <c r="D1363" s="0" t="inlineStr">
        <is>
          <t xml:space="preserve">small_craft</t>
        </is>
      </c>
      <c r="E1363" s="0" t="inlineStr">
        <is>
          <t xml:space="preserve">WING INFLATABLES INC</t>
        </is>
      </c>
      <c r="F1363" s="0" t="inlineStr">
        <is>
          <t xml:space="preserve">B</t>
        </is>
      </c>
      <c r="G1363" s="4">
        <v>0.017490349999999998</v>
      </c>
      <c r="H1363" s="0" t="inlineStr">
        <is>
          <t xml:space="preserve">2020-03-25</t>
        </is>
      </c>
      <c r="I1363" s="0" t="inlineStr">
        <is>
          <t xml:space="preserve">no</t>
        </is>
      </c>
      <c r="K1363" s="0" t="inlineStr">
        <is>
          <t xml:space="preserve">NONE</t>
        </is>
      </c>
    </row>
    <row r="1364">
      <c r="B1364" s="0" t="inlineStr">
        <is>
          <t xml:space="preserve">N0024422P0265</t>
        </is>
      </c>
      <c r="D1364" s="0" t="inlineStr">
        <is>
          <t xml:space="preserve">small_craft</t>
        </is>
      </c>
      <c r="E1364" s="0" t="inlineStr">
        <is>
          <t xml:space="preserve">WING INFLATABLES, INC.</t>
        </is>
      </c>
      <c r="F1364" s="0" t="inlineStr">
        <is>
          <t xml:space="preserve">B</t>
        </is>
      </c>
      <c r="G1364" s="4">
        <v>0.01741536</v>
      </c>
      <c r="H1364" s="0" t="inlineStr">
        <is>
          <t xml:space="preserve">2022-08-15</t>
        </is>
      </c>
      <c r="I1364" s="0" t="inlineStr">
        <is>
          <t xml:space="preserve">no</t>
        </is>
      </c>
      <c r="K1364" s="0" t="inlineStr">
        <is>
          <t xml:space="preserve">NONE</t>
        </is>
      </c>
    </row>
    <row r="1365">
      <c r="B1365" s="0" t="inlineStr">
        <is>
          <t xml:space="preserve">N0010419PCA18</t>
        </is>
      </c>
      <c r="D1365" s="0" t="inlineStr">
        <is>
          <t xml:space="preserve">small_craft</t>
        </is>
      </c>
      <c r="E1365" s="0" t="inlineStr">
        <is>
          <t xml:space="preserve">KONRAD MARINE INC</t>
        </is>
      </c>
      <c r="F1365" s="0" t="inlineStr">
        <is>
          <t xml:space="preserve">B</t>
        </is>
      </c>
      <c r="G1365" s="4">
        <v>0.01741397</v>
      </c>
      <c r="H1365" s="0" t="inlineStr">
        <is>
          <t xml:space="preserve">2018-10-11</t>
        </is>
      </c>
      <c r="I1365" s="0" t="inlineStr">
        <is>
          <t xml:space="preserve">no</t>
        </is>
      </c>
      <c r="K1365" s="0" t="inlineStr">
        <is>
          <t xml:space="preserve">NONE</t>
        </is>
      </c>
    </row>
    <row r="1366">
      <c r="B1366" s="0" t="inlineStr">
        <is>
          <t xml:space="preserve">N0010420PBQ85</t>
        </is>
      </c>
      <c r="D1366" s="0" t="inlineStr">
        <is>
          <t xml:space="preserve">small_craft</t>
        </is>
      </c>
      <c r="E1366" s="0" t="inlineStr">
        <is>
          <t xml:space="preserve">NASCO AEROSPACE AND ELECTRONICS LLC</t>
        </is>
      </c>
      <c r="F1366" s="0" t="inlineStr">
        <is>
          <t xml:space="preserve">B</t>
        </is>
      </c>
      <c r="G1366" s="4">
        <v>0.017406599999999998</v>
      </c>
      <c r="H1366" s="0" t="inlineStr">
        <is>
          <t xml:space="preserve">2020-02-11</t>
        </is>
      </c>
      <c r="I1366" s="0" t="inlineStr">
        <is>
          <t xml:space="preserve">no</t>
        </is>
      </c>
      <c r="K1366" s="0" t="inlineStr">
        <is>
          <t xml:space="preserve">NONE</t>
        </is>
      </c>
    </row>
    <row r="1367">
      <c r="B1367" s="0" t="inlineStr">
        <is>
          <t xml:space="preserve">N0010416PEA49</t>
        </is>
      </c>
      <c r="D1367" s="0" t="inlineStr">
        <is>
          <t xml:space="preserve">small_craft</t>
        </is>
      </c>
      <c r="E1367" s="0" t="inlineStr">
        <is>
          <t xml:space="preserve">PEERLESS MFG CO</t>
        </is>
      </c>
      <c r="F1367" s="0" t="inlineStr">
        <is>
          <t xml:space="preserve">B</t>
        </is>
      </c>
      <c r="G1367" s="4">
        <v>0.017339999999999998</v>
      </c>
      <c r="H1367" s="0" t="inlineStr">
        <is>
          <t xml:space="preserve">2016-03-23</t>
        </is>
      </c>
      <c r="I1367" s="0" t="inlineStr">
        <is>
          <t xml:space="preserve">no</t>
        </is>
      </c>
      <c r="K1367" s="0" t="inlineStr">
        <is>
          <t xml:space="preserve">NONE</t>
        </is>
      </c>
    </row>
    <row r="1368">
      <c r="B1368" s="0" t="inlineStr">
        <is>
          <t xml:space="preserve">N0010420PDD04</t>
        </is>
      </c>
      <c r="D1368" s="0" t="inlineStr">
        <is>
          <t xml:space="preserve">small_craft</t>
        </is>
      </c>
      <c r="E1368" s="0" t="inlineStr">
        <is>
          <t xml:space="preserve">JERED LLC</t>
        </is>
      </c>
      <c r="F1368" s="0" t="inlineStr">
        <is>
          <t xml:space="preserve">B</t>
        </is>
      </c>
      <c r="G1368" s="4">
        <v>0.01731785</v>
      </c>
      <c r="H1368" s="0" t="inlineStr">
        <is>
          <t xml:space="preserve">2020-07-06</t>
        </is>
      </c>
      <c r="I1368" s="0" t="inlineStr">
        <is>
          <t xml:space="preserve">no</t>
        </is>
      </c>
      <c r="K1368" s="0" t="inlineStr">
        <is>
          <t xml:space="preserve">NONE</t>
        </is>
      </c>
    </row>
    <row r="1369">
      <c r="B1369" s="0" t="inlineStr">
        <is>
          <t xml:space="preserve">N0010421PCE88</t>
        </is>
      </c>
      <c r="D1369" s="0" t="inlineStr">
        <is>
          <t xml:space="preserve">small_craft</t>
        </is>
      </c>
      <c r="E1369" s="0" t="inlineStr">
        <is>
          <t xml:space="preserve">CURTISS-WRIGHT ELECTRO-MECHANICAL CORP</t>
        </is>
      </c>
      <c r="F1369" s="0" t="inlineStr">
        <is>
          <t xml:space="preserve">B</t>
        </is>
      </c>
      <c r="G1369" s="4">
        <v>0.017315999999999998</v>
      </c>
      <c r="H1369" s="0" t="inlineStr">
        <is>
          <t xml:space="preserve">2021-08-26</t>
        </is>
      </c>
      <c r="I1369" s="0" t="inlineStr">
        <is>
          <t xml:space="preserve">no</t>
        </is>
      </c>
      <c r="K1369" s="0" t="inlineStr">
        <is>
          <t xml:space="preserve">NONE</t>
        </is>
      </c>
    </row>
    <row r="1370">
      <c r="B1370" s="0" t="inlineStr">
        <is>
          <t xml:space="preserve">N0040622P0373</t>
        </is>
      </c>
      <c r="D1370" s="0" t="inlineStr">
        <is>
          <t xml:space="preserve">small_craft</t>
        </is>
      </c>
      <c r="E1370" s="0" t="inlineStr">
        <is>
          <t xml:space="preserve">RAILWAY SPECIALTIES CORP</t>
        </is>
      </c>
      <c r="F1370" s="0" t="inlineStr">
        <is>
          <t xml:space="preserve">B</t>
        </is>
      </c>
      <c r="G1370" s="4">
        <v>0.01714</v>
      </c>
      <c r="H1370" s="0" t="inlineStr">
        <is>
          <t xml:space="preserve">2022-04-13</t>
        </is>
      </c>
      <c r="I1370" s="0" t="inlineStr">
        <is>
          <t xml:space="preserve">no</t>
        </is>
      </c>
      <c r="J1370" s="0" t="inlineStr">
        <is>
          <t xml:space="preserve">N0040622Q0375</t>
        </is>
      </c>
      <c r="K1370" s="0" t="inlineStr">
        <is>
          <t xml:space="preserve">NONE</t>
        </is>
      </c>
    </row>
    <row r="1371">
      <c r="B1371" s="0" t="inlineStr">
        <is>
          <t xml:space="preserve">N0010423PEF53</t>
        </is>
      </c>
      <c r="D1371" s="0" t="inlineStr">
        <is>
          <t xml:space="preserve">small_craft</t>
        </is>
      </c>
      <c r="E1371" s="0" t="inlineStr">
        <is>
          <t xml:space="preserve">DBR INDUSTRIES, INC.</t>
        </is>
      </c>
      <c r="F1371" s="0" t="inlineStr">
        <is>
          <t xml:space="preserve">B</t>
        </is>
      </c>
      <c r="G1371" s="4">
        <v>0.01713177</v>
      </c>
      <c r="H1371" s="0" t="inlineStr">
        <is>
          <t xml:space="preserve">2023-07-18</t>
        </is>
      </c>
      <c r="I1371" s="0" t="inlineStr">
        <is>
          <t xml:space="preserve">no</t>
        </is>
      </c>
      <c r="K1371" s="0" t="inlineStr">
        <is>
          <t xml:space="preserve">NONE</t>
        </is>
      </c>
    </row>
    <row r="1372">
      <c r="B1372" s="0" t="inlineStr">
        <is>
          <t xml:space="preserve">N0002420F2211</t>
        </is>
      </c>
      <c r="C1372" s="0" t="inlineStr">
        <is>
          <t xml:space="preserve">N0002415D2211</t>
        </is>
      </c>
      <c r="D1372" s="0" t="inlineStr">
        <is>
          <t xml:space="preserve">small_craft</t>
        </is>
      </c>
      <c r="E1372" s="0" t="inlineStr">
        <is>
          <t xml:space="preserve">GRAVOIS ALUMINUM BOATS LLC</t>
        </is>
      </c>
      <c r="F1372" s="0" t="inlineStr">
        <is>
          <t xml:space="preserve">C</t>
        </is>
      </c>
      <c r="G1372" s="4">
        <v>0.01712524</v>
      </c>
      <c r="H1372" s="0" t="inlineStr">
        <is>
          <t xml:space="preserve">2020-02-19</t>
        </is>
      </c>
      <c r="I1372" s="0" t="inlineStr">
        <is>
          <t xml:space="preserve">no</t>
        </is>
      </c>
      <c r="J1372" s="0" t="inlineStr">
        <is>
          <t xml:space="preserve">N0002413R2211</t>
        </is>
      </c>
      <c r="K1372" s="0" t="inlineStr">
        <is>
          <t xml:space="preserve">NONE</t>
        </is>
      </c>
    </row>
    <row r="1373">
      <c r="B1373" s="0" t="inlineStr">
        <is>
          <t xml:space="preserve">N0040618P1799</t>
        </is>
      </c>
      <c r="D1373" s="0" t="inlineStr">
        <is>
          <t xml:space="preserve">small_craft</t>
        </is>
      </c>
      <c r="E1373" s="0" t="inlineStr">
        <is>
          <t xml:space="preserve">RAILWAY SPECIALTIES CORP</t>
        </is>
      </c>
      <c r="F1373" s="0" t="inlineStr">
        <is>
          <t xml:space="preserve">B</t>
        </is>
      </c>
      <c r="G1373" s="4">
        <v>0.0171</v>
      </c>
      <c r="H1373" s="0" t="inlineStr">
        <is>
          <t xml:space="preserve">2018-09-27</t>
        </is>
      </c>
      <c r="I1373" s="0" t="inlineStr">
        <is>
          <t xml:space="preserve">no</t>
        </is>
      </c>
      <c r="K1373" s="0" t="inlineStr">
        <is>
          <t xml:space="preserve">NONE</t>
        </is>
      </c>
    </row>
    <row r="1374">
      <c r="B1374" s="0" t="inlineStr">
        <is>
          <t xml:space="preserve">N0010424PEE35</t>
        </is>
      </c>
      <c r="D1374" s="0" t="inlineStr">
        <is>
          <t xml:space="preserve">small_craft</t>
        </is>
      </c>
      <c r="E1374" s="0" t="inlineStr">
        <is>
          <t xml:space="preserve">DUTCH VALLEY SUPPLY CO.</t>
        </is>
      </c>
      <c r="F1374" s="0" t="inlineStr">
        <is>
          <t xml:space="preserve">B</t>
        </is>
      </c>
      <c r="G1374" s="4">
        <v>0.017024400000000002</v>
      </c>
      <c r="H1374" s="0" t="inlineStr">
        <is>
          <t xml:space="preserve">2024-08-27</t>
        </is>
      </c>
      <c r="I1374" s="0" t="inlineStr">
        <is>
          <t xml:space="preserve">no</t>
        </is>
      </c>
      <c r="K1374" s="0" t="inlineStr">
        <is>
          <t xml:space="preserve">NONE</t>
        </is>
      </c>
    </row>
    <row r="1375">
      <c r="B1375" s="0" t="inlineStr">
        <is>
          <t xml:space="preserve">N0010426PSA61</t>
        </is>
      </c>
      <c r="D1375" s="0" t="inlineStr">
        <is>
          <t xml:space="preserve">small_craft</t>
        </is>
      </c>
      <c r="E1375" s="0" t="inlineStr">
        <is>
          <t xml:space="preserve">RAILWAY SPECIALTIES CORP</t>
        </is>
      </c>
      <c r="F1375" s="0" t="inlineStr">
        <is>
          <t xml:space="preserve">B</t>
        </is>
      </c>
      <c r="G1375" s="4">
        <v>0.016999999999999998</v>
      </c>
      <c r="H1375" s="0" t="inlineStr">
        <is>
          <t xml:space="preserve">2025-11-26</t>
        </is>
      </c>
      <c r="I1375" s="0" t="inlineStr">
        <is>
          <t xml:space="preserve">yes</t>
        </is>
      </c>
      <c r="K1375" s="0" t="inlineStr">
        <is>
          <t xml:space="preserve">NONE</t>
        </is>
      </c>
    </row>
    <row r="1376">
      <c r="B1376" s="0" t="inlineStr">
        <is>
          <t xml:space="preserve">0078</t>
        </is>
      </c>
      <c r="C1376" s="0" t="inlineStr">
        <is>
          <t xml:space="preserve">N3220513D2001</t>
        </is>
      </c>
      <c r="D1376" s="0" t="inlineStr">
        <is>
          <t xml:space="preserve">other_small</t>
        </is>
      </c>
      <c r="E1376" s="0" t="inlineStr">
        <is>
          <t xml:space="preserve">AUSTAL USA, LLC</t>
        </is>
      </c>
      <c r="F1376" s="0" t="inlineStr">
        <is>
          <t xml:space="preserve">C</t>
        </is>
      </c>
      <c r="G1376" s="4">
        <v>0.01695795</v>
      </c>
      <c r="H1376" s="0" t="inlineStr">
        <is>
          <t xml:space="preserve">2017-01-21</t>
        </is>
      </c>
      <c r="I1376" s="0" t="inlineStr">
        <is>
          <t xml:space="preserve">no</t>
        </is>
      </c>
      <c r="J1376" s="0" t="inlineStr">
        <is>
          <t xml:space="preserve">N4044212R2004</t>
        </is>
      </c>
      <c r="K1376" s="0" t="inlineStr">
        <is>
          <t xml:space="preserve">NONE</t>
        </is>
      </c>
    </row>
    <row r="1377">
      <c r="B1377" s="0" t="inlineStr">
        <is>
          <t xml:space="preserve">N0040622P0178</t>
        </is>
      </c>
      <c r="D1377" s="0" t="inlineStr">
        <is>
          <t xml:space="preserve">small_craft</t>
        </is>
      </c>
      <c r="E1377" s="0" t="inlineStr">
        <is>
          <t xml:space="preserve">JUNIPER ELBOW CO. INC.</t>
        </is>
      </c>
      <c r="F1377" s="0" t="inlineStr">
        <is>
          <t xml:space="preserve">B</t>
        </is>
      </c>
      <c r="G1377" s="4">
        <v>0.01695</v>
      </c>
      <c r="H1377" s="0" t="inlineStr">
        <is>
          <t xml:space="preserve">2022-02-03</t>
        </is>
      </c>
      <c r="I1377" s="0" t="inlineStr">
        <is>
          <t xml:space="preserve">no</t>
        </is>
      </c>
      <c r="J1377" s="0" t="inlineStr">
        <is>
          <t xml:space="preserve">N0040622Q0184</t>
        </is>
      </c>
      <c r="K1377" s="0" t="inlineStr">
        <is>
          <t xml:space="preserve">NONE</t>
        </is>
      </c>
    </row>
    <row r="1378">
      <c r="B1378" s="0" t="inlineStr">
        <is>
          <t xml:space="preserve">N0040615P1970</t>
        </is>
      </c>
      <c r="D1378" s="0" t="inlineStr">
        <is>
          <t xml:space="preserve">small_craft</t>
        </is>
      </c>
      <c r="E1378" s="0" t="inlineStr">
        <is>
          <t xml:space="preserve">RAILWAY SPECIALTIES CORP</t>
        </is>
      </c>
      <c r="F1378" s="0" t="inlineStr">
        <is>
          <t xml:space="preserve">B</t>
        </is>
      </c>
      <c r="G1378" s="4">
        <v>0.0169</v>
      </c>
      <c r="H1378" s="0" t="inlineStr">
        <is>
          <t xml:space="preserve">2015-04-06</t>
        </is>
      </c>
      <c r="I1378" s="0" t="inlineStr">
        <is>
          <t xml:space="preserve">no</t>
        </is>
      </c>
      <c r="K1378" s="0" t="inlineStr">
        <is>
          <t xml:space="preserve">NONE</t>
        </is>
      </c>
    </row>
    <row r="1379">
      <c r="B1379" s="0" t="inlineStr">
        <is>
          <t xml:space="preserve">N6660415P0863</t>
        </is>
      </c>
      <c r="D1379" s="0" t="inlineStr">
        <is>
          <t xml:space="preserve">other_small</t>
        </is>
      </c>
      <c r="E1379" s="0" t="inlineStr">
        <is>
          <t xml:space="preserve">ROBONATION INC.</t>
        </is>
      </c>
      <c r="F1379" s="0" t="inlineStr">
        <is>
          <t xml:space="preserve">B</t>
        </is>
      </c>
      <c r="G1379" s="4">
        <v>0.0169</v>
      </c>
      <c r="H1379" s="0" t="inlineStr">
        <is>
          <t xml:space="preserve">2015-04-10</t>
        </is>
      </c>
      <c r="I1379" s="0" t="inlineStr">
        <is>
          <t xml:space="preserve">no</t>
        </is>
      </c>
      <c r="K1379" s="0" t="inlineStr">
        <is>
          <t xml:space="preserve">NONE</t>
        </is>
      </c>
    </row>
    <row r="1380">
      <c r="B1380" s="0" t="inlineStr">
        <is>
          <t xml:space="preserve">M2710025P0001</t>
        </is>
      </c>
      <c r="D1380" s="0" t="inlineStr">
        <is>
          <t xml:space="preserve">small_craft</t>
        </is>
      </c>
      <c r="E1380" s="0" t="inlineStr">
        <is>
          <t xml:space="preserve">MISCELLANEOUS FOREIGN AWARDEES</t>
        </is>
      </c>
      <c r="F1380" s="0" t="inlineStr">
        <is>
          <t xml:space="preserve">B</t>
        </is>
      </c>
      <c r="G1380" s="4">
        <v>0.01683964</v>
      </c>
      <c r="H1380" s="0" t="inlineStr">
        <is>
          <t xml:space="preserve">2024-10-16</t>
        </is>
      </c>
      <c r="I1380" s="0" t="inlineStr">
        <is>
          <t xml:space="preserve">no</t>
        </is>
      </c>
      <c r="K1380" s="0" t="inlineStr">
        <is>
          <t xml:space="preserve">NONE</t>
        </is>
      </c>
    </row>
    <row r="1381">
      <c r="B1381" s="0" t="inlineStr">
        <is>
          <t xml:space="preserve">N0010424PUC26</t>
        </is>
      </c>
      <c r="D1381" s="0" t="inlineStr">
        <is>
          <t xml:space="preserve">small_craft</t>
        </is>
      </c>
      <c r="E1381" s="0" t="inlineStr">
        <is>
          <t xml:space="preserve">MCNALLY INDUSTRIES, LLC</t>
        </is>
      </c>
      <c r="F1381" s="0" t="inlineStr">
        <is>
          <t xml:space="preserve">B</t>
        </is>
      </c>
      <c r="G1381" s="4">
        <v>0.016834</v>
      </c>
      <c r="H1381" s="0" t="inlineStr">
        <is>
          <t xml:space="preserve">2024-04-08</t>
        </is>
      </c>
      <c r="I1381" s="0" t="inlineStr">
        <is>
          <t xml:space="preserve">no</t>
        </is>
      </c>
      <c r="J1381" s="0" t="inlineStr">
        <is>
          <t xml:space="preserve">N0010424QUC85</t>
        </is>
      </c>
      <c r="K1381" s="0" t="inlineStr">
        <is>
          <t xml:space="preserve">NONE</t>
        </is>
      </c>
    </row>
    <row r="1382">
      <c r="B1382" s="0" t="inlineStr">
        <is>
          <t xml:space="preserve">N0010425PXB92</t>
        </is>
      </c>
      <c r="D1382" s="0" t="inlineStr">
        <is>
          <t xml:space="preserve">small_craft</t>
        </is>
      </c>
      <c r="E1382" s="0" t="inlineStr">
        <is>
          <t xml:space="preserve">L3HARRIS TECHNOLOGIES, INC.</t>
        </is>
      </c>
      <c r="F1382" s="0" t="inlineStr">
        <is>
          <t xml:space="preserve">B</t>
        </is>
      </c>
      <c r="G1382" s="4">
        <v>0.016732999999999998</v>
      </c>
      <c r="H1382" s="0" t="inlineStr">
        <is>
          <t xml:space="preserve">2025-05-13</t>
        </is>
      </c>
      <c r="I1382" s="0" t="inlineStr">
        <is>
          <t xml:space="preserve">no</t>
        </is>
      </c>
      <c r="J1382" s="0" t="inlineStr">
        <is>
          <t xml:space="preserve">N0010425QXA29</t>
        </is>
      </c>
      <c r="K1382" s="0" t="inlineStr">
        <is>
          <t xml:space="preserve">NONE</t>
        </is>
      </c>
    </row>
    <row r="1383">
      <c r="B1383" s="0" t="inlineStr">
        <is>
          <t xml:space="preserve">N0010416PFD04</t>
        </is>
      </c>
      <c r="D1383" s="0" t="inlineStr">
        <is>
          <t xml:space="preserve">small_craft</t>
        </is>
      </c>
      <c r="E1383" s="0" t="inlineStr">
        <is>
          <t xml:space="preserve">GUILL TOOL &amp; ENGINEERING CO INC</t>
        </is>
      </c>
      <c r="F1383" s="0" t="inlineStr">
        <is>
          <t xml:space="preserve">B</t>
        </is>
      </c>
      <c r="G1383" s="4">
        <v>0.016715999999999998</v>
      </c>
      <c r="H1383" s="0" t="inlineStr">
        <is>
          <t xml:space="preserve">2016-03-16</t>
        </is>
      </c>
      <c r="I1383" s="0" t="inlineStr">
        <is>
          <t xml:space="preserve">no</t>
        </is>
      </c>
      <c r="J1383" s="0" t="inlineStr">
        <is>
          <t xml:space="preserve">N0010416QFB17</t>
        </is>
      </c>
      <c r="K1383" s="0" t="inlineStr">
        <is>
          <t xml:space="preserve">NONE</t>
        </is>
      </c>
    </row>
    <row r="1384">
      <c r="B1384" s="0" t="inlineStr">
        <is>
          <t xml:space="preserve">N0010419FK404</t>
        </is>
      </c>
      <c r="C1384" s="0" t="inlineStr">
        <is>
          <t xml:space="preserve">N0010416DX004</t>
        </is>
      </c>
      <c r="D1384" s="0" t="inlineStr">
        <is>
          <t xml:space="preserve">small_craft</t>
        </is>
      </c>
      <c r="E1384" s="0" t="inlineStr">
        <is>
          <t xml:space="preserve">WING INFLATABLES INC</t>
        </is>
      </c>
      <c r="F1384" s="0" t="inlineStr">
        <is>
          <t xml:space="preserve">C</t>
        </is>
      </c>
      <c r="G1384" s="4">
        <v>0.0167022</v>
      </c>
      <c r="H1384" s="0" t="inlineStr">
        <is>
          <t xml:space="preserve">2019-04-16</t>
        </is>
      </c>
      <c r="I1384" s="0" t="inlineStr">
        <is>
          <t xml:space="preserve">no</t>
        </is>
      </c>
      <c r="K1384" s="0" t="inlineStr">
        <is>
          <t xml:space="preserve">NONE</t>
        </is>
      </c>
    </row>
    <row r="1385">
      <c r="B1385" s="0" t="inlineStr">
        <is>
          <t xml:space="preserve">N0010426PSA67</t>
        </is>
      </c>
      <c r="D1385" s="0" t="inlineStr">
        <is>
          <t xml:space="preserve">small_craft</t>
        </is>
      </c>
      <c r="E1385" s="0" t="inlineStr">
        <is>
          <t xml:space="preserve">RAILWAY SPECIALTIES CORP</t>
        </is>
      </c>
      <c r="F1385" s="0" t="inlineStr">
        <is>
          <t xml:space="preserve">B</t>
        </is>
      </c>
      <c r="G1385" s="4">
        <v>0.0167</v>
      </c>
      <c r="H1385" s="0" t="inlineStr">
        <is>
          <t xml:space="preserve">2026-01-16</t>
        </is>
      </c>
      <c r="I1385" s="0" t="inlineStr">
        <is>
          <t xml:space="preserve">yes</t>
        </is>
      </c>
      <c r="J1385" s="0" t="inlineStr">
        <is>
          <t xml:space="preserve">N0010426QSA34</t>
        </is>
      </c>
      <c r="K1385" s="0" t="inlineStr">
        <is>
          <t xml:space="preserve">NONE</t>
        </is>
      </c>
    </row>
    <row r="1386">
      <c r="B1386" s="0" t="inlineStr">
        <is>
          <t xml:space="preserve">LH64</t>
        </is>
      </c>
      <c r="C1386" s="0" t="inlineStr">
        <is>
          <t xml:space="preserve">N6238715D2104</t>
        </is>
      </c>
      <c r="D1386" s="0" t="inlineStr">
        <is>
          <t xml:space="preserve">other_small</t>
        </is>
      </c>
      <c r="E1386" s="0" t="inlineStr">
        <is>
          <t xml:space="preserve">MCALLISTER TOWING AND TRANSPORTATION COMPANY, INC.</t>
        </is>
      </c>
      <c r="F1386" s="0" t="inlineStr">
        <is>
          <t xml:space="preserve">C</t>
        </is>
      </c>
      <c r="G1386" s="4">
        <v>0.016692</v>
      </c>
      <c r="H1386" s="0" t="inlineStr">
        <is>
          <t xml:space="preserve">2017-05-30</t>
        </is>
      </c>
      <c r="I1386" s="0" t="inlineStr">
        <is>
          <t xml:space="preserve">no</t>
        </is>
      </c>
      <c r="J1386" s="0" t="inlineStr">
        <is>
          <t xml:space="preserve">N6238715R2104</t>
        </is>
      </c>
      <c r="K1386" s="0" t="inlineStr">
        <is>
          <t xml:space="preserve">NONE</t>
        </is>
      </c>
    </row>
    <row r="1387">
      <c r="B1387" s="0" t="inlineStr">
        <is>
          <t xml:space="preserve">LH63</t>
        </is>
      </c>
      <c r="C1387" s="0" t="inlineStr">
        <is>
          <t xml:space="preserve">N6238715D2104</t>
        </is>
      </c>
      <c r="D1387" s="0" t="inlineStr">
        <is>
          <t xml:space="preserve">other_small</t>
        </is>
      </c>
      <c r="E1387" s="0" t="inlineStr">
        <is>
          <t xml:space="preserve">MCALLISTER TOWING AND TRANSPORTATION COMPANY, INC.</t>
        </is>
      </c>
      <c r="F1387" s="0" t="inlineStr">
        <is>
          <t xml:space="preserve">C</t>
        </is>
      </c>
      <c r="G1387" s="4">
        <v>0.016692</v>
      </c>
      <c r="H1387" s="0" t="inlineStr">
        <is>
          <t xml:space="preserve">2017-05-24</t>
        </is>
      </c>
      <c r="I1387" s="0" t="inlineStr">
        <is>
          <t xml:space="preserve">no</t>
        </is>
      </c>
      <c r="J1387" s="0" t="inlineStr">
        <is>
          <t xml:space="preserve">N6238715R2104</t>
        </is>
      </c>
      <c r="K1387" s="0" t="inlineStr">
        <is>
          <t xml:space="preserve">NONE</t>
        </is>
      </c>
    </row>
    <row r="1388">
      <c r="B1388" s="0" t="inlineStr">
        <is>
          <t xml:space="preserve">M6890915M7626</t>
        </is>
      </c>
      <c r="D1388" s="0" t="inlineStr">
        <is>
          <t xml:space="preserve">small_craft</t>
        </is>
      </c>
      <c r="E1388" s="0" t="inlineStr">
        <is>
          <t xml:space="preserve">SOUTH BAY MOTORSPORTS</t>
        </is>
      </c>
      <c r="F1388" s="0" t="inlineStr">
        <is>
          <t xml:space="preserve">B</t>
        </is>
      </c>
      <c r="G1388" s="4">
        <v>0.016686</v>
      </c>
      <c r="H1388" s="0" t="inlineStr">
        <is>
          <t xml:space="preserve">2015-06-05</t>
        </is>
      </c>
      <c r="I1388" s="0" t="inlineStr">
        <is>
          <t xml:space="preserve">no</t>
        </is>
      </c>
      <c r="K1388" s="0" t="inlineStr">
        <is>
          <t xml:space="preserve">NONE</t>
        </is>
      </c>
    </row>
    <row r="1389">
      <c r="B1389" s="0" t="inlineStr">
        <is>
          <t xml:space="preserve">LH49</t>
        </is>
      </c>
      <c r="C1389" s="0" t="inlineStr">
        <is>
          <t xml:space="preserve">N6238715D2104</t>
        </is>
      </c>
      <c r="D1389" s="0" t="inlineStr">
        <is>
          <t xml:space="preserve">other_small</t>
        </is>
      </c>
      <c r="E1389" s="0" t="inlineStr">
        <is>
          <t xml:space="preserve">MCALLISTER TOWING AND TRANSPORTATION COMPANY, INC.</t>
        </is>
      </c>
      <c r="F1389" s="0" t="inlineStr">
        <is>
          <t xml:space="preserve">C</t>
        </is>
      </c>
      <c r="G1389" s="4">
        <v>0.016642</v>
      </c>
      <c r="H1389" s="0" t="inlineStr">
        <is>
          <t xml:space="preserve">2016-07-01</t>
        </is>
      </c>
      <c r="I1389" s="0" t="inlineStr">
        <is>
          <t xml:space="preserve">no</t>
        </is>
      </c>
      <c r="J1389" s="0" t="inlineStr">
        <is>
          <t xml:space="preserve">N6238715R2104</t>
        </is>
      </c>
      <c r="K1389" s="0" t="inlineStr">
        <is>
          <t xml:space="preserve">NONE</t>
        </is>
      </c>
    </row>
    <row r="1390">
      <c r="B1390" s="0" t="inlineStr">
        <is>
          <t xml:space="preserve">N4940015PG002</t>
        </is>
      </c>
      <c r="D1390" s="0" t="inlineStr">
        <is>
          <t xml:space="preserve">small_craft</t>
        </is>
      </c>
      <c r="E1390" s="0" t="inlineStr">
        <is>
          <t xml:space="preserve">AJM KOOHEJI GROUP BSC CLOSED</t>
        </is>
      </c>
      <c r="F1390" s="0" t="inlineStr">
        <is>
          <t xml:space="preserve">B</t>
        </is>
      </c>
      <c r="G1390" s="4">
        <v>0.01658645</v>
      </c>
      <c r="H1390" s="0" t="inlineStr">
        <is>
          <t xml:space="preserve">2015-02-05</t>
        </is>
      </c>
      <c r="I1390" s="0" t="inlineStr">
        <is>
          <t xml:space="preserve">no</t>
        </is>
      </c>
      <c r="J1390" s="0" t="inlineStr">
        <is>
          <t xml:space="preserve">N4940015TB076</t>
        </is>
      </c>
      <c r="K1390" s="0" t="inlineStr">
        <is>
          <t xml:space="preserve">NONE</t>
        </is>
      </c>
    </row>
    <row r="1391">
      <c r="B1391" s="0" t="inlineStr">
        <is>
          <t xml:space="preserve">N3220520P0252</t>
        </is>
      </c>
      <c r="D1391" s="0" t="inlineStr">
        <is>
          <t xml:space="preserve">small_craft</t>
        </is>
      </c>
      <c r="E1391" s="0" t="inlineStr">
        <is>
          <t xml:space="preserve">WILLARD MARINE, INC.</t>
        </is>
      </c>
      <c r="F1391" s="0" t="inlineStr">
        <is>
          <t xml:space="preserve">B</t>
        </is>
      </c>
      <c r="G1391" s="4">
        <v>0.01647368</v>
      </c>
      <c r="H1391" s="0" t="inlineStr">
        <is>
          <t xml:space="preserve">2020-03-03</t>
        </is>
      </c>
      <c r="I1391" s="0" t="inlineStr">
        <is>
          <t xml:space="preserve">no</t>
        </is>
      </c>
      <c r="J1391" s="0" t="inlineStr">
        <is>
          <t xml:space="preserve">N3220520Q0228</t>
        </is>
      </c>
      <c r="K1391" s="0" t="inlineStr">
        <is>
          <t xml:space="preserve">NONE</t>
        </is>
      </c>
    </row>
    <row r="1392">
      <c r="B1392" s="0" t="inlineStr">
        <is>
          <t xml:space="preserve">N0010420PXB88</t>
        </is>
      </c>
      <c r="D1392" s="0" t="inlineStr">
        <is>
          <t xml:space="preserve">small_craft</t>
        </is>
      </c>
      <c r="E1392" s="0" t="inlineStr">
        <is>
          <t xml:space="preserve">WING INFLATABLES INC</t>
        </is>
      </c>
      <c r="F1392" s="0" t="inlineStr">
        <is>
          <t xml:space="preserve">B</t>
        </is>
      </c>
      <c r="G1392" s="4">
        <v>0.01641237</v>
      </c>
      <c r="H1392" s="0" t="inlineStr">
        <is>
          <t xml:space="preserve">2020-07-21</t>
        </is>
      </c>
      <c r="I1392" s="0" t="inlineStr">
        <is>
          <t xml:space="preserve">no</t>
        </is>
      </c>
      <c r="K1392" s="0" t="inlineStr">
        <is>
          <t xml:space="preserve">NONE</t>
        </is>
      </c>
    </row>
    <row r="1393">
      <c r="B1393" s="0" t="inlineStr">
        <is>
          <t xml:space="preserve">N6133118P0042</t>
        </is>
      </c>
      <c r="D1393" s="0" t="inlineStr">
        <is>
          <t xml:space="preserve">small_craft</t>
        </is>
      </c>
      <c r="E1393" s="0" t="inlineStr">
        <is>
          <t xml:space="preserve">DMR CONSULTING, INC.</t>
        </is>
      </c>
      <c r="F1393" s="0" t="inlineStr">
        <is>
          <t xml:space="preserve">B</t>
        </is>
      </c>
      <c r="G1393" s="4">
        <v>0.0163625</v>
      </c>
      <c r="H1393" s="0" t="inlineStr">
        <is>
          <t xml:space="preserve">2017-12-22</t>
        </is>
      </c>
      <c r="I1393" s="0" t="inlineStr">
        <is>
          <t xml:space="preserve">no</t>
        </is>
      </c>
      <c r="K1393" s="0" t="inlineStr">
        <is>
          <t xml:space="preserve">NONE</t>
        </is>
      </c>
    </row>
    <row r="1394">
      <c r="B1394" s="0" t="inlineStr">
        <is>
          <t xml:space="preserve">N0040618P0385</t>
        </is>
      </c>
      <c r="D1394" s="0" t="inlineStr">
        <is>
          <t xml:space="preserve">small_craft</t>
        </is>
      </c>
      <c r="E1394" s="0" t="inlineStr">
        <is>
          <t xml:space="preserve">J.D.A. MARITIME, INC.</t>
        </is>
      </c>
      <c r="F1394" s="0" t="inlineStr">
        <is>
          <t xml:space="preserve">B</t>
        </is>
      </c>
      <c r="G1394" s="4">
        <v>0.01628</v>
      </c>
      <c r="H1394" s="0" t="inlineStr">
        <is>
          <t xml:space="preserve">2017-12-22</t>
        </is>
      </c>
      <c r="I1394" s="0" t="inlineStr">
        <is>
          <t xml:space="preserve">no</t>
        </is>
      </c>
      <c r="K1394" s="0" t="inlineStr">
        <is>
          <t xml:space="preserve">NONE</t>
        </is>
      </c>
    </row>
    <row r="1395">
      <c r="B1395" s="0" t="inlineStr">
        <is>
          <t xml:space="preserve">N0010416PEA53</t>
        </is>
      </c>
      <c r="D1395" s="0" t="inlineStr">
        <is>
          <t xml:space="preserve">small_craft</t>
        </is>
      </c>
      <c r="E1395" s="0" t="inlineStr">
        <is>
          <t xml:space="preserve">PEERLESS MFG CO</t>
        </is>
      </c>
      <c r="F1395" s="0" t="inlineStr">
        <is>
          <t xml:space="preserve">B</t>
        </is>
      </c>
      <c r="G1395" s="4">
        <v>0.01618</v>
      </c>
      <c r="H1395" s="0" t="inlineStr">
        <is>
          <t xml:space="preserve">2016-03-23</t>
        </is>
      </c>
      <c r="I1395" s="0" t="inlineStr">
        <is>
          <t xml:space="preserve">no</t>
        </is>
      </c>
      <c r="K1395" s="0" t="inlineStr">
        <is>
          <t xml:space="preserve">NONE</t>
        </is>
      </c>
    </row>
    <row r="1396">
      <c r="B1396" s="0" t="inlineStr">
        <is>
          <t xml:space="preserve">N0010425PQC43</t>
        </is>
      </c>
      <c r="D1396" s="0" t="inlineStr">
        <is>
          <t xml:space="preserve">small_craft</t>
        </is>
      </c>
      <c r="E1396" s="0" t="inlineStr">
        <is>
          <t xml:space="preserve">COMTECH SATELLITE NETWORK TECHNOLOGIES, INC</t>
        </is>
      </c>
      <c r="F1396" s="0" t="inlineStr">
        <is>
          <t xml:space="preserve">B</t>
        </is>
      </c>
      <c r="G1396" s="4">
        <v>0.01614535</v>
      </c>
      <c r="H1396" s="0" t="inlineStr">
        <is>
          <t xml:space="preserve">2025-08-27</t>
        </is>
      </c>
      <c r="I1396" s="0" t="inlineStr">
        <is>
          <t xml:space="preserve">yes</t>
        </is>
      </c>
      <c r="K1396" s="0" t="inlineStr">
        <is>
          <t xml:space="preserve">NONE</t>
        </is>
      </c>
    </row>
    <row r="1397">
      <c r="B1397" s="0" t="inlineStr">
        <is>
          <t xml:space="preserve">N0018924P0285</t>
        </is>
      </c>
      <c r="D1397" s="0" t="inlineStr">
        <is>
          <t xml:space="preserve">small_craft</t>
        </is>
      </c>
      <c r="E1397" s="0" t="inlineStr">
        <is>
          <t xml:space="preserve">WINSLOW MARINE PRODUCTS CORPORATION</t>
        </is>
      </c>
      <c r="F1397" s="0" t="inlineStr">
        <is>
          <t xml:space="preserve">B</t>
        </is>
      </c>
      <c r="G1397" s="4">
        <v>0.0161</v>
      </c>
      <c r="H1397" s="0" t="inlineStr">
        <is>
          <t xml:space="preserve">2024-05-31</t>
        </is>
      </c>
      <c r="I1397" s="0" t="inlineStr">
        <is>
          <t xml:space="preserve">no</t>
        </is>
      </c>
      <c r="K1397" s="0" t="inlineStr">
        <is>
          <t xml:space="preserve">NONE</t>
        </is>
      </c>
    </row>
    <row r="1398">
      <c r="B1398" s="0" t="inlineStr">
        <is>
          <t xml:space="preserve">N0017315P0504</t>
        </is>
      </c>
      <c r="D1398" s="0" t="inlineStr">
        <is>
          <t xml:space="preserve">small_craft</t>
        </is>
      </c>
      <c r="E1398" s="0" t="inlineStr">
        <is>
          <t xml:space="preserve">WE THREE CO INC</t>
        </is>
      </c>
      <c r="F1398" s="0" t="inlineStr">
        <is>
          <t xml:space="preserve">B</t>
        </is>
      </c>
      <c r="G1398" s="4">
        <v>0.0161</v>
      </c>
      <c r="H1398" s="0" t="inlineStr">
        <is>
          <t xml:space="preserve">2014-11-26</t>
        </is>
      </c>
      <c r="I1398" s="0" t="inlineStr">
        <is>
          <t xml:space="preserve">no</t>
        </is>
      </c>
      <c r="K1398" s="0" t="inlineStr">
        <is>
          <t xml:space="preserve">NONE</t>
        </is>
      </c>
    </row>
    <row r="1399">
      <c r="B1399" s="0" t="inlineStr">
        <is>
          <t xml:space="preserve">N0010423PDA28</t>
        </is>
      </c>
      <c r="D1399" s="0" t="inlineStr">
        <is>
          <t xml:space="preserve">small_craft</t>
        </is>
      </c>
      <c r="E1399" s="0" t="inlineStr">
        <is>
          <t xml:space="preserve">ROLLS-ROYCE MARINE NORTH AMERICA INC.</t>
        </is>
      </c>
      <c r="F1399" s="0" t="inlineStr">
        <is>
          <t xml:space="preserve">B</t>
        </is>
      </c>
      <c r="G1399" s="4">
        <v>0.016056</v>
      </c>
      <c r="H1399" s="0" t="inlineStr">
        <is>
          <t xml:space="preserve">2022-10-12</t>
        </is>
      </c>
      <c r="I1399" s="0" t="inlineStr">
        <is>
          <t xml:space="preserve">no</t>
        </is>
      </c>
      <c r="K1399" s="0" t="inlineStr">
        <is>
          <t xml:space="preserve">NONE</t>
        </is>
      </c>
    </row>
    <row r="1400">
      <c r="B1400" s="0" t="inlineStr">
        <is>
          <t xml:space="preserve">N0040616P2818</t>
        </is>
      </c>
      <c r="D1400" s="0" t="inlineStr">
        <is>
          <t xml:space="preserve">small_craft</t>
        </is>
      </c>
      <c r="E1400" s="0" t="inlineStr">
        <is>
          <t xml:space="preserve">LAKE SHORE SYSTEMS, INC.</t>
        </is>
      </c>
      <c r="F1400" s="0" t="inlineStr">
        <is>
          <t xml:space="preserve">B</t>
        </is>
      </c>
      <c r="G1400" s="4">
        <v>0.01600325</v>
      </c>
      <c r="H1400" s="0" t="inlineStr">
        <is>
          <t xml:space="preserve">2016-08-08</t>
        </is>
      </c>
      <c r="I1400" s="0" t="inlineStr">
        <is>
          <t xml:space="preserve">no</t>
        </is>
      </c>
      <c r="K1400" s="0" t="inlineStr">
        <is>
          <t xml:space="preserve">NONE</t>
        </is>
      </c>
    </row>
    <row r="1401">
      <c r="B1401" s="0" t="inlineStr">
        <is>
          <t xml:space="preserve">N4940016PG001</t>
        </is>
      </c>
      <c r="D1401" s="0" t="inlineStr">
        <is>
          <t xml:space="preserve">small_craft</t>
        </is>
      </c>
      <c r="E1401" s="0" t="inlineStr">
        <is>
          <t xml:space="preserve">UCO ENGINEERING W.L.L.</t>
        </is>
      </c>
      <c r="F1401" s="0" t="inlineStr">
        <is>
          <t xml:space="preserve">B</t>
        </is>
      </c>
      <c r="G1401" s="4">
        <v>0.016</v>
      </c>
      <c r="H1401" s="0" t="inlineStr">
        <is>
          <t xml:space="preserve">2015-10-05</t>
        </is>
      </c>
      <c r="I1401" s="0" t="inlineStr">
        <is>
          <t xml:space="preserve">no</t>
        </is>
      </c>
      <c r="J1401" s="0" t="inlineStr">
        <is>
          <t xml:space="preserve">N4940015TB286</t>
        </is>
      </c>
      <c r="K1401" s="0" t="inlineStr">
        <is>
          <t xml:space="preserve">NONE</t>
        </is>
      </c>
    </row>
    <row r="1402">
      <c r="B1402" s="0" t="inlineStr">
        <is>
          <t xml:space="preserve">N0040615P3984</t>
        </is>
      </c>
      <c r="D1402" s="0" t="inlineStr">
        <is>
          <t xml:space="preserve">small_craft</t>
        </is>
      </c>
      <c r="E1402" s="0" t="inlineStr">
        <is>
          <t xml:space="preserve">VES CO, INC</t>
        </is>
      </c>
      <c r="F1402" s="0" t="inlineStr">
        <is>
          <t xml:space="preserve">B</t>
        </is>
      </c>
      <c r="G1402" s="4">
        <v>0.016</v>
      </c>
      <c r="H1402" s="0" t="inlineStr">
        <is>
          <t xml:space="preserve">2015-09-12</t>
        </is>
      </c>
      <c r="I1402" s="0" t="inlineStr">
        <is>
          <t xml:space="preserve">no</t>
        </is>
      </c>
      <c r="K1402" s="0" t="inlineStr">
        <is>
          <t xml:space="preserve">NONE</t>
        </is>
      </c>
    </row>
    <row r="1403">
      <c r="B1403" s="0" t="inlineStr">
        <is>
          <t xml:space="preserve">N6883622P0264</t>
        </is>
      </c>
      <c r="D1403" s="0" t="inlineStr">
        <is>
          <t xml:space="preserve">small_craft</t>
        </is>
      </c>
      <c r="E1403" s="0" t="inlineStr">
        <is>
          <t xml:space="preserve">STIDD SYSTEMS, INC.</t>
        </is>
      </c>
      <c r="F1403" s="0" t="inlineStr">
        <is>
          <t xml:space="preserve">B</t>
        </is>
      </c>
      <c r="G1403" s="4">
        <v>0.015981</v>
      </c>
      <c r="H1403" s="0" t="inlineStr">
        <is>
          <t xml:space="preserve">2022-09-06</t>
        </is>
      </c>
      <c r="I1403" s="0" t="inlineStr">
        <is>
          <t xml:space="preserve">no</t>
        </is>
      </c>
      <c r="K1403" s="0" t="inlineStr">
        <is>
          <t xml:space="preserve">NONE</t>
        </is>
      </c>
    </row>
    <row r="1404">
      <c r="B1404" s="0" t="inlineStr">
        <is>
          <t xml:space="preserve">N0010425PBZ94</t>
        </is>
      </c>
      <c r="D1404" s="0" t="inlineStr">
        <is>
          <t xml:space="preserve">small_craft</t>
        </is>
      </c>
      <c r="E1404" s="0" t="inlineStr">
        <is>
          <t xml:space="preserve">ARGO TURBOSERVE CORPORATION</t>
        </is>
      </c>
      <c r="F1404" s="0" t="inlineStr">
        <is>
          <t xml:space="preserve">B</t>
        </is>
      </c>
      <c r="G1404" s="4">
        <v>0.015806499999999998</v>
      </c>
      <c r="H1404" s="0" t="inlineStr">
        <is>
          <t xml:space="preserve">2025-08-12</t>
        </is>
      </c>
      <c r="I1404" s="0" t="inlineStr">
        <is>
          <t xml:space="preserve">yes</t>
        </is>
      </c>
      <c r="K1404" s="0" t="inlineStr">
        <is>
          <t xml:space="preserve">NONE</t>
        </is>
      </c>
    </row>
    <row r="1405">
      <c r="B1405" s="0" t="inlineStr">
        <is>
          <t xml:space="preserve">N0040619P0290</t>
        </is>
      </c>
      <c r="D1405" s="0" t="inlineStr">
        <is>
          <t xml:space="preserve">small_craft</t>
        </is>
      </c>
      <c r="E1405" s="0" t="inlineStr">
        <is>
          <t xml:space="preserve">PIER SIDE SUPPLY INC</t>
        </is>
      </c>
      <c r="F1405" s="0" t="inlineStr">
        <is>
          <t xml:space="preserve">B</t>
        </is>
      </c>
      <c r="G1405" s="4">
        <v>0.015799999999999998</v>
      </c>
      <c r="H1405" s="0" t="inlineStr">
        <is>
          <t xml:space="preserve">2019-04-15</t>
        </is>
      </c>
      <c r="I1405" s="0" t="inlineStr">
        <is>
          <t xml:space="preserve">no</t>
        </is>
      </c>
      <c r="K1405" s="0" t="inlineStr">
        <is>
          <t xml:space="preserve">NONE</t>
        </is>
      </c>
    </row>
    <row r="1406">
      <c r="B1406" s="0" t="inlineStr">
        <is>
          <t xml:space="preserve">N0040616P0416</t>
        </is>
      </c>
      <c r="D1406" s="0" t="inlineStr">
        <is>
          <t xml:space="preserve">small_craft</t>
        </is>
      </c>
      <c r="E1406" s="0" t="inlineStr">
        <is>
          <t xml:space="preserve">PACIFIC MARITIME INDUSTRIES CORP.</t>
        </is>
      </c>
      <c r="F1406" s="0" t="inlineStr">
        <is>
          <t xml:space="preserve">B</t>
        </is>
      </c>
      <c r="G1406" s="4">
        <v>0.015799999999999998</v>
      </c>
      <c r="H1406" s="0" t="inlineStr">
        <is>
          <t xml:space="preserve">2015-11-24</t>
        </is>
      </c>
      <c r="I1406" s="0" t="inlineStr">
        <is>
          <t xml:space="preserve">no</t>
        </is>
      </c>
      <c r="K1406" s="0" t="inlineStr">
        <is>
          <t xml:space="preserve">NONE</t>
        </is>
      </c>
    </row>
    <row r="1407">
      <c r="B1407" s="0" t="inlineStr">
        <is>
          <t xml:space="preserve">N0040622P0253</t>
        </is>
      </c>
      <c r="D1407" s="0" t="inlineStr">
        <is>
          <t xml:space="preserve">small_craft</t>
        </is>
      </c>
      <c r="E1407" s="0" t="inlineStr">
        <is>
          <t xml:space="preserve">J.D.A. MARITIME, INC.</t>
        </is>
      </c>
      <c r="F1407" s="0" t="inlineStr">
        <is>
          <t xml:space="preserve">B</t>
        </is>
      </c>
      <c r="G1407" s="4">
        <v>0.015725</v>
      </c>
      <c r="H1407" s="0" t="inlineStr">
        <is>
          <t xml:space="preserve">2022-03-03</t>
        </is>
      </c>
      <c r="I1407" s="0" t="inlineStr">
        <is>
          <t xml:space="preserve">no</t>
        </is>
      </c>
      <c r="J1407" s="0" t="inlineStr">
        <is>
          <t xml:space="preserve">N0040622Q0265</t>
        </is>
      </c>
      <c r="K1407" s="0" t="inlineStr">
        <is>
          <t xml:space="preserve">NONE</t>
        </is>
      </c>
    </row>
    <row r="1408">
      <c r="B1408" s="0" t="inlineStr">
        <is>
          <t xml:space="preserve">N0024420P0247</t>
        </is>
      </c>
      <c r="D1408" s="0" t="inlineStr">
        <is>
          <t xml:space="preserve">small_craft</t>
        </is>
      </c>
      <c r="E1408" s="0" t="inlineStr">
        <is>
          <t xml:space="preserve">STRATEGOS CONSULTING LLC</t>
        </is>
      </c>
      <c r="F1408" s="0" t="inlineStr">
        <is>
          <t xml:space="preserve">B</t>
        </is>
      </c>
      <c r="G1408" s="4">
        <v>0.01566993</v>
      </c>
      <c r="H1408" s="0" t="inlineStr">
        <is>
          <t xml:space="preserve">2020-07-27</t>
        </is>
      </c>
      <c r="I1408" s="0" t="inlineStr">
        <is>
          <t xml:space="preserve">no</t>
        </is>
      </c>
      <c r="K1408" s="0" t="inlineStr">
        <is>
          <t xml:space="preserve">NONE</t>
        </is>
      </c>
    </row>
    <row r="1409">
      <c r="B1409" s="0" t="inlineStr">
        <is>
          <t xml:space="preserve">N0010421PXB18</t>
        </is>
      </c>
      <c r="D1409" s="0" t="inlineStr">
        <is>
          <t xml:space="preserve">small_craft</t>
        </is>
      </c>
      <c r="E1409" s="0" t="inlineStr">
        <is>
          <t xml:space="preserve">WING INFLATABLES INC</t>
        </is>
      </c>
      <c r="F1409" s="0" t="inlineStr">
        <is>
          <t xml:space="preserve">B</t>
        </is>
      </c>
      <c r="G1409" s="4">
        <v>0.01561854</v>
      </c>
      <c r="H1409" s="0" t="inlineStr">
        <is>
          <t xml:space="preserve">2021-05-04</t>
        </is>
      </c>
      <c r="I1409" s="0" t="inlineStr">
        <is>
          <t xml:space="preserve">no</t>
        </is>
      </c>
      <c r="K1409" s="0" t="inlineStr">
        <is>
          <t xml:space="preserve">NONE</t>
        </is>
      </c>
    </row>
    <row r="1410">
      <c r="B1410" s="0" t="inlineStr">
        <is>
          <t xml:space="preserve">N4033918PD061</t>
        </is>
      </c>
      <c r="D1410" s="0" t="inlineStr">
        <is>
          <t xml:space="preserve">small_craft</t>
        </is>
      </c>
      <c r="E1410" s="0" t="inlineStr">
        <is>
          <t xml:space="preserve">NICO INTERNATIONAL (DUBAI BRANCH)</t>
        </is>
      </c>
      <c r="F1410" s="0" t="inlineStr">
        <is>
          <t xml:space="preserve">B</t>
        </is>
      </c>
      <c r="G1410" s="4">
        <v>0.01556</v>
      </c>
      <c r="H1410" s="0" t="inlineStr">
        <is>
          <t xml:space="preserve">2018-02-21</t>
        </is>
      </c>
      <c r="I1410" s="0" t="inlineStr">
        <is>
          <t xml:space="preserve">no</t>
        </is>
      </c>
      <c r="J1410" s="0" t="inlineStr">
        <is>
          <t xml:space="preserve">N4033918QD030</t>
        </is>
      </c>
      <c r="K1410" s="0" t="inlineStr">
        <is>
          <t xml:space="preserve">NONE</t>
        </is>
      </c>
    </row>
    <row r="1411">
      <c r="B1411" s="0" t="inlineStr">
        <is>
          <t xml:space="preserve">N0024419P0488</t>
        </is>
      </c>
      <c r="D1411" s="0" t="inlineStr">
        <is>
          <t xml:space="preserve">small_craft</t>
        </is>
      </c>
      <c r="E1411" s="0" t="inlineStr">
        <is>
          <t xml:space="preserve">RIGWORKS, INC.</t>
        </is>
      </c>
      <c r="F1411" s="0" t="inlineStr">
        <is>
          <t xml:space="preserve">B</t>
        </is>
      </c>
      <c r="G1411" s="4">
        <v>0.015553019999999999</v>
      </c>
      <c r="H1411" s="0" t="inlineStr">
        <is>
          <t xml:space="preserve">2019-09-27</t>
        </is>
      </c>
      <c r="I1411" s="0" t="inlineStr">
        <is>
          <t xml:space="preserve">no</t>
        </is>
      </c>
      <c r="K1411" s="0" t="inlineStr">
        <is>
          <t xml:space="preserve">NONE</t>
        </is>
      </c>
    </row>
    <row r="1412">
      <c r="B1412" s="0" t="inlineStr">
        <is>
          <t xml:space="preserve">N0010421PXC61</t>
        </is>
      </c>
      <c r="D1412" s="0" t="inlineStr">
        <is>
          <t xml:space="preserve">small_craft</t>
        </is>
      </c>
      <c r="E1412" s="0" t="inlineStr">
        <is>
          <t xml:space="preserve">VALKYRIE ENTERPRISES LLC</t>
        </is>
      </c>
      <c r="F1412" s="0" t="inlineStr">
        <is>
          <t xml:space="preserve">B</t>
        </is>
      </c>
      <c r="G1412" s="4">
        <v>0.015536719999999999</v>
      </c>
      <c r="H1412" s="0" t="inlineStr">
        <is>
          <t xml:space="preserve">2021-08-06</t>
        </is>
      </c>
      <c r="I1412" s="0" t="inlineStr">
        <is>
          <t xml:space="preserve">no</t>
        </is>
      </c>
      <c r="K1412" s="0" t="inlineStr">
        <is>
          <t xml:space="preserve">NONE</t>
        </is>
      </c>
    </row>
    <row r="1413">
      <c r="B1413" s="0" t="inlineStr">
        <is>
          <t xml:space="preserve">N0010422PCC40</t>
        </is>
      </c>
      <c r="D1413" s="0" t="inlineStr">
        <is>
          <t xml:space="preserve">small_craft</t>
        </is>
      </c>
      <c r="E1413" s="0" t="inlineStr">
        <is>
          <t xml:space="preserve">MARINE ELECTRIC SYSTEMS INC</t>
        </is>
      </c>
      <c r="F1413" s="0" t="inlineStr">
        <is>
          <t xml:space="preserve">B</t>
        </is>
      </c>
      <c r="G1413" s="4">
        <v>0.01546</v>
      </c>
      <c r="H1413" s="0" t="inlineStr">
        <is>
          <t xml:space="preserve">2022-06-07</t>
        </is>
      </c>
      <c r="I1413" s="0" t="inlineStr">
        <is>
          <t xml:space="preserve">no</t>
        </is>
      </c>
      <c r="K1413" s="0" t="inlineStr">
        <is>
          <t xml:space="preserve">NONE</t>
        </is>
      </c>
    </row>
    <row r="1414">
      <c r="B1414" s="0" t="inlineStr">
        <is>
          <t xml:space="preserve">N4044318P0319</t>
        </is>
      </c>
      <c r="D1414" s="0" t="inlineStr">
        <is>
          <t xml:space="preserve">small_craft</t>
        </is>
      </c>
      <c r="E1414" s="0" t="inlineStr">
        <is>
          <t xml:space="preserve">AVALON RAFTS SALES &amp; SERVICE INC</t>
        </is>
      </c>
      <c r="F1414" s="0" t="inlineStr">
        <is>
          <t xml:space="preserve">B</t>
        </is>
      </c>
      <c r="G1414" s="4">
        <v>0.0154296</v>
      </c>
      <c r="H1414" s="0" t="inlineStr">
        <is>
          <t xml:space="preserve">2018-07-31</t>
        </is>
      </c>
      <c r="I1414" s="0" t="inlineStr">
        <is>
          <t xml:space="preserve">no</t>
        </is>
      </c>
      <c r="K1414" s="0" t="inlineStr">
        <is>
          <t xml:space="preserve">NONE</t>
        </is>
      </c>
    </row>
    <row r="1415">
      <c r="B1415" s="0" t="inlineStr">
        <is>
          <t xml:space="preserve">N3220515P5270</t>
        </is>
      </c>
      <c r="D1415" s="0" t="inlineStr">
        <is>
          <t xml:space="preserve">small_craft</t>
        </is>
      </c>
      <c r="E1415" s="0" t="inlineStr">
        <is>
          <t xml:space="preserve">WILLARD MARINE, INC.</t>
        </is>
      </c>
      <c r="F1415" s="0" t="inlineStr">
        <is>
          <t xml:space="preserve">B</t>
        </is>
      </c>
      <c r="G1415" s="4">
        <v>0.015415479999999999</v>
      </c>
      <c r="H1415" s="0" t="inlineStr">
        <is>
          <t xml:space="preserve">2015-08-12</t>
        </is>
      </c>
      <c r="I1415" s="0" t="inlineStr">
        <is>
          <t xml:space="preserve">no</t>
        </is>
      </c>
      <c r="J1415" s="0" t="inlineStr">
        <is>
          <t xml:space="preserve">N3220515T5278</t>
        </is>
      </c>
      <c r="K1415" s="0" t="inlineStr">
        <is>
          <t xml:space="preserve">NONE</t>
        </is>
      </c>
    </row>
    <row r="1416">
      <c r="B1416" s="0" t="inlineStr">
        <is>
          <t xml:space="preserve">N0018921P0454</t>
        </is>
      </c>
      <c r="D1416" s="0" t="inlineStr">
        <is>
          <t xml:space="preserve">small_craft</t>
        </is>
      </c>
      <c r="E1416" s="0" t="inlineStr">
        <is>
          <t xml:space="preserve">WING INFLATABLES INC</t>
        </is>
      </c>
      <c r="F1416" s="0" t="inlineStr">
        <is>
          <t xml:space="preserve">B</t>
        </is>
      </c>
      <c r="G1416" s="4">
        <v>0.01540345</v>
      </c>
      <c r="H1416" s="0" t="inlineStr">
        <is>
          <t xml:space="preserve">2021-08-18</t>
        </is>
      </c>
      <c r="I1416" s="0" t="inlineStr">
        <is>
          <t xml:space="preserve">no</t>
        </is>
      </c>
      <c r="K1416" s="0" t="inlineStr">
        <is>
          <t xml:space="preserve">NONE</t>
        </is>
      </c>
    </row>
    <row r="1417">
      <c r="B1417" s="0" t="inlineStr">
        <is>
          <t xml:space="preserve">LH48</t>
        </is>
      </c>
      <c r="C1417" s="0" t="inlineStr">
        <is>
          <t xml:space="preserve">N6238715D2104</t>
        </is>
      </c>
      <c r="D1417" s="0" t="inlineStr">
        <is>
          <t xml:space="preserve">other_small</t>
        </is>
      </c>
      <c r="E1417" s="0" t="inlineStr">
        <is>
          <t xml:space="preserve">MCALLISTER TOWING AND TRANSPORTATION COMPANY, INC.</t>
        </is>
      </c>
      <c r="F1417" s="0" t="inlineStr">
        <is>
          <t xml:space="preserve">C</t>
        </is>
      </c>
      <c r="G1417" s="4">
        <v>0.015373999999999999</v>
      </c>
      <c r="H1417" s="0" t="inlineStr">
        <is>
          <t xml:space="preserve">2016-05-13</t>
        </is>
      </c>
      <c r="I1417" s="0" t="inlineStr">
        <is>
          <t xml:space="preserve">no</t>
        </is>
      </c>
      <c r="J1417" s="0" t="inlineStr">
        <is>
          <t xml:space="preserve">N6238715R2104</t>
        </is>
      </c>
      <c r="K1417" s="0" t="inlineStr">
        <is>
          <t xml:space="preserve">NONE</t>
        </is>
      </c>
    </row>
    <row r="1418">
      <c r="B1418" s="0" t="inlineStr">
        <is>
          <t xml:space="preserve">M0031822P0021</t>
        </is>
      </c>
      <c r="D1418" s="0" t="inlineStr">
        <is>
          <t xml:space="preserve">small_craft</t>
        </is>
      </c>
      <c r="E1418" s="0" t="inlineStr">
        <is>
          <t xml:space="preserve">CYCLE CITY LTD</t>
        </is>
      </c>
      <c r="F1418" s="0" t="inlineStr">
        <is>
          <t xml:space="preserve">B</t>
        </is>
      </c>
      <c r="G1418" s="4">
        <v>0.015184</v>
      </c>
      <c r="H1418" s="0" t="inlineStr">
        <is>
          <t xml:space="preserve">2022-08-17</t>
        </is>
      </c>
      <c r="I1418" s="0" t="inlineStr">
        <is>
          <t xml:space="preserve">no</t>
        </is>
      </c>
      <c r="J1418" s="0" t="inlineStr">
        <is>
          <t xml:space="preserve">M0031822Q0021</t>
        </is>
      </c>
      <c r="K1418" s="0" t="inlineStr">
        <is>
          <t xml:space="preserve">NONE</t>
        </is>
      </c>
    </row>
    <row r="1419">
      <c r="B1419" s="0" t="inlineStr">
        <is>
          <t xml:space="preserve">N6893616P0716</t>
        </is>
      </c>
      <c r="D1419" s="0" t="inlineStr">
        <is>
          <t xml:space="preserve">small_craft</t>
        </is>
      </c>
      <c r="E1419" s="0" t="inlineStr">
        <is>
          <t xml:space="preserve">WING INFLATABLES, INC.</t>
        </is>
      </c>
      <c r="F1419" s="0" t="inlineStr">
        <is>
          <t xml:space="preserve">B</t>
        </is>
      </c>
      <c r="G1419" s="4">
        <v>0.015179999999999999</v>
      </c>
      <c r="H1419" s="0" t="inlineStr">
        <is>
          <t xml:space="preserve">2016-08-08</t>
        </is>
      </c>
      <c r="I1419" s="0" t="inlineStr">
        <is>
          <t xml:space="preserve">no</t>
        </is>
      </c>
      <c r="K1419" s="0" t="inlineStr">
        <is>
          <t xml:space="preserve">NONE</t>
        </is>
      </c>
    </row>
    <row r="1420">
      <c r="B1420" s="0" t="inlineStr">
        <is>
          <t xml:space="preserve">M6739925P0021</t>
        </is>
      </c>
      <c r="D1420" s="0" t="inlineStr">
        <is>
          <t xml:space="preserve">other_small</t>
        </is>
      </c>
      <c r="E1420" s="0" t="inlineStr">
        <is>
          <t xml:space="preserve">GOVAGE, INC.</t>
        </is>
      </c>
      <c r="F1420" s="0" t="inlineStr">
        <is>
          <t xml:space="preserve">B</t>
        </is>
      </c>
      <c r="G1420" s="4">
        <v>0.01511045</v>
      </c>
      <c r="H1420" s="0" t="inlineStr">
        <is>
          <t xml:space="preserve">2025-03-26</t>
        </is>
      </c>
      <c r="I1420" s="0" t="inlineStr">
        <is>
          <t xml:space="preserve">no</t>
        </is>
      </c>
      <c r="J1420" s="0" t="inlineStr">
        <is>
          <t xml:space="preserve">M6739925Q0009</t>
        </is>
      </c>
      <c r="K1420" s="0" t="inlineStr">
        <is>
          <t xml:space="preserve">NONE</t>
        </is>
      </c>
    </row>
    <row r="1421">
      <c r="B1421" s="0" t="inlineStr">
        <is>
          <t xml:space="preserve">N0018918P0752</t>
        </is>
      </c>
      <c r="D1421" s="0" t="inlineStr">
        <is>
          <t xml:space="preserve">small_craft</t>
        </is>
      </c>
      <c r="E1421" s="0" t="inlineStr">
        <is>
          <t xml:space="preserve">BRUNSWICK CORP</t>
        </is>
      </c>
      <c r="F1421" s="0" t="inlineStr">
        <is>
          <t xml:space="preserve">B</t>
        </is>
      </c>
      <c r="G1421" s="4">
        <v>0.015081069999999999</v>
      </c>
      <c r="H1421" s="0" t="inlineStr">
        <is>
          <t xml:space="preserve">2018-05-22</t>
        </is>
      </c>
      <c r="I1421" s="0" t="inlineStr">
        <is>
          <t xml:space="preserve">no</t>
        </is>
      </c>
      <c r="K1421" s="0" t="inlineStr">
        <is>
          <t xml:space="preserve">NONE</t>
        </is>
      </c>
    </row>
    <row r="1422">
      <c r="B1422" s="0" t="inlineStr">
        <is>
          <t xml:space="preserve">N0016722P0267</t>
        </is>
      </c>
      <c r="D1422" s="0" t="inlineStr">
        <is>
          <t xml:space="preserve">small_craft</t>
        </is>
      </c>
      <c r="E1422" s="0" t="inlineStr">
        <is>
          <t xml:space="preserve">TAYLORMADE 4 LIFE STAFFING L L C</t>
        </is>
      </c>
      <c r="F1422" s="0" t="inlineStr">
        <is>
          <t xml:space="preserve">B</t>
        </is>
      </c>
      <c r="G1422" s="4">
        <v>0.015</v>
      </c>
      <c r="H1422" s="0" t="inlineStr">
        <is>
          <t xml:space="preserve">2022-09-29</t>
        </is>
      </c>
      <c r="I1422" s="0" t="inlineStr">
        <is>
          <t xml:space="preserve">no</t>
        </is>
      </c>
      <c r="K1422" s="0" t="inlineStr">
        <is>
          <t xml:space="preserve">NONE</t>
        </is>
      </c>
    </row>
    <row r="1423">
      <c r="B1423" s="0" t="inlineStr">
        <is>
          <t xml:space="preserve">N0010426PAA06</t>
        </is>
      </c>
      <c r="D1423" s="0" t="inlineStr">
        <is>
          <t xml:space="preserve">small_craft</t>
        </is>
      </c>
      <c r="E1423" s="0" t="inlineStr">
        <is>
          <t xml:space="preserve">ADIRONDACK ELECTRONICS INC</t>
        </is>
      </c>
      <c r="F1423" s="0" t="inlineStr">
        <is>
          <t xml:space="preserve">B</t>
        </is>
      </c>
      <c r="G1423" s="4">
        <v>0.01491</v>
      </c>
      <c r="H1423" s="0" t="inlineStr">
        <is>
          <t xml:space="preserve">2025-10-29</t>
        </is>
      </c>
      <c r="I1423" s="0" t="inlineStr">
        <is>
          <t xml:space="preserve">yes</t>
        </is>
      </c>
      <c r="K1423" s="0" t="inlineStr">
        <is>
          <t xml:space="preserve">NONE</t>
        </is>
      </c>
    </row>
    <row r="1424">
      <c r="B1424" s="0" t="inlineStr">
        <is>
          <t xml:space="preserve">N0010421PXA55</t>
        </is>
      </c>
      <c r="D1424" s="0" t="inlineStr">
        <is>
          <t xml:space="preserve">small_craft</t>
        </is>
      </c>
      <c r="E1424" s="0" t="inlineStr">
        <is>
          <t xml:space="preserve">JDCI ENTERPRISES, INC.</t>
        </is>
      </c>
      <c r="F1424" s="0" t="inlineStr">
        <is>
          <t xml:space="preserve">B</t>
        </is>
      </c>
      <c r="G1424" s="4">
        <v>0.01485743</v>
      </c>
      <c r="H1424" s="0" t="inlineStr">
        <is>
          <t xml:space="preserve">2021-05-06</t>
        </is>
      </c>
      <c r="I1424" s="0" t="inlineStr">
        <is>
          <t xml:space="preserve">no</t>
        </is>
      </c>
      <c r="K1424" s="0" t="inlineStr">
        <is>
          <t xml:space="preserve">NONE</t>
        </is>
      </c>
    </row>
    <row r="1425">
      <c r="B1425" s="0" t="inlineStr">
        <is>
          <t xml:space="preserve">N0040620P0587</t>
        </is>
      </c>
      <c r="D1425" s="0" t="inlineStr">
        <is>
          <t xml:space="preserve">small_craft</t>
        </is>
      </c>
      <c r="E1425" s="0" t="inlineStr">
        <is>
          <t xml:space="preserve">JUNIPER ELBOW CO. INC.</t>
        </is>
      </c>
      <c r="F1425" s="0" t="inlineStr">
        <is>
          <t xml:space="preserve">B</t>
        </is>
      </c>
      <c r="G1425" s="4">
        <v>0.014834</v>
      </c>
      <c r="H1425" s="0" t="inlineStr">
        <is>
          <t xml:space="preserve">2020-09-08</t>
        </is>
      </c>
      <c r="I1425" s="0" t="inlineStr">
        <is>
          <t xml:space="preserve">no</t>
        </is>
      </c>
      <c r="J1425" s="0" t="inlineStr">
        <is>
          <t xml:space="preserve">N0040620Q0438</t>
        </is>
      </c>
      <c r="K1425" s="0" t="inlineStr">
        <is>
          <t xml:space="preserve">NONE</t>
        </is>
      </c>
    </row>
    <row r="1426">
      <c r="B1426" s="0" t="inlineStr">
        <is>
          <t xml:space="preserve">N0010426PBP10</t>
        </is>
      </c>
      <c r="D1426" s="0" t="inlineStr">
        <is>
          <t xml:space="preserve">small_craft</t>
        </is>
      </c>
      <c r="E1426" s="0" t="inlineStr">
        <is>
          <t xml:space="preserve">PAINTER TOOL INCORPORATED</t>
        </is>
      </c>
      <c r="F1426" s="0" t="inlineStr">
        <is>
          <t xml:space="preserve">B</t>
        </is>
      </c>
      <c r="G1426" s="4">
        <v>0.014816999999999999</v>
      </c>
      <c r="H1426" s="0" t="inlineStr">
        <is>
          <t xml:space="preserve">2026-03-20</t>
        </is>
      </c>
      <c r="I1426" s="0" t="inlineStr">
        <is>
          <t xml:space="preserve">yes</t>
        </is>
      </c>
      <c r="K1426" s="0" t="inlineStr">
        <is>
          <t xml:space="preserve">NONE</t>
        </is>
      </c>
    </row>
    <row r="1427">
      <c r="B1427" s="0" t="inlineStr">
        <is>
          <t xml:space="preserve">N0040622P0696</t>
        </is>
      </c>
      <c r="D1427" s="0" t="inlineStr">
        <is>
          <t xml:space="preserve">small_craft</t>
        </is>
      </c>
      <c r="E1427" s="0" t="inlineStr">
        <is>
          <t xml:space="preserve">PACIFIC MARITIME INDUSTRIES CORP.</t>
        </is>
      </c>
      <c r="F1427" s="0" t="inlineStr">
        <is>
          <t xml:space="preserve">B</t>
        </is>
      </c>
      <c r="G1427" s="4">
        <v>0.014799999999999999</v>
      </c>
      <c r="H1427" s="0" t="inlineStr">
        <is>
          <t xml:space="preserve">2022-08-03</t>
        </is>
      </c>
      <c r="I1427" s="0" t="inlineStr">
        <is>
          <t xml:space="preserve">no</t>
        </is>
      </c>
      <c r="J1427" s="0" t="inlineStr">
        <is>
          <t xml:space="preserve">N0040622Q0694</t>
        </is>
      </c>
      <c r="K1427" s="0" t="inlineStr">
        <is>
          <t xml:space="preserve">NONE</t>
        </is>
      </c>
    </row>
    <row r="1428">
      <c r="B1428" s="0" t="inlineStr">
        <is>
          <t xml:space="preserve">N0001415P5072</t>
        </is>
      </c>
      <c r="D1428" s="0" t="inlineStr">
        <is>
          <t xml:space="preserve">usv_core</t>
        </is>
      </c>
      <c r="E1428" s="0" t="inlineStr">
        <is>
          <t xml:space="preserve">SANDESTIN INVESTMENTS LLC</t>
        </is>
      </c>
      <c r="F1428" s="0" t="inlineStr">
        <is>
          <t xml:space="preserve">B</t>
        </is>
      </c>
      <c r="G1428" s="4">
        <v>0.014771159999999998</v>
      </c>
      <c r="H1428" s="0" t="inlineStr">
        <is>
          <t xml:space="preserve">2015-02-09</t>
        </is>
      </c>
      <c r="I1428" s="0" t="inlineStr">
        <is>
          <t xml:space="preserve">no</t>
        </is>
      </c>
      <c r="K1428" s="0" t="inlineStr">
        <is>
          <t xml:space="preserve">NONE</t>
        </is>
      </c>
    </row>
    <row r="1429">
      <c r="B1429" s="0" t="inlineStr">
        <is>
          <t xml:space="preserve">N4044207P5632</t>
        </is>
      </c>
      <c r="D1429" s="0" t="inlineStr">
        <is>
          <t xml:space="preserve">other_small</t>
        </is>
      </c>
      <c r="E1429" s="0" t="inlineStr">
        <is>
          <t xml:space="preserve">JO-KELL INC.</t>
        </is>
      </c>
      <c r="F1429" s="0" t="inlineStr">
        <is>
          <t xml:space="preserve">B</t>
        </is>
      </c>
      <c r="G1429" s="4">
        <v>0.01476978</v>
      </c>
      <c r="H1429" s="0" t="inlineStr">
        <is>
          <t xml:space="preserve">2007-06-05</t>
        </is>
      </c>
      <c r="I1429" s="0" t="inlineStr">
        <is>
          <t xml:space="preserve">no</t>
        </is>
      </c>
      <c r="K1429" s="0" t="inlineStr">
        <is>
          <t xml:space="preserve">NONE</t>
        </is>
      </c>
    </row>
    <row r="1430">
      <c r="B1430" s="0" t="inlineStr">
        <is>
          <t xml:space="preserve">N0010422PDE03</t>
        </is>
      </c>
      <c r="D1430" s="0" t="inlineStr">
        <is>
          <t xml:space="preserve">small_craft</t>
        </is>
      </c>
      <c r="E1430" s="0" t="inlineStr">
        <is>
          <t xml:space="preserve">DURAMAX MARINE, LLC</t>
        </is>
      </c>
      <c r="F1430" s="0" t="inlineStr">
        <is>
          <t xml:space="preserve">B</t>
        </is>
      </c>
      <c r="G1430" s="4">
        <v>0.01469592</v>
      </c>
      <c r="H1430" s="0" t="inlineStr">
        <is>
          <t xml:space="preserve">2022-09-22</t>
        </is>
      </c>
      <c r="I1430" s="0" t="inlineStr">
        <is>
          <t xml:space="preserve">no</t>
        </is>
      </c>
      <c r="K1430" s="0" t="inlineStr">
        <is>
          <t xml:space="preserve">NONE</t>
        </is>
      </c>
    </row>
    <row r="1431">
      <c r="B1431" s="0" t="inlineStr">
        <is>
          <t xml:space="preserve">N0010422PXC10</t>
        </is>
      </c>
      <c r="D1431" s="0" t="inlineStr">
        <is>
          <t xml:space="preserve">small_craft</t>
        </is>
      </c>
      <c r="E1431" s="0" t="inlineStr">
        <is>
          <t xml:space="preserve">L3 TECHNOLOGIES, INC.</t>
        </is>
      </c>
      <c r="F1431" s="0" t="inlineStr">
        <is>
          <t xml:space="preserve">B</t>
        </is>
      </c>
      <c r="G1431" s="4">
        <v>0.014648879999999998</v>
      </c>
      <c r="H1431" s="0" t="inlineStr">
        <is>
          <t xml:space="preserve">2022-07-19</t>
        </is>
      </c>
      <c r="I1431" s="0" t="inlineStr">
        <is>
          <t xml:space="preserve">no</t>
        </is>
      </c>
      <c r="K1431" s="0" t="inlineStr">
        <is>
          <t xml:space="preserve">NONE</t>
        </is>
      </c>
    </row>
    <row r="1432">
      <c r="B1432" s="0" t="inlineStr">
        <is>
          <t xml:space="preserve">N0010423PDD62</t>
        </is>
      </c>
      <c r="D1432" s="0" t="inlineStr">
        <is>
          <t xml:space="preserve">small_craft</t>
        </is>
      </c>
      <c r="E1432" s="0" t="inlineStr">
        <is>
          <t xml:space="preserve">ABACO SYSTEMS, INC.</t>
        </is>
      </c>
      <c r="F1432" s="0" t="inlineStr">
        <is>
          <t xml:space="preserve">B</t>
        </is>
      </c>
      <c r="G1432" s="4">
        <v>0.014636</v>
      </c>
      <c r="H1432" s="0" t="inlineStr">
        <is>
          <t xml:space="preserve">2023-09-20</t>
        </is>
      </c>
      <c r="I1432" s="0" t="inlineStr">
        <is>
          <t xml:space="preserve">no</t>
        </is>
      </c>
      <c r="J1432" s="0" t="inlineStr">
        <is>
          <t xml:space="preserve">N0010423QDD03</t>
        </is>
      </c>
      <c r="K1432" s="0" t="inlineStr">
        <is>
          <t xml:space="preserve">NONE</t>
        </is>
      </c>
    </row>
    <row r="1433">
      <c r="B1433" s="0" t="inlineStr">
        <is>
          <t xml:space="preserve">N0010422FY703</t>
        </is>
      </c>
      <c r="C1433" s="0" t="inlineStr">
        <is>
          <t xml:space="preserve">N0010422GY701</t>
        </is>
      </c>
      <c r="D1433" s="0" t="inlineStr">
        <is>
          <t xml:space="preserve">small_craft</t>
        </is>
      </c>
      <c r="E1433" s="0" t="inlineStr">
        <is>
          <t xml:space="preserve">L3 TECHNOLOGIES, INC.</t>
        </is>
      </c>
      <c r="F1433" s="0" t="inlineStr">
        <is>
          <t xml:space="preserve">C</t>
        </is>
      </c>
      <c r="G1433" s="4">
        <v>0.014601719999999999</v>
      </c>
      <c r="H1433" s="0" t="inlineStr">
        <is>
          <t xml:space="preserve">2022-08-16</t>
        </is>
      </c>
      <c r="I1433" s="0" t="inlineStr">
        <is>
          <t xml:space="preserve">no</t>
        </is>
      </c>
      <c r="J1433" s="0" t="inlineStr">
        <is>
          <t xml:space="preserve">N0010422QFA05</t>
        </is>
      </c>
      <c r="K1433" s="0" t="inlineStr">
        <is>
          <t xml:space="preserve">NONE</t>
        </is>
      </c>
    </row>
    <row r="1434">
      <c r="B1434" s="0" t="inlineStr">
        <is>
          <t xml:space="preserve">N0040623P0720</t>
        </is>
      </c>
      <c r="D1434" s="0" t="inlineStr">
        <is>
          <t xml:space="preserve">small_craft</t>
        </is>
      </c>
      <c r="E1434" s="0" t="inlineStr">
        <is>
          <t xml:space="preserve">RAILWAY SPECIALTIES CORP</t>
        </is>
      </c>
      <c r="F1434" s="0" t="inlineStr">
        <is>
          <t xml:space="preserve">B</t>
        </is>
      </c>
      <c r="G1434" s="4">
        <v>0.0146</v>
      </c>
      <c r="H1434" s="0" t="inlineStr">
        <is>
          <t xml:space="preserve">2023-07-31</t>
        </is>
      </c>
      <c r="I1434" s="0" t="inlineStr">
        <is>
          <t xml:space="preserve">no</t>
        </is>
      </c>
      <c r="J1434" s="0" t="inlineStr">
        <is>
          <t xml:space="preserve">N0040623Q0764</t>
        </is>
      </c>
      <c r="K1434" s="0" t="inlineStr">
        <is>
          <t xml:space="preserve">NONE</t>
        </is>
      </c>
    </row>
    <row r="1435">
      <c r="B1435" s="0" t="inlineStr">
        <is>
          <t xml:space="preserve">N0010422PBS15</t>
        </is>
      </c>
      <c r="D1435" s="0" t="inlineStr">
        <is>
          <t xml:space="preserve">small_craft</t>
        </is>
      </c>
      <c r="E1435" s="0" t="inlineStr">
        <is>
          <t xml:space="preserve">KAMPI COMPONENTS CO INC</t>
        </is>
      </c>
      <c r="F1435" s="0" t="inlineStr">
        <is>
          <t xml:space="preserve">B</t>
        </is>
      </c>
      <c r="G1435" s="4">
        <v>0.014552599999999999</v>
      </c>
      <c r="H1435" s="0" t="inlineStr">
        <is>
          <t xml:space="preserve">2022-02-25</t>
        </is>
      </c>
      <c r="I1435" s="0" t="inlineStr">
        <is>
          <t xml:space="preserve">no</t>
        </is>
      </c>
      <c r="J1435" s="0" t="inlineStr">
        <is>
          <t xml:space="preserve">N0010422QBJ59</t>
        </is>
      </c>
      <c r="K1435" s="0" t="inlineStr">
        <is>
          <t xml:space="preserve">NONE</t>
        </is>
      </c>
    </row>
    <row r="1436">
      <c r="B1436" s="0" t="inlineStr">
        <is>
          <t xml:space="preserve">N0010423PBN91</t>
        </is>
      </c>
      <c r="D1436" s="0" t="inlineStr">
        <is>
          <t xml:space="preserve">small_craft</t>
        </is>
      </c>
      <c r="E1436" s="0" t="inlineStr">
        <is>
          <t xml:space="preserve">PAINTER TOOL INCORPORATED</t>
        </is>
      </c>
      <c r="F1436" s="0" t="inlineStr">
        <is>
          <t xml:space="preserve">B</t>
        </is>
      </c>
      <c r="G1436" s="4">
        <v>0.01452</v>
      </c>
      <c r="H1436" s="0" t="inlineStr">
        <is>
          <t xml:space="preserve">2023-02-14</t>
        </is>
      </c>
      <c r="I1436" s="0" t="inlineStr">
        <is>
          <t xml:space="preserve">no</t>
        </is>
      </c>
      <c r="J1436" s="0" t="inlineStr">
        <is>
          <t xml:space="preserve">N0010423QBM29</t>
        </is>
      </c>
      <c r="K1436" s="0" t="inlineStr">
        <is>
          <t xml:space="preserve">NONE</t>
        </is>
      </c>
    </row>
    <row r="1437">
      <c r="B1437" s="0" t="inlineStr">
        <is>
          <t xml:space="preserve">N0060419P4081</t>
        </is>
      </c>
      <c r="D1437" s="0" t="inlineStr">
        <is>
          <t xml:space="preserve">small_craft</t>
        </is>
      </c>
      <c r="E1437" s="0" t="inlineStr">
        <is>
          <t xml:space="preserve">LAKE SHORE SYSTEMS, INC.</t>
        </is>
      </c>
      <c r="F1437" s="0" t="inlineStr">
        <is>
          <t xml:space="preserve">B</t>
        </is>
      </c>
      <c r="G1437" s="4">
        <v>0.0145014</v>
      </c>
      <c r="H1437" s="0" t="inlineStr">
        <is>
          <t xml:space="preserve">2019-05-10</t>
        </is>
      </c>
      <c r="I1437" s="0" t="inlineStr">
        <is>
          <t xml:space="preserve">no</t>
        </is>
      </c>
      <c r="K1437" s="0" t="inlineStr">
        <is>
          <t xml:space="preserve">NONE</t>
        </is>
      </c>
    </row>
    <row r="1438">
      <c r="B1438" s="0" t="inlineStr">
        <is>
          <t xml:space="preserve">N0017321P0743</t>
        </is>
      </c>
      <c r="D1438" s="0" t="inlineStr">
        <is>
          <t xml:space="preserve">other_small</t>
        </is>
      </c>
      <c r="E1438" s="0" t="inlineStr">
        <is>
          <t xml:space="preserve">MARINE ENVIRONMENTAL SCIENCES CONSORTIUM</t>
        </is>
      </c>
      <c r="F1438" s="0" t="inlineStr">
        <is>
          <t xml:space="preserve">B</t>
        </is>
      </c>
      <c r="G1438" s="4">
        <v>0.014499999999999999</v>
      </c>
      <c r="H1438" s="0" t="inlineStr">
        <is>
          <t xml:space="preserve">2021-04-16</t>
        </is>
      </c>
      <c r="I1438" s="0" t="inlineStr">
        <is>
          <t xml:space="preserve">no</t>
        </is>
      </c>
      <c r="K1438" s="0" t="inlineStr">
        <is>
          <t xml:space="preserve">NONE</t>
        </is>
      </c>
    </row>
    <row r="1439">
      <c r="B1439" s="0" t="inlineStr">
        <is>
          <t xml:space="preserve">0062</t>
        </is>
      </c>
      <c r="C1439" s="0" t="inlineStr">
        <is>
          <t xml:space="preserve">N3220513D2000</t>
        </is>
      </c>
      <c r="D1439" s="0" t="inlineStr">
        <is>
          <t xml:space="preserve">other_small</t>
        </is>
      </c>
      <c r="E1439" s="0" t="inlineStr">
        <is>
          <t xml:space="preserve">ROLLS-ROYCE SOLUTIONS AMERICA INC</t>
        </is>
      </c>
      <c r="F1439" s="0" t="inlineStr">
        <is>
          <t xml:space="preserve">C</t>
        </is>
      </c>
      <c r="G1439" s="4">
        <v>0.014408559999999999</v>
      </c>
      <c r="H1439" s="0" t="inlineStr">
        <is>
          <t xml:space="preserve">2015-12-14</t>
        </is>
      </c>
      <c r="I1439" s="0" t="inlineStr">
        <is>
          <t xml:space="preserve">no</t>
        </is>
      </c>
      <c r="J1439" s="0" t="inlineStr">
        <is>
          <t xml:space="preserve">N4044211R2005</t>
        </is>
      </c>
      <c r="K1439" s="0" t="inlineStr">
        <is>
          <t xml:space="preserve">NONE</t>
        </is>
      </c>
    </row>
    <row r="1440">
      <c r="B1440" s="0" t="inlineStr">
        <is>
          <t xml:space="preserve">N0040621P0163</t>
        </is>
      </c>
      <c r="D1440" s="0" t="inlineStr">
        <is>
          <t xml:space="preserve">small_craft</t>
        </is>
      </c>
      <c r="E1440" s="0" t="inlineStr">
        <is>
          <t xml:space="preserve">J.D.A. MARITIME, INC.</t>
        </is>
      </c>
      <c r="F1440" s="0" t="inlineStr">
        <is>
          <t xml:space="preserve">B</t>
        </is>
      </c>
      <c r="G1440" s="4">
        <v>0.014407</v>
      </c>
      <c r="H1440" s="0" t="inlineStr">
        <is>
          <t xml:space="preserve">2021-02-10</t>
        </is>
      </c>
      <c r="I1440" s="0" t="inlineStr">
        <is>
          <t xml:space="preserve">no</t>
        </is>
      </c>
      <c r="J1440" s="0" t="inlineStr">
        <is>
          <t xml:space="preserve">N0040621Q0095</t>
        </is>
      </c>
      <c r="K1440" s="0" t="inlineStr">
        <is>
          <t xml:space="preserve">NONE</t>
        </is>
      </c>
    </row>
    <row r="1441">
      <c r="B1441" s="0" t="inlineStr">
        <is>
          <t xml:space="preserve">N3220519P6552</t>
        </is>
      </c>
      <c r="D1441" s="0" t="inlineStr">
        <is>
          <t xml:space="preserve">small_craft</t>
        </is>
      </c>
      <c r="E1441" s="0" t="inlineStr">
        <is>
          <t xml:space="preserve">WING INFLATABLES INC</t>
        </is>
      </c>
      <c r="F1441" s="0" t="inlineStr">
        <is>
          <t xml:space="preserve">B</t>
        </is>
      </c>
      <c r="G1441" s="4">
        <v>0.014391999999999999</v>
      </c>
      <c r="H1441" s="0" t="inlineStr">
        <is>
          <t xml:space="preserve">2019-06-06</t>
        </is>
      </c>
      <c r="I1441" s="0" t="inlineStr">
        <is>
          <t xml:space="preserve">no</t>
        </is>
      </c>
      <c r="J1441" s="0" t="inlineStr">
        <is>
          <t xml:space="preserve">N3220519Q6552</t>
        </is>
      </c>
      <c r="K1441" s="0" t="inlineStr">
        <is>
          <t xml:space="preserve">NONE</t>
        </is>
      </c>
    </row>
    <row r="1442">
      <c r="B1442" s="0" t="inlineStr">
        <is>
          <t xml:space="preserve">N0010415PEG36</t>
        </is>
      </c>
      <c r="D1442" s="0" t="inlineStr">
        <is>
          <t xml:space="preserve">small_craft</t>
        </is>
      </c>
      <c r="E1442" s="0" t="inlineStr">
        <is>
          <t xml:space="preserve">DEFENSE MANUFACTURERS INC</t>
        </is>
      </c>
      <c r="F1442" s="0" t="inlineStr">
        <is>
          <t xml:space="preserve">B</t>
        </is>
      </c>
      <c r="G1442" s="4">
        <v>0.014372799999999998</v>
      </c>
      <c r="H1442" s="0" t="inlineStr">
        <is>
          <t xml:space="preserve">2015-06-03</t>
        </is>
      </c>
      <c r="I1442" s="0" t="inlineStr">
        <is>
          <t xml:space="preserve">no</t>
        </is>
      </c>
      <c r="K1442" s="0" t="inlineStr">
        <is>
          <t xml:space="preserve">NONE</t>
        </is>
      </c>
    </row>
    <row r="1443">
      <c r="B1443" s="0" t="inlineStr">
        <is>
          <t xml:space="preserve">N3220521P2572</t>
        </is>
      </c>
      <c r="D1443" s="0" t="inlineStr">
        <is>
          <t xml:space="preserve">small_craft</t>
        </is>
      </c>
      <c r="E1443" s="0" t="inlineStr">
        <is>
          <t xml:space="preserve">FASSMER SERVICE AMERICA LLC</t>
        </is>
      </c>
      <c r="F1443" s="0" t="inlineStr">
        <is>
          <t xml:space="preserve">B</t>
        </is>
      </c>
      <c r="G1443" s="4">
        <v>0.014245079999999999</v>
      </c>
      <c r="H1443" s="0" t="inlineStr">
        <is>
          <t xml:space="preserve">2021-09-29</t>
        </is>
      </c>
      <c r="I1443" s="0" t="inlineStr">
        <is>
          <t xml:space="preserve">no</t>
        </is>
      </c>
      <c r="J1443" s="0" t="inlineStr">
        <is>
          <t xml:space="preserve">N3220521Q2715</t>
        </is>
      </c>
      <c r="K1443" s="0" t="inlineStr">
        <is>
          <t xml:space="preserve">NONE</t>
        </is>
      </c>
    </row>
    <row r="1444">
      <c r="B1444" s="0" t="inlineStr">
        <is>
          <t xml:space="preserve">N0040622P0146</t>
        </is>
      </c>
      <c r="D1444" s="0" t="inlineStr">
        <is>
          <t xml:space="preserve">small_craft</t>
        </is>
      </c>
      <c r="E1444" s="0" t="inlineStr">
        <is>
          <t xml:space="preserve">JUNIPER ELBOW CO. INC.</t>
        </is>
      </c>
      <c r="F1444" s="0" t="inlineStr">
        <is>
          <t xml:space="preserve">B</t>
        </is>
      </c>
      <c r="G1444" s="4">
        <v>0.014173999999999999</v>
      </c>
      <c r="H1444" s="0" t="inlineStr">
        <is>
          <t xml:space="preserve">2022-01-26</t>
        </is>
      </c>
      <c r="I1444" s="0" t="inlineStr">
        <is>
          <t xml:space="preserve">no</t>
        </is>
      </c>
      <c r="J1444" s="0" t="inlineStr">
        <is>
          <t xml:space="preserve">N0040622Q0147</t>
        </is>
      </c>
      <c r="K1444" s="0" t="inlineStr">
        <is>
          <t xml:space="preserve">NONE</t>
        </is>
      </c>
    </row>
    <row r="1445">
      <c r="B1445" s="0" t="inlineStr">
        <is>
          <t xml:space="preserve">0063</t>
        </is>
      </c>
      <c r="C1445" s="0" t="inlineStr">
        <is>
          <t xml:space="preserve">N3220513D2000</t>
        </is>
      </c>
      <c r="D1445" s="0" t="inlineStr">
        <is>
          <t xml:space="preserve">other_small</t>
        </is>
      </c>
      <c r="E1445" s="0" t="inlineStr">
        <is>
          <t xml:space="preserve">ROLLS-ROYCE SOLUTIONS AMERICA INC</t>
        </is>
      </c>
      <c r="F1445" s="0" t="inlineStr">
        <is>
          <t xml:space="preserve">C</t>
        </is>
      </c>
      <c r="G1445" s="4">
        <v>0.014120329999999999</v>
      </c>
      <c r="H1445" s="0" t="inlineStr">
        <is>
          <t xml:space="preserve">2015-12-15</t>
        </is>
      </c>
      <c r="I1445" s="0" t="inlineStr">
        <is>
          <t xml:space="preserve">no</t>
        </is>
      </c>
      <c r="J1445" s="0" t="inlineStr">
        <is>
          <t xml:space="preserve">N4044211R2005</t>
        </is>
      </c>
      <c r="K1445" s="0" t="inlineStr">
        <is>
          <t xml:space="preserve">NONE</t>
        </is>
      </c>
    </row>
    <row r="1446">
      <c r="B1446" s="0" t="inlineStr">
        <is>
          <t xml:space="preserve">M0026416P0053</t>
        </is>
      </c>
      <c r="D1446" s="0" t="inlineStr">
        <is>
          <t xml:space="preserve">small_craft</t>
        </is>
      </c>
      <c r="E1446" s="0" t="inlineStr">
        <is>
          <t xml:space="preserve">KEN'S MARINE INC</t>
        </is>
      </c>
      <c r="F1446" s="0" t="inlineStr">
        <is>
          <t xml:space="preserve">B</t>
        </is>
      </c>
      <c r="G1446" s="4">
        <v>0.01409428</v>
      </c>
      <c r="H1446" s="0" t="inlineStr">
        <is>
          <t xml:space="preserve">2016-03-02</t>
        </is>
      </c>
      <c r="I1446" s="0" t="inlineStr">
        <is>
          <t xml:space="preserve">no</t>
        </is>
      </c>
      <c r="K1446" s="0" t="inlineStr">
        <is>
          <t xml:space="preserve">NONE</t>
        </is>
      </c>
    </row>
    <row r="1447">
      <c r="B1447" s="0" t="inlineStr">
        <is>
          <t xml:space="preserve">N6230620P0028</t>
        </is>
      </c>
      <c r="D1447" s="0" t="inlineStr">
        <is>
          <t xml:space="preserve">small_craft</t>
        </is>
      </c>
      <c r="E1447" s="0" t="inlineStr">
        <is>
          <t xml:space="preserve">CHAMPION TRAILER PARTS &amp; REPAIR LLC</t>
        </is>
      </c>
      <c r="F1447" s="0" t="inlineStr">
        <is>
          <t xml:space="preserve">B</t>
        </is>
      </c>
      <c r="G1447" s="4">
        <v>0.014077</v>
      </c>
      <c r="H1447" s="0" t="inlineStr">
        <is>
          <t xml:space="preserve">2020-09-21</t>
        </is>
      </c>
      <c r="I1447" s="0" t="inlineStr">
        <is>
          <t xml:space="preserve">no</t>
        </is>
      </c>
      <c r="J1447" s="0" t="inlineStr">
        <is>
          <t xml:space="preserve">N6230620Q0045</t>
        </is>
      </c>
      <c r="K1447" s="0" t="inlineStr">
        <is>
          <t xml:space="preserve">NONE</t>
        </is>
      </c>
    </row>
    <row r="1448">
      <c r="B1448" s="0" t="inlineStr">
        <is>
          <t xml:space="preserve">N3220518P4941</t>
        </is>
      </c>
      <c r="D1448" s="0" t="inlineStr">
        <is>
          <t xml:space="preserve">small_craft</t>
        </is>
      </c>
      <c r="E1448" s="0" t="inlineStr">
        <is>
          <t xml:space="preserve">L.A. MARITIME SERVICES, INC.</t>
        </is>
      </c>
      <c r="F1448" s="0" t="inlineStr">
        <is>
          <t xml:space="preserve">B</t>
        </is>
      </c>
      <c r="G1448" s="4">
        <v>0.014055</v>
      </c>
      <c r="H1448" s="0" t="inlineStr">
        <is>
          <t xml:space="preserve">2017-12-15</t>
        </is>
      </c>
      <c r="I1448" s="0" t="inlineStr">
        <is>
          <t xml:space="preserve">no</t>
        </is>
      </c>
      <c r="J1448" s="0" t="inlineStr">
        <is>
          <t xml:space="preserve">N3220517R4941</t>
        </is>
      </c>
      <c r="K1448" s="0" t="inlineStr">
        <is>
          <t xml:space="preserve">NONE</t>
        </is>
      </c>
    </row>
    <row r="1449">
      <c r="B1449" s="0" t="inlineStr">
        <is>
          <t xml:space="preserve">N0040615P1925</t>
        </is>
      </c>
      <c r="D1449" s="0" t="inlineStr">
        <is>
          <t xml:space="preserve">small_craft</t>
        </is>
      </c>
      <c r="E1449" s="0" t="inlineStr">
        <is>
          <t xml:space="preserve">COLUMBUS JACK CORPORATION</t>
        </is>
      </c>
      <c r="F1449" s="0" t="inlineStr">
        <is>
          <t xml:space="preserve">B</t>
        </is>
      </c>
      <c r="G1449" s="4">
        <v>0.014042309999999999</v>
      </c>
      <c r="H1449" s="0" t="inlineStr">
        <is>
          <t xml:space="preserve">2015-04-01</t>
        </is>
      </c>
      <c r="I1449" s="0" t="inlineStr">
        <is>
          <t xml:space="preserve">no</t>
        </is>
      </c>
      <c r="K1449" s="0" t="inlineStr">
        <is>
          <t xml:space="preserve">NONE</t>
        </is>
      </c>
    </row>
    <row r="1450">
      <c r="B1450" s="0" t="inlineStr">
        <is>
          <t xml:space="preserve">N0018922P0117</t>
        </is>
      </c>
      <c r="D1450" s="0" t="inlineStr">
        <is>
          <t xml:space="preserve">small_craft</t>
        </is>
      </c>
      <c r="E1450" s="0" t="inlineStr">
        <is>
          <t xml:space="preserve">WING INFLATABLES INC</t>
        </is>
      </c>
      <c r="F1450" s="0" t="inlineStr">
        <is>
          <t xml:space="preserve">B</t>
        </is>
      </c>
      <c r="G1450" s="4">
        <v>0.01402193</v>
      </c>
      <c r="H1450" s="0" t="inlineStr">
        <is>
          <t xml:space="preserve">2022-04-28</t>
        </is>
      </c>
      <c r="I1450" s="0" t="inlineStr">
        <is>
          <t xml:space="preserve">no</t>
        </is>
      </c>
      <c r="K1450" s="0" t="inlineStr">
        <is>
          <t xml:space="preserve">NONE</t>
        </is>
      </c>
    </row>
    <row r="1451">
      <c r="B1451" s="0" t="inlineStr">
        <is>
          <t xml:space="preserve">N0010417PFD85</t>
        </is>
      </c>
      <c r="D1451" s="0" t="inlineStr">
        <is>
          <t xml:space="preserve">small_craft</t>
        </is>
      </c>
      <c r="E1451" s="0" t="inlineStr">
        <is>
          <t xml:space="preserve">PAINTER TOOL INCORPORATED</t>
        </is>
      </c>
      <c r="F1451" s="0" t="inlineStr">
        <is>
          <t xml:space="preserve">B</t>
        </is>
      </c>
      <c r="G1451" s="4">
        <v>0.013999999999999999</v>
      </c>
      <c r="H1451" s="0" t="inlineStr">
        <is>
          <t xml:space="preserve">2017-04-27</t>
        </is>
      </c>
      <c r="I1451" s="0" t="inlineStr">
        <is>
          <t xml:space="preserve">no</t>
        </is>
      </c>
      <c r="K1451" s="0" t="inlineStr">
        <is>
          <t xml:space="preserve">NONE</t>
        </is>
      </c>
    </row>
    <row r="1452">
      <c r="B1452" s="0" t="inlineStr">
        <is>
          <t xml:space="preserve">N0010422PUA82</t>
        </is>
      </c>
      <c r="D1452" s="0" t="inlineStr">
        <is>
          <t xml:space="preserve">small_craft</t>
        </is>
      </c>
      <c r="E1452" s="0" t="inlineStr">
        <is>
          <t xml:space="preserve">DYNALEC CORPORATION</t>
        </is>
      </c>
      <c r="F1452" s="0" t="inlineStr">
        <is>
          <t xml:space="preserve">B</t>
        </is>
      </c>
      <c r="G1452" s="4">
        <v>0.0139755</v>
      </c>
      <c r="H1452" s="0" t="inlineStr">
        <is>
          <t xml:space="preserve">2022-05-04</t>
        </is>
      </c>
      <c r="I1452" s="0" t="inlineStr">
        <is>
          <t xml:space="preserve">no</t>
        </is>
      </c>
      <c r="K1452" s="0" t="inlineStr">
        <is>
          <t xml:space="preserve">NONE</t>
        </is>
      </c>
    </row>
    <row r="1453">
      <c r="B1453" s="0" t="inlineStr">
        <is>
          <t xml:space="preserve">N0016723P0011</t>
        </is>
      </c>
      <c r="D1453" s="0" t="inlineStr">
        <is>
          <t xml:space="preserve">small_craft</t>
        </is>
      </c>
      <c r="E1453" s="0" t="inlineStr">
        <is>
          <t xml:space="preserve">WING INFLATABLES INC</t>
        </is>
      </c>
      <c r="F1453" s="0" t="inlineStr">
        <is>
          <t xml:space="preserve">B</t>
        </is>
      </c>
      <c r="G1453" s="4">
        <v>0.013931069999999999</v>
      </c>
      <c r="H1453" s="0" t="inlineStr">
        <is>
          <t xml:space="preserve">2022-11-02</t>
        </is>
      </c>
      <c r="I1453" s="0" t="inlineStr">
        <is>
          <t xml:space="preserve">no</t>
        </is>
      </c>
      <c r="K1453" s="0" t="inlineStr">
        <is>
          <t xml:space="preserve">NONE</t>
        </is>
      </c>
    </row>
    <row r="1454">
      <c r="B1454" s="0" t="inlineStr">
        <is>
          <t xml:space="preserve">N0010426PBK40</t>
        </is>
      </c>
      <c r="D1454" s="0" t="inlineStr">
        <is>
          <t xml:space="preserve">small_craft</t>
        </is>
      </c>
      <c r="E1454" s="0" t="inlineStr">
        <is>
          <t xml:space="preserve">GENERAL NUCLEAR CORP</t>
        </is>
      </c>
      <c r="F1454" s="0" t="inlineStr">
        <is>
          <t xml:space="preserve">B</t>
        </is>
      </c>
      <c r="G1454" s="4">
        <v>0.013784999999999999</v>
      </c>
      <c r="H1454" s="0" t="inlineStr">
        <is>
          <t xml:space="preserve">2026-02-26</t>
        </is>
      </c>
      <c r="I1454" s="0" t="inlineStr">
        <is>
          <t xml:space="preserve">yes</t>
        </is>
      </c>
      <c r="K1454" s="0" t="inlineStr">
        <is>
          <t xml:space="preserve">NONE</t>
        </is>
      </c>
    </row>
    <row r="1455">
      <c r="B1455" s="0" t="inlineStr">
        <is>
          <t xml:space="preserve">N0024422P0023</t>
        </is>
      </c>
      <c r="D1455" s="0" t="inlineStr">
        <is>
          <t xml:space="preserve">small_craft</t>
        </is>
      </c>
      <c r="E1455" s="0" t="inlineStr">
        <is>
          <t xml:space="preserve">WING INFLATABLES INC</t>
        </is>
      </c>
      <c r="F1455" s="0" t="inlineStr">
        <is>
          <t xml:space="preserve">B</t>
        </is>
      </c>
      <c r="G1455" s="4">
        <v>0.013762</v>
      </c>
      <c r="H1455" s="0" t="inlineStr">
        <is>
          <t xml:space="preserve">2021-12-16</t>
        </is>
      </c>
      <c r="I1455" s="0" t="inlineStr">
        <is>
          <t xml:space="preserve">no</t>
        </is>
      </c>
      <c r="K1455" s="0" t="inlineStr">
        <is>
          <t xml:space="preserve">NONE</t>
        </is>
      </c>
    </row>
    <row r="1456">
      <c r="B1456" s="0" t="inlineStr">
        <is>
          <t xml:space="preserve">N0040617P1725</t>
        </is>
      </c>
      <c r="D1456" s="0" t="inlineStr">
        <is>
          <t xml:space="preserve">small_craft</t>
        </is>
      </c>
      <c r="E1456" s="0" t="inlineStr">
        <is>
          <t xml:space="preserve">JAMESTOWN METAL MARINE SALES, INC.</t>
        </is>
      </c>
      <c r="F1456" s="0" t="inlineStr">
        <is>
          <t xml:space="preserve">B</t>
        </is>
      </c>
      <c r="G1456" s="4">
        <v>0.013715999999999999</v>
      </c>
      <c r="H1456" s="0" t="inlineStr">
        <is>
          <t xml:space="preserve">2017-05-04</t>
        </is>
      </c>
      <c r="I1456" s="0" t="inlineStr">
        <is>
          <t xml:space="preserve">no</t>
        </is>
      </c>
      <c r="K1456" s="0" t="inlineStr">
        <is>
          <t xml:space="preserve">NONE</t>
        </is>
      </c>
    </row>
    <row r="1457">
      <c r="B1457" s="0" t="inlineStr">
        <is>
          <t xml:space="preserve">N0024418F0411</t>
        </is>
      </c>
      <c r="C1457" s="0" t="inlineStr">
        <is>
          <t xml:space="preserve">GS07F0101K</t>
        </is>
      </c>
      <c r="D1457" s="0" t="inlineStr">
        <is>
          <t xml:space="preserve">small_craft</t>
        </is>
      </c>
      <c r="E1457" s="0" t="inlineStr">
        <is>
          <t xml:space="preserve">STIDD SYSTEMS, INC.</t>
        </is>
      </c>
      <c r="F1457" s="0" t="inlineStr">
        <is>
          <t xml:space="preserve">C</t>
        </is>
      </c>
      <c r="G1457" s="4">
        <v>0.01366092</v>
      </c>
      <c r="H1457" s="0" t="inlineStr">
        <is>
          <t xml:space="preserve">2018-05-18</t>
        </is>
      </c>
      <c r="I1457" s="0" t="inlineStr">
        <is>
          <t xml:space="preserve">no</t>
        </is>
      </c>
      <c r="K1457" s="0" t="inlineStr">
        <is>
          <t xml:space="preserve">NONE</t>
        </is>
      </c>
    </row>
    <row r="1458">
      <c r="B1458" s="0" t="inlineStr">
        <is>
          <t xml:space="preserve">N0018922P0210</t>
        </is>
      </c>
      <c r="D1458" s="0" t="inlineStr">
        <is>
          <t xml:space="preserve">small_craft</t>
        </is>
      </c>
      <c r="E1458" s="0" t="inlineStr">
        <is>
          <t xml:space="preserve">WING INFLATABLES INC</t>
        </is>
      </c>
      <c r="F1458" s="0" t="inlineStr">
        <is>
          <t xml:space="preserve">B</t>
        </is>
      </c>
      <c r="G1458" s="4">
        <v>0.01357894</v>
      </c>
      <c r="H1458" s="0" t="inlineStr">
        <is>
          <t xml:space="preserve">2022-03-21</t>
        </is>
      </c>
      <c r="I1458" s="0" t="inlineStr">
        <is>
          <t xml:space="preserve">no</t>
        </is>
      </c>
      <c r="K1458" s="0" t="inlineStr">
        <is>
          <t xml:space="preserve">NONE</t>
        </is>
      </c>
    </row>
    <row r="1459">
      <c r="B1459" s="0" t="inlineStr">
        <is>
          <t xml:space="preserve">N0010423PBL05</t>
        </is>
      </c>
      <c r="D1459" s="0" t="inlineStr">
        <is>
          <t xml:space="preserve">small_craft</t>
        </is>
      </c>
      <c r="E1459" s="0" t="inlineStr">
        <is>
          <t xml:space="preserve">GREATER MARYLAND TOOL &amp; MFG. CORP.</t>
        </is>
      </c>
      <c r="F1459" s="0" t="inlineStr">
        <is>
          <t xml:space="preserve">B</t>
        </is>
      </c>
      <c r="G1459" s="4">
        <v>0.013569999999999999</v>
      </c>
      <c r="H1459" s="0" t="inlineStr">
        <is>
          <t xml:space="preserve">2023-01-13</t>
        </is>
      </c>
      <c r="I1459" s="0" t="inlineStr">
        <is>
          <t xml:space="preserve">no</t>
        </is>
      </c>
      <c r="J1459" s="0" t="inlineStr">
        <is>
          <t xml:space="preserve">N0010423QBD74</t>
        </is>
      </c>
      <c r="K1459" s="0" t="inlineStr">
        <is>
          <t xml:space="preserve">NONE</t>
        </is>
      </c>
    </row>
    <row r="1460">
      <c r="B1460" s="0" t="inlineStr">
        <is>
          <t xml:space="preserve">N0040622P0538</t>
        </is>
      </c>
      <c r="D1460" s="0" t="inlineStr">
        <is>
          <t xml:space="preserve">small_craft</t>
        </is>
      </c>
      <c r="E1460" s="0" t="inlineStr">
        <is>
          <t xml:space="preserve">DEFENSE MARITIME SOLUTIONS, INC.</t>
        </is>
      </c>
      <c r="F1460" s="0" t="inlineStr">
        <is>
          <t xml:space="preserve">B</t>
        </is>
      </c>
      <c r="G1460" s="4">
        <v>0.01355984</v>
      </c>
      <c r="H1460" s="0" t="inlineStr">
        <is>
          <t xml:space="preserve">2022-06-14</t>
        </is>
      </c>
      <c r="I1460" s="0" t="inlineStr">
        <is>
          <t xml:space="preserve">no</t>
        </is>
      </c>
      <c r="J1460" s="0" t="inlineStr">
        <is>
          <t xml:space="preserve">N0040622Q0530</t>
        </is>
      </c>
      <c r="K1460" s="0" t="inlineStr">
        <is>
          <t xml:space="preserve">NONE</t>
        </is>
      </c>
    </row>
    <row r="1461">
      <c r="B1461" s="0" t="inlineStr">
        <is>
          <t xml:space="preserve">N0010421PEH40</t>
        </is>
      </c>
      <c r="D1461" s="0" t="inlineStr">
        <is>
          <t xml:space="preserve">small_craft</t>
        </is>
      </c>
      <c r="E1461" s="0" t="inlineStr">
        <is>
          <t xml:space="preserve">JO-KELL INC.</t>
        </is>
      </c>
      <c r="F1461" s="0" t="inlineStr">
        <is>
          <t xml:space="preserve">B</t>
        </is>
      </c>
      <c r="G1461" s="4">
        <v>0.0135527</v>
      </c>
      <c r="H1461" s="0" t="inlineStr">
        <is>
          <t xml:space="preserve">2021-07-13</t>
        </is>
      </c>
      <c r="I1461" s="0" t="inlineStr">
        <is>
          <t xml:space="preserve">no</t>
        </is>
      </c>
      <c r="J1461" s="0" t="inlineStr">
        <is>
          <t xml:space="preserve">N0010421QBZ78</t>
        </is>
      </c>
      <c r="K1461" s="0" t="inlineStr">
        <is>
          <t xml:space="preserve">NONE</t>
        </is>
      </c>
    </row>
    <row r="1462">
      <c r="B1462" s="0" t="inlineStr">
        <is>
          <t xml:space="preserve">N0040617P1712</t>
        </is>
      </c>
      <c r="D1462" s="0" t="inlineStr">
        <is>
          <t xml:space="preserve">small_craft</t>
        </is>
      </c>
      <c r="E1462" s="0" t="inlineStr">
        <is>
          <t xml:space="preserve">POWER EQUIPMENT PROFESSIONAL SALES CORPORATION</t>
        </is>
      </c>
      <c r="F1462" s="0" t="inlineStr">
        <is>
          <t xml:space="preserve">B</t>
        </is>
      </c>
      <c r="G1462" s="4">
        <v>0.013548</v>
      </c>
      <c r="H1462" s="0" t="inlineStr">
        <is>
          <t xml:space="preserve">2017-05-04</t>
        </is>
      </c>
      <c r="I1462" s="0" t="inlineStr">
        <is>
          <t xml:space="preserve">no</t>
        </is>
      </c>
      <c r="K1462" s="0" t="inlineStr">
        <is>
          <t xml:space="preserve">NONE</t>
        </is>
      </c>
    </row>
    <row r="1463">
      <c r="B1463" s="0" t="inlineStr">
        <is>
          <t xml:space="preserve">N3220519P4006</t>
        </is>
      </c>
      <c r="D1463" s="0" t="inlineStr">
        <is>
          <t xml:space="preserve">small_craft</t>
        </is>
      </c>
      <c r="E1463" s="0" t="inlineStr">
        <is>
          <t xml:space="preserve">WILLARD MARINE, INC.</t>
        </is>
      </c>
      <c r="F1463" s="0" t="inlineStr">
        <is>
          <t xml:space="preserve">B</t>
        </is>
      </c>
      <c r="G1463" s="4">
        <v>0.01349287</v>
      </c>
      <c r="H1463" s="0" t="inlineStr">
        <is>
          <t xml:space="preserve">2018-10-10</t>
        </is>
      </c>
      <c r="I1463" s="0" t="inlineStr">
        <is>
          <t xml:space="preserve">no</t>
        </is>
      </c>
      <c r="J1463" s="0" t="inlineStr">
        <is>
          <t xml:space="preserve">N3220518Q6131</t>
        </is>
      </c>
      <c r="K1463" s="0" t="inlineStr">
        <is>
          <t xml:space="preserve">NONE</t>
        </is>
      </c>
    </row>
    <row r="1464">
      <c r="B1464" s="0" t="inlineStr">
        <is>
          <t xml:space="preserve">N3220518P6013</t>
        </is>
      </c>
      <c r="D1464" s="0" t="inlineStr">
        <is>
          <t xml:space="preserve">small_craft</t>
        </is>
      </c>
      <c r="E1464" s="0" t="inlineStr">
        <is>
          <t xml:space="preserve">WING INFLATABLES INC</t>
        </is>
      </c>
      <c r="F1464" s="0" t="inlineStr">
        <is>
          <t xml:space="preserve">B</t>
        </is>
      </c>
      <c r="G1464" s="4">
        <v>0.013482</v>
      </c>
      <c r="H1464" s="0" t="inlineStr">
        <is>
          <t xml:space="preserve">2018-04-06</t>
        </is>
      </c>
      <c r="I1464" s="0" t="inlineStr">
        <is>
          <t xml:space="preserve">no</t>
        </is>
      </c>
      <c r="J1464" s="0" t="inlineStr">
        <is>
          <t xml:space="preserve">N3220518Q6013</t>
        </is>
      </c>
      <c r="K1464" s="0" t="inlineStr">
        <is>
          <t xml:space="preserve">NONE</t>
        </is>
      </c>
    </row>
    <row r="1465">
      <c r="B1465" s="0" t="inlineStr">
        <is>
          <t xml:space="preserve">N0010418PDC92</t>
        </is>
      </c>
      <c r="D1465" s="0" t="inlineStr">
        <is>
          <t xml:space="preserve">small_craft</t>
        </is>
      </c>
      <c r="E1465" s="0" t="inlineStr">
        <is>
          <t xml:space="preserve">ROLLS-ROYCE MARINE NORTH AMERICA INC.</t>
        </is>
      </c>
      <c r="F1465" s="0" t="inlineStr">
        <is>
          <t xml:space="preserve">B</t>
        </is>
      </c>
      <c r="G1465" s="4">
        <v>0.013411999999999999</v>
      </c>
      <c r="H1465" s="0" t="inlineStr">
        <is>
          <t xml:space="preserve">2018-06-11</t>
        </is>
      </c>
      <c r="I1465" s="0" t="inlineStr">
        <is>
          <t xml:space="preserve">no</t>
        </is>
      </c>
      <c r="K1465" s="0" t="inlineStr">
        <is>
          <t xml:space="preserve">NONE</t>
        </is>
      </c>
    </row>
    <row r="1466">
      <c r="B1466" s="0" t="inlineStr">
        <is>
          <t xml:space="preserve">N0010423PBG38</t>
        </is>
      </c>
      <c r="D1466" s="0" t="inlineStr">
        <is>
          <t xml:space="preserve">small_craft</t>
        </is>
      </c>
      <c r="E1466" s="0" t="inlineStr">
        <is>
          <t xml:space="preserve">BEC SYSTEMS LLC</t>
        </is>
      </c>
      <c r="F1466" s="0" t="inlineStr">
        <is>
          <t xml:space="preserve">B</t>
        </is>
      </c>
      <c r="G1466" s="4">
        <v>0.0133929</v>
      </c>
      <c r="H1466" s="0" t="inlineStr">
        <is>
          <t xml:space="preserve">2022-12-05</t>
        </is>
      </c>
      <c r="I1466" s="0" t="inlineStr">
        <is>
          <t xml:space="preserve">no</t>
        </is>
      </c>
      <c r="K1466" s="0" t="inlineStr">
        <is>
          <t xml:space="preserve">NONE</t>
        </is>
      </c>
    </row>
    <row r="1467">
      <c r="B1467" s="0" t="inlineStr">
        <is>
          <t xml:space="preserve">0022</t>
        </is>
      </c>
      <c r="C1467" s="0" t="inlineStr">
        <is>
          <t xml:space="preserve">N6230613D9S01</t>
        </is>
      </c>
      <c r="D1467" s="0" t="inlineStr">
        <is>
          <t xml:space="preserve">small_craft</t>
        </is>
      </c>
      <c r="E1467" s="0" t="inlineStr">
        <is>
          <t xml:space="preserve">SAUNDERS ENGINE &amp; EQUIPMENT CO INC</t>
        </is>
      </c>
      <c r="F1467" s="0" t="inlineStr">
        <is>
          <t xml:space="preserve">C</t>
        </is>
      </c>
      <c r="G1467" s="4">
        <v>0.013292</v>
      </c>
      <c r="H1467" s="0" t="inlineStr">
        <is>
          <t xml:space="preserve">2016-04-26</t>
        </is>
      </c>
      <c r="I1467" s="0" t="inlineStr">
        <is>
          <t xml:space="preserve">no</t>
        </is>
      </c>
      <c r="J1467" s="0" t="inlineStr">
        <is>
          <t xml:space="preserve">N6230612R9S01</t>
        </is>
      </c>
      <c r="K1467" s="0" t="inlineStr">
        <is>
          <t xml:space="preserve">NONE</t>
        </is>
      </c>
    </row>
    <row r="1468">
      <c r="B1468" s="0" t="inlineStr">
        <is>
          <t xml:space="preserve">N3220518P4505</t>
        </is>
      </c>
      <c r="D1468" s="0" t="inlineStr">
        <is>
          <t xml:space="preserve">small_craft</t>
        </is>
      </c>
      <c r="E1468" s="0" t="inlineStr">
        <is>
          <t xml:space="preserve">J. W. MARINE EQUIPMENT, INC.</t>
        </is>
      </c>
      <c r="F1468" s="0" t="inlineStr">
        <is>
          <t xml:space="preserve">B</t>
        </is>
      </c>
      <c r="G1468" s="4">
        <v>0.01325</v>
      </c>
      <c r="H1468" s="0" t="inlineStr">
        <is>
          <t xml:space="preserve">2018-04-26</t>
        </is>
      </c>
      <c r="I1468" s="0" t="inlineStr">
        <is>
          <t xml:space="preserve">no</t>
        </is>
      </c>
      <c r="J1468" s="0" t="inlineStr">
        <is>
          <t xml:space="preserve">N3220518Q4505</t>
        </is>
      </c>
      <c r="K1468" s="0" t="inlineStr">
        <is>
          <t xml:space="preserve">NONE</t>
        </is>
      </c>
    </row>
    <row r="1469">
      <c r="B1469" s="0" t="inlineStr">
        <is>
          <t xml:space="preserve">M6016917PSA06</t>
        </is>
      </c>
      <c r="D1469" s="0" t="inlineStr">
        <is>
          <t xml:space="preserve">small_craft</t>
        </is>
      </c>
      <c r="E1469" s="0" t="inlineStr">
        <is>
          <t xml:space="preserve">EAST COAST MARINE REPAIR CO INC</t>
        </is>
      </c>
      <c r="F1469" s="0" t="inlineStr">
        <is>
          <t xml:space="preserve">B</t>
        </is>
      </c>
      <c r="G1469" s="4">
        <v>0.01315612</v>
      </c>
      <c r="H1469" s="0" t="inlineStr">
        <is>
          <t xml:space="preserve">2017-03-27</t>
        </is>
      </c>
      <c r="I1469" s="0" t="inlineStr">
        <is>
          <t xml:space="preserve">no</t>
        </is>
      </c>
      <c r="J1469" s="0" t="inlineStr">
        <is>
          <t xml:space="preserve">M6016917QC008</t>
        </is>
      </c>
      <c r="K1469" s="0" t="inlineStr">
        <is>
          <t xml:space="preserve">NONE</t>
        </is>
      </c>
    </row>
    <row r="1470">
      <c r="B1470" s="0" t="inlineStr">
        <is>
          <t xml:space="preserve">N0060424P4011</t>
        </is>
      </c>
      <c r="D1470" s="0" t="inlineStr">
        <is>
          <t xml:space="preserve">small_craft</t>
        </is>
      </c>
      <c r="E1470" s="0" t="inlineStr">
        <is>
          <t xml:space="preserve">WING INFLATABLES INC</t>
        </is>
      </c>
      <c r="F1470" s="0" t="inlineStr">
        <is>
          <t xml:space="preserve">B</t>
        </is>
      </c>
      <c r="G1470" s="4">
        <v>0.01300426</v>
      </c>
      <c r="H1470" s="0" t="inlineStr">
        <is>
          <t xml:space="preserve">2024-02-27</t>
        </is>
      </c>
      <c r="I1470" s="0" t="inlineStr">
        <is>
          <t xml:space="preserve">no</t>
        </is>
      </c>
      <c r="K1470" s="0" t="inlineStr">
        <is>
          <t xml:space="preserve">NONE</t>
        </is>
      </c>
    </row>
    <row r="1471">
      <c r="B1471" s="0" t="inlineStr">
        <is>
          <t xml:space="preserve">N6470914P0050</t>
        </is>
      </c>
      <c r="D1471" s="0" t="inlineStr">
        <is>
          <t xml:space="preserve">small_craft</t>
        </is>
      </c>
      <c r="E1471" s="0" t="inlineStr">
        <is>
          <t xml:space="preserve">SAFE BOATS INTERNATIONAL LLC</t>
        </is>
      </c>
      <c r="F1471" s="0" t="inlineStr">
        <is>
          <t xml:space="preserve">B</t>
        </is>
      </c>
      <c r="G1471" s="4">
        <v>0.012992299999999998</v>
      </c>
      <c r="H1471" s="0" t="inlineStr">
        <is>
          <t xml:space="preserve">2014-04-28</t>
        </is>
      </c>
      <c r="I1471" s="0" t="inlineStr">
        <is>
          <t xml:space="preserve">no</t>
        </is>
      </c>
      <c r="K1471" s="0" t="inlineStr">
        <is>
          <t xml:space="preserve">NONE</t>
        </is>
      </c>
    </row>
    <row r="1472">
      <c r="B1472" s="0" t="inlineStr">
        <is>
          <t xml:space="preserve">N0040615P2887</t>
        </is>
      </c>
      <c r="D1472" s="0" t="inlineStr">
        <is>
          <t xml:space="preserve">small_craft</t>
        </is>
      </c>
      <c r="E1472" s="0" t="inlineStr">
        <is>
          <t xml:space="preserve">JUNIPER ELBOW CO. INC.</t>
        </is>
      </c>
      <c r="F1472" s="0" t="inlineStr">
        <is>
          <t xml:space="preserve">B</t>
        </is>
      </c>
      <c r="G1472" s="4">
        <v>0.012764</v>
      </c>
      <c r="H1472" s="0" t="inlineStr">
        <is>
          <t xml:space="preserve">2015-06-17</t>
        </is>
      </c>
      <c r="I1472" s="0" t="inlineStr">
        <is>
          <t xml:space="preserve">no</t>
        </is>
      </c>
      <c r="K1472" s="0" t="inlineStr">
        <is>
          <t xml:space="preserve">NONE</t>
        </is>
      </c>
    </row>
    <row r="1473">
      <c r="B1473" s="0" t="inlineStr">
        <is>
          <t xml:space="preserve">N0010417PEC56</t>
        </is>
      </c>
      <c r="D1473" s="0" t="inlineStr">
        <is>
          <t xml:space="preserve">small_craft</t>
        </is>
      </c>
      <c r="E1473" s="0" t="inlineStr">
        <is>
          <t xml:space="preserve">ALLENTOWN FLUID SYSTEMS, INC</t>
        </is>
      </c>
      <c r="F1473" s="0" t="inlineStr">
        <is>
          <t xml:space="preserve">B</t>
        </is>
      </c>
      <c r="G1473" s="4">
        <v>0.0127547</v>
      </c>
      <c r="H1473" s="0" t="inlineStr">
        <is>
          <t xml:space="preserve">2017-04-27</t>
        </is>
      </c>
      <c r="I1473" s="0" t="inlineStr">
        <is>
          <t xml:space="preserve">no</t>
        </is>
      </c>
      <c r="K1473" s="0" t="inlineStr">
        <is>
          <t xml:space="preserve">NONE</t>
        </is>
      </c>
    </row>
    <row r="1474">
      <c r="B1474" s="0" t="inlineStr">
        <is>
          <t xml:space="preserve">N0040624P0426</t>
        </is>
      </c>
      <c r="D1474" s="0" t="inlineStr">
        <is>
          <t xml:space="preserve">small_craft</t>
        </is>
      </c>
      <c r="E1474" s="0" t="inlineStr">
        <is>
          <t xml:space="preserve">JERED LLC</t>
        </is>
      </c>
      <c r="F1474" s="0" t="inlineStr">
        <is>
          <t xml:space="preserve">B</t>
        </is>
      </c>
      <c r="G1474" s="4">
        <v>0.012687259999999999</v>
      </c>
      <c r="H1474" s="0" t="inlineStr">
        <is>
          <t xml:space="preserve">2024-04-18</t>
        </is>
      </c>
      <c r="I1474" s="0" t="inlineStr">
        <is>
          <t xml:space="preserve">no</t>
        </is>
      </c>
      <c r="J1474" s="0" t="inlineStr">
        <is>
          <t xml:space="preserve">N0040624Q0435</t>
        </is>
      </c>
      <c r="K1474" s="0" t="inlineStr">
        <is>
          <t xml:space="preserve">NONE</t>
        </is>
      </c>
    </row>
    <row r="1475">
      <c r="B1475" s="0" t="inlineStr">
        <is>
          <t xml:space="preserve">N0040622P0858</t>
        </is>
      </c>
      <c r="D1475" s="0" t="inlineStr">
        <is>
          <t xml:space="preserve">small_craft</t>
        </is>
      </c>
      <c r="E1475" s="0" t="inlineStr">
        <is>
          <t xml:space="preserve">THE ENTWISTLE COMPANY LLC</t>
        </is>
      </c>
      <c r="F1475" s="0" t="inlineStr">
        <is>
          <t xml:space="preserve">B</t>
        </is>
      </c>
      <c r="G1475" s="4">
        <v>0.012676</v>
      </c>
      <c r="H1475" s="0" t="inlineStr">
        <is>
          <t xml:space="preserve">2022-09-19</t>
        </is>
      </c>
      <c r="I1475" s="0" t="inlineStr">
        <is>
          <t xml:space="preserve">no</t>
        </is>
      </c>
      <c r="J1475" s="0" t="inlineStr">
        <is>
          <t xml:space="preserve">N0040622Q0858</t>
        </is>
      </c>
      <c r="K1475" s="0" t="inlineStr">
        <is>
          <t xml:space="preserve">NONE</t>
        </is>
      </c>
    </row>
    <row r="1476">
      <c r="B1476" s="0" t="inlineStr">
        <is>
          <t xml:space="preserve">N6146315FLH20</t>
        </is>
      </c>
      <c r="C1476" s="0" t="inlineStr">
        <is>
          <t xml:space="preserve">N0003312D2100</t>
        </is>
      </c>
      <c r="D1476" s="0" t="inlineStr">
        <is>
          <t xml:space="preserve">other_small</t>
        </is>
      </c>
      <c r="E1476" s="0" t="inlineStr">
        <is>
          <t xml:space="preserve">MCALLISTER TOWING OF VIRGINIA INC</t>
        </is>
      </c>
      <c r="F1476" s="0" t="inlineStr">
        <is>
          <t xml:space="preserve">C</t>
        </is>
      </c>
      <c r="G1476" s="4">
        <v>0.012657</v>
      </c>
      <c r="H1476" s="0" t="inlineStr">
        <is>
          <t xml:space="preserve">2015-03-10</t>
        </is>
      </c>
      <c r="I1476" s="0" t="inlineStr">
        <is>
          <t xml:space="preserve">no</t>
        </is>
      </c>
      <c r="J1476" s="0" t="inlineStr">
        <is>
          <t xml:space="preserve">N0003312R2100</t>
        </is>
      </c>
      <c r="K1476" s="0" t="inlineStr">
        <is>
          <t xml:space="preserve">NONE</t>
        </is>
      </c>
    </row>
    <row r="1477">
      <c r="B1477" s="0" t="inlineStr">
        <is>
          <t xml:space="preserve">M6740017P0119</t>
        </is>
      </c>
      <c r="D1477" s="0" t="inlineStr">
        <is>
          <t xml:space="preserve">small_craft</t>
        </is>
      </c>
      <c r="E1477" s="0" t="inlineStr">
        <is>
          <t xml:space="preserve">AUTO HIRAKAWA</t>
        </is>
      </c>
      <c r="F1477" s="0" t="inlineStr">
        <is>
          <t xml:space="preserve">B</t>
        </is>
      </c>
      <c r="G1477" s="4">
        <v>0.012656399999999998</v>
      </c>
      <c r="H1477" s="0" t="inlineStr">
        <is>
          <t xml:space="preserve">2017-08-23</t>
        </is>
      </c>
      <c r="I1477" s="0" t="inlineStr">
        <is>
          <t xml:space="preserve">no</t>
        </is>
      </c>
      <c r="K1477" s="0" t="inlineStr">
        <is>
          <t xml:space="preserve">NONE</t>
        </is>
      </c>
    </row>
    <row r="1478">
      <c r="B1478" s="0" t="inlineStr">
        <is>
          <t xml:space="preserve">N0010425PEA70</t>
        </is>
      </c>
      <c r="D1478" s="0" t="inlineStr">
        <is>
          <t xml:space="preserve">small_craft</t>
        </is>
      </c>
      <c r="E1478" s="0" t="inlineStr">
        <is>
          <t xml:space="preserve">NASCO AEROSPACE AND ELECTRONICS LLC</t>
        </is>
      </c>
      <c r="F1478" s="0" t="inlineStr">
        <is>
          <t xml:space="preserve">B</t>
        </is>
      </c>
      <c r="G1478" s="4">
        <v>0.01256</v>
      </c>
      <c r="H1478" s="0" t="inlineStr">
        <is>
          <t xml:space="preserve">2025-08-26</t>
        </is>
      </c>
      <c r="I1478" s="0" t="inlineStr">
        <is>
          <t xml:space="preserve">yes</t>
        </is>
      </c>
      <c r="K1478" s="0" t="inlineStr">
        <is>
          <t xml:space="preserve">NONE</t>
        </is>
      </c>
    </row>
    <row r="1479">
      <c r="B1479" s="0" t="inlineStr">
        <is>
          <t xml:space="preserve">N4044210P7734</t>
        </is>
      </c>
      <c r="D1479" s="0" t="inlineStr">
        <is>
          <t xml:space="preserve">small_craft</t>
        </is>
      </c>
      <c r="E1479" s="0" t="inlineStr">
        <is>
          <t xml:space="preserve">PALFINGER MARINE USA, LLC</t>
        </is>
      </c>
      <c r="F1479" s="0" t="inlineStr">
        <is>
          <t xml:space="preserve">B</t>
        </is>
      </c>
      <c r="G1479" s="4">
        <v>0.01247298</v>
      </c>
      <c r="H1479" s="0" t="inlineStr">
        <is>
          <t xml:space="preserve">2010-03-30</t>
        </is>
      </c>
      <c r="I1479" s="0" t="inlineStr">
        <is>
          <t xml:space="preserve">no</t>
        </is>
      </c>
      <c r="K1479" s="0" t="inlineStr">
        <is>
          <t xml:space="preserve">NONE</t>
        </is>
      </c>
    </row>
    <row r="1480">
      <c r="B1480" s="0" t="inlineStr">
        <is>
          <t xml:space="preserve">N6893619P0204</t>
        </is>
      </c>
      <c r="D1480" s="0" t="inlineStr">
        <is>
          <t xml:space="preserve">small_craft</t>
        </is>
      </c>
      <c r="E1480" s="0" t="inlineStr">
        <is>
          <t xml:space="preserve">BOATSWAIN'S LOCKER I, INCORPORATED</t>
        </is>
      </c>
      <c r="F1480" s="0" t="inlineStr">
        <is>
          <t xml:space="preserve">B</t>
        </is>
      </c>
      <c r="G1480" s="4">
        <v>0.012381</v>
      </c>
      <c r="H1480" s="0" t="inlineStr">
        <is>
          <t xml:space="preserve">2019-02-07</t>
        </is>
      </c>
      <c r="I1480" s="0" t="inlineStr">
        <is>
          <t xml:space="preserve">no</t>
        </is>
      </c>
      <c r="J1480" s="0" t="inlineStr">
        <is>
          <t xml:space="preserve">N6893619Q0111</t>
        </is>
      </c>
      <c r="K1480" s="0" t="inlineStr">
        <is>
          <t xml:space="preserve">NONE</t>
        </is>
      </c>
    </row>
    <row r="1481">
      <c r="B1481" s="0" t="inlineStr">
        <is>
          <t xml:space="preserve">LH43</t>
        </is>
      </c>
      <c r="C1481" s="0" t="inlineStr">
        <is>
          <t xml:space="preserve">N6238715D2104</t>
        </is>
      </c>
      <c r="D1481" s="0" t="inlineStr">
        <is>
          <t xml:space="preserve">other_small</t>
        </is>
      </c>
      <c r="E1481" s="0" t="inlineStr">
        <is>
          <t xml:space="preserve">MCALLISTER TOWING AND TRANSPORTATION COMPANY, INC.</t>
        </is>
      </c>
      <c r="F1481" s="0" t="inlineStr">
        <is>
          <t xml:space="preserve">C</t>
        </is>
      </c>
      <c r="G1481" s="4">
        <v>0.012364</v>
      </c>
      <c r="H1481" s="0" t="inlineStr">
        <is>
          <t xml:space="preserve">2016-05-13</t>
        </is>
      </c>
      <c r="I1481" s="0" t="inlineStr">
        <is>
          <t xml:space="preserve">no</t>
        </is>
      </c>
      <c r="J1481" s="0" t="inlineStr">
        <is>
          <t xml:space="preserve">N6238715R2104</t>
        </is>
      </c>
      <c r="K1481" s="0" t="inlineStr">
        <is>
          <t xml:space="preserve">NONE</t>
        </is>
      </c>
    </row>
    <row r="1482">
      <c r="B1482" s="0" t="inlineStr">
        <is>
          <t xml:space="preserve">N0010420PED13</t>
        </is>
      </c>
      <c r="D1482" s="0" t="inlineStr">
        <is>
          <t xml:space="preserve">small_craft</t>
        </is>
      </c>
      <c r="E1482" s="0" t="inlineStr">
        <is>
          <t xml:space="preserve">MCNALLY INDUSTRIES, LLC</t>
        </is>
      </c>
      <c r="F1482" s="0" t="inlineStr">
        <is>
          <t xml:space="preserve">B</t>
        </is>
      </c>
      <c r="G1482" s="4">
        <v>0.01235</v>
      </c>
      <c r="H1482" s="0" t="inlineStr">
        <is>
          <t xml:space="preserve">2020-05-14</t>
        </is>
      </c>
      <c r="I1482" s="0" t="inlineStr">
        <is>
          <t xml:space="preserve">no</t>
        </is>
      </c>
      <c r="K1482" s="0" t="inlineStr">
        <is>
          <t xml:space="preserve">NONE</t>
        </is>
      </c>
    </row>
    <row r="1483">
      <c r="B1483" s="0" t="inlineStr">
        <is>
          <t xml:space="preserve">N4044210P8068</t>
        </is>
      </c>
      <c r="D1483" s="0" t="inlineStr">
        <is>
          <t xml:space="preserve">small_craft</t>
        </is>
      </c>
      <c r="E1483" s="0" t="inlineStr">
        <is>
          <t xml:space="preserve">PALFINGER MARINE USA, LLC</t>
        </is>
      </c>
      <c r="F1483" s="0" t="inlineStr">
        <is>
          <t xml:space="preserve">B</t>
        </is>
      </c>
      <c r="G1483" s="4">
        <v>0.012338889999999998</v>
      </c>
      <c r="H1483" s="0" t="inlineStr">
        <is>
          <t xml:space="preserve">2010-06-10</t>
        </is>
      </c>
      <c r="I1483" s="0" t="inlineStr">
        <is>
          <t xml:space="preserve">no</t>
        </is>
      </c>
      <c r="J1483" s="0" t="inlineStr">
        <is>
          <t xml:space="preserve">N4044210T7857</t>
        </is>
      </c>
      <c r="K1483" s="0" t="inlineStr">
        <is>
          <t xml:space="preserve">NONE</t>
        </is>
      </c>
    </row>
    <row r="1484">
      <c r="B1484" s="0" t="inlineStr">
        <is>
          <t xml:space="preserve">N3220520P0240</t>
        </is>
      </c>
      <c r="D1484" s="0" t="inlineStr">
        <is>
          <t xml:space="preserve">small_craft</t>
        </is>
      </c>
      <c r="E1484" s="0" t="inlineStr">
        <is>
          <t xml:space="preserve">FASSMER SERVICE AMERICA LLC</t>
        </is>
      </c>
      <c r="F1484" s="0" t="inlineStr">
        <is>
          <t xml:space="preserve">B</t>
        </is>
      </c>
      <c r="G1484" s="4">
        <v>0.012308149999999999</v>
      </c>
      <c r="H1484" s="0" t="inlineStr">
        <is>
          <t xml:space="preserve">2020-02-21</t>
        </is>
      </c>
      <c r="I1484" s="0" t="inlineStr">
        <is>
          <t xml:space="preserve">no</t>
        </is>
      </c>
      <c r="J1484" s="0" t="inlineStr">
        <is>
          <t xml:space="preserve">N3220520Q0238</t>
        </is>
      </c>
      <c r="K1484" s="0" t="inlineStr">
        <is>
          <t xml:space="preserve">NONE</t>
        </is>
      </c>
    </row>
    <row r="1485">
      <c r="B1485" s="0" t="inlineStr">
        <is>
          <t xml:space="preserve">N0010416PDE42</t>
        </is>
      </c>
      <c r="D1485" s="0" t="inlineStr">
        <is>
          <t xml:space="preserve">small_craft</t>
        </is>
      </c>
      <c r="E1485" s="0" t="inlineStr">
        <is>
          <t xml:space="preserve">WAUKESHA BEARINGS CORPORATION</t>
        </is>
      </c>
      <c r="F1485" s="0" t="inlineStr">
        <is>
          <t xml:space="preserve">B</t>
        </is>
      </c>
      <c r="G1485" s="4">
        <v>0.012251999999999999</v>
      </c>
      <c r="H1485" s="0" t="inlineStr">
        <is>
          <t xml:space="preserve">2016-04-27</t>
        </is>
      </c>
      <c r="I1485" s="0" t="inlineStr">
        <is>
          <t xml:space="preserve">no</t>
        </is>
      </c>
      <c r="K1485" s="0" t="inlineStr">
        <is>
          <t xml:space="preserve">NONE</t>
        </is>
      </c>
    </row>
    <row r="1486">
      <c r="B1486" s="0" t="inlineStr">
        <is>
          <t xml:space="preserve">N0040619P0431</t>
        </is>
      </c>
      <c r="D1486" s="0" t="inlineStr">
        <is>
          <t xml:space="preserve">small_craft</t>
        </is>
      </c>
      <c r="E1486" s="0" t="inlineStr">
        <is>
          <t xml:space="preserve">ADVANTEC MANUFACTURING USA, INC.</t>
        </is>
      </c>
      <c r="F1486" s="0" t="inlineStr">
        <is>
          <t xml:space="preserve">B</t>
        </is>
      </c>
      <c r="G1486" s="4">
        <v>0.012244</v>
      </c>
      <c r="H1486" s="0" t="inlineStr">
        <is>
          <t xml:space="preserve">2019-07-01</t>
        </is>
      </c>
      <c r="I1486" s="0" t="inlineStr">
        <is>
          <t xml:space="preserve">no</t>
        </is>
      </c>
      <c r="K1486" s="0" t="inlineStr">
        <is>
          <t xml:space="preserve">NONE</t>
        </is>
      </c>
    </row>
    <row r="1487">
      <c r="B1487" s="0" t="inlineStr">
        <is>
          <t xml:space="preserve">N0010417PDD93</t>
        </is>
      </c>
      <c r="D1487" s="0" t="inlineStr">
        <is>
          <t xml:space="preserve">small_craft</t>
        </is>
      </c>
      <c r="E1487" s="0" t="inlineStr">
        <is>
          <t xml:space="preserve">ROLLS-ROYCE MARINE NORTH AMERICA INC.</t>
        </is>
      </c>
      <c r="F1487" s="0" t="inlineStr">
        <is>
          <t xml:space="preserve">B</t>
        </is>
      </c>
      <c r="G1487" s="4">
        <v>0.012228</v>
      </c>
      <c r="H1487" s="0" t="inlineStr">
        <is>
          <t xml:space="preserve">2017-03-21</t>
        </is>
      </c>
      <c r="I1487" s="0" t="inlineStr">
        <is>
          <t xml:space="preserve">no</t>
        </is>
      </c>
      <c r="K1487" s="0" t="inlineStr">
        <is>
          <t xml:space="preserve">NONE</t>
        </is>
      </c>
    </row>
    <row r="1488">
      <c r="B1488" s="0" t="inlineStr">
        <is>
          <t xml:space="preserve">N0010417PDA51</t>
        </is>
      </c>
      <c r="D1488" s="0" t="inlineStr">
        <is>
          <t xml:space="preserve">small_craft</t>
        </is>
      </c>
      <c r="E1488" s="0" t="inlineStr">
        <is>
          <t xml:space="preserve">ROLLS-ROYCE MARINE NORTH AMERICA INC.</t>
        </is>
      </c>
      <c r="F1488" s="0" t="inlineStr">
        <is>
          <t xml:space="preserve">B</t>
        </is>
      </c>
      <c r="G1488" s="4">
        <v>0.012228</v>
      </c>
      <c r="H1488" s="0" t="inlineStr">
        <is>
          <t xml:space="preserve">2016-10-17</t>
        </is>
      </c>
      <c r="I1488" s="0" t="inlineStr">
        <is>
          <t xml:space="preserve">no</t>
        </is>
      </c>
      <c r="K1488" s="0" t="inlineStr">
        <is>
          <t xml:space="preserve">NONE</t>
        </is>
      </c>
    </row>
    <row r="1489">
      <c r="B1489" s="0" t="inlineStr">
        <is>
          <t xml:space="preserve">N0018915P0628</t>
        </is>
      </c>
      <c r="D1489" s="0" t="inlineStr">
        <is>
          <t xml:space="preserve">small_craft</t>
        </is>
      </c>
      <c r="E1489" s="0" t="inlineStr">
        <is>
          <t xml:space="preserve">WILLARD MARINE, INC.</t>
        </is>
      </c>
      <c r="F1489" s="0" t="inlineStr">
        <is>
          <t xml:space="preserve">B</t>
        </is>
      </c>
      <c r="G1489" s="4">
        <v>0.012213</v>
      </c>
      <c r="H1489" s="0" t="inlineStr">
        <is>
          <t xml:space="preserve">2015-06-02</t>
        </is>
      </c>
      <c r="I1489" s="0" t="inlineStr">
        <is>
          <t xml:space="preserve">no</t>
        </is>
      </c>
      <c r="K1489" s="0" t="inlineStr">
        <is>
          <t xml:space="preserve">NONE</t>
        </is>
      </c>
    </row>
    <row r="1490">
      <c r="B1490" s="0" t="inlineStr">
        <is>
          <t xml:space="preserve">N6227115M1076</t>
        </is>
      </c>
      <c r="D1490" s="0" t="inlineStr">
        <is>
          <t xml:space="preserve">other_small</t>
        </is>
      </c>
      <c r="E1490" s="0" t="inlineStr">
        <is>
          <t xml:space="preserve">WOODS HOLE OCEANOGRAPHIC INSTITUTION</t>
        </is>
      </c>
      <c r="F1490" s="0" t="inlineStr">
        <is>
          <t xml:space="preserve">B</t>
        </is>
      </c>
      <c r="G1490" s="4">
        <v>0.012209</v>
      </c>
      <c r="H1490" s="0" t="inlineStr">
        <is>
          <t xml:space="preserve">2014-12-23</t>
        </is>
      </c>
      <c r="I1490" s="0" t="inlineStr">
        <is>
          <t xml:space="preserve">no</t>
        </is>
      </c>
      <c r="J1490" s="0" t="inlineStr">
        <is>
          <t xml:space="preserve">N6227115Q1057</t>
        </is>
      </c>
      <c r="K1490" s="0" t="inlineStr">
        <is>
          <t xml:space="preserve">NONE</t>
        </is>
      </c>
    </row>
    <row r="1491">
      <c r="B1491" s="0" t="inlineStr">
        <is>
          <t xml:space="preserve">N0040625PS358</t>
        </is>
      </c>
      <c r="D1491" s="0" t="inlineStr">
        <is>
          <t xml:space="preserve">small_craft</t>
        </is>
      </c>
      <c r="E1491" s="0" t="inlineStr">
        <is>
          <t xml:space="preserve">PIER SIDE SUPPLY INC</t>
        </is>
      </c>
      <c r="F1491" s="0" t="inlineStr">
        <is>
          <t xml:space="preserve">B</t>
        </is>
      </c>
      <c r="G1491" s="4">
        <v>0.012199999999999999</v>
      </c>
      <c r="H1491" s="0" t="inlineStr">
        <is>
          <t xml:space="preserve">2025-07-31</t>
        </is>
      </c>
      <c r="I1491" s="0" t="inlineStr">
        <is>
          <t xml:space="preserve">yes</t>
        </is>
      </c>
      <c r="J1491" s="0" t="inlineStr">
        <is>
          <t xml:space="preserve">N0040625QS352</t>
        </is>
      </c>
      <c r="K1491" s="0" t="inlineStr">
        <is>
          <t xml:space="preserve">NONE</t>
        </is>
      </c>
    </row>
    <row r="1492">
      <c r="B1492" s="0" t="inlineStr">
        <is>
          <t xml:space="preserve">N0010422PDC46</t>
        </is>
      </c>
      <c r="D1492" s="0" t="inlineStr">
        <is>
          <t xml:space="preserve">small_craft</t>
        </is>
      </c>
      <c r="E1492" s="0" t="inlineStr">
        <is>
          <t xml:space="preserve">RUGGED INFORMATION TECHNOLOGY EQUIPMENT CORPORATION</t>
        </is>
      </c>
      <c r="F1492" s="0" t="inlineStr">
        <is>
          <t xml:space="preserve">B</t>
        </is>
      </c>
      <c r="G1492" s="4">
        <v>0.01218</v>
      </c>
      <c r="H1492" s="0" t="inlineStr">
        <is>
          <t xml:space="preserve">2022-06-13</t>
        </is>
      </c>
      <c r="I1492" s="0" t="inlineStr">
        <is>
          <t xml:space="preserve">no</t>
        </is>
      </c>
      <c r="K1492" s="0" t="inlineStr">
        <is>
          <t xml:space="preserve">NONE</t>
        </is>
      </c>
    </row>
    <row r="1493">
      <c r="B1493" s="0" t="inlineStr">
        <is>
          <t xml:space="preserve">N4044207P5540</t>
        </is>
      </c>
      <c r="D1493" s="0" t="inlineStr">
        <is>
          <t xml:space="preserve">other_small</t>
        </is>
      </c>
      <c r="E1493" s="0" t="inlineStr">
        <is>
          <t xml:space="preserve">THE ROWLAND COMPANY</t>
        </is>
      </c>
      <c r="F1493" s="0" t="inlineStr">
        <is>
          <t xml:space="preserve">B</t>
        </is>
      </c>
      <c r="G1493" s="4">
        <v>0.0121509</v>
      </c>
      <c r="H1493" s="0" t="inlineStr">
        <is>
          <t xml:space="preserve">2007-05-02</t>
        </is>
      </c>
      <c r="I1493" s="0" t="inlineStr">
        <is>
          <t xml:space="preserve">no</t>
        </is>
      </c>
      <c r="K1493" s="0" t="inlineStr">
        <is>
          <t xml:space="preserve">NONE</t>
        </is>
      </c>
    </row>
    <row r="1494">
      <c r="B1494" s="0" t="inlineStr">
        <is>
          <t xml:space="preserve">N5005422P0021</t>
        </is>
      </c>
      <c r="D1494" s="0" t="inlineStr">
        <is>
          <t xml:space="preserve">small_craft</t>
        </is>
      </c>
      <c r="E1494" s="0" t="inlineStr">
        <is>
          <t xml:space="preserve">THE ROWLAND COMPANY</t>
        </is>
      </c>
      <c r="F1494" s="0" t="inlineStr">
        <is>
          <t xml:space="preserve">B</t>
        </is>
      </c>
      <c r="G1494" s="4">
        <v>0.012149</v>
      </c>
      <c r="H1494" s="0" t="inlineStr">
        <is>
          <t xml:space="preserve">2021-12-01</t>
        </is>
      </c>
      <c r="I1494" s="0" t="inlineStr">
        <is>
          <t xml:space="preserve">no</t>
        </is>
      </c>
      <c r="K1494" s="0" t="inlineStr">
        <is>
          <t xml:space="preserve">NONE</t>
        </is>
      </c>
    </row>
    <row r="1495">
      <c r="B1495" s="0" t="inlineStr">
        <is>
          <t xml:space="preserve">N4044317P0294</t>
        </is>
      </c>
      <c r="D1495" s="0" t="inlineStr">
        <is>
          <t xml:space="preserve">small_craft</t>
        </is>
      </c>
      <c r="E1495" s="0" t="inlineStr">
        <is>
          <t xml:space="preserve">FASSMER SERVICE AMERICA LLC</t>
        </is>
      </c>
      <c r="F1495" s="0" t="inlineStr">
        <is>
          <t xml:space="preserve">B</t>
        </is>
      </c>
      <c r="G1495" s="4">
        <v>0.012069999999999999</v>
      </c>
      <c r="H1495" s="0" t="inlineStr">
        <is>
          <t xml:space="preserve">2017-05-11</t>
        </is>
      </c>
      <c r="I1495" s="0" t="inlineStr">
        <is>
          <t xml:space="preserve">no</t>
        </is>
      </c>
      <c r="K1495" s="0" t="inlineStr">
        <is>
          <t xml:space="preserve">NONE</t>
        </is>
      </c>
    </row>
    <row r="1496">
      <c r="B1496" s="0" t="inlineStr">
        <is>
          <t xml:space="preserve">N0010422PDA19</t>
        </is>
      </c>
      <c r="D1496" s="0" t="inlineStr">
        <is>
          <t xml:space="preserve">small_craft</t>
        </is>
      </c>
      <c r="E1496" s="0" t="inlineStr">
        <is>
          <t xml:space="preserve">DURAMAX MARINE, LLC</t>
        </is>
      </c>
      <c r="F1496" s="0" t="inlineStr">
        <is>
          <t xml:space="preserve">B</t>
        </is>
      </c>
      <c r="G1496" s="4">
        <v>0.012024</v>
      </c>
      <c r="H1496" s="0" t="inlineStr">
        <is>
          <t xml:space="preserve">2021-10-08</t>
        </is>
      </c>
      <c r="I1496" s="0" t="inlineStr">
        <is>
          <t xml:space="preserve">no</t>
        </is>
      </c>
      <c r="K1496" s="0" t="inlineStr">
        <is>
          <t xml:space="preserve">NONE</t>
        </is>
      </c>
    </row>
    <row r="1497">
      <c r="B1497" s="0" t="inlineStr">
        <is>
          <t xml:space="preserve">N0040622P0635</t>
        </is>
      </c>
      <c r="D1497" s="0" t="inlineStr">
        <is>
          <t xml:space="preserve">small_craft</t>
        </is>
      </c>
      <c r="E1497" s="0" t="inlineStr">
        <is>
          <t xml:space="preserve">J.D.A. MARITIME, INC.</t>
        </is>
      </c>
      <c r="F1497" s="0" t="inlineStr">
        <is>
          <t xml:space="preserve">B</t>
        </is>
      </c>
      <c r="G1497" s="4">
        <v>0.011989999999999999</v>
      </c>
      <c r="H1497" s="0" t="inlineStr">
        <is>
          <t xml:space="preserve">2022-07-20</t>
        </is>
      </c>
      <c r="I1497" s="0" t="inlineStr">
        <is>
          <t xml:space="preserve">no</t>
        </is>
      </c>
      <c r="J1497" s="0" t="inlineStr">
        <is>
          <t xml:space="preserve">N0040622Q0609</t>
        </is>
      </c>
      <c r="K1497" s="0" t="inlineStr">
        <is>
          <t xml:space="preserve">NONE</t>
        </is>
      </c>
    </row>
    <row r="1498">
      <c r="B1498" s="0" t="inlineStr">
        <is>
          <t xml:space="preserve">LH55</t>
        </is>
      </c>
      <c r="C1498" s="0" t="inlineStr">
        <is>
          <t xml:space="preserve">N6238715D2104</t>
        </is>
      </c>
      <c r="D1498" s="0" t="inlineStr">
        <is>
          <t xml:space="preserve">other_small</t>
        </is>
      </c>
      <c r="E1498" s="0" t="inlineStr">
        <is>
          <t xml:space="preserve">MCALLISTER TOWING AND TRANSPORTATION COMPANY, INC.</t>
        </is>
      </c>
      <c r="F1498" s="0" t="inlineStr">
        <is>
          <t xml:space="preserve">C</t>
        </is>
      </c>
      <c r="G1498" s="4">
        <v>0.011967499999999999</v>
      </c>
      <c r="H1498" s="0" t="inlineStr">
        <is>
          <t xml:space="preserve">2016-10-31</t>
        </is>
      </c>
      <c r="I1498" s="0" t="inlineStr">
        <is>
          <t xml:space="preserve">no</t>
        </is>
      </c>
      <c r="J1498" s="0" t="inlineStr">
        <is>
          <t xml:space="preserve">N6238715R2104</t>
        </is>
      </c>
      <c r="K1498" s="0" t="inlineStr">
        <is>
          <t xml:space="preserve">NONE</t>
        </is>
      </c>
    </row>
    <row r="1499">
      <c r="B1499" s="0" t="inlineStr">
        <is>
          <t xml:space="preserve">N0010424PBR71</t>
        </is>
      </c>
      <c r="D1499" s="0" t="inlineStr">
        <is>
          <t xml:space="preserve">small_craft</t>
        </is>
      </c>
      <c r="E1499" s="0" t="inlineStr">
        <is>
          <t xml:space="preserve">HANSOME ENERGY SYSTEMS INC</t>
        </is>
      </c>
      <c r="F1499" s="0" t="inlineStr">
        <is>
          <t xml:space="preserve">B</t>
        </is>
      </c>
      <c r="G1499" s="4">
        <v>0.011928</v>
      </c>
      <c r="H1499" s="0" t="inlineStr">
        <is>
          <t xml:space="preserve">2024-04-10</t>
        </is>
      </c>
      <c r="I1499" s="0" t="inlineStr">
        <is>
          <t xml:space="preserve">no</t>
        </is>
      </c>
      <c r="K1499" s="0" t="inlineStr">
        <is>
          <t xml:space="preserve">NONE</t>
        </is>
      </c>
    </row>
    <row r="1500">
      <c r="B1500" s="0" t="inlineStr">
        <is>
          <t xml:space="preserve">N0016421PJ087</t>
        </is>
      </c>
      <c r="D1500" s="0" t="inlineStr">
        <is>
          <t xml:space="preserve">small_craft</t>
        </is>
      </c>
      <c r="E1500" s="0" t="inlineStr">
        <is>
          <t xml:space="preserve">WILLIAM E. MUNSON COMPANY</t>
        </is>
      </c>
      <c r="F1500" s="0" t="inlineStr">
        <is>
          <t xml:space="preserve">B</t>
        </is>
      </c>
      <c r="G1500" s="4">
        <v>0.011672</v>
      </c>
      <c r="H1500" s="0" t="inlineStr">
        <is>
          <t xml:space="preserve">2021-06-15</t>
        </is>
      </c>
      <c r="I1500" s="0" t="inlineStr">
        <is>
          <t xml:space="preserve">no</t>
        </is>
      </c>
      <c r="K1500" s="0" t="inlineStr">
        <is>
          <t xml:space="preserve">NONE</t>
        </is>
      </c>
    </row>
    <row r="1501">
      <c r="B1501" s="0" t="inlineStr">
        <is>
          <t xml:space="preserve">N0040616P2175</t>
        </is>
      </c>
      <c r="D1501" s="0" t="inlineStr">
        <is>
          <t xml:space="preserve">small_craft</t>
        </is>
      </c>
      <c r="E1501" s="0" t="inlineStr">
        <is>
          <t xml:space="preserve">JUNIPER ELBOW CO. INC.</t>
        </is>
      </c>
      <c r="F1501" s="0" t="inlineStr">
        <is>
          <t xml:space="preserve">B</t>
        </is>
      </c>
      <c r="G1501" s="4">
        <v>0.011671299999999999</v>
      </c>
      <c r="H1501" s="0" t="inlineStr">
        <is>
          <t xml:space="preserve">2016-05-26</t>
        </is>
      </c>
      <c r="I1501" s="0" t="inlineStr">
        <is>
          <t xml:space="preserve">no</t>
        </is>
      </c>
      <c r="K1501" s="0" t="inlineStr">
        <is>
          <t xml:space="preserve">NONE</t>
        </is>
      </c>
    </row>
    <row r="1502">
      <c r="B1502" s="0" t="inlineStr">
        <is>
          <t xml:space="preserve">N0010422PDA20</t>
        </is>
      </c>
      <c r="D1502" s="0" t="inlineStr">
        <is>
          <t xml:space="preserve">small_craft</t>
        </is>
      </c>
      <c r="E1502" s="0" t="inlineStr">
        <is>
          <t xml:space="preserve">DURAMAX MARINE, LLC</t>
        </is>
      </c>
      <c r="F1502" s="0" t="inlineStr">
        <is>
          <t xml:space="preserve">B</t>
        </is>
      </c>
      <c r="G1502" s="4">
        <v>0.011616</v>
      </c>
      <c r="H1502" s="0" t="inlineStr">
        <is>
          <t xml:space="preserve">2021-10-08</t>
        </is>
      </c>
      <c r="I1502" s="0" t="inlineStr">
        <is>
          <t xml:space="preserve">no</t>
        </is>
      </c>
      <c r="K1502" s="0" t="inlineStr">
        <is>
          <t xml:space="preserve">NONE</t>
        </is>
      </c>
    </row>
    <row r="1503">
      <c r="B1503" s="0" t="inlineStr">
        <is>
          <t xml:space="preserve">N0010422PDA17</t>
        </is>
      </c>
      <c r="D1503" s="0" t="inlineStr">
        <is>
          <t xml:space="preserve">small_craft</t>
        </is>
      </c>
      <c r="E1503" s="0" t="inlineStr">
        <is>
          <t xml:space="preserve">DURAMAX MARINE, LLC</t>
        </is>
      </c>
      <c r="F1503" s="0" t="inlineStr">
        <is>
          <t xml:space="preserve">B</t>
        </is>
      </c>
      <c r="G1503" s="4">
        <v>0.011616</v>
      </c>
      <c r="H1503" s="0" t="inlineStr">
        <is>
          <t xml:space="preserve">2021-10-08</t>
        </is>
      </c>
      <c r="I1503" s="0" t="inlineStr">
        <is>
          <t xml:space="preserve">no</t>
        </is>
      </c>
      <c r="K1503" s="0" t="inlineStr">
        <is>
          <t xml:space="preserve">NONE</t>
        </is>
      </c>
    </row>
    <row r="1504">
      <c r="B1504" s="0" t="inlineStr">
        <is>
          <t xml:space="preserve">N0010422PDA16</t>
        </is>
      </c>
      <c r="D1504" s="0" t="inlineStr">
        <is>
          <t xml:space="preserve">small_craft</t>
        </is>
      </c>
      <c r="E1504" s="0" t="inlineStr">
        <is>
          <t xml:space="preserve">DURAMAX MARINE, LLC</t>
        </is>
      </c>
      <c r="F1504" s="0" t="inlineStr">
        <is>
          <t xml:space="preserve">B</t>
        </is>
      </c>
      <c r="G1504" s="4">
        <v>0.011616</v>
      </c>
      <c r="H1504" s="0" t="inlineStr">
        <is>
          <t xml:space="preserve">2021-10-08</t>
        </is>
      </c>
      <c r="I1504" s="0" t="inlineStr">
        <is>
          <t xml:space="preserve">no</t>
        </is>
      </c>
      <c r="K1504" s="0" t="inlineStr">
        <is>
          <t xml:space="preserve">NONE</t>
        </is>
      </c>
    </row>
    <row r="1505">
      <c r="B1505" s="0" t="inlineStr">
        <is>
          <t xml:space="preserve">N0040620P0342</t>
        </is>
      </c>
      <c r="D1505" s="0" t="inlineStr">
        <is>
          <t xml:space="preserve">small_craft</t>
        </is>
      </c>
      <c r="E1505" s="0" t="inlineStr">
        <is>
          <t xml:space="preserve">SAFE BOATS INTERNATIONAL LLC</t>
        </is>
      </c>
      <c r="F1505" s="0" t="inlineStr">
        <is>
          <t xml:space="preserve">B</t>
        </is>
      </c>
      <c r="G1505" s="4">
        <v>0.01152304</v>
      </c>
      <c r="H1505" s="0" t="inlineStr">
        <is>
          <t xml:space="preserve">2020-05-15</t>
        </is>
      </c>
      <c r="I1505" s="0" t="inlineStr">
        <is>
          <t xml:space="preserve">no</t>
        </is>
      </c>
      <c r="J1505" s="0" t="inlineStr">
        <is>
          <t xml:space="preserve">N0040620Q0213</t>
        </is>
      </c>
      <c r="K1505" s="0" t="inlineStr">
        <is>
          <t xml:space="preserve">NONE</t>
        </is>
      </c>
    </row>
    <row r="1506">
      <c r="B1506" s="0" t="inlineStr">
        <is>
          <t xml:space="preserve">N0010425PEB57</t>
        </is>
      </c>
      <c r="D1506" s="0" t="inlineStr">
        <is>
          <t xml:space="preserve">small_craft</t>
        </is>
      </c>
      <c r="E1506" s="0" t="inlineStr">
        <is>
          <t xml:space="preserve">GENERAL NUCLEAR CORP</t>
        </is>
      </c>
      <c r="F1506" s="0" t="inlineStr">
        <is>
          <t xml:space="preserve">B</t>
        </is>
      </c>
      <c r="G1506" s="4">
        <v>0.01149</v>
      </c>
      <c r="H1506" s="0" t="inlineStr">
        <is>
          <t xml:space="preserve">2025-09-15</t>
        </is>
      </c>
      <c r="I1506" s="0" t="inlineStr">
        <is>
          <t xml:space="preserve">yes</t>
        </is>
      </c>
      <c r="K1506" s="0" t="inlineStr">
        <is>
          <t xml:space="preserve">NONE</t>
        </is>
      </c>
    </row>
    <row r="1507">
      <c r="B1507" s="0" t="inlineStr">
        <is>
          <t xml:space="preserve">N6660415P2098</t>
        </is>
      </c>
      <c r="D1507" s="0" t="inlineStr">
        <is>
          <t xml:space="preserve">small_craft</t>
        </is>
      </c>
      <c r="E1507" s="0" t="inlineStr">
        <is>
          <t xml:space="preserve">NEW ENGLAND BOATWORKS, INC.</t>
        </is>
      </c>
      <c r="F1507" s="0" t="inlineStr">
        <is>
          <t xml:space="preserve">B</t>
        </is>
      </c>
      <c r="G1507" s="4">
        <v>0.011425999999999999</v>
      </c>
      <c r="H1507" s="0" t="inlineStr">
        <is>
          <t xml:space="preserve">2015-06-09</t>
        </is>
      </c>
      <c r="I1507" s="0" t="inlineStr">
        <is>
          <t xml:space="preserve">no</t>
        </is>
      </c>
      <c r="K1507" s="0" t="inlineStr">
        <is>
          <t xml:space="preserve">NONE</t>
        </is>
      </c>
    </row>
    <row r="1508">
      <c r="B1508" s="0" t="inlineStr">
        <is>
          <t xml:space="preserve">M0014616P2601</t>
        </is>
      </c>
      <c r="D1508" s="0" t="inlineStr">
        <is>
          <t xml:space="preserve">small_craft</t>
        </is>
      </c>
      <c r="E1508" s="0" t="inlineStr">
        <is>
          <t xml:space="preserve">CAROLINA SKIFF LLC</t>
        </is>
      </c>
      <c r="F1508" s="0" t="inlineStr">
        <is>
          <t xml:space="preserve">B</t>
        </is>
      </c>
      <c r="G1508" s="4">
        <v>0.011425999999999999</v>
      </c>
      <c r="H1508" s="0" t="inlineStr">
        <is>
          <t xml:space="preserve">2015-11-24</t>
        </is>
      </c>
      <c r="I1508" s="0" t="inlineStr">
        <is>
          <t xml:space="preserve">no</t>
        </is>
      </c>
      <c r="J1508" s="0" t="inlineStr">
        <is>
          <t xml:space="preserve">M0014616T2601</t>
        </is>
      </c>
      <c r="K1508" s="0" t="inlineStr">
        <is>
          <t xml:space="preserve">NONE</t>
        </is>
      </c>
    </row>
    <row r="1509">
      <c r="B1509" s="0" t="inlineStr">
        <is>
          <t xml:space="preserve">N0010419PNB29</t>
        </is>
      </c>
      <c r="D1509" s="0" t="inlineStr">
        <is>
          <t xml:space="preserve">small_craft</t>
        </is>
      </c>
      <c r="E1509" s="0" t="inlineStr">
        <is>
          <t xml:space="preserve">GK MECHANICAL SYSTEMS LLC</t>
        </is>
      </c>
      <c r="F1509" s="0" t="inlineStr">
        <is>
          <t xml:space="preserve">B</t>
        </is>
      </c>
      <c r="G1509" s="4">
        <v>0.011420999999999999</v>
      </c>
      <c r="H1509" s="0" t="inlineStr">
        <is>
          <t xml:space="preserve">2019-01-04</t>
        </is>
      </c>
      <c r="I1509" s="0" t="inlineStr">
        <is>
          <t xml:space="preserve">no</t>
        </is>
      </c>
      <c r="J1509" s="0" t="inlineStr">
        <is>
          <t xml:space="preserve">N0010419QNB88</t>
        </is>
      </c>
      <c r="K1509" s="0" t="inlineStr">
        <is>
          <t xml:space="preserve">NONE</t>
        </is>
      </c>
    </row>
    <row r="1510">
      <c r="B1510" s="0" t="inlineStr">
        <is>
          <t xml:space="preserve">N0010422PLD97</t>
        </is>
      </c>
      <c r="D1510" s="0" t="inlineStr">
        <is>
          <t xml:space="preserve">small_craft</t>
        </is>
      </c>
      <c r="E1510" s="0" t="inlineStr">
        <is>
          <t xml:space="preserve">ESI ACQUISITION CORP</t>
        </is>
      </c>
      <c r="F1510" s="0" t="inlineStr">
        <is>
          <t xml:space="preserve">B</t>
        </is>
      </c>
      <c r="G1510" s="4">
        <v>0.011399999999999999</v>
      </c>
      <c r="H1510" s="0" t="inlineStr">
        <is>
          <t xml:space="preserve">2022-08-19</t>
        </is>
      </c>
      <c r="I1510" s="0" t="inlineStr">
        <is>
          <t xml:space="preserve">no</t>
        </is>
      </c>
      <c r="K1510" s="0" t="inlineStr">
        <is>
          <t xml:space="preserve">NONE</t>
        </is>
      </c>
    </row>
    <row r="1511">
      <c r="B1511" s="0" t="inlineStr">
        <is>
          <t xml:space="preserve">N0040620P0188</t>
        </is>
      </c>
      <c r="D1511" s="0" t="inlineStr">
        <is>
          <t xml:space="preserve">small_craft</t>
        </is>
      </c>
      <c r="E1511" s="0" t="inlineStr">
        <is>
          <t xml:space="preserve">ELLISON BRONZE INC</t>
        </is>
      </c>
      <c r="F1511" s="0" t="inlineStr">
        <is>
          <t xml:space="preserve">B</t>
        </is>
      </c>
      <c r="G1511" s="4">
        <v>0.011349999999999999</v>
      </c>
      <c r="H1511" s="0" t="inlineStr">
        <is>
          <t xml:space="preserve">2020-03-02</t>
        </is>
      </c>
      <c r="I1511" s="0" t="inlineStr">
        <is>
          <t xml:space="preserve">no</t>
        </is>
      </c>
      <c r="J1511" s="0" t="inlineStr">
        <is>
          <t xml:space="preserve">N0040620Q0099</t>
        </is>
      </c>
      <c r="K1511" s="0" t="inlineStr">
        <is>
          <t xml:space="preserve">NONE</t>
        </is>
      </c>
    </row>
    <row r="1512">
      <c r="B1512" s="0" t="inlineStr">
        <is>
          <t xml:space="preserve">1005</t>
        </is>
      </c>
      <c r="C1512" s="0" t="inlineStr">
        <is>
          <t xml:space="preserve">N0010416DX004</t>
        </is>
      </c>
      <c r="D1512" s="0" t="inlineStr">
        <is>
          <t xml:space="preserve">small_craft</t>
        </is>
      </c>
      <c r="E1512" s="0" t="inlineStr">
        <is>
          <t xml:space="preserve">WING INFLATABLES INC</t>
        </is>
      </c>
      <c r="F1512" s="0" t="inlineStr">
        <is>
          <t xml:space="preserve">C</t>
        </is>
      </c>
      <c r="G1512" s="4">
        <v>0.011332</v>
      </c>
      <c r="H1512" s="0" t="inlineStr">
        <is>
          <t xml:space="preserve">2016-10-17</t>
        </is>
      </c>
      <c r="I1512" s="0" t="inlineStr">
        <is>
          <t xml:space="preserve">no</t>
        </is>
      </c>
      <c r="K1512" s="0" t="inlineStr">
        <is>
          <t xml:space="preserve">NONE</t>
        </is>
      </c>
    </row>
    <row r="1513">
      <c r="B1513" s="0" t="inlineStr">
        <is>
          <t xml:space="preserve">N0040617P3031</t>
        </is>
      </c>
      <c r="D1513" s="0" t="inlineStr">
        <is>
          <t xml:space="preserve">small_craft</t>
        </is>
      </c>
      <c r="E1513" s="0" t="inlineStr">
        <is>
          <t xml:space="preserve">ADVANCED STRUCTURES CORPORATION</t>
        </is>
      </c>
      <c r="F1513" s="0" t="inlineStr">
        <is>
          <t xml:space="preserve">B</t>
        </is>
      </c>
      <c r="G1513" s="4">
        <v>0.011241</v>
      </c>
      <c r="H1513" s="0" t="inlineStr">
        <is>
          <t xml:space="preserve">2017-09-20</t>
        </is>
      </c>
      <c r="I1513" s="0" t="inlineStr">
        <is>
          <t xml:space="preserve">no</t>
        </is>
      </c>
      <c r="K1513" s="0" t="inlineStr">
        <is>
          <t xml:space="preserve">NONE</t>
        </is>
      </c>
    </row>
    <row r="1514">
      <c r="B1514" s="0" t="inlineStr">
        <is>
          <t xml:space="preserve">N0040618P1784</t>
        </is>
      </c>
      <c r="D1514" s="0" t="inlineStr">
        <is>
          <t xml:space="preserve">small_craft</t>
        </is>
      </c>
      <c r="E1514" s="0" t="inlineStr">
        <is>
          <t xml:space="preserve">J.D.A. MARITIME, INC.</t>
        </is>
      </c>
      <c r="F1514" s="0" t="inlineStr">
        <is>
          <t xml:space="preserve">B</t>
        </is>
      </c>
      <c r="G1514" s="4">
        <v>0.011229999999999999</v>
      </c>
      <c r="H1514" s="0" t="inlineStr">
        <is>
          <t xml:space="preserve">2018-09-26</t>
        </is>
      </c>
      <c r="I1514" s="0" t="inlineStr">
        <is>
          <t xml:space="preserve">no</t>
        </is>
      </c>
      <c r="K1514" s="0" t="inlineStr">
        <is>
          <t xml:space="preserve">NONE</t>
        </is>
      </c>
    </row>
    <row r="1515">
      <c r="B1515" s="0" t="inlineStr">
        <is>
          <t xml:space="preserve">N4044617P0025</t>
        </is>
      </c>
      <c r="D1515" s="0" t="inlineStr">
        <is>
          <t xml:space="preserve">small_craft</t>
        </is>
      </c>
      <c r="E1515" s="0" t="inlineStr">
        <is>
          <t xml:space="preserve">FASSMER SERVICE AMERICA LLC</t>
        </is>
      </c>
      <c r="F1515" s="0" t="inlineStr">
        <is>
          <t xml:space="preserve">B</t>
        </is>
      </c>
      <c r="G1515" s="4">
        <v>0.011202</v>
      </c>
      <c r="H1515" s="0" t="inlineStr">
        <is>
          <t xml:space="preserve">2016-12-05</t>
        </is>
      </c>
      <c r="I1515" s="0" t="inlineStr">
        <is>
          <t xml:space="preserve">no</t>
        </is>
      </c>
      <c r="J1515" s="0" t="inlineStr">
        <is>
          <t xml:space="preserve">N4044617T0022</t>
        </is>
      </c>
      <c r="K1515" s="0" t="inlineStr">
        <is>
          <t xml:space="preserve">NONE</t>
        </is>
      </c>
    </row>
    <row r="1516">
      <c r="B1516" s="0" t="inlineStr">
        <is>
          <t xml:space="preserve">N4044212P8439</t>
        </is>
      </c>
      <c r="D1516" s="0" t="inlineStr">
        <is>
          <t xml:space="preserve">small_craft</t>
        </is>
      </c>
      <c r="E1516" s="0" t="inlineStr">
        <is>
          <t xml:space="preserve">WING INFLATABLES INC</t>
        </is>
      </c>
      <c r="F1516" s="0" t="inlineStr">
        <is>
          <t xml:space="preserve">B</t>
        </is>
      </c>
      <c r="G1516" s="4">
        <v>0.0111865</v>
      </c>
      <c r="H1516" s="0" t="inlineStr">
        <is>
          <t xml:space="preserve">2012-05-14</t>
        </is>
      </c>
      <c r="I1516" s="0" t="inlineStr">
        <is>
          <t xml:space="preserve">no</t>
        </is>
      </c>
      <c r="K1516" s="0" t="inlineStr">
        <is>
          <t xml:space="preserve">NONE</t>
        </is>
      </c>
    </row>
    <row r="1517">
      <c r="B1517" s="0" t="inlineStr">
        <is>
          <t xml:space="preserve">N0010420PEK47</t>
        </is>
      </c>
      <c r="D1517" s="0" t="inlineStr">
        <is>
          <t xml:space="preserve">small_craft</t>
        </is>
      </c>
      <c r="E1517" s="0" t="inlineStr">
        <is>
          <t xml:space="preserve">AIRGAS USA LLC</t>
        </is>
      </c>
      <c r="F1517" s="0" t="inlineStr">
        <is>
          <t xml:space="preserve">B</t>
        </is>
      </c>
      <c r="G1517" s="4">
        <v>0.011179999999999999</v>
      </c>
      <c r="H1517" s="0" t="inlineStr">
        <is>
          <t xml:space="preserve">2020-07-01</t>
        </is>
      </c>
      <c r="I1517" s="0" t="inlineStr">
        <is>
          <t xml:space="preserve">no</t>
        </is>
      </c>
      <c r="K1517" s="0" t="inlineStr">
        <is>
          <t xml:space="preserve">NONE</t>
        </is>
      </c>
    </row>
    <row r="1518">
      <c r="B1518" s="0" t="inlineStr">
        <is>
          <t xml:space="preserve">N4044208P5569</t>
        </is>
      </c>
      <c r="D1518" s="0" t="inlineStr">
        <is>
          <t xml:space="preserve">small_craft</t>
        </is>
      </c>
      <c r="E1518" s="0" t="inlineStr">
        <is>
          <t xml:space="preserve">WILLARD MARINE, INC.</t>
        </is>
      </c>
      <c r="F1518" s="0" t="inlineStr">
        <is>
          <t xml:space="preserve">B</t>
        </is>
      </c>
      <c r="G1518" s="4">
        <v>0.01111877</v>
      </c>
      <c r="H1518" s="0" t="inlineStr">
        <is>
          <t xml:space="preserve">2008-03-18</t>
        </is>
      </c>
      <c r="I1518" s="0" t="inlineStr">
        <is>
          <t xml:space="preserve">no</t>
        </is>
      </c>
      <c r="K1518" s="0" t="inlineStr">
        <is>
          <t xml:space="preserve">NONE</t>
        </is>
      </c>
    </row>
    <row r="1519">
      <c r="B1519" s="0" t="inlineStr">
        <is>
          <t xml:space="preserve">N3220517P4286</t>
        </is>
      </c>
      <c r="D1519" s="0" t="inlineStr">
        <is>
          <t xml:space="preserve">small_craft</t>
        </is>
      </c>
      <c r="E1519" s="0" t="inlineStr">
        <is>
          <t xml:space="preserve">J. W. MARINE EQUIPMENT, INC.</t>
        </is>
      </c>
      <c r="F1519" s="0" t="inlineStr">
        <is>
          <t xml:space="preserve">B</t>
        </is>
      </c>
      <c r="G1519" s="4">
        <v>0.0111154</v>
      </c>
      <c r="H1519" s="0" t="inlineStr">
        <is>
          <t xml:space="preserve">2016-12-07</t>
        </is>
      </c>
      <c r="I1519" s="0" t="inlineStr">
        <is>
          <t xml:space="preserve">no</t>
        </is>
      </c>
      <c r="J1519" s="0" t="inlineStr">
        <is>
          <t xml:space="preserve">N3220517T4286</t>
        </is>
      </c>
      <c r="K1519" s="0" t="inlineStr">
        <is>
          <t xml:space="preserve">NONE</t>
        </is>
      </c>
    </row>
    <row r="1520">
      <c r="B1520" s="0" t="inlineStr">
        <is>
          <t xml:space="preserve">N0010424PBL42</t>
        </is>
      </c>
      <c r="D1520" s="0" t="inlineStr">
        <is>
          <t xml:space="preserve">small_craft</t>
        </is>
      </c>
      <c r="E1520" s="0" t="inlineStr">
        <is>
          <t xml:space="preserve">GAFFEL EQUIPMENT</t>
        </is>
      </c>
      <c r="F1520" s="0" t="inlineStr">
        <is>
          <t xml:space="preserve">B</t>
        </is>
      </c>
      <c r="G1520" s="4">
        <v>0.011115</v>
      </c>
      <c r="H1520" s="0" t="inlineStr">
        <is>
          <t xml:space="preserve">2024-02-16</t>
        </is>
      </c>
      <c r="I1520" s="0" t="inlineStr">
        <is>
          <t xml:space="preserve">no</t>
        </is>
      </c>
      <c r="K1520" s="0" t="inlineStr">
        <is>
          <t xml:space="preserve">NONE</t>
        </is>
      </c>
    </row>
    <row r="1521">
      <c r="B1521" s="0" t="inlineStr">
        <is>
          <t xml:space="preserve">N0010421PLA49</t>
        </is>
      </c>
      <c r="D1521" s="0" t="inlineStr">
        <is>
          <t xml:space="preserve">small_craft</t>
        </is>
      </c>
      <c r="E1521" s="0" t="inlineStr">
        <is>
          <t xml:space="preserve">CORNET TECHNOLOGY, INC.</t>
        </is>
      </c>
      <c r="F1521" s="0" t="inlineStr">
        <is>
          <t xml:space="preserve">B</t>
        </is>
      </c>
      <c r="G1521" s="4">
        <v>0.011087999999999999</v>
      </c>
      <c r="H1521" s="0" t="inlineStr">
        <is>
          <t xml:space="preserve">2020-12-04</t>
        </is>
      </c>
      <c r="I1521" s="0" t="inlineStr">
        <is>
          <t xml:space="preserve">no</t>
        </is>
      </c>
      <c r="J1521" s="0" t="inlineStr">
        <is>
          <t xml:space="preserve">N0010420QLC72</t>
        </is>
      </c>
      <c r="K1521" s="0" t="inlineStr">
        <is>
          <t xml:space="preserve">NONE</t>
        </is>
      </c>
    </row>
    <row r="1522">
      <c r="B1522" s="0" t="inlineStr">
        <is>
          <t xml:space="preserve">N0010422PEE19</t>
        </is>
      </c>
      <c r="D1522" s="0" t="inlineStr">
        <is>
          <t xml:space="preserve">small_craft</t>
        </is>
      </c>
      <c r="E1522" s="0" t="inlineStr">
        <is>
          <t xml:space="preserve">IN SPECK CORP</t>
        </is>
      </c>
      <c r="F1522" s="0" t="inlineStr">
        <is>
          <t xml:space="preserve">B</t>
        </is>
      </c>
      <c r="G1522" s="4">
        <v>0.01108765</v>
      </c>
      <c r="H1522" s="0" t="inlineStr">
        <is>
          <t xml:space="preserve">2022-06-09</t>
        </is>
      </c>
      <c r="I1522" s="0" t="inlineStr">
        <is>
          <t xml:space="preserve">no</t>
        </is>
      </c>
      <c r="K1522" s="0" t="inlineStr">
        <is>
          <t xml:space="preserve">NONE</t>
        </is>
      </c>
    </row>
    <row r="1523">
      <c r="B1523" s="0" t="inlineStr">
        <is>
          <t xml:space="preserve">N0010424PSC23</t>
        </is>
      </c>
      <c r="D1523" s="0" t="inlineStr">
        <is>
          <t xml:space="preserve">small_craft</t>
        </is>
      </c>
      <c r="E1523" s="0" t="inlineStr">
        <is>
          <t xml:space="preserve">GEODESICX, INC.</t>
        </is>
      </c>
      <c r="F1523" s="0" t="inlineStr">
        <is>
          <t xml:space="preserve">B</t>
        </is>
      </c>
      <c r="G1523" s="4">
        <v>0.011046</v>
      </c>
      <c r="H1523" s="0" t="inlineStr">
        <is>
          <t xml:space="preserve">2024-07-10</t>
        </is>
      </c>
      <c r="I1523" s="0" t="inlineStr">
        <is>
          <t xml:space="preserve">no</t>
        </is>
      </c>
      <c r="K1523" s="0" t="inlineStr">
        <is>
          <t xml:space="preserve">NONE</t>
        </is>
      </c>
    </row>
    <row r="1524">
      <c r="B1524" s="0" t="inlineStr">
        <is>
          <t xml:space="preserve">N0010421PDC83</t>
        </is>
      </c>
      <c r="D1524" s="0" t="inlineStr">
        <is>
          <t xml:space="preserve">small_craft</t>
        </is>
      </c>
      <c r="E1524" s="0" t="inlineStr">
        <is>
          <t xml:space="preserve">AW DEVELOPMENTS EXPORTS LTD</t>
        </is>
      </c>
      <c r="F1524" s="0" t="inlineStr">
        <is>
          <t xml:space="preserve">B</t>
        </is>
      </c>
      <c r="G1524" s="4">
        <v>0.01103</v>
      </c>
      <c r="H1524" s="0" t="inlineStr">
        <is>
          <t xml:space="preserve">2021-08-10</t>
        </is>
      </c>
      <c r="I1524" s="0" t="inlineStr">
        <is>
          <t xml:space="preserve">no</t>
        </is>
      </c>
      <c r="K1524" s="0" t="inlineStr">
        <is>
          <t xml:space="preserve">NONE</t>
        </is>
      </c>
    </row>
    <row r="1525">
      <c r="B1525" s="0" t="inlineStr">
        <is>
          <t xml:space="preserve">N4044319P0065</t>
        </is>
      </c>
      <c r="D1525" s="0" t="inlineStr">
        <is>
          <t xml:space="preserve">small_craft</t>
        </is>
      </c>
      <c r="E1525" s="0" t="inlineStr">
        <is>
          <t xml:space="preserve">ZODIAC OF NORTH AMERICA, INC.</t>
        </is>
      </c>
      <c r="F1525" s="0" t="inlineStr">
        <is>
          <t xml:space="preserve">B</t>
        </is>
      </c>
      <c r="G1525" s="4">
        <v>0.01102133</v>
      </c>
      <c r="H1525" s="0" t="inlineStr">
        <is>
          <t xml:space="preserve">2018-12-17</t>
        </is>
      </c>
      <c r="I1525" s="0" t="inlineStr">
        <is>
          <t xml:space="preserve">no</t>
        </is>
      </c>
      <c r="K1525" s="0" t="inlineStr">
        <is>
          <t xml:space="preserve">NONE</t>
        </is>
      </c>
    </row>
    <row r="1526">
      <c r="B1526" s="0" t="inlineStr">
        <is>
          <t xml:space="preserve">N0010425PBX96</t>
        </is>
      </c>
      <c r="D1526" s="0" t="inlineStr">
        <is>
          <t xml:space="preserve">small_craft</t>
        </is>
      </c>
      <c r="E1526" s="0" t="inlineStr">
        <is>
          <t xml:space="preserve">ADIRONDACK ELECTRONICS INC</t>
        </is>
      </c>
      <c r="F1526" s="0" t="inlineStr">
        <is>
          <t xml:space="preserve">B</t>
        </is>
      </c>
      <c r="G1526" s="4">
        <v>0.01098</v>
      </c>
      <c r="H1526" s="0" t="inlineStr">
        <is>
          <t xml:space="preserve">2025-07-10</t>
        </is>
      </c>
      <c r="I1526" s="0" t="inlineStr">
        <is>
          <t xml:space="preserve">yes</t>
        </is>
      </c>
      <c r="K1526" s="0" t="inlineStr">
        <is>
          <t xml:space="preserve">NONE</t>
        </is>
      </c>
    </row>
    <row r="1527">
      <c r="B1527" s="0" t="inlineStr">
        <is>
          <t xml:space="preserve">N0040619P0201</t>
        </is>
      </c>
      <c r="D1527" s="0" t="inlineStr">
        <is>
          <t xml:space="preserve">small_craft</t>
        </is>
      </c>
      <c r="E1527" s="0" t="inlineStr">
        <is>
          <t xml:space="preserve">ELLISON BRONZE INC</t>
        </is>
      </c>
      <c r="F1527" s="0" t="inlineStr">
        <is>
          <t xml:space="preserve">B</t>
        </is>
      </c>
      <c r="G1527" s="4">
        <v>0.01095</v>
      </c>
      <c r="H1527" s="0" t="inlineStr">
        <is>
          <t xml:space="preserve">2019-03-04</t>
        </is>
      </c>
      <c r="I1527" s="0" t="inlineStr">
        <is>
          <t xml:space="preserve">no</t>
        </is>
      </c>
      <c r="K1527" s="0" t="inlineStr">
        <is>
          <t xml:space="preserve">NONE</t>
        </is>
      </c>
    </row>
    <row r="1528">
      <c r="B1528" s="0" t="inlineStr">
        <is>
          <t xml:space="preserve">N6817125PN004</t>
        </is>
      </c>
      <c r="D1528" s="0" t="inlineStr">
        <is>
          <t xml:space="preserve">other_small</t>
        </is>
      </c>
      <c r="E1528" s="0" t="inlineStr">
        <is>
          <t xml:space="preserve">MISCELLANEOUS FOREIGN AWARDEES</t>
        </is>
      </c>
      <c r="F1528" s="0" t="inlineStr">
        <is>
          <t xml:space="preserve">B</t>
        </is>
      </c>
      <c r="G1528" s="4">
        <v>0.01094713</v>
      </c>
      <c r="H1528" s="0" t="inlineStr">
        <is>
          <t xml:space="preserve">2025-09-03</t>
        </is>
      </c>
      <c r="I1528" s="0" t="inlineStr">
        <is>
          <t xml:space="preserve">yes</t>
        </is>
      </c>
      <c r="K1528" s="0" t="inlineStr">
        <is>
          <t xml:space="preserve">NONE</t>
        </is>
      </c>
    </row>
    <row r="1529">
      <c r="B1529" s="0" t="inlineStr">
        <is>
          <t xml:space="preserve">N0010422PEF38</t>
        </is>
      </c>
      <c r="D1529" s="0" t="inlineStr">
        <is>
          <t xml:space="preserve">small_craft</t>
        </is>
      </c>
      <c r="E1529" s="0" t="inlineStr">
        <is>
          <t xml:space="preserve">ADIRONDACK ELECTRONICS INC</t>
        </is>
      </c>
      <c r="F1529" s="0" t="inlineStr">
        <is>
          <t xml:space="preserve">B</t>
        </is>
      </c>
      <c r="G1529" s="4">
        <v>0.01090116</v>
      </c>
      <c r="H1529" s="0" t="inlineStr">
        <is>
          <t xml:space="preserve">2022-07-15</t>
        </is>
      </c>
      <c r="I1529" s="0" t="inlineStr">
        <is>
          <t xml:space="preserve">no</t>
        </is>
      </c>
      <c r="K1529" s="0" t="inlineStr">
        <is>
          <t xml:space="preserve">NONE</t>
        </is>
      </c>
    </row>
    <row r="1530">
      <c r="B1530" s="0" t="inlineStr">
        <is>
          <t xml:space="preserve">N0010425PYE04</t>
        </is>
      </c>
      <c r="D1530" s="0" t="inlineStr">
        <is>
          <t xml:space="preserve">small_craft</t>
        </is>
      </c>
      <c r="E1530" s="0" t="inlineStr">
        <is>
          <t xml:space="preserve">TRIMAN INDUSTRIES INC</t>
        </is>
      </c>
      <c r="F1530" s="0" t="inlineStr">
        <is>
          <t xml:space="preserve">B</t>
        </is>
      </c>
      <c r="G1530" s="4">
        <v>0.01082675</v>
      </c>
      <c r="H1530" s="0" t="inlineStr">
        <is>
          <t xml:space="preserve">2025-08-06</t>
        </is>
      </c>
      <c r="I1530" s="0" t="inlineStr">
        <is>
          <t xml:space="preserve">yes</t>
        </is>
      </c>
      <c r="J1530" s="0" t="inlineStr">
        <is>
          <t xml:space="preserve">N0010425QYJ90</t>
        </is>
      </c>
      <c r="K1530" s="0" t="inlineStr">
        <is>
          <t xml:space="preserve">NONE</t>
        </is>
      </c>
    </row>
    <row r="1531">
      <c r="B1531" s="0" t="inlineStr">
        <is>
          <t xml:space="preserve">M6700121P1279</t>
        </is>
      </c>
      <c r="D1531" s="0" t="inlineStr">
        <is>
          <t xml:space="preserve">small_craft</t>
        </is>
      </c>
      <c r="E1531" s="0" t="inlineStr">
        <is>
          <t xml:space="preserve">WILDCAT PROPELLERS, INC</t>
        </is>
      </c>
      <c r="F1531" s="0" t="inlineStr">
        <is>
          <t xml:space="preserve">B</t>
        </is>
      </c>
      <c r="G1531" s="4">
        <v>0.010799999999999999</v>
      </c>
      <c r="H1531" s="0" t="inlineStr">
        <is>
          <t xml:space="preserve">2021-09-27</t>
        </is>
      </c>
      <c r="I1531" s="0" t="inlineStr">
        <is>
          <t xml:space="preserve">no</t>
        </is>
      </c>
      <c r="J1531" s="0" t="inlineStr">
        <is>
          <t xml:space="preserve">M6700121Q1303</t>
        </is>
      </c>
      <c r="K1531" s="0" t="inlineStr">
        <is>
          <t xml:space="preserve">NONE</t>
        </is>
      </c>
    </row>
    <row r="1532">
      <c r="B1532" s="0" t="inlineStr">
        <is>
          <t xml:space="preserve">N0040615P2035</t>
        </is>
      </c>
      <c r="D1532" s="0" t="inlineStr">
        <is>
          <t xml:space="preserve">small_craft</t>
        </is>
      </c>
      <c r="E1532" s="0" t="inlineStr">
        <is>
          <t xml:space="preserve">RAILWAY SPECIALTIES CORP</t>
        </is>
      </c>
      <c r="F1532" s="0" t="inlineStr">
        <is>
          <t xml:space="preserve">B</t>
        </is>
      </c>
      <c r="G1532" s="4">
        <v>0.010785999999999999</v>
      </c>
      <c r="H1532" s="0" t="inlineStr">
        <is>
          <t xml:space="preserve">2015-04-13</t>
        </is>
      </c>
      <c r="I1532" s="0" t="inlineStr">
        <is>
          <t xml:space="preserve">no</t>
        </is>
      </c>
      <c r="K1532" s="0" t="inlineStr">
        <is>
          <t xml:space="preserve">NONE</t>
        </is>
      </c>
    </row>
    <row r="1533">
      <c r="B1533" s="0" t="inlineStr">
        <is>
          <t xml:space="preserve">0011</t>
        </is>
      </c>
      <c r="C1533" s="0" t="inlineStr">
        <is>
          <t xml:space="preserve">N6230613D9S01</t>
        </is>
      </c>
      <c r="D1533" s="0" t="inlineStr">
        <is>
          <t xml:space="preserve">small_craft</t>
        </is>
      </c>
      <c r="E1533" s="0" t="inlineStr">
        <is>
          <t xml:space="preserve">SAUNDERS ENGINE &amp; EQUIPMENT CO INC</t>
        </is>
      </c>
      <c r="F1533" s="0" t="inlineStr">
        <is>
          <t xml:space="preserve">C</t>
        </is>
      </c>
      <c r="G1533" s="4">
        <v>0.01073506</v>
      </c>
      <c r="H1533" s="0" t="inlineStr">
        <is>
          <t xml:space="preserve">2014-09-19</t>
        </is>
      </c>
      <c r="I1533" s="0" t="inlineStr">
        <is>
          <t xml:space="preserve">no</t>
        </is>
      </c>
      <c r="J1533" s="0" t="inlineStr">
        <is>
          <t xml:space="preserve">N6230612R9S01</t>
        </is>
      </c>
      <c r="K1533" s="0" t="inlineStr">
        <is>
          <t xml:space="preserve">NONE</t>
        </is>
      </c>
    </row>
    <row r="1534">
      <c r="B1534" s="0" t="inlineStr">
        <is>
          <t xml:space="preserve">N0010422PDD80</t>
        </is>
      </c>
      <c r="D1534" s="0" t="inlineStr">
        <is>
          <t xml:space="preserve">small_craft</t>
        </is>
      </c>
      <c r="E1534" s="0" t="inlineStr">
        <is>
          <t xml:space="preserve">KAMPI COMPONENTS CO INC</t>
        </is>
      </c>
      <c r="F1534" s="0" t="inlineStr">
        <is>
          <t xml:space="preserve">B</t>
        </is>
      </c>
      <c r="G1534" s="4">
        <v>0.010709999999999999</v>
      </c>
      <c r="H1534" s="0" t="inlineStr">
        <is>
          <t xml:space="preserve">2022-09-08</t>
        </is>
      </c>
      <c r="I1534" s="0" t="inlineStr">
        <is>
          <t xml:space="preserve">no</t>
        </is>
      </c>
      <c r="K1534" s="0" t="inlineStr">
        <is>
          <t xml:space="preserve">NONE</t>
        </is>
      </c>
    </row>
    <row r="1535">
      <c r="B1535" s="0" t="inlineStr">
        <is>
          <t xml:space="preserve">N6146320FLH07</t>
        </is>
      </c>
      <c r="C1535" s="0" t="inlineStr">
        <is>
          <t xml:space="preserve">N6238715D2104</t>
        </is>
      </c>
      <c r="D1535" s="0" t="inlineStr">
        <is>
          <t xml:space="preserve">other_small</t>
        </is>
      </c>
      <c r="E1535" s="0" t="inlineStr">
        <is>
          <t xml:space="preserve">MCALLISTER TOWING AND TRANSPORTATION COMPANY, INC.</t>
        </is>
      </c>
      <c r="F1535" s="0" t="inlineStr">
        <is>
          <t xml:space="preserve">C</t>
        </is>
      </c>
      <c r="G1535" s="4">
        <v>0.010694</v>
      </c>
      <c r="H1535" s="0" t="inlineStr">
        <is>
          <t xml:space="preserve">2020-08-03</t>
        </is>
      </c>
      <c r="I1535" s="0" t="inlineStr">
        <is>
          <t xml:space="preserve">no</t>
        </is>
      </c>
      <c r="J1535" s="0" t="inlineStr">
        <is>
          <t xml:space="preserve">N6238715R2104</t>
        </is>
      </c>
      <c r="K1535" s="0" t="inlineStr">
        <is>
          <t xml:space="preserve">NONE</t>
        </is>
      </c>
    </row>
    <row r="1536">
      <c r="B1536" s="0" t="inlineStr">
        <is>
          <t xml:space="preserve">N0010424PYC55</t>
        </is>
      </c>
      <c r="D1536" s="0" t="inlineStr">
        <is>
          <t xml:space="preserve">small_craft</t>
        </is>
      </c>
      <c r="E1536" s="0" t="inlineStr">
        <is>
          <t xml:space="preserve">ITL LLC</t>
        </is>
      </c>
      <c r="F1536" s="0" t="inlineStr">
        <is>
          <t xml:space="preserve">B</t>
        </is>
      </c>
      <c r="G1536" s="4">
        <v>0.0106905</v>
      </c>
      <c r="H1536" s="0" t="inlineStr">
        <is>
          <t xml:space="preserve">2024-09-19</t>
        </is>
      </c>
      <c r="I1536" s="0" t="inlineStr">
        <is>
          <t xml:space="preserve">no</t>
        </is>
      </c>
      <c r="J1536" s="0" t="inlineStr">
        <is>
          <t xml:space="preserve">N0010424QZB41</t>
        </is>
      </c>
      <c r="K1536" s="0" t="inlineStr">
        <is>
          <t xml:space="preserve">NONE</t>
        </is>
      </c>
    </row>
    <row r="1537">
      <c r="B1537" s="0" t="inlineStr">
        <is>
          <t xml:space="preserve">N0010426PTA08</t>
        </is>
      </c>
      <c r="D1537" s="0" t="inlineStr">
        <is>
          <t xml:space="preserve">small_craft</t>
        </is>
      </c>
      <c r="E1537" s="0" t="inlineStr">
        <is>
          <t xml:space="preserve">KAMPI COMPONENTS CO INC</t>
        </is>
      </c>
      <c r="F1537" s="0" t="inlineStr">
        <is>
          <t xml:space="preserve">B</t>
        </is>
      </c>
      <c r="G1537" s="4">
        <v>0.01064765</v>
      </c>
      <c r="H1537" s="0" t="inlineStr">
        <is>
          <t xml:space="preserve">2025-11-03</t>
        </is>
      </c>
      <c r="I1537" s="0" t="inlineStr">
        <is>
          <t xml:space="preserve">yes</t>
        </is>
      </c>
      <c r="J1537" s="0" t="inlineStr">
        <is>
          <t xml:space="preserve">N0010425QCC06</t>
        </is>
      </c>
      <c r="K1537" s="0" t="inlineStr">
        <is>
          <t xml:space="preserve">NONE</t>
        </is>
      </c>
    </row>
    <row r="1538">
      <c r="B1538" s="0" t="inlineStr">
        <is>
          <t xml:space="preserve">N0010421PLA20</t>
        </is>
      </c>
      <c r="D1538" s="0" t="inlineStr">
        <is>
          <t xml:space="preserve">small_craft</t>
        </is>
      </c>
      <c r="E1538" s="0" t="inlineStr">
        <is>
          <t xml:space="preserve">DYNALEC CORPORATION</t>
        </is>
      </c>
      <c r="F1538" s="0" t="inlineStr">
        <is>
          <t xml:space="preserve">B</t>
        </is>
      </c>
      <c r="G1538" s="4">
        <v>0.010576</v>
      </c>
      <c r="H1538" s="0" t="inlineStr">
        <is>
          <t xml:space="preserve">2020-11-20</t>
        </is>
      </c>
      <c r="I1538" s="0" t="inlineStr">
        <is>
          <t xml:space="preserve">no</t>
        </is>
      </c>
      <c r="J1538" s="0" t="inlineStr">
        <is>
          <t xml:space="preserve">N0010420QLD10</t>
        </is>
      </c>
      <c r="K1538" s="0" t="inlineStr">
        <is>
          <t xml:space="preserve">NONE</t>
        </is>
      </c>
    </row>
    <row r="1539">
      <c r="B1539" s="0" t="inlineStr">
        <is>
          <t xml:space="preserve">N0018917P0299</t>
        </is>
      </c>
      <c r="D1539" s="0" t="inlineStr">
        <is>
          <t xml:space="preserve">small_craft</t>
        </is>
      </c>
      <c r="E1539" s="0" t="inlineStr">
        <is>
          <t xml:space="preserve">BEACH MARINE SERVICES INC</t>
        </is>
      </c>
      <c r="F1539" s="0" t="inlineStr">
        <is>
          <t xml:space="preserve">B</t>
        </is>
      </c>
      <c r="G1539" s="4">
        <v>0.01053817</v>
      </c>
      <c r="H1539" s="0" t="inlineStr">
        <is>
          <t xml:space="preserve">2017-01-25</t>
        </is>
      </c>
      <c r="I1539" s="0" t="inlineStr">
        <is>
          <t xml:space="preserve">no</t>
        </is>
      </c>
      <c r="K1539" s="0" t="inlineStr">
        <is>
          <t xml:space="preserve">NONE</t>
        </is>
      </c>
    </row>
    <row r="1540">
      <c r="B1540" s="0" t="inlineStr">
        <is>
          <t xml:space="preserve">N0010423PXA33</t>
        </is>
      </c>
      <c r="D1540" s="0" t="inlineStr">
        <is>
          <t xml:space="preserve">small_craft</t>
        </is>
      </c>
      <c r="E1540" s="0" t="inlineStr">
        <is>
          <t xml:space="preserve">VIRGINIA ELECTRONIC SYSTEMS, INC.</t>
        </is>
      </c>
      <c r="F1540" s="0" t="inlineStr">
        <is>
          <t xml:space="preserve">B</t>
        </is>
      </c>
      <c r="G1540" s="4">
        <v>0.010499999999999999</v>
      </c>
      <c r="H1540" s="0" t="inlineStr">
        <is>
          <t xml:space="preserve">2022-10-31</t>
        </is>
      </c>
      <c r="I1540" s="0" t="inlineStr">
        <is>
          <t xml:space="preserve">no</t>
        </is>
      </c>
      <c r="K1540" s="0" t="inlineStr">
        <is>
          <t xml:space="preserve">NONE</t>
        </is>
      </c>
    </row>
    <row r="1541">
      <c r="B1541" s="0" t="inlineStr">
        <is>
          <t xml:space="preserve">N3220518P4628</t>
        </is>
      </c>
      <c r="D1541" s="0" t="inlineStr">
        <is>
          <t xml:space="preserve">small_craft</t>
        </is>
      </c>
      <c r="E1541" s="0" t="inlineStr">
        <is>
          <t xml:space="preserve">CONE DRIVE OPERATIONS INC</t>
        </is>
      </c>
      <c r="F1541" s="0" t="inlineStr">
        <is>
          <t xml:space="preserve">B</t>
        </is>
      </c>
      <c r="G1541" s="4">
        <v>0.010452459999999998</v>
      </c>
      <c r="H1541" s="0" t="inlineStr">
        <is>
          <t xml:space="preserve">2018-03-15</t>
        </is>
      </c>
      <c r="I1541" s="0" t="inlineStr">
        <is>
          <t xml:space="preserve">no</t>
        </is>
      </c>
      <c r="J1541" s="0" t="inlineStr">
        <is>
          <t xml:space="preserve">N3220518Q4760</t>
        </is>
      </c>
      <c r="K1541" s="0" t="inlineStr">
        <is>
          <t xml:space="preserve">NONE</t>
        </is>
      </c>
    </row>
    <row r="1542">
      <c r="B1542" s="0" t="inlineStr">
        <is>
          <t xml:space="preserve">M6890918P7656</t>
        </is>
      </c>
      <c r="D1542" s="0" t="inlineStr">
        <is>
          <t xml:space="preserve">small_craft</t>
        </is>
      </c>
      <c r="E1542" s="0" t="inlineStr">
        <is>
          <t xml:space="preserve">TEMECULA MOTORSPORTS, INC.</t>
        </is>
      </c>
      <c r="F1542" s="0" t="inlineStr">
        <is>
          <t xml:space="preserve">B</t>
        </is>
      </c>
      <c r="G1542" s="4">
        <v>0.01045</v>
      </c>
      <c r="H1542" s="0" t="inlineStr">
        <is>
          <t xml:space="preserve">2018-07-23</t>
        </is>
      </c>
      <c r="I1542" s="0" t="inlineStr">
        <is>
          <t xml:space="preserve">no</t>
        </is>
      </c>
      <c r="K1542" s="0" t="inlineStr">
        <is>
          <t xml:space="preserve">NONE</t>
        </is>
      </c>
    </row>
    <row r="1543">
      <c r="B1543" s="0" t="inlineStr">
        <is>
          <t xml:space="preserve">N0040615P1908</t>
        </is>
      </c>
      <c r="D1543" s="0" t="inlineStr">
        <is>
          <t xml:space="preserve">small_craft</t>
        </is>
      </c>
      <c r="E1543" s="0" t="inlineStr">
        <is>
          <t xml:space="preserve">J.D.A. MARITIME, INC.</t>
        </is>
      </c>
      <c r="F1543" s="0" t="inlineStr">
        <is>
          <t xml:space="preserve">B</t>
        </is>
      </c>
      <c r="G1543" s="4">
        <v>0.010414999999999999</v>
      </c>
      <c r="H1543" s="0" t="inlineStr">
        <is>
          <t xml:space="preserve">2015-04-01</t>
        </is>
      </c>
      <c r="I1543" s="0" t="inlineStr">
        <is>
          <t xml:space="preserve">no</t>
        </is>
      </c>
      <c r="K1543" s="0" t="inlineStr">
        <is>
          <t xml:space="preserve">NONE</t>
        </is>
      </c>
    </row>
    <row r="1544">
      <c r="B1544" s="0" t="inlineStr">
        <is>
          <t xml:space="preserve">N0040621P0025</t>
        </is>
      </c>
      <c r="D1544" s="0" t="inlineStr">
        <is>
          <t xml:space="preserve">small_craft</t>
        </is>
      </c>
      <c r="E1544" s="0" t="inlineStr">
        <is>
          <t xml:space="preserve">CONTRACTOR SUPPLY SOLUTIONS LLC</t>
        </is>
      </c>
      <c r="F1544" s="0" t="inlineStr">
        <is>
          <t xml:space="preserve">B</t>
        </is>
      </c>
      <c r="G1544" s="4">
        <v>0.01037577</v>
      </c>
      <c r="H1544" s="0" t="inlineStr">
        <is>
          <t xml:space="preserve">2020-11-04</t>
        </is>
      </c>
      <c r="I1544" s="0" t="inlineStr">
        <is>
          <t xml:space="preserve">no</t>
        </is>
      </c>
      <c r="J1544" s="0" t="inlineStr">
        <is>
          <t xml:space="preserve">N0040621Q0010</t>
        </is>
      </c>
      <c r="K1544" s="0" t="inlineStr">
        <is>
          <t xml:space="preserve">NONE</t>
        </is>
      </c>
    </row>
    <row r="1545">
      <c r="B1545" s="0" t="inlineStr">
        <is>
          <t xml:space="preserve">N0010416PCB88</t>
        </is>
      </c>
      <c r="D1545" s="0" t="inlineStr">
        <is>
          <t xml:space="preserve">small_craft</t>
        </is>
      </c>
      <c r="E1545" s="0" t="inlineStr">
        <is>
          <t xml:space="preserve">GLOBAL INCORPORATED</t>
        </is>
      </c>
      <c r="F1545" s="0" t="inlineStr">
        <is>
          <t xml:space="preserve">B</t>
        </is>
      </c>
      <c r="G1545" s="4">
        <v>0.010277</v>
      </c>
      <c r="H1545" s="0" t="inlineStr">
        <is>
          <t xml:space="preserve">2016-02-03</t>
        </is>
      </c>
      <c r="I1545" s="0" t="inlineStr">
        <is>
          <t xml:space="preserve">no</t>
        </is>
      </c>
      <c r="K1545" s="0" t="inlineStr">
        <is>
          <t xml:space="preserve">NONE</t>
        </is>
      </c>
    </row>
    <row r="1546">
      <c r="B1546" s="0" t="inlineStr">
        <is>
          <t xml:space="preserve">N0010421PCE77</t>
        </is>
      </c>
      <c r="D1546" s="0" t="inlineStr">
        <is>
          <t xml:space="preserve">small_craft</t>
        </is>
      </c>
      <c r="E1546" s="0" t="inlineStr">
        <is>
          <t xml:space="preserve">W R SYSTEMS LTD</t>
        </is>
      </c>
      <c r="F1546" s="0" t="inlineStr">
        <is>
          <t xml:space="preserve">B</t>
        </is>
      </c>
      <c r="G1546" s="4">
        <v>0.01026352</v>
      </c>
      <c r="H1546" s="0" t="inlineStr">
        <is>
          <t xml:space="preserve">2021-09-07</t>
        </is>
      </c>
      <c r="I1546" s="0" t="inlineStr">
        <is>
          <t xml:space="preserve">no</t>
        </is>
      </c>
      <c r="K1546" s="0" t="inlineStr">
        <is>
          <t xml:space="preserve">NONE</t>
        </is>
      </c>
    </row>
    <row r="1547">
      <c r="B1547" s="0" t="inlineStr">
        <is>
          <t xml:space="preserve">0039</t>
        </is>
      </c>
      <c r="C1547" s="0" t="inlineStr">
        <is>
          <t xml:space="preserve">N3220513D2000</t>
        </is>
      </c>
      <c r="D1547" s="0" t="inlineStr">
        <is>
          <t xml:space="preserve">other_small</t>
        </is>
      </c>
      <c r="E1547" s="0" t="inlineStr">
        <is>
          <t xml:space="preserve">ROLLS-ROYCE SOLUTIONS AMERICA INC</t>
        </is>
      </c>
      <c r="F1547" s="0" t="inlineStr">
        <is>
          <t xml:space="preserve">C</t>
        </is>
      </c>
      <c r="G1547" s="4">
        <v>0.01023458</v>
      </c>
      <c r="H1547" s="0" t="inlineStr">
        <is>
          <t xml:space="preserve">2015-04-09</t>
        </is>
      </c>
      <c r="I1547" s="0" t="inlineStr">
        <is>
          <t xml:space="preserve">no</t>
        </is>
      </c>
      <c r="J1547" s="0" t="inlineStr">
        <is>
          <t xml:space="preserve">N4044211R2005</t>
        </is>
      </c>
      <c r="K1547" s="0" t="inlineStr">
        <is>
          <t xml:space="preserve">NONE</t>
        </is>
      </c>
    </row>
    <row r="1548">
      <c r="B1548" s="0" t="inlineStr">
        <is>
          <t xml:space="preserve">N6470914F0045</t>
        </is>
      </c>
      <c r="C1548" s="0" t="inlineStr">
        <is>
          <t xml:space="preserve">GS07F0072J</t>
        </is>
      </c>
      <c r="D1548" s="0" t="inlineStr">
        <is>
          <t xml:space="preserve">small_craft</t>
        </is>
      </c>
      <c r="E1548" s="0" t="inlineStr">
        <is>
          <t xml:space="preserve">ACTION-PETROLEUM SPILL RECOVERY, INC</t>
        </is>
      </c>
      <c r="F1548" s="0" t="inlineStr">
        <is>
          <t xml:space="preserve">C</t>
        </is>
      </c>
      <c r="G1548" s="4">
        <v>0.01023</v>
      </c>
      <c r="H1548" s="0" t="inlineStr">
        <is>
          <t xml:space="preserve">2014-04-15</t>
        </is>
      </c>
      <c r="I1548" s="0" t="inlineStr">
        <is>
          <t xml:space="preserve">no</t>
        </is>
      </c>
      <c r="J1548" s="0" t="inlineStr">
        <is>
          <t xml:space="preserve">N6470914T0018</t>
        </is>
      </c>
      <c r="K1548" s="0" t="inlineStr">
        <is>
          <t xml:space="preserve">NONE</t>
        </is>
      </c>
    </row>
    <row r="1549">
      <c r="B1549" s="0" t="inlineStr">
        <is>
          <t xml:space="preserve">N0040615P2679</t>
        </is>
      </c>
      <c r="D1549" s="0" t="inlineStr">
        <is>
          <t xml:space="preserve">small_craft</t>
        </is>
      </c>
      <c r="E1549" s="0" t="inlineStr">
        <is>
          <t xml:space="preserve">RAILWAY SPECIALTIES CORP</t>
        </is>
      </c>
      <c r="F1549" s="0" t="inlineStr">
        <is>
          <t xml:space="preserve">B</t>
        </is>
      </c>
      <c r="G1549" s="4">
        <v>0.010199999999999999</v>
      </c>
      <c r="H1549" s="0" t="inlineStr">
        <is>
          <t xml:space="preserve">2015-05-29</t>
        </is>
      </c>
      <c r="I1549" s="0" t="inlineStr">
        <is>
          <t xml:space="preserve">no</t>
        </is>
      </c>
      <c r="K1549" s="0" t="inlineStr">
        <is>
          <t xml:space="preserve">NONE</t>
        </is>
      </c>
    </row>
    <row r="1550">
      <c r="B1550" s="0" t="inlineStr">
        <is>
          <t xml:space="preserve">N0040621P0144</t>
        </is>
      </c>
      <c r="D1550" s="0" t="inlineStr">
        <is>
          <t xml:space="preserve">small_craft</t>
        </is>
      </c>
      <c r="E1550" s="0" t="inlineStr">
        <is>
          <t xml:space="preserve">PACIFIC MARITIME INDUSTRIES CORP.</t>
        </is>
      </c>
      <c r="F1550" s="0" t="inlineStr">
        <is>
          <t xml:space="preserve">B</t>
        </is>
      </c>
      <c r="G1550" s="4">
        <v>0.010175</v>
      </c>
      <c r="H1550" s="0" t="inlineStr">
        <is>
          <t xml:space="preserve">2021-01-25</t>
        </is>
      </c>
      <c r="I1550" s="0" t="inlineStr">
        <is>
          <t xml:space="preserve">no</t>
        </is>
      </c>
      <c r="J1550" s="0" t="inlineStr">
        <is>
          <t xml:space="preserve">N0040621Q0114</t>
        </is>
      </c>
      <c r="K1550" s="0" t="inlineStr">
        <is>
          <t xml:space="preserve">NONE</t>
        </is>
      </c>
    </row>
    <row r="1551">
      <c r="B1551" s="0" t="inlineStr">
        <is>
          <t xml:space="preserve">N6883615P0375</t>
        </is>
      </c>
      <c r="D1551" s="0" t="inlineStr">
        <is>
          <t xml:space="preserve">small_craft</t>
        </is>
      </c>
      <c r="E1551" s="0" t="inlineStr">
        <is>
          <t xml:space="preserve">VIGOR KVICHAK LLC</t>
        </is>
      </c>
      <c r="F1551" s="0" t="inlineStr">
        <is>
          <t xml:space="preserve">B</t>
        </is>
      </c>
      <c r="G1551" s="4">
        <v>0.01014</v>
      </c>
      <c r="H1551" s="0" t="inlineStr">
        <is>
          <t xml:space="preserve">2015-03-18</t>
        </is>
      </c>
      <c r="I1551" s="0" t="inlineStr">
        <is>
          <t xml:space="preserve">no</t>
        </is>
      </c>
      <c r="K1551" s="0" t="inlineStr">
        <is>
          <t xml:space="preserve">NONE</t>
        </is>
      </c>
    </row>
    <row r="1552">
      <c r="B1552" s="0" t="inlineStr">
        <is>
          <t xml:space="preserve">M6700115F1033</t>
        </is>
      </c>
      <c r="C1552" s="0" t="inlineStr">
        <is>
          <t xml:space="preserve">GS07F352AA</t>
        </is>
      </c>
      <c r="D1552" s="0" t="inlineStr">
        <is>
          <t xml:space="preserve">small_craft</t>
        </is>
      </c>
      <c r="E1552" s="0" t="inlineStr">
        <is>
          <t xml:space="preserve">FLOAT-ON CORP</t>
        </is>
      </c>
      <c r="F1552" s="0" t="inlineStr">
        <is>
          <t xml:space="preserve">C</t>
        </is>
      </c>
      <c r="G1552" s="4">
        <v>0.01005</v>
      </c>
      <c r="H1552" s="0" t="inlineStr">
        <is>
          <t xml:space="preserve">2015-03-10</t>
        </is>
      </c>
      <c r="I1552" s="0" t="inlineStr">
        <is>
          <t xml:space="preserve">no</t>
        </is>
      </c>
      <c r="J1552" s="0" t="inlineStr">
        <is>
          <t xml:space="preserve">M6700115T1060</t>
        </is>
      </c>
      <c r="K1552" s="0" t="inlineStr">
        <is>
          <t xml:space="preserve">NONE</t>
        </is>
      </c>
    </row>
    <row r="1553">
      <c r="B1553" s="0" t="inlineStr">
        <is>
          <t xml:space="preserve">N6600117P6330</t>
        </is>
      </c>
      <c r="D1553" s="0" t="inlineStr">
        <is>
          <t xml:space="preserve">small_craft</t>
        </is>
      </c>
      <c r="E1553" s="0" t="inlineStr">
        <is>
          <t xml:space="preserve">ROCKY MOUNTAIN INSTRUMENT CO.</t>
        </is>
      </c>
      <c r="F1553" s="0" t="inlineStr">
        <is>
          <t xml:space="preserve">B</t>
        </is>
      </c>
      <c r="G1553" s="4">
        <v>0.010015</v>
      </c>
      <c r="H1553" s="0" t="inlineStr">
        <is>
          <t xml:space="preserve">2016-10-17</t>
        </is>
      </c>
      <c r="I1553" s="0" t="inlineStr">
        <is>
          <t xml:space="preserve">no</t>
        </is>
      </c>
      <c r="J1553" s="0" t="inlineStr">
        <is>
          <t xml:space="preserve">N6600116T6330</t>
        </is>
      </c>
      <c r="K1553" s="0" t="inlineStr">
        <is>
          <t xml:space="preserve">NONE</t>
        </is>
      </c>
    </row>
    <row r="1554">
      <c r="B1554" s="0" t="inlineStr">
        <is>
          <t xml:space="preserve">N0016724FG207</t>
        </is>
      </c>
      <c r="C1554" s="0" t="inlineStr">
        <is>
          <t xml:space="preserve">N0016723A0053</t>
        </is>
      </c>
      <c r="D1554" s="0" t="inlineStr">
        <is>
          <t xml:space="preserve">small_craft</t>
        </is>
      </c>
      <c r="E1554" s="0" t="inlineStr">
        <is>
          <t xml:space="preserve">VIRGINIA SPEED, INC.</t>
        </is>
      </c>
      <c r="F1554" s="0" t="inlineStr">
        <is>
          <t xml:space="preserve">A</t>
        </is>
      </c>
      <c r="G1554" s="4">
        <v>0.009999959999999999</v>
      </c>
      <c r="H1554" s="0" t="inlineStr">
        <is>
          <t xml:space="preserve">2024-08-05</t>
        </is>
      </c>
      <c r="I1554" s="0" t="inlineStr">
        <is>
          <t xml:space="preserve">no</t>
        </is>
      </c>
      <c r="K1554" s="0" t="inlineStr">
        <is>
          <t xml:space="preserve">NONE</t>
        </is>
      </c>
    </row>
    <row r="1555">
      <c r="B1555" s="0" t="inlineStr">
        <is>
          <t xml:space="preserve">N0010421PND28</t>
        </is>
      </c>
      <c r="D1555" s="0" t="inlineStr">
        <is>
          <t xml:space="preserve">small_craft</t>
        </is>
      </c>
      <c r="E1555" s="0" t="inlineStr">
        <is>
          <t xml:space="preserve">CURTISS-WRIGHT ELECTRO-MECHANICAL CORPORATION</t>
        </is>
      </c>
      <c r="F1555" s="0" t="inlineStr">
        <is>
          <t xml:space="preserve">B</t>
        </is>
      </c>
      <c r="G1555" s="4">
        <v>0.009998</v>
      </c>
      <c r="H1555" s="0" t="inlineStr">
        <is>
          <t xml:space="preserve">2021-08-12</t>
        </is>
      </c>
      <c r="I1555" s="0" t="inlineStr">
        <is>
          <t xml:space="preserve">no</t>
        </is>
      </c>
      <c r="K1555" s="0" t="inlineStr">
        <is>
          <t xml:space="preserve">NONE</t>
        </is>
      </c>
    </row>
    <row r="1556">
      <c r="B1556" s="0" t="inlineStr">
        <is>
          <t xml:space="preserve">N6133118P0106</t>
        </is>
      </c>
      <c r="D1556" s="0" t="inlineStr">
        <is>
          <t xml:space="preserve">small_craft</t>
        </is>
      </c>
      <c r="E1556" s="0" t="inlineStr">
        <is>
          <t xml:space="preserve">R &amp; D REPS, INC.</t>
        </is>
      </c>
      <c r="F1556" s="0" t="inlineStr">
        <is>
          <t xml:space="preserve">B</t>
        </is>
      </c>
      <c r="G1556" s="4">
        <v>0.009979759999999999</v>
      </c>
      <c r="H1556" s="0" t="inlineStr">
        <is>
          <t xml:space="preserve">2018-05-03</t>
        </is>
      </c>
      <c r="I1556" s="0" t="inlineStr">
        <is>
          <t xml:space="preserve">no</t>
        </is>
      </c>
      <c r="K1556" s="0" t="inlineStr">
        <is>
          <t xml:space="preserve">NONE</t>
        </is>
      </c>
    </row>
    <row r="1557">
      <c r="B1557" s="0" t="inlineStr">
        <is>
          <t xml:space="preserve">0021</t>
        </is>
      </c>
      <c r="C1557" s="0" t="inlineStr">
        <is>
          <t xml:space="preserve">N6230613D9S01</t>
        </is>
      </c>
      <c r="D1557" s="0" t="inlineStr">
        <is>
          <t xml:space="preserve">small_craft</t>
        </is>
      </c>
      <c r="E1557" s="0" t="inlineStr">
        <is>
          <t xml:space="preserve">SAUNDERS ENGINE &amp; EQUIPMENT CO INC</t>
        </is>
      </c>
      <c r="F1557" s="0" t="inlineStr">
        <is>
          <t xml:space="preserve">C</t>
        </is>
      </c>
      <c r="G1557" s="4">
        <v>0.0099625</v>
      </c>
      <c r="H1557" s="0" t="inlineStr">
        <is>
          <t xml:space="preserve">2016-04-26</t>
        </is>
      </c>
      <c r="I1557" s="0" t="inlineStr">
        <is>
          <t xml:space="preserve">no</t>
        </is>
      </c>
      <c r="J1557" s="0" t="inlineStr">
        <is>
          <t xml:space="preserve">N6230612R9S01</t>
        </is>
      </c>
      <c r="K1557" s="0" t="inlineStr">
        <is>
          <t xml:space="preserve">NONE</t>
        </is>
      </c>
    </row>
    <row r="1558">
      <c r="B1558" s="0" t="inlineStr">
        <is>
          <t xml:space="preserve">N5532118F1A23</t>
        </is>
      </c>
      <c r="C1558" s="0" t="inlineStr">
        <is>
          <t xml:space="preserve">GS07F0356V</t>
        </is>
      </c>
      <c r="D1558" s="0" t="inlineStr">
        <is>
          <t xml:space="preserve">small_craft</t>
        </is>
      </c>
      <c r="E1558" s="0" t="inlineStr">
        <is>
          <t xml:space="preserve">JMSONLINE.NET, LLC</t>
        </is>
      </c>
      <c r="F1558" s="0" t="inlineStr">
        <is>
          <t xml:space="preserve">C</t>
        </is>
      </c>
      <c r="G1558" s="4">
        <v>0.009958950000000001</v>
      </c>
      <c r="H1558" s="0" t="inlineStr">
        <is>
          <t xml:space="preserve">2018-06-21</t>
        </is>
      </c>
      <c r="I1558" s="0" t="inlineStr">
        <is>
          <t xml:space="preserve">no</t>
        </is>
      </c>
      <c r="K1558" s="0" t="inlineStr">
        <is>
          <t xml:space="preserve">NONE</t>
        </is>
      </c>
    </row>
    <row r="1559">
      <c r="B1559" s="0" t="inlineStr">
        <is>
          <t xml:space="preserve">LH56</t>
        </is>
      </c>
      <c r="C1559" s="0" t="inlineStr">
        <is>
          <t xml:space="preserve">N6238715D2104</t>
        </is>
      </c>
      <c r="D1559" s="0" t="inlineStr">
        <is>
          <t xml:space="preserve">other_small</t>
        </is>
      </c>
      <c r="E1559" s="0" t="inlineStr">
        <is>
          <t xml:space="preserve">MCALLISTER TOWING AND TRANSPORTATION COMPANY, INC.</t>
        </is>
      </c>
      <c r="F1559" s="0" t="inlineStr">
        <is>
          <t xml:space="preserve">C</t>
        </is>
      </c>
      <c r="G1559" s="4">
        <v>0.009819999999999999</v>
      </c>
      <c r="H1559" s="0" t="inlineStr">
        <is>
          <t xml:space="preserve">2016-10-31</t>
        </is>
      </c>
      <c r="I1559" s="0" t="inlineStr">
        <is>
          <t xml:space="preserve">no</t>
        </is>
      </c>
      <c r="J1559" s="0" t="inlineStr">
        <is>
          <t xml:space="preserve">N6238715R2104</t>
        </is>
      </c>
      <c r="K1559" s="0" t="inlineStr">
        <is>
          <t xml:space="preserve">NONE</t>
        </is>
      </c>
    </row>
    <row r="1560">
      <c r="B1560" s="0" t="inlineStr">
        <is>
          <t xml:space="preserve">N0040616P1157</t>
        </is>
      </c>
      <c r="D1560" s="0" t="inlineStr">
        <is>
          <t xml:space="preserve">small_craft</t>
        </is>
      </c>
      <c r="E1560" s="0" t="inlineStr">
        <is>
          <t xml:space="preserve">PACIFIC MARITIME INDUSTRIES CORP.</t>
        </is>
      </c>
      <c r="F1560" s="0" t="inlineStr">
        <is>
          <t xml:space="preserve">B</t>
        </is>
      </c>
      <c r="G1560" s="4">
        <v>0.0098</v>
      </c>
      <c r="H1560" s="0" t="inlineStr">
        <is>
          <t xml:space="preserve">2016-02-12</t>
        </is>
      </c>
      <c r="I1560" s="0" t="inlineStr">
        <is>
          <t xml:space="preserve">no</t>
        </is>
      </c>
      <c r="K1560" s="0" t="inlineStr">
        <is>
          <t xml:space="preserve">NONE</t>
        </is>
      </c>
    </row>
    <row r="1561">
      <c r="B1561" s="0" t="inlineStr">
        <is>
          <t xml:space="preserve">N0010418PDA46</t>
        </is>
      </c>
      <c r="D1561" s="0" t="inlineStr">
        <is>
          <t xml:space="preserve">small_craft</t>
        </is>
      </c>
      <c r="E1561" s="0" t="inlineStr">
        <is>
          <t xml:space="preserve">TIMKEN GEARS &amp; SERVICES INC.</t>
        </is>
      </c>
      <c r="F1561" s="0" t="inlineStr">
        <is>
          <t xml:space="preserve">B</t>
        </is>
      </c>
      <c r="G1561" s="4">
        <v>0.009799</v>
      </c>
      <c r="H1561" s="0" t="inlineStr">
        <is>
          <t xml:space="preserve">2017-10-19</t>
        </is>
      </c>
      <c r="I1561" s="0" t="inlineStr">
        <is>
          <t xml:space="preserve">no</t>
        </is>
      </c>
      <c r="K1561" s="0" t="inlineStr">
        <is>
          <t xml:space="preserve">NONE</t>
        </is>
      </c>
    </row>
    <row r="1562">
      <c r="B1562" s="0" t="inlineStr">
        <is>
          <t xml:space="preserve">N0010422PFB84</t>
        </is>
      </c>
      <c r="D1562" s="0" t="inlineStr">
        <is>
          <t xml:space="preserve">small_craft</t>
        </is>
      </c>
      <c r="E1562" s="0" t="inlineStr">
        <is>
          <t xml:space="preserve">DERBYSHIRE MARINE PRODUCTS, LLC</t>
        </is>
      </c>
      <c r="F1562" s="0" t="inlineStr">
        <is>
          <t xml:space="preserve">B</t>
        </is>
      </c>
      <c r="G1562" s="4">
        <v>0.00977245</v>
      </c>
      <c r="H1562" s="0" t="inlineStr">
        <is>
          <t xml:space="preserve">2022-06-10</t>
        </is>
      </c>
      <c r="I1562" s="0" t="inlineStr">
        <is>
          <t xml:space="preserve">no</t>
        </is>
      </c>
      <c r="K1562" s="0" t="inlineStr">
        <is>
          <t xml:space="preserve">NONE</t>
        </is>
      </c>
    </row>
    <row r="1563">
      <c r="B1563" s="0" t="inlineStr">
        <is>
          <t xml:space="preserve">N0016725FG039</t>
        </is>
      </c>
      <c r="C1563" s="0" t="inlineStr">
        <is>
          <t xml:space="preserve">47QSMS24D003U</t>
        </is>
      </c>
      <c r="D1563" s="0" t="inlineStr">
        <is>
          <t xml:space="preserve">small_craft</t>
        </is>
      </c>
      <c r="E1563" s="0" t="inlineStr">
        <is>
          <t xml:space="preserve">JMSONLINE.NET, LLC</t>
        </is>
      </c>
      <c r="F1563" s="0" t="inlineStr">
        <is>
          <t xml:space="preserve">C</t>
        </is>
      </c>
      <c r="G1563" s="4">
        <v>0.00972886</v>
      </c>
      <c r="H1563" s="0" t="inlineStr">
        <is>
          <t xml:space="preserve">2024-11-15</t>
        </is>
      </c>
      <c r="I1563" s="0" t="inlineStr">
        <is>
          <t xml:space="preserve">no</t>
        </is>
      </c>
      <c r="K1563" s="0" t="inlineStr">
        <is>
          <t xml:space="preserve">NONE</t>
        </is>
      </c>
    </row>
    <row r="1564">
      <c r="B1564" s="0" t="inlineStr">
        <is>
          <t xml:space="preserve">N0010426PQA23</t>
        </is>
      </c>
      <c r="D1564" s="0" t="inlineStr">
        <is>
          <t xml:space="preserve">small_craft</t>
        </is>
      </c>
      <c r="E1564" s="0" t="inlineStr">
        <is>
          <t xml:space="preserve">GENERAL DYNAMICS MISSION SYSTEMS, INC.</t>
        </is>
      </c>
      <c r="F1564" s="0" t="inlineStr">
        <is>
          <t xml:space="preserve">B</t>
        </is>
      </c>
      <c r="G1564" s="4">
        <v>0.009694</v>
      </c>
      <c r="H1564" s="0" t="inlineStr">
        <is>
          <t xml:space="preserve">2025-11-11</t>
        </is>
      </c>
      <c r="I1564" s="0" t="inlineStr">
        <is>
          <t xml:space="preserve">yes</t>
        </is>
      </c>
      <c r="K1564" s="0" t="inlineStr">
        <is>
          <t xml:space="preserve">NONE</t>
        </is>
      </c>
    </row>
    <row r="1565">
      <c r="B1565" s="0" t="inlineStr">
        <is>
          <t xml:space="preserve">N0010421PBX16</t>
        </is>
      </c>
      <c r="D1565" s="0" t="inlineStr">
        <is>
          <t xml:space="preserve">small_craft</t>
        </is>
      </c>
      <c r="E1565" s="0" t="inlineStr">
        <is>
          <t xml:space="preserve">GOVERNMENT SCIENTIFIC SOURCE INC</t>
        </is>
      </c>
      <c r="F1565" s="0" t="inlineStr">
        <is>
          <t xml:space="preserve">B</t>
        </is>
      </c>
      <c r="G1565" s="4">
        <v>0.0096444</v>
      </c>
      <c r="H1565" s="0" t="inlineStr">
        <is>
          <t xml:space="preserve">2021-04-14</t>
        </is>
      </c>
      <c r="I1565" s="0" t="inlineStr">
        <is>
          <t xml:space="preserve">no</t>
        </is>
      </c>
      <c r="K1565" s="0" t="inlineStr">
        <is>
          <t xml:space="preserve">NONE</t>
        </is>
      </c>
    </row>
    <row r="1566">
      <c r="B1566" s="0" t="inlineStr">
        <is>
          <t xml:space="preserve">N6146320FLH09</t>
        </is>
      </c>
      <c r="C1566" s="0" t="inlineStr">
        <is>
          <t xml:space="preserve">N6238715D2104</t>
        </is>
      </c>
      <c r="D1566" s="0" t="inlineStr">
        <is>
          <t xml:space="preserve">other_small</t>
        </is>
      </c>
      <c r="E1566" s="0" t="inlineStr">
        <is>
          <t xml:space="preserve">MCALLISTER TOWING AND TRANSPORTATION COMPANY, INC.</t>
        </is>
      </c>
      <c r="F1566" s="0" t="inlineStr">
        <is>
          <t xml:space="preserve">C</t>
        </is>
      </c>
      <c r="G1566" s="4">
        <v>0.00963</v>
      </c>
      <c r="H1566" s="0" t="inlineStr">
        <is>
          <t xml:space="preserve">2020-08-03</t>
        </is>
      </c>
      <c r="I1566" s="0" t="inlineStr">
        <is>
          <t xml:space="preserve">no</t>
        </is>
      </c>
      <c r="J1566" s="0" t="inlineStr">
        <is>
          <t xml:space="preserve">N6238715R2104</t>
        </is>
      </c>
      <c r="K1566" s="0" t="inlineStr">
        <is>
          <t xml:space="preserve">NONE</t>
        </is>
      </c>
    </row>
    <row r="1567">
      <c r="B1567" s="0" t="inlineStr">
        <is>
          <t xml:space="preserve">N0040616P1799</t>
        </is>
      </c>
      <c r="D1567" s="0" t="inlineStr">
        <is>
          <t xml:space="preserve">small_craft</t>
        </is>
      </c>
      <c r="E1567" s="0" t="inlineStr">
        <is>
          <t xml:space="preserve">PACIFIC MARITIME INDUSTRIES CORP.</t>
        </is>
      </c>
      <c r="F1567" s="0" t="inlineStr">
        <is>
          <t xml:space="preserve">B</t>
        </is>
      </c>
      <c r="G1567" s="4">
        <v>0.0096</v>
      </c>
      <c r="H1567" s="0" t="inlineStr">
        <is>
          <t xml:space="preserve">2016-04-21</t>
        </is>
      </c>
      <c r="I1567" s="0" t="inlineStr">
        <is>
          <t xml:space="preserve">no</t>
        </is>
      </c>
      <c r="K1567" s="0" t="inlineStr">
        <is>
          <t xml:space="preserve">NONE</t>
        </is>
      </c>
    </row>
    <row r="1568">
      <c r="B1568" s="0" t="inlineStr">
        <is>
          <t xml:space="preserve">N0010426PYC28</t>
        </is>
      </c>
      <c r="D1568" s="0" t="inlineStr">
        <is>
          <t xml:space="preserve">small_craft</t>
        </is>
      </c>
      <c r="E1568" s="0" t="inlineStr">
        <is>
          <t xml:space="preserve">ITL LLC</t>
        </is>
      </c>
      <c r="F1568" s="0" t="inlineStr">
        <is>
          <t xml:space="preserve">B</t>
        </is>
      </c>
      <c r="G1568" s="4">
        <v>0.00956662</v>
      </c>
      <c r="H1568" s="0" t="inlineStr">
        <is>
          <t xml:space="preserve">2026-03-05</t>
        </is>
      </c>
      <c r="I1568" s="0" t="inlineStr">
        <is>
          <t xml:space="preserve">yes</t>
        </is>
      </c>
      <c r="K1568" s="0" t="inlineStr">
        <is>
          <t xml:space="preserve">NONE</t>
        </is>
      </c>
    </row>
    <row r="1569">
      <c r="B1569" s="0" t="inlineStr">
        <is>
          <t xml:space="preserve">N0010417PEC54</t>
        </is>
      </c>
      <c r="D1569" s="0" t="inlineStr">
        <is>
          <t xml:space="preserve">small_craft</t>
        </is>
      </c>
      <c r="E1569" s="0" t="inlineStr">
        <is>
          <t xml:space="preserve">ALLENTOWN FLUID SYSTEMS, INC</t>
        </is>
      </c>
      <c r="F1569" s="0" t="inlineStr">
        <is>
          <t xml:space="preserve">B</t>
        </is>
      </c>
      <c r="G1569" s="4">
        <v>0.00956567</v>
      </c>
      <c r="H1569" s="0" t="inlineStr">
        <is>
          <t xml:space="preserve">2017-04-27</t>
        </is>
      </c>
      <c r="I1569" s="0" t="inlineStr">
        <is>
          <t xml:space="preserve">no</t>
        </is>
      </c>
      <c r="K1569" s="0" t="inlineStr">
        <is>
          <t xml:space="preserve">NONE</t>
        </is>
      </c>
    </row>
    <row r="1570">
      <c r="B1570" s="0" t="inlineStr">
        <is>
          <t xml:space="preserve">1008</t>
        </is>
      </c>
      <c r="C1570" s="0" t="inlineStr">
        <is>
          <t xml:space="preserve">N0010416DX004</t>
        </is>
      </c>
      <c r="D1570" s="0" t="inlineStr">
        <is>
          <t xml:space="preserve">small_craft</t>
        </is>
      </c>
      <c r="E1570" s="0" t="inlineStr">
        <is>
          <t xml:space="preserve">WING INFLATABLES INC</t>
        </is>
      </c>
      <c r="F1570" s="0" t="inlineStr">
        <is>
          <t xml:space="preserve">C</t>
        </is>
      </c>
      <c r="G1570" s="4">
        <v>0.009522729999999998</v>
      </c>
      <c r="H1570" s="0" t="inlineStr">
        <is>
          <t xml:space="preserve">2017-05-01</t>
        </is>
      </c>
      <c r="I1570" s="0" t="inlineStr">
        <is>
          <t xml:space="preserve">no</t>
        </is>
      </c>
      <c r="K1570" s="0" t="inlineStr">
        <is>
          <t xml:space="preserve">NONE</t>
        </is>
      </c>
    </row>
    <row r="1571">
      <c r="B1571" s="0" t="inlineStr">
        <is>
          <t xml:space="preserve">N0040616P1767</t>
        </is>
      </c>
      <c r="D1571" s="0" t="inlineStr">
        <is>
          <t xml:space="preserve">small_craft</t>
        </is>
      </c>
      <c r="E1571" s="0" t="inlineStr">
        <is>
          <t xml:space="preserve">MAZZELLA LIFTING TECHNOLOGIES, INC.</t>
        </is>
      </c>
      <c r="F1571" s="0" t="inlineStr">
        <is>
          <t xml:space="preserve">B</t>
        </is>
      </c>
      <c r="G1571" s="4">
        <v>0.009498</v>
      </c>
      <c r="H1571" s="0" t="inlineStr">
        <is>
          <t xml:space="preserve">2016-04-18</t>
        </is>
      </c>
      <c r="I1571" s="0" t="inlineStr">
        <is>
          <t xml:space="preserve">no</t>
        </is>
      </c>
      <c r="K1571" s="0" t="inlineStr">
        <is>
          <t xml:space="preserve">NONE</t>
        </is>
      </c>
    </row>
    <row r="1572">
      <c r="B1572" s="0" t="inlineStr">
        <is>
          <t xml:space="preserve">N3220518F1013</t>
        </is>
      </c>
      <c r="C1572" s="0" t="inlineStr">
        <is>
          <t xml:space="preserve">N3220513D2000</t>
        </is>
      </c>
      <c r="D1572" s="0" t="inlineStr">
        <is>
          <t xml:space="preserve">other_small</t>
        </is>
      </c>
      <c r="E1572" s="0" t="inlineStr">
        <is>
          <t xml:space="preserve">ROLLS-ROYCE SOLUTIONS AMERICA INC</t>
        </is>
      </c>
      <c r="F1572" s="0" t="inlineStr">
        <is>
          <t xml:space="preserve">C</t>
        </is>
      </c>
      <c r="G1572" s="4">
        <v>0.00948886</v>
      </c>
      <c r="H1572" s="0" t="inlineStr">
        <is>
          <t xml:space="preserve">2018-02-08</t>
        </is>
      </c>
      <c r="I1572" s="0" t="inlineStr">
        <is>
          <t xml:space="preserve">no</t>
        </is>
      </c>
      <c r="J1572" s="0" t="inlineStr">
        <is>
          <t xml:space="preserve">N4044211R2005</t>
        </is>
      </c>
      <c r="K1572" s="0" t="inlineStr">
        <is>
          <t xml:space="preserve">NONE</t>
        </is>
      </c>
    </row>
    <row r="1573">
      <c r="B1573" s="0" t="inlineStr">
        <is>
          <t xml:space="preserve">N0010421PAA03</t>
        </is>
      </c>
      <c r="D1573" s="0" t="inlineStr">
        <is>
          <t xml:space="preserve">small_craft</t>
        </is>
      </c>
      <c r="E1573" s="0" t="inlineStr">
        <is>
          <t xml:space="preserve">FITZHUGH CLIFTON</t>
        </is>
      </c>
      <c r="F1573" s="0" t="inlineStr">
        <is>
          <t xml:space="preserve">B</t>
        </is>
      </c>
      <c r="G1573" s="4">
        <v>0.009479999999999999</v>
      </c>
      <c r="H1573" s="0" t="inlineStr">
        <is>
          <t xml:space="preserve">2020-10-21</t>
        </is>
      </c>
      <c r="I1573" s="0" t="inlineStr">
        <is>
          <t xml:space="preserve">no</t>
        </is>
      </c>
      <c r="K1573" s="0" t="inlineStr">
        <is>
          <t xml:space="preserve">NONE</t>
        </is>
      </c>
    </row>
    <row r="1574">
      <c r="B1574" s="0" t="inlineStr">
        <is>
          <t xml:space="preserve">N0010421PEL47</t>
        </is>
      </c>
      <c r="D1574" s="0" t="inlineStr">
        <is>
          <t xml:space="preserve">small_craft</t>
        </is>
      </c>
      <c r="E1574" s="0" t="inlineStr">
        <is>
          <t xml:space="preserve">COMSACO, LLC</t>
        </is>
      </c>
      <c r="F1574" s="0" t="inlineStr">
        <is>
          <t xml:space="preserve">B</t>
        </is>
      </c>
      <c r="G1574" s="4">
        <v>0.009474999999999999</v>
      </c>
      <c r="H1574" s="0" t="inlineStr">
        <is>
          <t xml:space="preserve">2021-08-06</t>
        </is>
      </c>
      <c r="I1574" s="0" t="inlineStr">
        <is>
          <t xml:space="preserve">no</t>
        </is>
      </c>
      <c r="K1574" s="0" t="inlineStr">
        <is>
          <t xml:space="preserve">NONE</t>
        </is>
      </c>
    </row>
    <row r="1575">
      <c r="B1575" s="0" t="inlineStr">
        <is>
          <t xml:space="preserve">N0010423PLE02</t>
        </is>
      </c>
      <c r="D1575" s="0" t="inlineStr">
        <is>
          <t xml:space="preserve">small_craft</t>
        </is>
      </c>
      <c r="E1575" s="0" t="inlineStr">
        <is>
          <t xml:space="preserve">ESI ACQUISITION CORP</t>
        </is>
      </c>
      <c r="F1575" s="0" t="inlineStr">
        <is>
          <t xml:space="preserve">B</t>
        </is>
      </c>
      <c r="G1575" s="4">
        <v>0.00945</v>
      </c>
      <c r="H1575" s="0" t="inlineStr">
        <is>
          <t xml:space="preserve">2023-07-19</t>
        </is>
      </c>
      <c r="I1575" s="0" t="inlineStr">
        <is>
          <t xml:space="preserve">no</t>
        </is>
      </c>
      <c r="K1575" s="0" t="inlineStr">
        <is>
          <t xml:space="preserve">NONE</t>
        </is>
      </c>
    </row>
    <row r="1576">
      <c r="B1576" s="0" t="inlineStr">
        <is>
          <t xml:space="preserve">LH74</t>
        </is>
      </c>
      <c r="C1576" s="0" t="inlineStr">
        <is>
          <t xml:space="preserve">N6238715D2104</t>
        </is>
      </c>
      <c r="D1576" s="0" t="inlineStr">
        <is>
          <t xml:space="preserve">other_small</t>
        </is>
      </c>
      <c r="E1576" s="0" t="inlineStr">
        <is>
          <t xml:space="preserve">MCALLISTER TOWING AND TRANSPORTATION COMPANY, INC.</t>
        </is>
      </c>
      <c r="F1576" s="0" t="inlineStr">
        <is>
          <t xml:space="preserve">C</t>
        </is>
      </c>
      <c r="G1576" s="4">
        <v>0.0094295</v>
      </c>
      <c r="H1576" s="0" t="inlineStr">
        <is>
          <t xml:space="preserve">2017-07-29</t>
        </is>
      </c>
      <c r="I1576" s="0" t="inlineStr">
        <is>
          <t xml:space="preserve">no</t>
        </is>
      </c>
      <c r="J1576" s="0" t="inlineStr">
        <is>
          <t xml:space="preserve">N6238715R2104</t>
        </is>
      </c>
      <c r="K1576" s="0" t="inlineStr">
        <is>
          <t xml:space="preserve">NONE</t>
        </is>
      </c>
    </row>
    <row r="1577">
      <c r="B1577" s="0" t="inlineStr">
        <is>
          <t xml:space="preserve">1003</t>
        </is>
      </c>
      <c r="C1577" s="0" t="inlineStr">
        <is>
          <t xml:space="preserve">N0010416DX004</t>
        </is>
      </c>
      <c r="D1577" s="0" t="inlineStr">
        <is>
          <t xml:space="preserve">small_craft</t>
        </is>
      </c>
      <c r="E1577" s="0" t="inlineStr">
        <is>
          <t xml:space="preserve">WING INFLATABLES INC</t>
        </is>
      </c>
      <c r="F1577" s="0" t="inlineStr">
        <is>
          <t xml:space="preserve">C</t>
        </is>
      </c>
      <c r="G1577" s="4">
        <v>0.009382</v>
      </c>
      <c r="H1577" s="0" t="inlineStr">
        <is>
          <t xml:space="preserve">2016-09-27</t>
        </is>
      </c>
      <c r="I1577" s="0" t="inlineStr">
        <is>
          <t xml:space="preserve">no</t>
        </is>
      </c>
      <c r="K1577" s="0" t="inlineStr">
        <is>
          <t xml:space="preserve">NONE</t>
        </is>
      </c>
    </row>
    <row r="1578">
      <c r="B1578" s="0" t="inlineStr">
        <is>
          <t xml:space="preserve">N0040615P1393</t>
        </is>
      </c>
      <c r="D1578" s="0" t="inlineStr">
        <is>
          <t xml:space="preserve">small_craft</t>
        </is>
      </c>
      <c r="E1578" s="0" t="inlineStr">
        <is>
          <t xml:space="preserve">GTA MARINE</t>
        </is>
      </c>
      <c r="F1578" s="0" t="inlineStr">
        <is>
          <t xml:space="preserve">B</t>
        </is>
      </c>
      <c r="G1578" s="4">
        <v>0.0093814</v>
      </c>
      <c r="H1578" s="0" t="inlineStr">
        <is>
          <t xml:space="preserve">2015-02-18</t>
        </is>
      </c>
      <c r="I1578" s="0" t="inlineStr">
        <is>
          <t xml:space="preserve">no</t>
        </is>
      </c>
      <c r="K1578" s="0" t="inlineStr">
        <is>
          <t xml:space="preserve">NONE</t>
        </is>
      </c>
    </row>
    <row r="1579">
      <c r="B1579" s="0" t="inlineStr">
        <is>
          <t xml:space="preserve">N0010423PXA59</t>
        </is>
      </c>
      <c r="D1579" s="0" t="inlineStr">
        <is>
          <t xml:space="preserve">small_craft</t>
        </is>
      </c>
      <c r="E1579" s="0" t="inlineStr">
        <is>
          <t xml:space="preserve">GEODESICX, INC.</t>
        </is>
      </c>
      <c r="F1579" s="0" t="inlineStr">
        <is>
          <t xml:space="preserve">B</t>
        </is>
      </c>
      <c r="G1579" s="4">
        <v>0.009359</v>
      </c>
      <c r="H1579" s="0" t="inlineStr">
        <is>
          <t xml:space="preserve">2022-11-29</t>
        </is>
      </c>
      <c r="I1579" s="0" t="inlineStr">
        <is>
          <t xml:space="preserve">no</t>
        </is>
      </c>
      <c r="K1579" s="0" t="inlineStr">
        <is>
          <t xml:space="preserve">NONE</t>
        </is>
      </c>
    </row>
    <row r="1580">
      <c r="B1580" s="0" t="inlineStr">
        <is>
          <t xml:space="preserve">N0010421PDB81</t>
        </is>
      </c>
      <c r="D1580" s="0" t="inlineStr">
        <is>
          <t xml:space="preserve">small_craft</t>
        </is>
      </c>
      <c r="E1580" s="0" t="inlineStr">
        <is>
          <t xml:space="preserve">JUNIPER ELBOW CO. INC.</t>
        </is>
      </c>
      <c r="F1580" s="0" t="inlineStr">
        <is>
          <t xml:space="preserve">B</t>
        </is>
      </c>
      <c r="G1580" s="4">
        <v>0.009348</v>
      </c>
      <c r="H1580" s="0" t="inlineStr">
        <is>
          <t xml:space="preserve">2021-05-27</t>
        </is>
      </c>
      <c r="I1580" s="0" t="inlineStr">
        <is>
          <t xml:space="preserve">no</t>
        </is>
      </c>
      <c r="K1580" s="0" t="inlineStr">
        <is>
          <t xml:space="preserve">NONE</t>
        </is>
      </c>
    </row>
    <row r="1581">
      <c r="B1581" s="0" t="inlineStr">
        <is>
          <t xml:space="preserve">N0010423PEL82</t>
        </is>
      </c>
      <c r="D1581" s="0" t="inlineStr">
        <is>
          <t xml:space="preserve">small_craft</t>
        </is>
      </c>
      <c r="E1581" s="0" t="inlineStr">
        <is>
          <t xml:space="preserve">ADIRONDACK ELECTRONICS INC</t>
        </is>
      </c>
      <c r="F1581" s="0" t="inlineStr">
        <is>
          <t xml:space="preserve">B</t>
        </is>
      </c>
      <c r="G1581" s="4">
        <v>0.0093307</v>
      </c>
      <c r="H1581" s="0" t="inlineStr">
        <is>
          <t xml:space="preserve">2023-09-15</t>
        </is>
      </c>
      <c r="I1581" s="0" t="inlineStr">
        <is>
          <t xml:space="preserve">no</t>
        </is>
      </c>
      <c r="K1581" s="0" t="inlineStr">
        <is>
          <t xml:space="preserve">NONE</t>
        </is>
      </c>
    </row>
    <row r="1582">
      <c r="B1582" s="0" t="inlineStr">
        <is>
          <t xml:space="preserve">N3220519F8116</t>
        </is>
      </c>
      <c r="C1582" s="0" t="inlineStr">
        <is>
          <t xml:space="preserve">N3220517D4700</t>
        </is>
      </c>
      <c r="D1582" s="0" t="inlineStr">
        <is>
          <t xml:space="preserve">other_small</t>
        </is>
      </c>
      <c r="E1582" s="0" t="inlineStr">
        <is>
          <t xml:space="preserve">LAKE SHORE SYSTEMS, INC.</t>
        </is>
      </c>
      <c r="F1582" s="0" t="inlineStr">
        <is>
          <t xml:space="preserve">C</t>
        </is>
      </c>
      <c r="G1582" s="4">
        <v>0.00929743</v>
      </c>
      <c r="H1582" s="0" t="inlineStr">
        <is>
          <t xml:space="preserve">2019-08-16</t>
        </is>
      </c>
      <c r="I1582" s="0" t="inlineStr">
        <is>
          <t xml:space="preserve">no</t>
        </is>
      </c>
      <c r="K1582" s="0" t="inlineStr">
        <is>
          <t xml:space="preserve">NONE</t>
        </is>
      </c>
    </row>
    <row r="1583">
      <c r="B1583" s="0" t="inlineStr">
        <is>
          <t xml:space="preserve">N0010426PSA38</t>
        </is>
      </c>
      <c r="D1583" s="0" t="inlineStr">
        <is>
          <t xml:space="preserve">small_craft</t>
        </is>
      </c>
      <c r="E1583" s="0" t="inlineStr">
        <is>
          <t xml:space="preserve">MAGNA DRIVE CORP</t>
        </is>
      </c>
      <c r="F1583" s="0" t="inlineStr">
        <is>
          <t xml:space="preserve">B</t>
        </is>
      </c>
      <c r="G1583" s="4">
        <v>0.009274</v>
      </c>
      <c r="H1583" s="0" t="inlineStr">
        <is>
          <t xml:space="preserve">2025-11-05</t>
        </is>
      </c>
      <c r="I1583" s="0" t="inlineStr">
        <is>
          <t xml:space="preserve">yes</t>
        </is>
      </c>
      <c r="J1583" s="0" t="inlineStr">
        <is>
          <t xml:space="preserve">N0010425QSC52</t>
        </is>
      </c>
      <c r="K1583" s="0" t="inlineStr">
        <is>
          <t xml:space="preserve">NONE</t>
        </is>
      </c>
    </row>
    <row r="1584">
      <c r="B1584" s="0" t="inlineStr">
        <is>
          <t xml:space="preserve">N0010421PXB53</t>
        </is>
      </c>
      <c r="D1584" s="0" t="inlineStr">
        <is>
          <t xml:space="preserve">small_craft</t>
        </is>
      </c>
      <c r="E1584" s="0" t="inlineStr">
        <is>
          <t xml:space="preserve">VIRGINIA ELECTRONIC SYSTEMS, INC.</t>
        </is>
      </c>
      <c r="F1584" s="0" t="inlineStr">
        <is>
          <t xml:space="preserve">B</t>
        </is>
      </c>
      <c r="G1584" s="4">
        <v>0.00918334</v>
      </c>
      <c r="H1584" s="0" t="inlineStr">
        <is>
          <t xml:space="preserve">2021-07-01</t>
        </is>
      </c>
      <c r="I1584" s="0" t="inlineStr">
        <is>
          <t xml:space="preserve">no</t>
        </is>
      </c>
      <c r="K1584" s="0" t="inlineStr">
        <is>
          <t xml:space="preserve">NONE</t>
        </is>
      </c>
    </row>
    <row r="1585">
      <c r="B1585" s="0" t="inlineStr">
        <is>
          <t xml:space="preserve">N4044208P5207</t>
        </is>
      </c>
      <c r="D1585" s="0" t="inlineStr">
        <is>
          <t xml:space="preserve">small_craft</t>
        </is>
      </c>
      <c r="E1585" s="0" t="inlineStr">
        <is>
          <t xml:space="preserve">PALFINGER MARINE USA, LLC</t>
        </is>
      </c>
      <c r="F1585" s="0" t="inlineStr">
        <is>
          <t xml:space="preserve">B</t>
        </is>
      </c>
      <c r="G1585" s="4">
        <v>0.009134</v>
      </c>
      <c r="H1585" s="0" t="inlineStr">
        <is>
          <t xml:space="preserve">2007-12-06</t>
        </is>
      </c>
      <c r="I1585" s="0" t="inlineStr">
        <is>
          <t xml:space="preserve">no</t>
        </is>
      </c>
      <c r="K1585" s="0" t="inlineStr">
        <is>
          <t xml:space="preserve">NONE</t>
        </is>
      </c>
    </row>
    <row r="1586">
      <c r="B1586" s="0" t="inlineStr">
        <is>
          <t xml:space="preserve">N0010416PCE42</t>
        </is>
      </c>
      <c r="D1586" s="0" t="inlineStr">
        <is>
          <t xml:space="preserve">small_craft</t>
        </is>
      </c>
      <c r="E1586" s="0" t="inlineStr">
        <is>
          <t xml:space="preserve">ROLLS-ROYCE MARINE NORTH AMERICA INC.</t>
        </is>
      </c>
      <c r="F1586" s="0" t="inlineStr">
        <is>
          <t xml:space="preserve">B</t>
        </is>
      </c>
      <c r="G1586" s="4">
        <v>0.009125</v>
      </c>
      <c r="H1586" s="0" t="inlineStr">
        <is>
          <t xml:space="preserve">2016-06-02</t>
        </is>
      </c>
      <c r="I1586" s="0" t="inlineStr">
        <is>
          <t xml:space="preserve">no</t>
        </is>
      </c>
      <c r="K1586" s="0" t="inlineStr">
        <is>
          <t xml:space="preserve">NONE</t>
        </is>
      </c>
    </row>
    <row r="1587">
      <c r="B1587" s="0" t="inlineStr">
        <is>
          <t xml:space="preserve">N0040617P2069</t>
        </is>
      </c>
      <c r="D1587" s="0" t="inlineStr">
        <is>
          <t xml:space="preserve">small_craft</t>
        </is>
      </c>
      <c r="E1587" s="0" t="inlineStr">
        <is>
          <t xml:space="preserve">PIER SIDE SUPPLY INC</t>
        </is>
      </c>
      <c r="F1587" s="0" t="inlineStr">
        <is>
          <t xml:space="preserve">B</t>
        </is>
      </c>
      <c r="G1587" s="4">
        <v>0.00912</v>
      </c>
      <c r="H1587" s="0" t="inlineStr">
        <is>
          <t xml:space="preserve">2017-06-13</t>
        </is>
      </c>
      <c r="I1587" s="0" t="inlineStr">
        <is>
          <t xml:space="preserve">no</t>
        </is>
      </c>
      <c r="K1587" s="0" t="inlineStr">
        <is>
          <t xml:space="preserve">NONE</t>
        </is>
      </c>
    </row>
    <row r="1588">
      <c r="B1588" s="0" t="inlineStr">
        <is>
          <t xml:space="preserve">N0010421PCD60</t>
        </is>
      </c>
      <c r="D1588" s="0" t="inlineStr">
        <is>
          <t xml:space="preserve">small_craft</t>
        </is>
      </c>
      <c r="E1588" s="0" t="inlineStr">
        <is>
          <t xml:space="preserve">ALLIED MARINE SERVICES LLC</t>
        </is>
      </c>
      <c r="F1588" s="0" t="inlineStr">
        <is>
          <t xml:space="preserve">B</t>
        </is>
      </c>
      <c r="G1588" s="4">
        <v>0.0091</v>
      </c>
      <c r="H1588" s="0" t="inlineStr">
        <is>
          <t xml:space="preserve">2021-08-11</t>
        </is>
      </c>
      <c r="I1588" s="0" t="inlineStr">
        <is>
          <t xml:space="preserve">no</t>
        </is>
      </c>
      <c r="K1588" s="0" t="inlineStr">
        <is>
          <t xml:space="preserve">NONE</t>
        </is>
      </c>
    </row>
    <row r="1589">
      <c r="B1589" s="0" t="inlineStr">
        <is>
          <t xml:space="preserve">N0010423PEF91</t>
        </is>
      </c>
      <c r="D1589" s="0" t="inlineStr">
        <is>
          <t xml:space="preserve">small_craft</t>
        </is>
      </c>
      <c r="E1589" s="0" t="inlineStr">
        <is>
          <t xml:space="preserve">FLOWSERVE CORP</t>
        </is>
      </c>
      <c r="F1589" s="0" t="inlineStr">
        <is>
          <t xml:space="preserve">B</t>
        </is>
      </c>
      <c r="G1589" s="4">
        <v>0.00908</v>
      </c>
      <c r="H1589" s="0" t="inlineStr">
        <is>
          <t xml:space="preserve">2023-07-20</t>
        </is>
      </c>
      <c r="I1589" s="0" t="inlineStr">
        <is>
          <t xml:space="preserve">no</t>
        </is>
      </c>
      <c r="J1589" s="0" t="inlineStr">
        <is>
          <t xml:space="preserve">N0010423QBB28</t>
        </is>
      </c>
      <c r="K1589" s="0" t="inlineStr">
        <is>
          <t xml:space="preserve">NONE</t>
        </is>
      </c>
    </row>
    <row r="1590">
      <c r="B1590" s="0" t="inlineStr">
        <is>
          <t xml:space="preserve">N0040616P0637</t>
        </is>
      </c>
      <c r="D1590" s="0" t="inlineStr">
        <is>
          <t xml:space="preserve">small_craft</t>
        </is>
      </c>
      <c r="E1590" s="0" t="inlineStr">
        <is>
          <t xml:space="preserve">OUTSOURCE LTD</t>
        </is>
      </c>
      <c r="F1590" s="0" t="inlineStr">
        <is>
          <t xml:space="preserve">B</t>
        </is>
      </c>
      <c r="G1590" s="4">
        <v>0.009056799999999999</v>
      </c>
      <c r="H1590" s="0" t="inlineStr">
        <is>
          <t xml:space="preserve">2015-12-21</t>
        </is>
      </c>
      <c r="I1590" s="0" t="inlineStr">
        <is>
          <t xml:space="preserve">no</t>
        </is>
      </c>
      <c r="K1590" s="0" t="inlineStr">
        <is>
          <t xml:space="preserve">NONE</t>
        </is>
      </c>
    </row>
    <row r="1591">
      <c r="B1591" s="0" t="inlineStr">
        <is>
          <t xml:space="preserve">N0010421PDB82</t>
        </is>
      </c>
      <c r="D1591" s="0" t="inlineStr">
        <is>
          <t xml:space="preserve">small_craft</t>
        </is>
      </c>
      <c r="E1591" s="0" t="inlineStr">
        <is>
          <t xml:space="preserve">JUNIPER ELBOW CO. INC.</t>
        </is>
      </c>
      <c r="F1591" s="0" t="inlineStr">
        <is>
          <t xml:space="preserve">B</t>
        </is>
      </c>
      <c r="G1591" s="4">
        <v>0.00904</v>
      </c>
      <c r="H1591" s="0" t="inlineStr">
        <is>
          <t xml:space="preserve">2021-05-27</t>
        </is>
      </c>
      <c r="I1591" s="0" t="inlineStr">
        <is>
          <t xml:space="preserve">no</t>
        </is>
      </c>
      <c r="K1591" s="0" t="inlineStr">
        <is>
          <t xml:space="preserve">NONE</t>
        </is>
      </c>
    </row>
    <row r="1592">
      <c r="B1592" s="0" t="inlineStr">
        <is>
          <t xml:space="preserve">N0010419PNE62</t>
        </is>
      </c>
      <c r="D1592" s="0" t="inlineStr">
        <is>
          <t xml:space="preserve">small_craft</t>
        </is>
      </c>
      <c r="E1592" s="0" t="inlineStr">
        <is>
          <t xml:space="preserve">CURTISS-WRIGHT ELECTRO-MECHANICAL CORPORATION</t>
        </is>
      </c>
      <c r="F1592" s="0" t="inlineStr">
        <is>
          <t xml:space="preserve">B</t>
        </is>
      </c>
      <c r="G1592" s="4">
        <v>0.009</v>
      </c>
      <c r="H1592" s="0" t="inlineStr">
        <is>
          <t xml:space="preserve">2019-09-17</t>
        </is>
      </c>
      <c r="I1592" s="0" t="inlineStr">
        <is>
          <t xml:space="preserve">no</t>
        </is>
      </c>
      <c r="J1592" s="0" t="inlineStr">
        <is>
          <t xml:space="preserve">N0010419QNB88</t>
        </is>
      </c>
      <c r="K1592" s="0" t="inlineStr">
        <is>
          <t xml:space="preserve">NONE</t>
        </is>
      </c>
    </row>
    <row r="1593">
      <c r="B1593" s="0" t="inlineStr">
        <is>
          <t xml:space="preserve">LH62</t>
        </is>
      </c>
      <c r="C1593" s="0" t="inlineStr">
        <is>
          <t xml:space="preserve">N6238715D2104</t>
        </is>
      </c>
      <c r="D1593" s="0" t="inlineStr">
        <is>
          <t xml:space="preserve">other_small</t>
        </is>
      </c>
      <c r="E1593" s="0" t="inlineStr">
        <is>
          <t xml:space="preserve">MCALLISTER TOWING AND TRANSPORTATION COMPANY, INC.</t>
        </is>
      </c>
      <c r="F1593" s="0" t="inlineStr">
        <is>
          <t xml:space="preserve">C</t>
        </is>
      </c>
      <c r="G1593" s="4">
        <v>0.009</v>
      </c>
      <c r="H1593" s="0" t="inlineStr">
        <is>
          <t xml:space="preserve">2017-05-22</t>
        </is>
      </c>
      <c r="I1593" s="0" t="inlineStr">
        <is>
          <t xml:space="preserve">no</t>
        </is>
      </c>
      <c r="J1593" s="0" t="inlineStr">
        <is>
          <t xml:space="preserve">N6238715R2104</t>
        </is>
      </c>
      <c r="K1593" s="0" t="inlineStr">
        <is>
          <t xml:space="preserve">NONE</t>
        </is>
      </c>
    </row>
    <row r="1594">
      <c r="B1594" s="0" t="inlineStr">
        <is>
          <t xml:space="preserve">N0010426PQA68</t>
        </is>
      </c>
      <c r="D1594" s="0" t="inlineStr">
        <is>
          <t xml:space="preserve">small_craft</t>
        </is>
      </c>
      <c r="E1594" s="0" t="inlineStr">
        <is>
          <t xml:space="preserve">CORNET TECHNOLOGY, INC.</t>
        </is>
      </c>
      <c r="F1594" s="0" t="inlineStr">
        <is>
          <t xml:space="preserve">B</t>
        </is>
      </c>
      <c r="G1594" s="4">
        <v>0.008969999999999999</v>
      </c>
      <c r="H1594" s="0" t="inlineStr">
        <is>
          <t xml:space="preserve">2026-03-12</t>
        </is>
      </c>
      <c r="I1594" s="0" t="inlineStr">
        <is>
          <t xml:space="preserve">yes</t>
        </is>
      </c>
      <c r="K1594" s="0" t="inlineStr">
        <is>
          <t xml:space="preserve">NONE</t>
        </is>
      </c>
    </row>
    <row r="1595">
      <c r="B1595" s="0" t="inlineStr">
        <is>
          <t xml:space="preserve">N0010424PEF94</t>
        </is>
      </c>
      <c r="D1595" s="0" t="inlineStr">
        <is>
          <t xml:space="preserve">small_craft</t>
        </is>
      </c>
      <c r="E1595" s="0" t="inlineStr">
        <is>
          <t xml:space="preserve">WHOLESALE BATTERIES, INC.</t>
        </is>
      </c>
      <c r="F1595" s="0" t="inlineStr">
        <is>
          <t xml:space="preserve">B</t>
        </is>
      </c>
      <c r="G1595" s="4">
        <v>0.0089526</v>
      </c>
      <c r="H1595" s="0" t="inlineStr">
        <is>
          <t xml:space="preserve">2024-09-09</t>
        </is>
      </c>
      <c r="I1595" s="0" t="inlineStr">
        <is>
          <t xml:space="preserve">no</t>
        </is>
      </c>
      <c r="K1595" s="0" t="inlineStr">
        <is>
          <t xml:space="preserve">NONE</t>
        </is>
      </c>
    </row>
    <row r="1596">
      <c r="B1596" s="0" t="inlineStr">
        <is>
          <t xml:space="preserve">N0010419PDC48</t>
        </is>
      </c>
      <c r="D1596" s="0" t="inlineStr">
        <is>
          <t xml:space="preserve">small_craft</t>
        </is>
      </c>
      <c r="E1596" s="0" t="inlineStr">
        <is>
          <t xml:space="preserve">ROLLS-ROYCE MARINE NORTH AMERICA INC.</t>
        </is>
      </c>
      <c r="F1596" s="0" t="inlineStr">
        <is>
          <t xml:space="preserve">B</t>
        </is>
      </c>
      <c r="G1596" s="4">
        <v>0.00895</v>
      </c>
      <c r="H1596" s="0" t="inlineStr">
        <is>
          <t xml:space="preserve">2019-07-18</t>
        </is>
      </c>
      <c r="I1596" s="0" t="inlineStr">
        <is>
          <t xml:space="preserve">no</t>
        </is>
      </c>
      <c r="K1596" s="0" t="inlineStr">
        <is>
          <t xml:space="preserve">NONE</t>
        </is>
      </c>
    </row>
    <row r="1597">
      <c r="B1597" s="0" t="inlineStr">
        <is>
          <t xml:space="preserve">N3220517F0892</t>
        </is>
      </c>
      <c r="C1597" s="0" t="inlineStr">
        <is>
          <t xml:space="preserve">N3220517D4700</t>
        </is>
      </c>
      <c r="D1597" s="0" t="inlineStr">
        <is>
          <t xml:space="preserve">other_small</t>
        </is>
      </c>
      <c r="E1597" s="0" t="inlineStr">
        <is>
          <t xml:space="preserve">LAKE SHORE SYSTEMS, INC.</t>
        </is>
      </c>
      <c r="F1597" s="0" t="inlineStr">
        <is>
          <t xml:space="preserve">C</t>
        </is>
      </c>
      <c r="G1597" s="4">
        <v>0.00894</v>
      </c>
      <c r="H1597" s="0" t="inlineStr">
        <is>
          <t xml:space="preserve">2017-07-26</t>
        </is>
      </c>
      <c r="I1597" s="0" t="inlineStr">
        <is>
          <t xml:space="preserve">no</t>
        </is>
      </c>
      <c r="K1597" s="0" t="inlineStr">
        <is>
          <t xml:space="preserve">NONE</t>
        </is>
      </c>
    </row>
    <row r="1598">
      <c r="B1598" s="0" t="inlineStr">
        <is>
          <t xml:space="preserve">N0010416PCD86</t>
        </is>
      </c>
      <c r="D1598" s="0" t="inlineStr">
        <is>
          <t xml:space="preserve">small_craft</t>
        </is>
      </c>
      <c r="E1598" s="0" t="inlineStr">
        <is>
          <t xml:space="preserve">KINGSBURY INC</t>
        </is>
      </c>
      <c r="F1598" s="0" t="inlineStr">
        <is>
          <t xml:space="preserve">B</t>
        </is>
      </c>
      <c r="G1598" s="4">
        <v>0.008935</v>
      </c>
      <c r="H1598" s="0" t="inlineStr">
        <is>
          <t xml:space="preserve">2016-05-25</t>
        </is>
      </c>
      <c r="I1598" s="0" t="inlineStr">
        <is>
          <t xml:space="preserve">no</t>
        </is>
      </c>
      <c r="K1598" s="0" t="inlineStr">
        <is>
          <t xml:space="preserve">NONE</t>
        </is>
      </c>
    </row>
    <row r="1599">
      <c r="B1599" s="0" t="inlineStr">
        <is>
          <t xml:space="preserve">M6700116P1329</t>
        </is>
      </c>
      <c r="D1599" s="0" t="inlineStr">
        <is>
          <t xml:space="preserve">small_craft</t>
        </is>
      </c>
      <c r="E1599" s="0" t="inlineStr">
        <is>
          <t xml:space="preserve">TECHNOFORMERS LLC</t>
        </is>
      </c>
      <c r="F1599" s="0" t="inlineStr">
        <is>
          <t xml:space="preserve">B</t>
        </is>
      </c>
      <c r="G1599" s="4">
        <v>0.008882919999999999</v>
      </c>
      <c r="H1599" s="0" t="inlineStr">
        <is>
          <t xml:space="preserve">2016-08-24</t>
        </is>
      </c>
      <c r="I1599" s="0" t="inlineStr">
        <is>
          <t xml:space="preserve">no</t>
        </is>
      </c>
      <c r="J1599" s="0" t="inlineStr">
        <is>
          <t xml:space="preserve">M6700116T1251</t>
        </is>
      </c>
      <c r="K1599" s="0" t="inlineStr">
        <is>
          <t xml:space="preserve">NONE</t>
        </is>
      </c>
    </row>
    <row r="1600">
      <c r="B1600" s="0" t="inlineStr">
        <is>
          <t xml:space="preserve">N0040616P1319</t>
        </is>
      </c>
      <c r="D1600" s="0" t="inlineStr">
        <is>
          <t xml:space="preserve">small_craft</t>
        </is>
      </c>
      <c r="E1600" s="0" t="inlineStr">
        <is>
          <t xml:space="preserve">J.D.A. MARITIME, INC.</t>
        </is>
      </c>
      <c r="F1600" s="0" t="inlineStr">
        <is>
          <t xml:space="preserve">B</t>
        </is>
      </c>
      <c r="G1600" s="4">
        <v>0.008875</v>
      </c>
      <c r="H1600" s="0" t="inlineStr">
        <is>
          <t xml:space="preserve">2016-02-29</t>
        </is>
      </c>
      <c r="I1600" s="0" t="inlineStr">
        <is>
          <t xml:space="preserve">no</t>
        </is>
      </c>
      <c r="K1600" s="0" t="inlineStr">
        <is>
          <t xml:space="preserve">NONE</t>
        </is>
      </c>
    </row>
    <row r="1601">
      <c r="B1601" s="0" t="inlineStr">
        <is>
          <t xml:space="preserve">0002</t>
        </is>
      </c>
      <c r="C1601" s="0" t="inlineStr">
        <is>
          <t xml:space="preserve">N3220517D4700</t>
        </is>
      </c>
      <c r="D1601" s="0" t="inlineStr">
        <is>
          <t xml:space="preserve">other_small</t>
        </is>
      </c>
      <c r="E1601" s="0" t="inlineStr">
        <is>
          <t xml:space="preserve">LAKE SHORE SYSTEMS, INC.</t>
        </is>
      </c>
      <c r="F1601" s="0" t="inlineStr">
        <is>
          <t xml:space="preserve">C</t>
        </is>
      </c>
      <c r="G1601" s="4">
        <v>0.008842</v>
      </c>
      <c r="H1601" s="0" t="inlineStr">
        <is>
          <t xml:space="preserve">2016-11-14</t>
        </is>
      </c>
      <c r="I1601" s="0" t="inlineStr">
        <is>
          <t xml:space="preserve">no</t>
        </is>
      </c>
      <c r="K1601" s="0" t="inlineStr">
        <is>
          <t xml:space="preserve">NONE</t>
        </is>
      </c>
    </row>
    <row r="1602">
      <c r="B1602" s="0" t="inlineStr">
        <is>
          <t xml:space="preserve">N0010421PEJ30</t>
        </is>
      </c>
      <c r="D1602" s="0" t="inlineStr">
        <is>
          <t xml:space="preserve">small_craft</t>
        </is>
      </c>
      <c r="E1602" s="0" t="inlineStr">
        <is>
          <t xml:space="preserve">HAN-BOONE INTERNATIONAL, INC.</t>
        </is>
      </c>
      <c r="F1602" s="0" t="inlineStr">
        <is>
          <t xml:space="preserve">B</t>
        </is>
      </c>
      <c r="G1602" s="4">
        <v>0.00883275</v>
      </c>
      <c r="H1602" s="0" t="inlineStr">
        <is>
          <t xml:space="preserve">2021-07-20</t>
        </is>
      </c>
      <c r="I1602" s="0" t="inlineStr">
        <is>
          <t xml:space="preserve">no</t>
        </is>
      </c>
      <c r="K1602" s="0" t="inlineStr">
        <is>
          <t xml:space="preserve">NONE</t>
        </is>
      </c>
    </row>
    <row r="1603">
      <c r="B1603" s="0" t="inlineStr">
        <is>
          <t xml:space="preserve">N0010425PYD64</t>
        </is>
      </c>
      <c r="D1603" s="0" t="inlineStr">
        <is>
          <t xml:space="preserve">small_craft</t>
        </is>
      </c>
      <c r="E1603" s="0" t="inlineStr">
        <is>
          <t xml:space="preserve">MDF TECHNOLOGIES INC</t>
        </is>
      </c>
      <c r="F1603" s="0" t="inlineStr">
        <is>
          <t xml:space="preserve">B</t>
        </is>
      </c>
      <c r="G1603" s="4">
        <v>0.008825</v>
      </c>
      <c r="H1603" s="0" t="inlineStr">
        <is>
          <t xml:space="preserve">2025-07-23</t>
        </is>
      </c>
      <c r="I1603" s="0" t="inlineStr">
        <is>
          <t xml:space="preserve">yes</t>
        </is>
      </c>
      <c r="J1603" s="0" t="inlineStr">
        <is>
          <t xml:space="preserve">N0010425QYJ83</t>
        </is>
      </c>
      <c r="K1603" s="0" t="inlineStr">
        <is>
          <t xml:space="preserve">NONE</t>
        </is>
      </c>
    </row>
    <row r="1604">
      <c r="B1604" s="0" t="inlineStr">
        <is>
          <t xml:space="preserve">N0040617P1742</t>
        </is>
      </c>
      <c r="D1604" s="0" t="inlineStr">
        <is>
          <t xml:space="preserve">small_craft</t>
        </is>
      </c>
      <c r="E1604" s="0" t="inlineStr">
        <is>
          <t xml:space="preserve">J.D.A. MARITIME, INC.</t>
        </is>
      </c>
      <c r="F1604" s="0" t="inlineStr">
        <is>
          <t xml:space="preserve">B</t>
        </is>
      </c>
      <c r="G1604" s="4">
        <v>0.008785</v>
      </c>
      <c r="H1604" s="0" t="inlineStr">
        <is>
          <t xml:space="preserve">2017-05-16</t>
        </is>
      </c>
      <c r="I1604" s="0" t="inlineStr">
        <is>
          <t xml:space="preserve">no</t>
        </is>
      </c>
      <c r="K1604" s="0" t="inlineStr">
        <is>
          <t xml:space="preserve">NONE</t>
        </is>
      </c>
    </row>
    <row r="1605">
      <c r="B1605" s="0" t="inlineStr">
        <is>
          <t xml:space="preserve">N0040616P2884</t>
        </is>
      </c>
      <c r="D1605" s="0" t="inlineStr">
        <is>
          <t xml:space="preserve">small_craft</t>
        </is>
      </c>
      <c r="E1605" s="0" t="inlineStr">
        <is>
          <t xml:space="preserve">J.D.A. MARITIME, INC.</t>
        </is>
      </c>
      <c r="F1605" s="0" t="inlineStr">
        <is>
          <t xml:space="preserve">B</t>
        </is>
      </c>
      <c r="G1605" s="4">
        <v>0.008775</v>
      </c>
      <c r="H1605" s="0" t="inlineStr">
        <is>
          <t xml:space="preserve">2016-08-11</t>
        </is>
      </c>
      <c r="I1605" s="0" t="inlineStr">
        <is>
          <t xml:space="preserve">no</t>
        </is>
      </c>
      <c r="K1605" s="0" t="inlineStr">
        <is>
          <t xml:space="preserve">NONE</t>
        </is>
      </c>
    </row>
    <row r="1606">
      <c r="B1606" s="0" t="inlineStr">
        <is>
          <t xml:space="preserve">0069</t>
        </is>
      </c>
      <c r="C1606" s="0" t="inlineStr">
        <is>
          <t xml:space="preserve">N3220513D2001</t>
        </is>
      </c>
      <c r="D1606" s="0" t="inlineStr">
        <is>
          <t xml:space="preserve">other_small</t>
        </is>
      </c>
      <c r="E1606" s="0" t="inlineStr">
        <is>
          <t xml:space="preserve">AUSTAL USA, LLC</t>
        </is>
      </c>
      <c r="F1606" s="0" t="inlineStr">
        <is>
          <t xml:space="preserve">C</t>
        </is>
      </c>
      <c r="G1606" s="4">
        <v>0.00876546</v>
      </c>
      <c r="H1606" s="0" t="inlineStr">
        <is>
          <t xml:space="preserve">2016-08-29</t>
        </is>
      </c>
      <c r="I1606" s="0" t="inlineStr">
        <is>
          <t xml:space="preserve">no</t>
        </is>
      </c>
      <c r="J1606" s="0" t="inlineStr">
        <is>
          <t xml:space="preserve">N4044212R2004</t>
        </is>
      </c>
      <c r="K1606" s="0" t="inlineStr">
        <is>
          <t xml:space="preserve">NONE</t>
        </is>
      </c>
    </row>
    <row r="1607">
      <c r="B1607" s="0" t="inlineStr">
        <is>
          <t xml:space="preserve">N0040615P3653</t>
        </is>
      </c>
      <c r="D1607" s="0" t="inlineStr">
        <is>
          <t xml:space="preserve">small_craft</t>
        </is>
      </c>
      <c r="E1607" s="0" t="inlineStr">
        <is>
          <t xml:space="preserve">J.D.A. MARITIME, INC.</t>
        </is>
      </c>
      <c r="F1607" s="0" t="inlineStr">
        <is>
          <t xml:space="preserve">B</t>
        </is>
      </c>
      <c r="G1607" s="4">
        <v>0.008624999999999999</v>
      </c>
      <c r="H1607" s="0" t="inlineStr">
        <is>
          <t xml:space="preserve">2015-08-25</t>
        </is>
      </c>
      <c r="I1607" s="0" t="inlineStr">
        <is>
          <t xml:space="preserve">no</t>
        </is>
      </c>
      <c r="K1607" s="0" t="inlineStr">
        <is>
          <t xml:space="preserve">NONE</t>
        </is>
      </c>
    </row>
    <row r="1608">
      <c r="B1608" s="0" t="inlineStr">
        <is>
          <t xml:space="preserve">N4044207P5536</t>
        </is>
      </c>
      <c r="D1608" s="0" t="inlineStr">
        <is>
          <t xml:space="preserve">other_small</t>
        </is>
      </c>
      <c r="E1608" s="0" t="inlineStr">
        <is>
          <t xml:space="preserve">ENGINEERED SYSTEMS &amp; PRODUCTS, INC.</t>
        </is>
      </c>
      <c r="F1608" s="0" t="inlineStr">
        <is>
          <t xml:space="preserve">B</t>
        </is>
      </c>
      <c r="G1608" s="4">
        <v>0.0086011</v>
      </c>
      <c r="H1608" s="0" t="inlineStr">
        <is>
          <t xml:space="preserve">2007-04-30</t>
        </is>
      </c>
      <c r="I1608" s="0" t="inlineStr">
        <is>
          <t xml:space="preserve">no</t>
        </is>
      </c>
      <c r="K1608" s="0" t="inlineStr">
        <is>
          <t xml:space="preserve">NONE</t>
        </is>
      </c>
    </row>
    <row r="1609">
      <c r="B1609" s="0" t="inlineStr">
        <is>
          <t xml:space="preserve">N0010422PK901</t>
        </is>
      </c>
      <c r="D1609" s="0" t="inlineStr">
        <is>
          <t xml:space="preserve">other_small</t>
        </is>
      </c>
      <c r="E1609" s="0" t="inlineStr">
        <is>
          <t xml:space="preserve">D3 DIVING LLC</t>
        </is>
      </c>
      <c r="F1609" s="0" t="inlineStr">
        <is>
          <t xml:space="preserve">B</t>
        </is>
      </c>
      <c r="G1609" s="4">
        <v>0.008583</v>
      </c>
      <c r="H1609" s="0" t="inlineStr">
        <is>
          <t xml:space="preserve">2022-01-11</t>
        </is>
      </c>
      <c r="I1609" s="0" t="inlineStr">
        <is>
          <t xml:space="preserve">no</t>
        </is>
      </c>
      <c r="J1609" s="0" t="inlineStr">
        <is>
          <t xml:space="preserve">N0010422QK003</t>
        </is>
      </c>
      <c r="K1609" s="0" t="inlineStr">
        <is>
          <t xml:space="preserve">NONE</t>
        </is>
      </c>
    </row>
    <row r="1610">
      <c r="B1610" s="0" t="inlineStr">
        <is>
          <t xml:space="preserve">N3220518F1315</t>
        </is>
      </c>
      <c r="C1610" s="0" t="inlineStr">
        <is>
          <t xml:space="preserve">N3220517D4700</t>
        </is>
      </c>
      <c r="D1610" s="0" t="inlineStr">
        <is>
          <t xml:space="preserve">other_small</t>
        </is>
      </c>
      <c r="E1610" s="0" t="inlineStr">
        <is>
          <t xml:space="preserve">LAKE SHORE SYSTEMS, INC.</t>
        </is>
      </c>
      <c r="F1610" s="0" t="inlineStr">
        <is>
          <t xml:space="preserve">C</t>
        </is>
      </c>
      <c r="G1610" s="4">
        <v>0.00857801</v>
      </c>
      <c r="H1610" s="0" t="inlineStr">
        <is>
          <t xml:space="preserve">2018-08-27</t>
        </is>
      </c>
      <c r="I1610" s="0" t="inlineStr">
        <is>
          <t xml:space="preserve">no</t>
        </is>
      </c>
      <c r="K1610" s="0" t="inlineStr">
        <is>
          <t xml:space="preserve">NONE</t>
        </is>
      </c>
    </row>
    <row r="1611">
      <c r="B1611" s="0" t="inlineStr">
        <is>
          <t xml:space="preserve">N0010426PBB38</t>
        </is>
      </c>
      <c r="D1611" s="0" t="inlineStr">
        <is>
          <t xml:space="preserve">small_craft</t>
        </is>
      </c>
      <c r="E1611" s="0" t="inlineStr">
        <is>
          <t xml:space="preserve">GENERAL NUCLEAR CORP</t>
        </is>
      </c>
      <c r="F1611" s="0" t="inlineStr">
        <is>
          <t xml:space="preserve">B</t>
        </is>
      </c>
      <c r="G1611" s="4">
        <v>0.008535</v>
      </c>
      <c r="H1611" s="0" t="inlineStr">
        <is>
          <t xml:space="preserve">2025-10-29</t>
        </is>
      </c>
      <c r="I1611" s="0" t="inlineStr">
        <is>
          <t xml:space="preserve">yes</t>
        </is>
      </c>
      <c r="K1611" s="0" t="inlineStr">
        <is>
          <t xml:space="preserve">NONE</t>
        </is>
      </c>
    </row>
    <row r="1612">
      <c r="B1612" s="0" t="inlineStr">
        <is>
          <t xml:space="preserve">N0040618P1704</t>
        </is>
      </c>
      <c r="D1612" s="0" t="inlineStr">
        <is>
          <t xml:space="preserve">small_craft</t>
        </is>
      </c>
      <c r="E1612" s="0" t="inlineStr">
        <is>
          <t xml:space="preserve">PACIFIC MARITIME INDUSTRIES CORP.</t>
        </is>
      </c>
      <c r="F1612" s="0" t="inlineStr">
        <is>
          <t xml:space="preserve">B</t>
        </is>
      </c>
      <c r="G1612" s="4">
        <v>0.008499999999999999</v>
      </c>
      <c r="H1612" s="0" t="inlineStr">
        <is>
          <t xml:space="preserve">2018-09-22</t>
        </is>
      </c>
      <c r="I1612" s="0" t="inlineStr">
        <is>
          <t xml:space="preserve">no</t>
        </is>
      </c>
      <c r="K1612" s="0" t="inlineStr">
        <is>
          <t xml:space="preserve">NONE</t>
        </is>
      </c>
    </row>
    <row r="1613">
      <c r="B1613" s="0" t="inlineStr">
        <is>
          <t xml:space="preserve">N0040616P1625</t>
        </is>
      </c>
      <c r="D1613" s="0" t="inlineStr">
        <is>
          <t xml:space="preserve">small_craft</t>
        </is>
      </c>
      <c r="E1613" s="0" t="inlineStr">
        <is>
          <t xml:space="preserve">PACIFIC MARITIME INDUSTRIES CORP.</t>
        </is>
      </c>
      <c r="F1613" s="0" t="inlineStr">
        <is>
          <t xml:space="preserve">B</t>
        </is>
      </c>
      <c r="G1613" s="4">
        <v>0.008499999999999999</v>
      </c>
      <c r="H1613" s="0" t="inlineStr">
        <is>
          <t xml:space="preserve">2016-03-29</t>
        </is>
      </c>
      <c r="I1613" s="0" t="inlineStr">
        <is>
          <t xml:space="preserve">no</t>
        </is>
      </c>
      <c r="K1613" s="0" t="inlineStr">
        <is>
          <t xml:space="preserve">NONE</t>
        </is>
      </c>
    </row>
    <row r="1614">
      <c r="B1614" s="0" t="inlineStr">
        <is>
          <t xml:space="preserve">N6883617F0130</t>
        </is>
      </c>
      <c r="C1614" s="0" t="inlineStr">
        <is>
          <t xml:space="preserve">GS07F0013J</t>
        </is>
      </c>
      <c r="D1614" s="0" t="inlineStr">
        <is>
          <t xml:space="preserve">small_craft</t>
        </is>
      </c>
      <c r="E1614" s="0" t="inlineStr">
        <is>
          <t xml:space="preserve">VIGOR KVICHAK LLC</t>
        </is>
      </c>
      <c r="F1614" s="0" t="inlineStr">
        <is>
          <t xml:space="preserve">C</t>
        </is>
      </c>
      <c r="G1614" s="4">
        <v>0.008478</v>
      </c>
      <c r="H1614" s="0" t="inlineStr">
        <is>
          <t xml:space="preserve">2017-04-07</t>
        </is>
      </c>
      <c r="I1614" s="0" t="inlineStr">
        <is>
          <t xml:space="preserve">no</t>
        </is>
      </c>
      <c r="K1614" s="0" t="inlineStr">
        <is>
          <t xml:space="preserve">NONE</t>
        </is>
      </c>
    </row>
    <row r="1615">
      <c r="B1615" s="0" t="inlineStr">
        <is>
          <t xml:space="preserve">N0040615P1950</t>
        </is>
      </c>
      <c r="D1615" s="0" t="inlineStr">
        <is>
          <t xml:space="preserve">small_craft</t>
        </is>
      </c>
      <c r="E1615" s="0" t="inlineStr">
        <is>
          <t xml:space="preserve">J.D.A. MARITIME, INC.</t>
        </is>
      </c>
      <c r="F1615" s="0" t="inlineStr">
        <is>
          <t xml:space="preserve">B</t>
        </is>
      </c>
      <c r="G1615" s="4">
        <v>0.008475</v>
      </c>
      <c r="H1615" s="0" t="inlineStr">
        <is>
          <t xml:space="preserve">2015-04-03</t>
        </is>
      </c>
      <c r="I1615" s="0" t="inlineStr">
        <is>
          <t xml:space="preserve">no</t>
        </is>
      </c>
      <c r="K1615" s="0" t="inlineStr">
        <is>
          <t xml:space="preserve">NONE</t>
        </is>
      </c>
    </row>
    <row r="1616">
      <c r="B1616" s="0" t="inlineStr">
        <is>
          <t xml:space="preserve">N0010422PSB91</t>
        </is>
      </c>
      <c r="D1616" s="0" t="inlineStr">
        <is>
          <t xml:space="preserve">small_craft</t>
        </is>
      </c>
      <c r="E1616" s="0" t="inlineStr">
        <is>
          <t xml:space="preserve">THALES USA, INC.</t>
        </is>
      </c>
      <c r="F1616" s="0" t="inlineStr">
        <is>
          <t xml:space="preserve">B</t>
        </is>
      </c>
      <c r="G1616" s="4">
        <v>0.00840509</v>
      </c>
      <c r="H1616" s="0" t="inlineStr">
        <is>
          <t xml:space="preserve">2022-08-22</t>
        </is>
      </c>
      <c r="I1616" s="0" t="inlineStr">
        <is>
          <t xml:space="preserve">no</t>
        </is>
      </c>
      <c r="J1616" s="0" t="inlineStr">
        <is>
          <t xml:space="preserve">N0010422QSD89</t>
        </is>
      </c>
      <c r="K1616" s="0" t="inlineStr">
        <is>
          <t xml:space="preserve">NONE</t>
        </is>
      </c>
    </row>
    <row r="1617">
      <c r="B1617" s="0" t="inlineStr">
        <is>
          <t xml:space="preserve">M6701516P0001</t>
        </is>
      </c>
      <c r="D1617" s="0" t="inlineStr">
        <is>
          <t xml:space="preserve">other_small</t>
        </is>
      </c>
      <c r="E1617" s="0" t="inlineStr">
        <is>
          <t xml:space="preserve">MIKES TRUCK &amp; TRAILER REPAIR, INC.</t>
        </is>
      </c>
      <c r="F1617" s="0" t="inlineStr">
        <is>
          <t xml:space="preserve">B</t>
        </is>
      </c>
      <c r="G1617" s="4">
        <v>0.00839</v>
      </c>
      <c r="H1617" s="0" t="inlineStr">
        <is>
          <t xml:space="preserve">2015-11-17</t>
        </is>
      </c>
      <c r="I1617" s="0" t="inlineStr">
        <is>
          <t xml:space="preserve">no</t>
        </is>
      </c>
      <c r="K1617" s="0" t="inlineStr">
        <is>
          <t xml:space="preserve">NONE</t>
        </is>
      </c>
    </row>
    <row r="1618">
      <c r="B1618" s="0" t="inlineStr">
        <is>
          <t xml:space="preserve">LH83</t>
        </is>
      </c>
      <c r="C1618" s="0" t="inlineStr">
        <is>
          <t xml:space="preserve">N6238715D2104</t>
        </is>
      </c>
      <c r="D1618" s="0" t="inlineStr">
        <is>
          <t xml:space="preserve">other_small</t>
        </is>
      </c>
      <c r="E1618" s="0" t="inlineStr">
        <is>
          <t xml:space="preserve">MCALLISTER TOWING AND TRANSPORTATION COMPANY, INC.</t>
        </is>
      </c>
      <c r="F1618" s="0" t="inlineStr">
        <is>
          <t xml:space="preserve">C</t>
        </is>
      </c>
      <c r="G1618" s="4">
        <v>0.008385</v>
      </c>
      <c r="H1618" s="0" t="inlineStr">
        <is>
          <t xml:space="preserve">2018-06-07</t>
        </is>
      </c>
      <c r="I1618" s="0" t="inlineStr">
        <is>
          <t xml:space="preserve">no</t>
        </is>
      </c>
      <c r="J1618" s="0" t="inlineStr">
        <is>
          <t xml:space="preserve">N6238715R2104</t>
        </is>
      </c>
      <c r="K1618" s="0" t="inlineStr">
        <is>
          <t xml:space="preserve">NONE</t>
        </is>
      </c>
    </row>
    <row r="1619">
      <c r="B1619" s="0" t="inlineStr">
        <is>
          <t xml:space="preserve">N0024416P0192</t>
        </is>
      </c>
      <c r="D1619" s="0" t="inlineStr">
        <is>
          <t xml:space="preserve">small_craft</t>
        </is>
      </c>
      <c r="E1619" s="0" t="inlineStr">
        <is>
          <t xml:space="preserve">MAURER MARINE, INC.</t>
        </is>
      </c>
      <c r="F1619" s="0" t="inlineStr">
        <is>
          <t xml:space="preserve">B</t>
        </is>
      </c>
      <c r="G1619" s="4">
        <v>0.008352120000000001</v>
      </c>
      <c r="H1619" s="0" t="inlineStr">
        <is>
          <t xml:space="preserve">2016-03-08</t>
        </is>
      </c>
      <c r="I1619" s="0" t="inlineStr">
        <is>
          <t xml:space="preserve">no</t>
        </is>
      </c>
      <c r="J1619" s="0" t="inlineStr">
        <is>
          <t xml:space="preserve">N0024416T0068</t>
        </is>
      </c>
      <c r="K1619" s="0" t="inlineStr">
        <is>
          <t xml:space="preserve">NONE</t>
        </is>
      </c>
    </row>
    <row r="1620">
      <c r="B1620" s="0" t="inlineStr">
        <is>
          <t xml:space="preserve">LH45</t>
        </is>
      </c>
      <c r="C1620" s="0" t="inlineStr">
        <is>
          <t xml:space="preserve">N6238715D2104</t>
        </is>
      </c>
      <c r="D1620" s="0" t="inlineStr">
        <is>
          <t xml:space="preserve">other_small</t>
        </is>
      </c>
      <c r="E1620" s="0" t="inlineStr">
        <is>
          <t xml:space="preserve">MCALLISTER TOWING AND TRANSPORTATION COMPANY, INC.</t>
        </is>
      </c>
      <c r="F1620" s="0" t="inlineStr">
        <is>
          <t xml:space="preserve">C</t>
        </is>
      </c>
      <c r="G1620" s="4">
        <v>0.0083125</v>
      </c>
      <c r="H1620" s="0" t="inlineStr">
        <is>
          <t xml:space="preserve">2016-05-13</t>
        </is>
      </c>
      <c r="I1620" s="0" t="inlineStr">
        <is>
          <t xml:space="preserve">no</t>
        </is>
      </c>
      <c r="J1620" s="0" t="inlineStr">
        <is>
          <t xml:space="preserve">N6238715R2104</t>
        </is>
      </c>
      <c r="K1620" s="0" t="inlineStr">
        <is>
          <t xml:space="preserve">NONE</t>
        </is>
      </c>
    </row>
    <row r="1621">
      <c r="B1621" s="0" t="inlineStr">
        <is>
          <t xml:space="preserve">N0040616P1320</t>
        </is>
      </c>
      <c r="D1621" s="0" t="inlineStr">
        <is>
          <t xml:space="preserve">small_craft</t>
        </is>
      </c>
      <c r="E1621" s="0" t="inlineStr">
        <is>
          <t xml:space="preserve">J.D.A. MARITIME, INC.</t>
        </is>
      </c>
      <c r="F1621" s="0" t="inlineStr">
        <is>
          <t xml:space="preserve">B</t>
        </is>
      </c>
      <c r="G1621" s="4">
        <v>0.00830835</v>
      </c>
      <c r="H1621" s="0" t="inlineStr">
        <is>
          <t xml:space="preserve">2016-03-01</t>
        </is>
      </c>
      <c r="I1621" s="0" t="inlineStr">
        <is>
          <t xml:space="preserve">no</t>
        </is>
      </c>
      <c r="K1621" s="0" t="inlineStr">
        <is>
          <t xml:space="preserve">NONE</t>
        </is>
      </c>
    </row>
    <row r="1622">
      <c r="B1622" s="0" t="inlineStr">
        <is>
          <t xml:space="preserve">N0040616P0553</t>
        </is>
      </c>
      <c r="D1622" s="0" t="inlineStr">
        <is>
          <t xml:space="preserve">small_craft</t>
        </is>
      </c>
      <c r="E1622" s="0" t="inlineStr">
        <is>
          <t xml:space="preserve">J.D.A. MARITIME, INC.</t>
        </is>
      </c>
      <c r="F1622" s="0" t="inlineStr">
        <is>
          <t xml:space="preserve">B</t>
        </is>
      </c>
      <c r="G1622" s="4">
        <v>0.008305</v>
      </c>
      <c r="H1622" s="0" t="inlineStr">
        <is>
          <t xml:space="preserve">2015-12-09</t>
        </is>
      </c>
      <c r="I1622" s="0" t="inlineStr">
        <is>
          <t xml:space="preserve">no</t>
        </is>
      </c>
      <c r="K1622" s="0" t="inlineStr">
        <is>
          <t xml:space="preserve">NONE</t>
        </is>
      </c>
    </row>
    <row r="1623">
      <c r="B1623" s="0" t="inlineStr">
        <is>
          <t xml:space="preserve">N0040616P2522</t>
        </is>
      </c>
      <c r="D1623" s="0" t="inlineStr">
        <is>
          <t xml:space="preserve">small_craft</t>
        </is>
      </c>
      <c r="E1623" s="0" t="inlineStr">
        <is>
          <t xml:space="preserve">RAILWAY SPECIALTIES CORP</t>
        </is>
      </c>
      <c r="F1623" s="0" t="inlineStr">
        <is>
          <t xml:space="preserve">B</t>
        </is>
      </c>
      <c r="G1623" s="4">
        <v>0.0083</v>
      </c>
      <c r="H1623" s="0" t="inlineStr">
        <is>
          <t xml:space="preserve">2016-07-07</t>
        </is>
      </c>
      <c r="I1623" s="0" t="inlineStr">
        <is>
          <t xml:space="preserve">no</t>
        </is>
      </c>
      <c r="K1623" s="0" t="inlineStr">
        <is>
          <t xml:space="preserve">NONE</t>
        </is>
      </c>
    </row>
    <row r="1624">
      <c r="B1624" s="0" t="inlineStr">
        <is>
          <t xml:space="preserve">N0040617P0251</t>
        </is>
      </c>
      <c r="D1624" s="0" t="inlineStr">
        <is>
          <t xml:space="preserve">small_craft</t>
        </is>
      </c>
      <c r="E1624" s="0" t="inlineStr">
        <is>
          <t xml:space="preserve">J.D.A. MARITIME, INC.</t>
        </is>
      </c>
      <c r="F1624" s="0" t="inlineStr">
        <is>
          <t xml:space="preserve">B</t>
        </is>
      </c>
      <c r="G1624" s="4">
        <v>0.008275</v>
      </c>
      <c r="H1624" s="0" t="inlineStr">
        <is>
          <t xml:space="preserve">2016-12-02</t>
        </is>
      </c>
      <c r="I1624" s="0" t="inlineStr">
        <is>
          <t xml:space="preserve">no</t>
        </is>
      </c>
      <c r="K1624" s="0" t="inlineStr">
        <is>
          <t xml:space="preserve">NONE</t>
        </is>
      </c>
    </row>
    <row r="1625">
      <c r="B1625" s="0" t="inlineStr">
        <is>
          <t xml:space="preserve">N0010421PDE12</t>
        </is>
      </c>
      <c r="D1625" s="0" t="inlineStr">
        <is>
          <t xml:space="preserve">small_craft</t>
        </is>
      </c>
      <c r="E1625" s="0" t="inlineStr">
        <is>
          <t xml:space="preserve">TIMKEN GEARS &amp; SERVICES INC.</t>
        </is>
      </c>
      <c r="F1625" s="0" t="inlineStr">
        <is>
          <t xml:space="preserve">B</t>
        </is>
      </c>
      <c r="G1625" s="4">
        <v>0.008206999999999999</v>
      </c>
      <c r="H1625" s="0" t="inlineStr">
        <is>
          <t xml:space="preserve">2021-09-24</t>
        </is>
      </c>
      <c r="I1625" s="0" t="inlineStr">
        <is>
          <t xml:space="preserve">no</t>
        </is>
      </c>
      <c r="K1625" s="0" t="inlineStr">
        <is>
          <t xml:space="preserve">NONE</t>
        </is>
      </c>
    </row>
    <row r="1626">
      <c r="B1626" s="0" t="inlineStr">
        <is>
          <t xml:space="preserve">N0040616P2663</t>
        </is>
      </c>
      <c r="D1626" s="0" t="inlineStr">
        <is>
          <t xml:space="preserve">small_craft</t>
        </is>
      </c>
      <c r="E1626" s="0" t="inlineStr">
        <is>
          <t xml:space="preserve">RAILWAY SPECIALTIES CORP</t>
        </is>
      </c>
      <c r="F1626" s="0" t="inlineStr">
        <is>
          <t xml:space="preserve">B</t>
        </is>
      </c>
      <c r="G1626" s="4">
        <v>0.008199999999999999</v>
      </c>
      <c r="H1626" s="0" t="inlineStr">
        <is>
          <t xml:space="preserve">2016-08-11</t>
        </is>
      </c>
      <c r="I1626" s="0" t="inlineStr">
        <is>
          <t xml:space="preserve">no</t>
        </is>
      </c>
      <c r="K1626" s="0" t="inlineStr">
        <is>
          <t xml:space="preserve">NONE</t>
        </is>
      </c>
    </row>
    <row r="1627">
      <c r="B1627" s="0" t="inlineStr">
        <is>
          <t xml:space="preserve">N0040615P3071</t>
        </is>
      </c>
      <c r="D1627" s="0" t="inlineStr">
        <is>
          <t xml:space="preserve">small_craft</t>
        </is>
      </c>
      <c r="E1627" s="0" t="inlineStr">
        <is>
          <t xml:space="preserve">PACIFIC MARITIME INDUSTRIES CORP.</t>
        </is>
      </c>
      <c r="F1627" s="0" t="inlineStr">
        <is>
          <t xml:space="preserve">B</t>
        </is>
      </c>
      <c r="G1627" s="4">
        <v>0.008199999999999999</v>
      </c>
      <c r="H1627" s="0" t="inlineStr">
        <is>
          <t xml:space="preserve">2015-07-05</t>
        </is>
      </c>
      <c r="I1627" s="0" t="inlineStr">
        <is>
          <t xml:space="preserve">no</t>
        </is>
      </c>
      <c r="K1627" s="0" t="inlineStr">
        <is>
          <t xml:space="preserve">NONE</t>
        </is>
      </c>
    </row>
    <row r="1628">
      <c r="B1628" s="0" t="inlineStr">
        <is>
          <t xml:space="preserve">N0010424PQD96</t>
        </is>
      </c>
      <c r="D1628" s="0" t="inlineStr">
        <is>
          <t xml:space="preserve">small_craft</t>
        </is>
      </c>
      <c r="E1628" s="0" t="inlineStr">
        <is>
          <t xml:space="preserve">VERTEX MODERNIZATION AND SUSTAINMENT LLC</t>
        </is>
      </c>
      <c r="F1628" s="0" t="inlineStr">
        <is>
          <t xml:space="preserve">B</t>
        </is>
      </c>
      <c r="G1628" s="4">
        <v>0.00817583</v>
      </c>
      <c r="H1628" s="0" t="inlineStr">
        <is>
          <t xml:space="preserve">2024-09-03</t>
        </is>
      </c>
      <c r="I1628" s="0" t="inlineStr">
        <is>
          <t xml:space="preserve">no</t>
        </is>
      </c>
      <c r="K1628" s="0" t="inlineStr">
        <is>
          <t xml:space="preserve">NONE</t>
        </is>
      </c>
    </row>
    <row r="1629">
      <c r="B1629" s="0" t="inlineStr">
        <is>
          <t xml:space="preserve">N0010418PDA70</t>
        </is>
      </c>
      <c r="D1629" s="0" t="inlineStr">
        <is>
          <t xml:space="preserve">small_craft</t>
        </is>
      </c>
      <c r="E1629" s="0" t="inlineStr">
        <is>
          <t xml:space="preserve">TIMKEN GEARS &amp; SERVICES INC.</t>
        </is>
      </c>
      <c r="F1629" s="0" t="inlineStr">
        <is>
          <t xml:space="preserve">B</t>
        </is>
      </c>
      <c r="G1629" s="4">
        <v>0.00815</v>
      </c>
      <c r="H1629" s="0" t="inlineStr">
        <is>
          <t xml:space="preserve">2017-11-13</t>
        </is>
      </c>
      <c r="I1629" s="0" t="inlineStr">
        <is>
          <t xml:space="preserve">no</t>
        </is>
      </c>
      <c r="K1629" s="0" t="inlineStr">
        <is>
          <t xml:space="preserve">NONE</t>
        </is>
      </c>
    </row>
    <row r="1630">
      <c r="B1630" s="0" t="inlineStr">
        <is>
          <t xml:space="preserve">LH78</t>
        </is>
      </c>
      <c r="C1630" s="0" t="inlineStr">
        <is>
          <t xml:space="preserve">N6238715D2104</t>
        </is>
      </c>
      <c r="D1630" s="0" t="inlineStr">
        <is>
          <t xml:space="preserve">other_small</t>
        </is>
      </c>
      <c r="E1630" s="0" t="inlineStr">
        <is>
          <t xml:space="preserve">MCALLISTER TOWING AND TRANSPORTATION COMPANY, INC.</t>
        </is>
      </c>
      <c r="F1630" s="0" t="inlineStr">
        <is>
          <t xml:space="preserve">C</t>
        </is>
      </c>
      <c r="G1630" s="4">
        <v>0.00813125</v>
      </c>
      <c r="H1630" s="0" t="inlineStr">
        <is>
          <t xml:space="preserve">2017-11-09</t>
        </is>
      </c>
      <c r="I1630" s="0" t="inlineStr">
        <is>
          <t xml:space="preserve">no</t>
        </is>
      </c>
      <c r="J1630" s="0" t="inlineStr">
        <is>
          <t xml:space="preserve">N6238715R2104</t>
        </is>
      </c>
      <c r="K1630" s="0" t="inlineStr">
        <is>
          <t xml:space="preserve">NONE</t>
        </is>
      </c>
    </row>
    <row r="1631">
      <c r="B1631" s="0" t="inlineStr">
        <is>
          <t xml:space="preserve">N0040615P4060</t>
        </is>
      </c>
      <c r="D1631" s="0" t="inlineStr">
        <is>
          <t xml:space="preserve">small_craft</t>
        </is>
      </c>
      <c r="E1631" s="0" t="inlineStr">
        <is>
          <t xml:space="preserve">MALPASS CONSTRUCTION CO INC</t>
        </is>
      </c>
      <c r="F1631" s="0" t="inlineStr">
        <is>
          <t xml:space="preserve">B</t>
        </is>
      </c>
      <c r="G1631" s="4">
        <v>0.00813</v>
      </c>
      <c r="H1631" s="0" t="inlineStr">
        <is>
          <t xml:space="preserve">2015-09-16</t>
        </is>
      </c>
      <c r="I1631" s="0" t="inlineStr">
        <is>
          <t xml:space="preserve">no</t>
        </is>
      </c>
      <c r="K1631" s="0" t="inlineStr">
        <is>
          <t xml:space="preserve">NONE</t>
        </is>
      </c>
    </row>
    <row r="1632">
      <c r="B1632" s="0" t="inlineStr">
        <is>
          <t xml:space="preserve">LH40</t>
        </is>
      </c>
      <c r="C1632" s="0" t="inlineStr">
        <is>
          <t xml:space="preserve">N6238715D2104</t>
        </is>
      </c>
      <c r="D1632" s="0" t="inlineStr">
        <is>
          <t xml:space="preserve">other_small</t>
        </is>
      </c>
      <c r="E1632" s="0" t="inlineStr">
        <is>
          <t xml:space="preserve">MCALLISTER TOWING AND TRANSPORTATION COMPANY, INC.</t>
        </is>
      </c>
      <c r="F1632" s="0" t="inlineStr">
        <is>
          <t xml:space="preserve">C</t>
        </is>
      </c>
      <c r="G1632" s="4">
        <v>0.008104</v>
      </c>
      <c r="H1632" s="0" t="inlineStr">
        <is>
          <t xml:space="preserve">2016-05-13</t>
        </is>
      </c>
      <c r="I1632" s="0" t="inlineStr">
        <is>
          <t xml:space="preserve">no</t>
        </is>
      </c>
      <c r="J1632" s="0" t="inlineStr">
        <is>
          <t xml:space="preserve">N6238715R2104</t>
        </is>
      </c>
      <c r="K1632" s="0" t="inlineStr">
        <is>
          <t xml:space="preserve">NONE</t>
        </is>
      </c>
    </row>
    <row r="1633">
      <c r="B1633" s="0" t="inlineStr">
        <is>
          <t xml:space="preserve">N0040617P0660</t>
        </is>
      </c>
      <c r="D1633" s="0" t="inlineStr">
        <is>
          <t xml:space="preserve">small_craft</t>
        </is>
      </c>
      <c r="E1633" s="0" t="inlineStr">
        <is>
          <t xml:space="preserve">J.D.A. MARITIME, INC.</t>
        </is>
      </c>
      <c r="F1633" s="0" t="inlineStr">
        <is>
          <t xml:space="preserve">B</t>
        </is>
      </c>
      <c r="G1633" s="4">
        <v>0.008085</v>
      </c>
      <c r="H1633" s="0" t="inlineStr">
        <is>
          <t xml:space="preserve">2017-01-30</t>
        </is>
      </c>
      <c r="I1633" s="0" t="inlineStr">
        <is>
          <t xml:space="preserve">no</t>
        </is>
      </c>
      <c r="K1633" s="0" t="inlineStr">
        <is>
          <t xml:space="preserve">NONE</t>
        </is>
      </c>
    </row>
    <row r="1634">
      <c r="B1634" s="0" t="inlineStr">
        <is>
          <t xml:space="preserve">N6600115P6923</t>
        </is>
      </c>
      <c r="D1634" s="0" t="inlineStr">
        <is>
          <t xml:space="preserve">small_craft</t>
        </is>
      </c>
      <c r="E1634" s="0" t="inlineStr">
        <is>
          <t xml:space="preserve">LIQUID ROBOTICS FEDERAL, INC.</t>
        </is>
      </c>
      <c r="F1634" s="0" t="inlineStr">
        <is>
          <t xml:space="preserve">B</t>
        </is>
      </c>
      <c r="G1634" s="4">
        <v>0.008069999999999999</v>
      </c>
      <c r="H1634" s="0" t="inlineStr">
        <is>
          <t xml:space="preserve">2015-06-22</t>
        </is>
      </c>
      <c r="I1634" s="0" t="inlineStr">
        <is>
          <t xml:space="preserve">no</t>
        </is>
      </c>
      <c r="K1634" s="0" t="inlineStr">
        <is>
          <t xml:space="preserve">NONE</t>
        </is>
      </c>
    </row>
    <row r="1635">
      <c r="B1635" s="0" t="inlineStr">
        <is>
          <t xml:space="preserve">N0010421PEH39</t>
        </is>
      </c>
      <c r="D1635" s="0" t="inlineStr">
        <is>
          <t xml:space="preserve">small_craft</t>
        </is>
      </c>
      <c r="E1635" s="0" t="inlineStr">
        <is>
          <t xml:space="preserve">PAINTER TOOL INCORPORATED</t>
        </is>
      </c>
      <c r="F1635" s="0" t="inlineStr">
        <is>
          <t xml:space="preserve">B</t>
        </is>
      </c>
      <c r="G1635" s="4">
        <v>0.008064</v>
      </c>
      <c r="H1635" s="0" t="inlineStr">
        <is>
          <t xml:space="preserve">2021-07-13</t>
        </is>
      </c>
      <c r="I1635" s="0" t="inlineStr">
        <is>
          <t xml:space="preserve">no</t>
        </is>
      </c>
      <c r="J1635" s="0" t="inlineStr">
        <is>
          <t xml:space="preserve">N0010421QBU50</t>
        </is>
      </c>
      <c r="K1635" s="0" t="inlineStr">
        <is>
          <t xml:space="preserve">NONE</t>
        </is>
      </c>
    </row>
    <row r="1636">
      <c r="B1636" s="0" t="inlineStr">
        <is>
          <t xml:space="preserve">N0040618P0492</t>
        </is>
      </c>
      <c r="D1636" s="0" t="inlineStr">
        <is>
          <t xml:space="preserve">small_craft</t>
        </is>
      </c>
      <c r="E1636" s="0" t="inlineStr">
        <is>
          <t xml:space="preserve">J.D.A. MARITIME, INC.</t>
        </is>
      </c>
      <c r="F1636" s="0" t="inlineStr">
        <is>
          <t xml:space="preserve">B</t>
        </is>
      </c>
      <c r="G1636" s="4">
        <v>0.008</v>
      </c>
      <c r="H1636" s="0" t="inlineStr">
        <is>
          <t xml:space="preserve">2018-01-23</t>
        </is>
      </c>
      <c r="I1636" s="0" t="inlineStr">
        <is>
          <t xml:space="preserve">no</t>
        </is>
      </c>
      <c r="K1636" s="0" t="inlineStr">
        <is>
          <t xml:space="preserve">NONE</t>
        </is>
      </c>
    </row>
    <row r="1637">
      <c r="B1637" s="0" t="inlineStr">
        <is>
          <t xml:space="preserve">N0010421PNC64</t>
        </is>
      </c>
      <c r="D1637" s="0" t="inlineStr">
        <is>
          <t xml:space="preserve">small_craft</t>
        </is>
      </c>
      <c r="E1637" s="0" t="inlineStr">
        <is>
          <t xml:space="preserve">DUCOMMUN LABARGE TECHNOLOGIES, INC.</t>
        </is>
      </c>
      <c r="F1637" s="0" t="inlineStr">
        <is>
          <t xml:space="preserve">B</t>
        </is>
      </c>
      <c r="G1637" s="4">
        <v>0.008</v>
      </c>
      <c r="H1637" s="0" t="inlineStr">
        <is>
          <t xml:space="preserve">2021-07-12</t>
        </is>
      </c>
      <c r="I1637" s="0" t="inlineStr">
        <is>
          <t xml:space="preserve">no</t>
        </is>
      </c>
      <c r="K1637" s="0" t="inlineStr">
        <is>
          <t xml:space="preserve">NONE</t>
        </is>
      </c>
    </row>
    <row r="1638">
      <c r="B1638" s="0" t="inlineStr">
        <is>
          <t xml:space="preserve">N0017416P0098</t>
        </is>
      </c>
      <c r="D1638" s="0" t="inlineStr">
        <is>
          <t xml:space="preserve">other_small</t>
        </is>
      </c>
      <c r="E1638" s="0" t="inlineStr">
        <is>
          <t xml:space="preserve">PFAUDLER, INC.</t>
        </is>
      </c>
      <c r="F1638" s="0" t="inlineStr">
        <is>
          <t xml:space="preserve">B</t>
        </is>
      </c>
      <c r="G1638" s="4">
        <v>0.007999</v>
      </c>
      <c r="H1638" s="0" t="inlineStr">
        <is>
          <t xml:space="preserve">2016-05-06</t>
        </is>
      </c>
      <c r="I1638" s="0" t="inlineStr">
        <is>
          <t xml:space="preserve">no</t>
        </is>
      </c>
      <c r="J1638" s="0" t="inlineStr">
        <is>
          <t xml:space="preserve">N0017416T0099</t>
        </is>
      </c>
      <c r="K1638" s="0" t="inlineStr">
        <is>
          <t xml:space="preserve">NONE</t>
        </is>
      </c>
    </row>
    <row r="1639">
      <c r="B1639" s="0" t="inlineStr">
        <is>
          <t xml:space="preserve">N0016715P0056</t>
        </is>
      </c>
      <c r="D1639" s="0" t="inlineStr">
        <is>
          <t xml:space="preserve">small_craft</t>
        </is>
      </c>
      <c r="E1639" s="0" t="inlineStr">
        <is>
          <t xml:space="preserve">MAGNUM VENUS PRODUCTS, INC.</t>
        </is>
      </c>
      <c r="F1639" s="0" t="inlineStr">
        <is>
          <t xml:space="preserve">B</t>
        </is>
      </c>
      <c r="G1639" s="4">
        <v>0.007995</v>
      </c>
      <c r="H1639" s="0" t="inlineStr">
        <is>
          <t xml:space="preserve">2015-03-13</t>
        </is>
      </c>
      <c r="I1639" s="0" t="inlineStr">
        <is>
          <t xml:space="preserve">no</t>
        </is>
      </c>
      <c r="K1639" s="0" t="inlineStr">
        <is>
          <t xml:space="preserve">NONE</t>
        </is>
      </c>
    </row>
    <row r="1640">
      <c r="B1640" s="0" t="inlineStr">
        <is>
          <t xml:space="preserve">N0010426PBC88</t>
        </is>
      </c>
      <c r="D1640" s="0" t="inlineStr">
        <is>
          <t xml:space="preserve">small_craft</t>
        </is>
      </c>
      <c r="E1640" s="0" t="inlineStr">
        <is>
          <t xml:space="preserve">SKOVIRA MACHINE CO</t>
        </is>
      </c>
      <c r="F1640" s="0" t="inlineStr">
        <is>
          <t xml:space="preserve">B</t>
        </is>
      </c>
      <c r="G1640" s="4">
        <v>0.007989999999999999</v>
      </c>
      <c r="H1640" s="0" t="inlineStr">
        <is>
          <t xml:space="preserve">2025-11-07</t>
        </is>
      </c>
      <c r="I1640" s="0" t="inlineStr">
        <is>
          <t xml:space="preserve">yes</t>
        </is>
      </c>
      <c r="K1640" s="0" t="inlineStr">
        <is>
          <t xml:space="preserve">NONE</t>
        </is>
      </c>
    </row>
    <row r="1641">
      <c r="B1641" s="0" t="inlineStr">
        <is>
          <t xml:space="preserve">N0040616P2238</t>
        </is>
      </c>
      <c r="D1641" s="0" t="inlineStr">
        <is>
          <t xml:space="preserve">small_craft</t>
        </is>
      </c>
      <c r="E1641" s="0" t="inlineStr">
        <is>
          <t xml:space="preserve">JUNIPER ELBOW CO. INC.</t>
        </is>
      </c>
      <c r="F1641" s="0" t="inlineStr">
        <is>
          <t xml:space="preserve">B</t>
        </is>
      </c>
      <c r="G1641" s="4">
        <v>0.00798</v>
      </c>
      <c r="H1641" s="0" t="inlineStr">
        <is>
          <t xml:space="preserve">2016-06-06</t>
        </is>
      </c>
      <c r="I1641" s="0" t="inlineStr">
        <is>
          <t xml:space="preserve">no</t>
        </is>
      </c>
      <c r="K1641" s="0" t="inlineStr">
        <is>
          <t xml:space="preserve">NONE</t>
        </is>
      </c>
    </row>
    <row r="1642">
      <c r="B1642" s="0" t="inlineStr">
        <is>
          <t xml:space="preserve">N0010417PDD82</t>
        </is>
      </c>
      <c r="D1642" s="0" t="inlineStr">
        <is>
          <t xml:space="preserve">small_craft</t>
        </is>
      </c>
      <c r="E1642" s="0" t="inlineStr">
        <is>
          <t xml:space="preserve">L3 TECHNOLOGIES, INC.</t>
        </is>
      </c>
      <c r="F1642" s="0" t="inlineStr">
        <is>
          <t xml:space="preserve">B</t>
        </is>
      </c>
      <c r="G1642" s="4">
        <v>0.007975</v>
      </c>
      <c r="H1642" s="0" t="inlineStr">
        <is>
          <t xml:space="preserve">2017-03-23</t>
        </is>
      </c>
      <c r="I1642" s="0" t="inlineStr">
        <is>
          <t xml:space="preserve">no</t>
        </is>
      </c>
      <c r="K1642" s="0" t="inlineStr">
        <is>
          <t xml:space="preserve">NONE</t>
        </is>
      </c>
    </row>
    <row r="1643">
      <c r="B1643" s="0" t="inlineStr">
        <is>
          <t xml:space="preserve">N0040618P1854</t>
        </is>
      </c>
      <c r="D1643" s="0" t="inlineStr">
        <is>
          <t xml:space="preserve">small_craft</t>
        </is>
      </c>
      <c r="E1643" s="0" t="inlineStr">
        <is>
          <t xml:space="preserve">JUNIPER ELBOW CO. INC.</t>
        </is>
      </c>
      <c r="F1643" s="0" t="inlineStr">
        <is>
          <t xml:space="preserve">B</t>
        </is>
      </c>
      <c r="G1643" s="4">
        <v>0.007956</v>
      </c>
      <c r="H1643" s="0" t="inlineStr">
        <is>
          <t xml:space="preserve">2018-09-28</t>
        </is>
      </c>
      <c r="I1643" s="0" t="inlineStr">
        <is>
          <t xml:space="preserve">no</t>
        </is>
      </c>
      <c r="K1643" s="0" t="inlineStr">
        <is>
          <t xml:space="preserve">NONE</t>
        </is>
      </c>
    </row>
    <row r="1644">
      <c r="B1644" s="0" t="inlineStr">
        <is>
          <t xml:space="preserve">N4044207P5283</t>
        </is>
      </c>
      <c r="D1644" s="0" t="inlineStr">
        <is>
          <t xml:space="preserve">other_small</t>
        </is>
      </c>
      <c r="E1644" s="0" t="inlineStr">
        <is>
          <t xml:space="preserve">CIRCOR NAVAL SOLUTIONS LLC</t>
        </is>
      </c>
      <c r="F1644" s="0" t="inlineStr">
        <is>
          <t xml:space="preserve">B</t>
        </is>
      </c>
      <c r="G1644" s="4">
        <v>0.00793</v>
      </c>
      <c r="H1644" s="0" t="inlineStr">
        <is>
          <t xml:space="preserve">2007-02-03</t>
        </is>
      </c>
      <c r="I1644" s="0" t="inlineStr">
        <is>
          <t xml:space="preserve">no</t>
        </is>
      </c>
      <c r="K1644" s="0" t="inlineStr">
        <is>
          <t xml:space="preserve">NONE</t>
        </is>
      </c>
    </row>
    <row r="1645">
      <c r="B1645" s="0" t="inlineStr">
        <is>
          <t xml:space="preserve">N0010420PEL03</t>
        </is>
      </c>
      <c r="D1645" s="0" t="inlineStr">
        <is>
          <t xml:space="preserve">small_craft</t>
        </is>
      </c>
      <c r="E1645" s="0" t="inlineStr">
        <is>
          <t xml:space="preserve">HUGHES CORP</t>
        </is>
      </c>
      <c r="F1645" s="0" t="inlineStr">
        <is>
          <t xml:space="preserve">B</t>
        </is>
      </c>
      <c r="G1645" s="4">
        <v>0.007916</v>
      </c>
      <c r="H1645" s="0" t="inlineStr">
        <is>
          <t xml:space="preserve">2020-07-01</t>
        </is>
      </c>
      <c r="I1645" s="0" t="inlineStr">
        <is>
          <t xml:space="preserve">no</t>
        </is>
      </c>
      <c r="K1645" s="0" t="inlineStr">
        <is>
          <t xml:space="preserve">NONE</t>
        </is>
      </c>
    </row>
    <row r="1646">
      <c r="B1646" s="0" t="inlineStr">
        <is>
          <t xml:space="preserve">N3220517P4322</t>
        </is>
      </c>
      <c r="D1646" s="0" t="inlineStr">
        <is>
          <t xml:space="preserve">small_craft</t>
        </is>
      </c>
      <c r="E1646" s="0" t="inlineStr">
        <is>
          <t xml:space="preserve">FASSMER SERVICE AMERICA LLC</t>
        </is>
      </c>
      <c r="F1646" s="0" t="inlineStr">
        <is>
          <t xml:space="preserve">B</t>
        </is>
      </c>
      <c r="G1646" s="4">
        <v>0.007908</v>
      </c>
      <c r="H1646" s="0" t="inlineStr">
        <is>
          <t xml:space="preserve">2017-04-20</t>
        </is>
      </c>
      <c r="I1646" s="0" t="inlineStr">
        <is>
          <t xml:space="preserve">no</t>
        </is>
      </c>
      <c r="J1646" s="0" t="inlineStr">
        <is>
          <t xml:space="preserve">N3220517Q4322</t>
        </is>
      </c>
      <c r="K1646" s="0" t="inlineStr">
        <is>
          <t xml:space="preserve">NONE</t>
        </is>
      </c>
    </row>
    <row r="1647">
      <c r="B1647" s="0" t="inlineStr">
        <is>
          <t xml:space="preserve">LH51</t>
        </is>
      </c>
      <c r="C1647" s="0" t="inlineStr">
        <is>
          <t xml:space="preserve">N6238715D2104</t>
        </is>
      </c>
      <c r="D1647" s="0" t="inlineStr">
        <is>
          <t xml:space="preserve">other_small</t>
        </is>
      </c>
      <c r="E1647" s="0" t="inlineStr">
        <is>
          <t xml:space="preserve">MCALLISTER TOWING AND TRANSPORTATION COMPANY, INC.</t>
        </is>
      </c>
      <c r="F1647" s="0" t="inlineStr">
        <is>
          <t xml:space="preserve">C</t>
        </is>
      </c>
      <c r="G1647" s="4">
        <v>0.007904</v>
      </c>
      <c r="H1647" s="0" t="inlineStr">
        <is>
          <t xml:space="preserve">2016-07-01</t>
        </is>
      </c>
      <c r="I1647" s="0" t="inlineStr">
        <is>
          <t xml:space="preserve">no</t>
        </is>
      </c>
      <c r="J1647" s="0" t="inlineStr">
        <is>
          <t xml:space="preserve">N6238715R2104</t>
        </is>
      </c>
      <c r="K1647" s="0" t="inlineStr">
        <is>
          <t xml:space="preserve">NONE</t>
        </is>
      </c>
    </row>
    <row r="1648">
      <c r="B1648" s="0" t="inlineStr">
        <is>
          <t xml:space="preserve">N0040616P2532</t>
        </is>
      </c>
      <c r="D1648" s="0" t="inlineStr">
        <is>
          <t xml:space="preserve">small_craft</t>
        </is>
      </c>
      <c r="E1648" s="0" t="inlineStr">
        <is>
          <t xml:space="preserve">PACIFIC MARITIME INDUSTRIES CORP.</t>
        </is>
      </c>
      <c r="F1648" s="0" t="inlineStr">
        <is>
          <t xml:space="preserve">B</t>
        </is>
      </c>
      <c r="G1648" s="4">
        <v>0.007899999999999999</v>
      </c>
      <c r="H1648" s="0" t="inlineStr">
        <is>
          <t xml:space="preserve">2016-07-07</t>
        </is>
      </c>
      <c r="I1648" s="0" t="inlineStr">
        <is>
          <t xml:space="preserve">no</t>
        </is>
      </c>
      <c r="K1648" s="0" t="inlineStr">
        <is>
          <t xml:space="preserve">NONE</t>
        </is>
      </c>
    </row>
    <row r="1649">
      <c r="B1649" s="0" t="inlineStr">
        <is>
          <t xml:space="preserve">N0040617P1726</t>
        </is>
      </c>
      <c r="D1649" s="0" t="inlineStr">
        <is>
          <t xml:space="preserve">small_craft</t>
        </is>
      </c>
      <c r="E1649" s="0" t="inlineStr">
        <is>
          <t xml:space="preserve">JAMESTOWN METAL MARINE SALES, INC.</t>
        </is>
      </c>
      <c r="F1649" s="0" t="inlineStr">
        <is>
          <t xml:space="preserve">B</t>
        </is>
      </c>
      <c r="G1649" s="4">
        <v>0.007885</v>
      </c>
      <c r="H1649" s="0" t="inlineStr">
        <is>
          <t xml:space="preserve">2017-05-04</t>
        </is>
      </c>
      <c r="I1649" s="0" t="inlineStr">
        <is>
          <t xml:space="preserve">no</t>
        </is>
      </c>
      <c r="K1649" s="0" t="inlineStr">
        <is>
          <t xml:space="preserve">NONE</t>
        </is>
      </c>
    </row>
    <row r="1650">
      <c r="B1650" s="0" t="inlineStr">
        <is>
          <t xml:space="preserve">N0010421PND54</t>
        </is>
      </c>
      <c r="D1650" s="0" t="inlineStr">
        <is>
          <t xml:space="preserve">small_craft</t>
        </is>
      </c>
      <c r="E1650" s="0" t="inlineStr">
        <is>
          <t xml:space="preserve">MMC METROLOGY LAB, INC.</t>
        </is>
      </c>
      <c r="F1650" s="0" t="inlineStr">
        <is>
          <t xml:space="preserve">B</t>
        </is>
      </c>
      <c r="G1650" s="4">
        <v>0.007875</v>
      </c>
      <c r="H1650" s="0" t="inlineStr">
        <is>
          <t xml:space="preserve">2021-09-07</t>
        </is>
      </c>
      <c r="I1650" s="0" t="inlineStr">
        <is>
          <t xml:space="preserve">no</t>
        </is>
      </c>
      <c r="K1650" s="0" t="inlineStr">
        <is>
          <t xml:space="preserve">NONE</t>
        </is>
      </c>
    </row>
    <row r="1651">
      <c r="B1651" s="0" t="inlineStr">
        <is>
          <t xml:space="preserve">N4044210P7197</t>
        </is>
      </c>
      <c r="D1651" s="0" t="inlineStr">
        <is>
          <t xml:space="preserve">small_craft</t>
        </is>
      </c>
      <c r="E1651" s="0" t="inlineStr">
        <is>
          <t xml:space="preserve">PALFINGER MARINE USA, LLC</t>
        </is>
      </c>
      <c r="F1651" s="0" t="inlineStr">
        <is>
          <t xml:space="preserve">B</t>
        </is>
      </c>
      <c r="G1651" s="4">
        <v>0.007857149999999999</v>
      </c>
      <c r="H1651" s="0" t="inlineStr">
        <is>
          <t xml:space="preserve">2009-11-20</t>
        </is>
      </c>
      <c r="I1651" s="0" t="inlineStr">
        <is>
          <t xml:space="preserve">no</t>
        </is>
      </c>
      <c r="J1651" s="0" t="inlineStr">
        <is>
          <t xml:space="preserve">N4044210T7024</t>
        </is>
      </c>
      <c r="K1651" s="0" t="inlineStr">
        <is>
          <t xml:space="preserve">NONE</t>
        </is>
      </c>
    </row>
    <row r="1652">
      <c r="B1652" s="0" t="inlineStr">
        <is>
          <t xml:space="preserve">N0010421PND45</t>
        </is>
      </c>
      <c r="D1652" s="0" t="inlineStr">
        <is>
          <t xml:space="preserve">small_craft</t>
        </is>
      </c>
      <c r="E1652" s="0" t="inlineStr">
        <is>
          <t xml:space="preserve">NORTHROP GRUMMAN SYSTEMS CORPORATION</t>
        </is>
      </c>
      <c r="F1652" s="0" t="inlineStr">
        <is>
          <t xml:space="preserve">B</t>
        </is>
      </c>
      <c r="G1652" s="4">
        <v>0.007851</v>
      </c>
      <c r="H1652" s="0" t="inlineStr">
        <is>
          <t xml:space="preserve">2021-08-26</t>
        </is>
      </c>
      <c r="I1652" s="0" t="inlineStr">
        <is>
          <t xml:space="preserve">no</t>
        </is>
      </c>
      <c r="K1652" s="0" t="inlineStr">
        <is>
          <t xml:space="preserve">NONE</t>
        </is>
      </c>
    </row>
    <row r="1653">
      <c r="B1653" s="0" t="inlineStr">
        <is>
          <t xml:space="preserve">N3220517P7346</t>
        </is>
      </c>
      <c r="D1653" s="0" t="inlineStr">
        <is>
          <t xml:space="preserve">small_craft</t>
        </is>
      </c>
      <c r="E1653" s="0" t="inlineStr">
        <is>
          <t xml:space="preserve">J. W. MARINE EQUIPMENT, INC.</t>
        </is>
      </c>
      <c r="F1653" s="0" t="inlineStr">
        <is>
          <t xml:space="preserve">B</t>
        </is>
      </c>
      <c r="G1653" s="4">
        <v>0.00785</v>
      </c>
      <c r="H1653" s="0" t="inlineStr">
        <is>
          <t xml:space="preserve">2017-05-15</t>
        </is>
      </c>
      <c r="I1653" s="0" t="inlineStr">
        <is>
          <t xml:space="preserve">no</t>
        </is>
      </c>
      <c r="J1653" s="0" t="inlineStr">
        <is>
          <t xml:space="preserve">N3220517T7346</t>
        </is>
      </c>
      <c r="K1653" s="0" t="inlineStr">
        <is>
          <t xml:space="preserve">NONE</t>
        </is>
      </c>
    </row>
    <row r="1654">
      <c r="B1654" s="0" t="inlineStr">
        <is>
          <t xml:space="preserve">N0010421PFB34</t>
        </is>
      </c>
      <c r="D1654" s="0" t="inlineStr">
        <is>
          <t xml:space="preserve">small_craft</t>
        </is>
      </c>
      <c r="E1654" s="0" t="inlineStr">
        <is>
          <t xml:space="preserve">D. L. MARTIN CO.</t>
        </is>
      </c>
      <c r="F1654" s="0" t="inlineStr">
        <is>
          <t xml:space="preserve">B</t>
        </is>
      </c>
      <c r="G1654" s="4">
        <v>0.007847999999999999</v>
      </c>
      <c r="H1654" s="0" t="inlineStr">
        <is>
          <t xml:space="preserve">2021-07-29</t>
        </is>
      </c>
      <c r="I1654" s="0" t="inlineStr">
        <is>
          <t xml:space="preserve">no</t>
        </is>
      </c>
      <c r="J1654" s="0" t="inlineStr">
        <is>
          <t xml:space="preserve">N0010419QFD21</t>
        </is>
      </c>
      <c r="K1654" s="0" t="inlineStr">
        <is>
          <t xml:space="preserve">NONE</t>
        </is>
      </c>
    </row>
    <row r="1655">
      <c r="B1655" s="0" t="inlineStr">
        <is>
          <t xml:space="preserve">N0040615P2107</t>
        </is>
      </c>
      <c r="D1655" s="0" t="inlineStr">
        <is>
          <t xml:space="preserve">small_craft</t>
        </is>
      </c>
      <c r="E1655" s="0" t="inlineStr">
        <is>
          <t xml:space="preserve">RAILWAY SPECIALTIES CORP</t>
        </is>
      </c>
      <c r="F1655" s="0" t="inlineStr">
        <is>
          <t xml:space="preserve">B</t>
        </is>
      </c>
      <c r="G1655" s="4">
        <v>0.007845</v>
      </c>
      <c r="H1655" s="0" t="inlineStr">
        <is>
          <t xml:space="preserve">2015-04-16</t>
        </is>
      </c>
      <c r="I1655" s="0" t="inlineStr">
        <is>
          <t xml:space="preserve">no</t>
        </is>
      </c>
      <c r="K1655" s="0" t="inlineStr">
        <is>
          <t xml:space="preserve">NONE</t>
        </is>
      </c>
    </row>
    <row r="1656">
      <c r="B1656" s="0" t="inlineStr">
        <is>
          <t xml:space="preserve">N4044207P5318</t>
        </is>
      </c>
      <c r="D1656" s="0" t="inlineStr">
        <is>
          <t xml:space="preserve">other_small</t>
        </is>
      </c>
      <c r="E1656" s="0" t="inlineStr">
        <is>
          <t xml:space="preserve">DOVER FLUID MANAGEMENT, INC.</t>
        </is>
      </c>
      <c r="F1656" s="0" t="inlineStr">
        <is>
          <t xml:space="preserve">B</t>
        </is>
      </c>
      <c r="G1656" s="4">
        <v>0.007831409999999999</v>
      </c>
      <c r="H1656" s="0" t="inlineStr">
        <is>
          <t xml:space="preserve">2007-02-20</t>
        </is>
      </c>
      <c r="I1656" s="0" t="inlineStr">
        <is>
          <t xml:space="preserve">no</t>
        </is>
      </c>
      <c r="K1656" s="0" t="inlineStr">
        <is>
          <t xml:space="preserve">NONE</t>
        </is>
      </c>
    </row>
    <row r="1657">
      <c r="B1657" s="0" t="inlineStr">
        <is>
          <t xml:space="preserve">N0016725FG055</t>
        </is>
      </c>
      <c r="C1657" s="0" t="inlineStr">
        <is>
          <t xml:space="preserve">N0016723A0050</t>
        </is>
      </c>
      <c r="D1657" s="0" t="inlineStr">
        <is>
          <t xml:space="preserve">small_craft</t>
        </is>
      </c>
      <c r="E1657" s="0" t="inlineStr">
        <is>
          <t xml:space="preserve">BEACH MARINE SERVICES INC</t>
        </is>
      </c>
      <c r="F1657" s="0" t="inlineStr">
        <is>
          <t xml:space="preserve">A</t>
        </is>
      </c>
      <c r="G1657" s="4">
        <v>0.00773</v>
      </c>
      <c r="H1657" s="0" t="inlineStr">
        <is>
          <t xml:space="preserve">2024-10-01</t>
        </is>
      </c>
      <c r="I1657" s="0" t="inlineStr">
        <is>
          <t xml:space="preserve">no</t>
        </is>
      </c>
      <c r="K1657" s="0" t="inlineStr">
        <is>
          <t xml:space="preserve">NONE</t>
        </is>
      </c>
    </row>
    <row r="1658">
      <c r="B1658" s="0" t="inlineStr">
        <is>
          <t xml:space="preserve">N0010422PBP58</t>
        </is>
      </c>
      <c r="D1658" s="0" t="inlineStr">
        <is>
          <t xml:space="preserve">small_craft</t>
        </is>
      </c>
      <c r="E1658" s="0" t="inlineStr">
        <is>
          <t xml:space="preserve">GENERAL NUCLEAR CORP</t>
        </is>
      </c>
      <c r="F1658" s="0" t="inlineStr">
        <is>
          <t xml:space="preserve">B</t>
        </is>
      </c>
      <c r="G1658" s="4">
        <v>0.0076</v>
      </c>
      <c r="H1658" s="0" t="inlineStr">
        <is>
          <t xml:space="preserve">2022-02-15</t>
        </is>
      </c>
      <c r="I1658" s="0" t="inlineStr">
        <is>
          <t xml:space="preserve">no</t>
        </is>
      </c>
      <c r="K1658" s="0" t="inlineStr">
        <is>
          <t xml:space="preserve">NONE</t>
        </is>
      </c>
    </row>
    <row r="1659">
      <c r="B1659" s="0" t="inlineStr">
        <is>
          <t xml:space="preserve">N0010424PQD92</t>
        </is>
      </c>
      <c r="D1659" s="0" t="inlineStr">
        <is>
          <t xml:space="preserve">small_craft</t>
        </is>
      </c>
      <c r="E1659" s="0" t="inlineStr">
        <is>
          <t xml:space="preserve">CORNET TECHNOLOGY, INC.</t>
        </is>
      </c>
      <c r="F1659" s="0" t="inlineStr">
        <is>
          <t xml:space="preserve">B</t>
        </is>
      </c>
      <c r="G1659" s="4">
        <v>0.007566</v>
      </c>
      <c r="H1659" s="0" t="inlineStr">
        <is>
          <t xml:space="preserve">2024-09-03</t>
        </is>
      </c>
      <c r="I1659" s="0" t="inlineStr">
        <is>
          <t xml:space="preserve">no</t>
        </is>
      </c>
      <c r="J1659" s="0" t="inlineStr">
        <is>
          <t xml:space="preserve">N0010424QQD92</t>
        </is>
      </c>
      <c r="K1659" s="0" t="inlineStr">
        <is>
          <t xml:space="preserve">NONE</t>
        </is>
      </c>
    </row>
    <row r="1660">
      <c r="B1660" s="0" t="inlineStr">
        <is>
          <t xml:space="preserve">N0010424PEG15</t>
        </is>
      </c>
      <c r="D1660" s="0" t="inlineStr">
        <is>
          <t xml:space="preserve">small_craft</t>
        </is>
      </c>
      <c r="E1660" s="0" t="inlineStr">
        <is>
          <t xml:space="preserve">GAFFEL EQUIPMENT</t>
        </is>
      </c>
      <c r="F1660" s="0" t="inlineStr">
        <is>
          <t xml:space="preserve">B</t>
        </is>
      </c>
      <c r="G1660" s="4">
        <v>0.00755725</v>
      </c>
      <c r="H1660" s="0" t="inlineStr">
        <is>
          <t xml:space="preserve">2024-09-09</t>
        </is>
      </c>
      <c r="I1660" s="0" t="inlineStr">
        <is>
          <t xml:space="preserve">no</t>
        </is>
      </c>
      <c r="K1660" s="0" t="inlineStr">
        <is>
          <t xml:space="preserve">NONE</t>
        </is>
      </c>
    </row>
    <row r="1661">
      <c r="B1661" s="0" t="inlineStr">
        <is>
          <t xml:space="preserve">N0040618P1164</t>
        </is>
      </c>
      <c r="D1661" s="0" t="inlineStr">
        <is>
          <t xml:space="preserve">small_craft</t>
        </is>
      </c>
      <c r="E1661" s="0" t="inlineStr">
        <is>
          <t xml:space="preserve">JUNIPER ELBOW CO. INC.</t>
        </is>
      </c>
      <c r="F1661" s="0" t="inlineStr">
        <is>
          <t xml:space="preserve">B</t>
        </is>
      </c>
      <c r="G1661" s="4">
        <v>0.00753156</v>
      </c>
      <c r="H1661" s="0" t="inlineStr">
        <is>
          <t xml:space="preserve">2018-06-08</t>
        </is>
      </c>
      <c r="I1661" s="0" t="inlineStr">
        <is>
          <t xml:space="preserve">no</t>
        </is>
      </c>
      <c r="K1661" s="0" t="inlineStr">
        <is>
          <t xml:space="preserve">NONE</t>
        </is>
      </c>
    </row>
    <row r="1662">
      <c r="B1662" s="0" t="inlineStr">
        <is>
          <t xml:space="preserve">N6883617P0630</t>
        </is>
      </c>
      <c r="D1662" s="0" t="inlineStr">
        <is>
          <t xml:space="preserve">small_craft</t>
        </is>
      </c>
      <c r="E1662" s="0" t="inlineStr">
        <is>
          <t xml:space="preserve">QUINCY COMPRESSOR LLC</t>
        </is>
      </c>
      <c r="F1662" s="0" t="inlineStr">
        <is>
          <t xml:space="preserve">B</t>
        </is>
      </c>
      <c r="G1662" s="4">
        <v>0.007521</v>
      </c>
      <c r="H1662" s="0" t="inlineStr">
        <is>
          <t xml:space="preserve">2017-06-20</t>
        </is>
      </c>
      <c r="I1662" s="0" t="inlineStr">
        <is>
          <t xml:space="preserve">no</t>
        </is>
      </c>
      <c r="K1662" s="0" t="inlineStr">
        <is>
          <t xml:space="preserve">NONE</t>
        </is>
      </c>
    </row>
    <row r="1663">
      <c r="B1663" s="0" t="inlineStr">
        <is>
          <t xml:space="preserve">N0040618P0315</t>
        </is>
      </c>
      <c r="D1663" s="0" t="inlineStr">
        <is>
          <t xml:space="preserve">small_craft</t>
        </is>
      </c>
      <c r="E1663" s="0" t="inlineStr">
        <is>
          <t xml:space="preserve">PACIFIC MARITIME INDUSTRIES CORP.</t>
        </is>
      </c>
      <c r="F1663" s="0" t="inlineStr">
        <is>
          <t xml:space="preserve">B</t>
        </is>
      </c>
      <c r="G1663" s="4">
        <v>0.0075</v>
      </c>
      <c r="H1663" s="0" t="inlineStr">
        <is>
          <t xml:space="preserve">2017-12-15</t>
        </is>
      </c>
      <c r="I1663" s="0" t="inlineStr">
        <is>
          <t xml:space="preserve">no</t>
        </is>
      </c>
      <c r="K1663" s="0" t="inlineStr">
        <is>
          <t xml:space="preserve">NONE</t>
        </is>
      </c>
    </row>
    <row r="1664">
      <c r="B1664" s="0" t="inlineStr">
        <is>
          <t xml:space="preserve">N0010421PLC83</t>
        </is>
      </c>
      <c r="D1664" s="0" t="inlineStr">
        <is>
          <t xml:space="preserve">small_craft</t>
        </is>
      </c>
      <c r="E1664" s="0" t="inlineStr">
        <is>
          <t xml:space="preserve">GENERAL DYNAMICS-OTS, INC.</t>
        </is>
      </c>
      <c r="F1664" s="0" t="inlineStr">
        <is>
          <t xml:space="preserve">B</t>
        </is>
      </c>
      <c r="G1664" s="4">
        <v>0.0075</v>
      </c>
      <c r="H1664" s="0" t="inlineStr">
        <is>
          <t xml:space="preserve">2021-09-27</t>
        </is>
      </c>
      <c r="I1664" s="0" t="inlineStr">
        <is>
          <t xml:space="preserve">no</t>
        </is>
      </c>
      <c r="K1664" s="0" t="inlineStr">
        <is>
          <t xml:space="preserve">NONE</t>
        </is>
      </c>
    </row>
    <row r="1665">
      <c r="B1665" s="0" t="inlineStr">
        <is>
          <t xml:space="preserve">LH67</t>
        </is>
      </c>
      <c r="C1665" s="0" t="inlineStr">
        <is>
          <t xml:space="preserve">N6238715D2104</t>
        </is>
      </c>
      <c r="D1665" s="0" t="inlineStr">
        <is>
          <t xml:space="preserve">other_small</t>
        </is>
      </c>
      <c r="E1665" s="0" t="inlineStr">
        <is>
          <t xml:space="preserve">MCALLISTER TOWING AND TRANSPORTATION COMPANY, INC.</t>
        </is>
      </c>
      <c r="F1665" s="0" t="inlineStr">
        <is>
          <t xml:space="preserve">C</t>
        </is>
      </c>
      <c r="G1665" s="4">
        <v>0.007487</v>
      </c>
      <c r="H1665" s="0" t="inlineStr">
        <is>
          <t xml:space="preserve">2017-05-24</t>
        </is>
      </c>
      <c r="I1665" s="0" t="inlineStr">
        <is>
          <t xml:space="preserve">no</t>
        </is>
      </c>
      <c r="J1665" s="0" t="inlineStr">
        <is>
          <t xml:space="preserve">N6238715R2104</t>
        </is>
      </c>
      <c r="K1665" s="0" t="inlineStr">
        <is>
          <t xml:space="preserve">NONE</t>
        </is>
      </c>
    </row>
    <row r="1666">
      <c r="B1666" s="0" t="inlineStr">
        <is>
          <t xml:space="preserve">N0010421PEM22</t>
        </is>
      </c>
      <c r="D1666" s="0" t="inlineStr">
        <is>
          <t xml:space="preserve">small_craft</t>
        </is>
      </c>
      <c r="E1666" s="0" t="inlineStr">
        <is>
          <t xml:space="preserve">III WILLIAMS LLC</t>
        </is>
      </c>
      <c r="F1666" s="0" t="inlineStr">
        <is>
          <t xml:space="preserve">B</t>
        </is>
      </c>
      <c r="G1666" s="4">
        <v>0.0074693</v>
      </c>
      <c r="H1666" s="0" t="inlineStr">
        <is>
          <t xml:space="preserve">2021-08-11</t>
        </is>
      </c>
      <c r="I1666" s="0" t="inlineStr">
        <is>
          <t xml:space="preserve">no</t>
        </is>
      </c>
      <c r="K1666" s="0" t="inlineStr">
        <is>
          <t xml:space="preserve">NONE</t>
        </is>
      </c>
    </row>
    <row r="1667">
      <c r="B1667" s="0" t="inlineStr">
        <is>
          <t xml:space="preserve">N0010421PLB53</t>
        </is>
      </c>
      <c r="D1667" s="0" t="inlineStr">
        <is>
          <t xml:space="preserve">small_craft</t>
        </is>
      </c>
      <c r="E1667" s="0" t="inlineStr">
        <is>
          <t xml:space="preserve">MOOG INC</t>
        </is>
      </c>
      <c r="F1667" s="0" t="inlineStr">
        <is>
          <t xml:space="preserve">B</t>
        </is>
      </c>
      <c r="G1667" s="4">
        <v>0.007469</v>
      </c>
      <c r="H1667" s="0" t="inlineStr">
        <is>
          <t xml:space="preserve">2021-08-03</t>
        </is>
      </c>
      <c r="I1667" s="0" t="inlineStr">
        <is>
          <t xml:space="preserve">no</t>
        </is>
      </c>
      <c r="K1667" s="0" t="inlineStr">
        <is>
          <t xml:space="preserve">NONE</t>
        </is>
      </c>
    </row>
    <row r="1668">
      <c r="B1668" s="0" t="inlineStr">
        <is>
          <t xml:space="preserve">N0040616P2446</t>
        </is>
      </c>
      <c r="D1668" s="0" t="inlineStr">
        <is>
          <t xml:space="preserve">small_craft</t>
        </is>
      </c>
      <c r="E1668" s="0" t="inlineStr">
        <is>
          <t xml:space="preserve">JAMESTOWN METAL MARINE SALES, INC.</t>
        </is>
      </c>
      <c r="F1668" s="0" t="inlineStr">
        <is>
          <t xml:space="preserve">B</t>
        </is>
      </c>
      <c r="G1668" s="4">
        <v>0.007411</v>
      </c>
      <c r="H1668" s="0" t="inlineStr">
        <is>
          <t xml:space="preserve">2016-07-08</t>
        </is>
      </c>
      <c r="I1668" s="0" t="inlineStr">
        <is>
          <t xml:space="preserve">no</t>
        </is>
      </c>
      <c r="K1668" s="0" t="inlineStr">
        <is>
          <t xml:space="preserve">NONE</t>
        </is>
      </c>
    </row>
    <row r="1669">
      <c r="B1669" s="0" t="inlineStr">
        <is>
          <t xml:space="preserve">N0040615P1308</t>
        </is>
      </c>
      <c r="D1669" s="0" t="inlineStr">
        <is>
          <t xml:space="preserve">small_craft</t>
        </is>
      </c>
      <c r="E1669" s="0" t="inlineStr">
        <is>
          <t xml:space="preserve">PIER SIDE SUPPLY INC</t>
        </is>
      </c>
      <c r="F1669" s="0" t="inlineStr">
        <is>
          <t xml:space="preserve">B</t>
        </is>
      </c>
      <c r="G1669" s="4">
        <v>0.00739</v>
      </c>
      <c r="H1669" s="0" t="inlineStr">
        <is>
          <t xml:space="preserve">2015-02-27</t>
        </is>
      </c>
      <c r="I1669" s="0" t="inlineStr">
        <is>
          <t xml:space="preserve">no</t>
        </is>
      </c>
      <c r="K1669" s="0" t="inlineStr">
        <is>
          <t xml:space="preserve">NONE</t>
        </is>
      </c>
    </row>
    <row r="1670">
      <c r="B1670" s="0" t="inlineStr">
        <is>
          <t xml:space="preserve">N0010425PEA80</t>
        </is>
      </c>
      <c r="D1670" s="0" t="inlineStr">
        <is>
          <t xml:space="preserve">small_craft</t>
        </is>
      </c>
      <c r="E1670" s="0" t="inlineStr">
        <is>
          <t xml:space="preserve">ADIRONDACK ELECTRONICS INC</t>
        </is>
      </c>
      <c r="F1670" s="0" t="inlineStr">
        <is>
          <t xml:space="preserve">B</t>
        </is>
      </c>
      <c r="G1670" s="4">
        <v>0.007379999999999999</v>
      </c>
      <c r="H1670" s="0" t="inlineStr">
        <is>
          <t xml:space="preserve">2025-08-26</t>
        </is>
      </c>
      <c r="I1670" s="0" t="inlineStr">
        <is>
          <t xml:space="preserve">yes</t>
        </is>
      </c>
      <c r="K1670" s="0" t="inlineStr">
        <is>
          <t xml:space="preserve">NONE</t>
        </is>
      </c>
    </row>
    <row r="1671">
      <c r="B1671" s="0" t="inlineStr">
        <is>
          <t xml:space="preserve">N0040616P0492</t>
        </is>
      </c>
      <c r="D1671" s="0" t="inlineStr">
        <is>
          <t xml:space="preserve">small_craft</t>
        </is>
      </c>
      <c r="E1671" s="0" t="inlineStr">
        <is>
          <t xml:space="preserve">KLB ENTERPRISES CORP</t>
        </is>
      </c>
      <c r="F1671" s="0" t="inlineStr">
        <is>
          <t xml:space="preserve">B</t>
        </is>
      </c>
      <c r="G1671" s="4">
        <v>0.0073716</v>
      </c>
      <c r="H1671" s="0" t="inlineStr">
        <is>
          <t xml:space="preserve">2015-12-08</t>
        </is>
      </c>
      <c r="I1671" s="0" t="inlineStr">
        <is>
          <t xml:space="preserve">no</t>
        </is>
      </c>
      <c r="K1671" s="0" t="inlineStr">
        <is>
          <t xml:space="preserve">NONE</t>
        </is>
      </c>
    </row>
    <row r="1672">
      <c r="B1672" s="0" t="inlineStr">
        <is>
          <t xml:space="preserve">N6893625P5060</t>
        </is>
      </c>
      <c r="D1672" s="0" t="inlineStr">
        <is>
          <t xml:space="preserve">small_craft</t>
        </is>
      </c>
      <c r="E1672" s="0" t="inlineStr">
        <is>
          <t xml:space="preserve">BRUNSWICK CORP</t>
        </is>
      </c>
      <c r="F1672" s="0" t="inlineStr">
        <is>
          <t xml:space="preserve">B</t>
        </is>
      </c>
      <c r="G1672" s="4">
        <v>0.007360619999999999</v>
      </c>
      <c r="H1672" s="0" t="inlineStr">
        <is>
          <t xml:space="preserve">2025-03-27</t>
        </is>
      </c>
      <c r="I1672" s="0" t="inlineStr">
        <is>
          <t xml:space="preserve">no</t>
        </is>
      </c>
      <c r="K1672" s="0" t="inlineStr">
        <is>
          <t xml:space="preserve">NONE</t>
        </is>
      </c>
    </row>
    <row r="1673">
      <c r="B1673" s="0" t="inlineStr">
        <is>
          <t xml:space="preserve">N0040615P1930</t>
        </is>
      </c>
      <c r="D1673" s="0" t="inlineStr">
        <is>
          <t xml:space="preserve">small_craft</t>
        </is>
      </c>
      <c r="E1673" s="0" t="inlineStr">
        <is>
          <t xml:space="preserve">J.D.A. MARITIME, INC.</t>
        </is>
      </c>
      <c r="F1673" s="0" t="inlineStr">
        <is>
          <t xml:space="preserve">B</t>
        </is>
      </c>
      <c r="G1673" s="4">
        <v>0.007305</v>
      </c>
      <c r="H1673" s="0" t="inlineStr">
        <is>
          <t xml:space="preserve">2015-04-02</t>
        </is>
      </c>
      <c r="I1673" s="0" t="inlineStr">
        <is>
          <t xml:space="preserve">no</t>
        </is>
      </c>
      <c r="K1673" s="0" t="inlineStr">
        <is>
          <t xml:space="preserve">NONE</t>
        </is>
      </c>
    </row>
    <row r="1674">
      <c r="B1674" s="0" t="inlineStr">
        <is>
          <t xml:space="preserve">N3220518P1006</t>
        </is>
      </c>
      <c r="D1674" s="0" t="inlineStr">
        <is>
          <t xml:space="preserve">small_craft</t>
        </is>
      </c>
      <c r="E1674" s="0" t="inlineStr">
        <is>
          <t xml:space="preserve">FASSMER SERVICE AMERICA LLC</t>
        </is>
      </c>
      <c r="F1674" s="0" t="inlineStr">
        <is>
          <t xml:space="preserve">B</t>
        </is>
      </c>
      <c r="G1674" s="4">
        <v>0.0072695</v>
      </c>
      <c r="H1674" s="0" t="inlineStr">
        <is>
          <t xml:space="preserve">2017-11-07</t>
        </is>
      </c>
      <c r="I1674" s="0" t="inlineStr">
        <is>
          <t xml:space="preserve">no</t>
        </is>
      </c>
      <c r="J1674" s="0" t="inlineStr">
        <is>
          <t xml:space="preserve">N3220518Q1005</t>
        </is>
      </c>
      <c r="K1674" s="0" t="inlineStr">
        <is>
          <t xml:space="preserve">NONE</t>
        </is>
      </c>
    </row>
    <row r="1675">
      <c r="B1675" s="0" t="inlineStr">
        <is>
          <t xml:space="preserve">N0040618P1223</t>
        </is>
      </c>
      <c r="D1675" s="0" t="inlineStr">
        <is>
          <t xml:space="preserve">small_craft</t>
        </is>
      </c>
      <c r="E1675" s="0" t="inlineStr">
        <is>
          <t xml:space="preserve">JUNIPER ELBOW CO. INC.</t>
        </is>
      </c>
      <c r="F1675" s="0" t="inlineStr">
        <is>
          <t xml:space="preserve">B</t>
        </is>
      </c>
      <c r="G1675" s="4">
        <v>0.0072499999999999995</v>
      </c>
      <c r="H1675" s="0" t="inlineStr">
        <is>
          <t xml:space="preserve">2018-06-26</t>
        </is>
      </c>
      <c r="I1675" s="0" t="inlineStr">
        <is>
          <t xml:space="preserve">no</t>
        </is>
      </c>
      <c r="K1675" s="0" t="inlineStr">
        <is>
          <t xml:space="preserve">NONE</t>
        </is>
      </c>
    </row>
    <row r="1676">
      <c r="B1676" s="0" t="inlineStr">
        <is>
          <t xml:space="preserve">N0010417PLC94</t>
        </is>
      </c>
      <c r="D1676" s="0" t="inlineStr">
        <is>
          <t xml:space="preserve">small_craft</t>
        </is>
      </c>
      <c r="E1676" s="0" t="inlineStr">
        <is>
          <t xml:space="preserve">NAPTECH TEST EQUIPMENT, INC.</t>
        </is>
      </c>
      <c r="F1676" s="0" t="inlineStr">
        <is>
          <t xml:space="preserve">B</t>
        </is>
      </c>
      <c r="G1676" s="4">
        <v>0.0072499999999999995</v>
      </c>
      <c r="H1676" s="0" t="inlineStr">
        <is>
          <t xml:space="preserve">2017-07-10</t>
        </is>
      </c>
      <c r="I1676" s="0" t="inlineStr">
        <is>
          <t xml:space="preserve">no</t>
        </is>
      </c>
      <c r="K1676" s="0" t="inlineStr">
        <is>
          <t xml:space="preserve">NONE</t>
        </is>
      </c>
    </row>
    <row r="1677">
      <c r="B1677" s="0" t="inlineStr">
        <is>
          <t xml:space="preserve">N3220518P4163</t>
        </is>
      </c>
      <c r="D1677" s="0" t="inlineStr">
        <is>
          <t xml:space="preserve">other_small</t>
        </is>
      </c>
      <c r="E1677" s="0" t="inlineStr">
        <is>
          <t xml:space="preserve">FAIRBANKS MORSE, LLC</t>
        </is>
      </c>
      <c r="F1677" s="0" t="inlineStr">
        <is>
          <t xml:space="preserve">B</t>
        </is>
      </c>
      <c r="G1677" s="4">
        <v>0.00724251</v>
      </c>
      <c r="H1677" s="0" t="inlineStr">
        <is>
          <t xml:space="preserve">2018-02-27</t>
        </is>
      </c>
      <c r="I1677" s="0" t="inlineStr">
        <is>
          <t xml:space="preserve">no</t>
        </is>
      </c>
      <c r="J1677" s="0" t="inlineStr">
        <is>
          <t xml:space="preserve">N3220518Q4167</t>
        </is>
      </c>
      <c r="K1677" s="0" t="inlineStr">
        <is>
          <t xml:space="preserve">NONE</t>
        </is>
      </c>
    </row>
    <row r="1678">
      <c r="B1678" s="0" t="inlineStr">
        <is>
          <t xml:space="preserve">N0018916P1172</t>
        </is>
      </c>
      <c r="D1678" s="0" t="inlineStr">
        <is>
          <t xml:space="preserve">small_craft</t>
        </is>
      </c>
      <c r="E1678" s="0" t="inlineStr">
        <is>
          <t xml:space="preserve">VIGOR KVICHAK LLC</t>
        </is>
      </c>
      <c r="F1678" s="0" t="inlineStr">
        <is>
          <t xml:space="preserve">B</t>
        </is>
      </c>
      <c r="G1678" s="4">
        <v>0.00716356</v>
      </c>
      <c r="H1678" s="0" t="inlineStr">
        <is>
          <t xml:space="preserve">2016-07-27</t>
        </is>
      </c>
      <c r="I1678" s="0" t="inlineStr">
        <is>
          <t xml:space="preserve">no</t>
        </is>
      </c>
      <c r="K1678" s="0" t="inlineStr">
        <is>
          <t xml:space="preserve">NONE</t>
        </is>
      </c>
    </row>
    <row r="1679">
      <c r="B1679" s="0" t="inlineStr">
        <is>
          <t xml:space="preserve">N0010421PND30</t>
        </is>
      </c>
      <c r="D1679" s="0" t="inlineStr">
        <is>
          <t xml:space="preserve">small_craft</t>
        </is>
      </c>
      <c r="E1679" s="0" t="inlineStr">
        <is>
          <t xml:space="preserve">CURTISS-WRIGHT ELECTRO-MECHANICAL CORPORATION</t>
        </is>
      </c>
      <c r="F1679" s="0" t="inlineStr">
        <is>
          <t xml:space="preserve">B</t>
        </is>
      </c>
      <c r="G1679" s="4">
        <v>0.007091</v>
      </c>
      <c r="H1679" s="0" t="inlineStr">
        <is>
          <t xml:space="preserve">2021-08-11</t>
        </is>
      </c>
      <c r="I1679" s="0" t="inlineStr">
        <is>
          <t xml:space="preserve">no</t>
        </is>
      </c>
      <c r="K1679" s="0" t="inlineStr">
        <is>
          <t xml:space="preserve">NONE</t>
        </is>
      </c>
    </row>
    <row r="1680">
      <c r="B1680" s="0" t="inlineStr">
        <is>
          <t xml:space="preserve">N0010421PLC90</t>
        </is>
      </c>
      <c r="D1680" s="0" t="inlineStr">
        <is>
          <t xml:space="preserve">small_craft</t>
        </is>
      </c>
      <c r="E1680" s="0" t="inlineStr">
        <is>
          <t xml:space="preserve">EDGE TECHNOLOGY DISTRIBUTORS, INC.</t>
        </is>
      </c>
      <c r="F1680" s="0" t="inlineStr">
        <is>
          <t xml:space="preserve">B</t>
        </is>
      </c>
      <c r="G1680" s="4">
        <v>0.00709</v>
      </c>
      <c r="H1680" s="0" t="inlineStr">
        <is>
          <t xml:space="preserve">2021-09-24</t>
        </is>
      </c>
      <c r="I1680" s="0" t="inlineStr">
        <is>
          <t xml:space="preserve">no</t>
        </is>
      </c>
      <c r="K1680" s="0" t="inlineStr">
        <is>
          <t xml:space="preserve">NONE</t>
        </is>
      </c>
    </row>
    <row r="1681">
      <c r="B1681" s="0" t="inlineStr">
        <is>
          <t xml:space="preserve">N0010421PLC10</t>
        </is>
      </c>
      <c r="D1681" s="0" t="inlineStr">
        <is>
          <t xml:space="preserve">small_craft</t>
        </is>
      </c>
      <c r="E1681" s="0" t="inlineStr">
        <is>
          <t xml:space="preserve">DELA TECHNOLOGY CORPORATION</t>
        </is>
      </c>
      <c r="F1681" s="0" t="inlineStr">
        <is>
          <t xml:space="preserve">B</t>
        </is>
      </c>
      <c r="G1681" s="4">
        <v>0.0070799999999999995</v>
      </c>
      <c r="H1681" s="0" t="inlineStr">
        <is>
          <t xml:space="preserve">2021-08-10</t>
        </is>
      </c>
      <c r="I1681" s="0" t="inlineStr">
        <is>
          <t xml:space="preserve">no</t>
        </is>
      </c>
      <c r="K1681" s="0" t="inlineStr">
        <is>
          <t xml:space="preserve">NONE</t>
        </is>
      </c>
    </row>
    <row r="1682">
      <c r="B1682" s="0" t="inlineStr">
        <is>
          <t xml:space="preserve">N5709216MHD00</t>
        </is>
      </c>
      <c r="D1682" s="0" t="inlineStr">
        <is>
          <t xml:space="preserve">other_small</t>
        </is>
      </c>
      <c r="E1682" s="0" t="inlineStr">
        <is>
          <t xml:space="preserve">KARCHER NORTH AMERICA, INC.</t>
        </is>
      </c>
      <c r="F1682" s="0" t="inlineStr">
        <is>
          <t xml:space="preserve">B</t>
        </is>
      </c>
      <c r="G1682" s="4">
        <v>0.0070754599999999996</v>
      </c>
      <c r="H1682" s="0" t="inlineStr">
        <is>
          <t xml:space="preserve">2016-03-01</t>
        </is>
      </c>
      <c r="I1682" s="0" t="inlineStr">
        <is>
          <t xml:space="preserve">no</t>
        </is>
      </c>
      <c r="K1682" s="0" t="inlineStr">
        <is>
          <t xml:space="preserve">NONE</t>
        </is>
      </c>
    </row>
    <row r="1683">
      <c r="B1683" s="0" t="inlineStr">
        <is>
          <t xml:space="preserve">N0040615P1861</t>
        </is>
      </c>
      <c r="D1683" s="0" t="inlineStr">
        <is>
          <t xml:space="preserve">small_craft</t>
        </is>
      </c>
      <c r="E1683" s="0" t="inlineStr">
        <is>
          <t xml:space="preserve">B &amp; P CONSORT, INC.</t>
        </is>
      </c>
      <c r="F1683" s="0" t="inlineStr">
        <is>
          <t xml:space="preserve">B</t>
        </is>
      </c>
      <c r="G1683" s="4">
        <v>0.0070715</v>
      </c>
      <c r="H1683" s="0" t="inlineStr">
        <is>
          <t xml:space="preserve">2015-04-03</t>
        </is>
      </c>
      <c r="I1683" s="0" t="inlineStr">
        <is>
          <t xml:space="preserve">no</t>
        </is>
      </c>
      <c r="J1683" s="0" t="inlineStr">
        <is>
          <t xml:space="preserve">N0040615T5091</t>
        </is>
      </c>
      <c r="K1683" s="0" t="inlineStr">
        <is>
          <t xml:space="preserve">NONE</t>
        </is>
      </c>
    </row>
    <row r="1684">
      <c r="B1684" s="0" t="inlineStr">
        <is>
          <t xml:space="preserve">LH77</t>
        </is>
      </c>
      <c r="C1684" s="0" t="inlineStr">
        <is>
          <t xml:space="preserve">N6238715D2104</t>
        </is>
      </c>
      <c r="D1684" s="0" t="inlineStr">
        <is>
          <t xml:space="preserve">other_small</t>
        </is>
      </c>
      <c r="E1684" s="0" t="inlineStr">
        <is>
          <t xml:space="preserve">MCALLISTER TOWING AND TRANSPORTATION COMPANY, INC.</t>
        </is>
      </c>
      <c r="F1684" s="0" t="inlineStr">
        <is>
          <t xml:space="preserve">C</t>
        </is>
      </c>
      <c r="G1684" s="4">
        <v>0.0070574999999999995</v>
      </c>
      <c r="H1684" s="0" t="inlineStr">
        <is>
          <t xml:space="preserve">2017-11-09</t>
        </is>
      </c>
      <c r="I1684" s="0" t="inlineStr">
        <is>
          <t xml:space="preserve">no</t>
        </is>
      </c>
      <c r="J1684" s="0" t="inlineStr">
        <is>
          <t xml:space="preserve">N6238715R2104</t>
        </is>
      </c>
      <c r="K1684" s="0" t="inlineStr">
        <is>
          <t xml:space="preserve">NONE</t>
        </is>
      </c>
    </row>
    <row r="1685">
      <c r="B1685" s="0" t="inlineStr">
        <is>
          <t xml:space="preserve">0068</t>
        </is>
      </c>
      <c r="C1685" s="0" t="inlineStr">
        <is>
          <t xml:space="preserve">N3220513D2000</t>
        </is>
      </c>
      <c r="D1685" s="0" t="inlineStr">
        <is>
          <t xml:space="preserve">other_small</t>
        </is>
      </c>
      <c r="E1685" s="0" t="inlineStr">
        <is>
          <t xml:space="preserve">ROLLS-ROYCE SOLUTIONS AMERICA INC</t>
        </is>
      </c>
      <c r="F1685" s="0" t="inlineStr">
        <is>
          <t xml:space="preserve">C</t>
        </is>
      </c>
      <c r="G1685" s="4">
        <v>0.0070331099999999995</v>
      </c>
      <c r="H1685" s="0" t="inlineStr">
        <is>
          <t xml:space="preserve">2016-01-26</t>
        </is>
      </c>
      <c r="I1685" s="0" t="inlineStr">
        <is>
          <t xml:space="preserve">no</t>
        </is>
      </c>
      <c r="J1685" s="0" t="inlineStr">
        <is>
          <t xml:space="preserve">N4044211R2005</t>
        </is>
      </c>
      <c r="K1685" s="0" t="inlineStr">
        <is>
          <t xml:space="preserve">NONE</t>
        </is>
      </c>
    </row>
    <row r="1686">
      <c r="B1686" s="0" t="inlineStr">
        <is>
          <t xml:space="preserve">N0010422PEE32</t>
        </is>
      </c>
      <c r="D1686" s="0" t="inlineStr">
        <is>
          <t xml:space="preserve">small_craft</t>
        </is>
      </c>
      <c r="E1686" s="0" t="inlineStr">
        <is>
          <t xml:space="preserve">ADIRONDACK ELECTRONICS INC</t>
        </is>
      </c>
      <c r="F1686" s="0" t="inlineStr">
        <is>
          <t xml:space="preserve">B</t>
        </is>
      </c>
      <c r="G1686" s="4">
        <v>0.00702753</v>
      </c>
      <c r="H1686" s="0" t="inlineStr">
        <is>
          <t xml:space="preserve">2022-06-09</t>
        </is>
      </c>
      <c r="I1686" s="0" t="inlineStr">
        <is>
          <t xml:space="preserve">no</t>
        </is>
      </c>
      <c r="K1686" s="0" t="inlineStr">
        <is>
          <t xml:space="preserve">NONE</t>
        </is>
      </c>
    </row>
    <row r="1687">
      <c r="B1687" s="0" t="inlineStr">
        <is>
          <t xml:space="preserve">N0010421PND55</t>
        </is>
      </c>
      <c r="D1687" s="0" t="inlineStr">
        <is>
          <t xml:space="preserve">small_craft</t>
        </is>
      </c>
      <c r="E1687" s="0" t="inlineStr">
        <is>
          <t xml:space="preserve">MMC METROLOGY LAB, INC.</t>
        </is>
      </c>
      <c r="F1687" s="0" t="inlineStr">
        <is>
          <t xml:space="preserve">B</t>
        </is>
      </c>
      <c r="G1687" s="4">
        <v>0.006999999999999999</v>
      </c>
      <c r="H1687" s="0" t="inlineStr">
        <is>
          <t xml:space="preserve">2021-09-07</t>
        </is>
      </c>
      <c r="I1687" s="0" t="inlineStr">
        <is>
          <t xml:space="preserve">no</t>
        </is>
      </c>
      <c r="K1687" s="0" t="inlineStr">
        <is>
          <t xml:space="preserve">NONE</t>
        </is>
      </c>
    </row>
    <row r="1688">
      <c r="B1688" s="0" t="inlineStr">
        <is>
          <t xml:space="preserve">N0010421PDB48</t>
        </is>
      </c>
      <c r="D1688" s="0" t="inlineStr">
        <is>
          <t xml:space="preserve">small_craft</t>
        </is>
      </c>
      <c r="E1688" s="0" t="inlineStr">
        <is>
          <t xml:space="preserve">AMERICAN METAL BEARING CO</t>
        </is>
      </c>
      <c r="F1688" s="0" t="inlineStr">
        <is>
          <t xml:space="preserve">B</t>
        </is>
      </c>
      <c r="G1688" s="4">
        <v>0.006999999999999999</v>
      </c>
      <c r="H1688" s="0" t="inlineStr">
        <is>
          <t xml:space="preserve">2021-04-21</t>
        </is>
      </c>
      <c r="I1688" s="0" t="inlineStr">
        <is>
          <t xml:space="preserve">no</t>
        </is>
      </c>
      <c r="K1688" s="0" t="inlineStr">
        <is>
          <t xml:space="preserve">NONE</t>
        </is>
      </c>
    </row>
    <row r="1689">
      <c r="B1689" s="0" t="inlineStr">
        <is>
          <t xml:space="preserve">N0010424PFD13</t>
        </is>
      </c>
      <c r="D1689" s="0" t="inlineStr">
        <is>
          <t xml:space="preserve">small_craft</t>
        </is>
      </c>
      <c r="E1689" s="0" t="inlineStr">
        <is>
          <t xml:space="preserve">D. L. MARTIN CO.</t>
        </is>
      </c>
      <c r="F1689" s="0" t="inlineStr">
        <is>
          <t xml:space="preserve">B</t>
        </is>
      </c>
      <c r="G1689" s="4">
        <v>0.00697</v>
      </c>
      <c r="H1689" s="0" t="inlineStr">
        <is>
          <t xml:space="preserve">2024-07-15</t>
        </is>
      </c>
      <c r="I1689" s="0" t="inlineStr">
        <is>
          <t xml:space="preserve">no</t>
        </is>
      </c>
      <c r="J1689" s="0" t="inlineStr">
        <is>
          <t xml:space="preserve">N0010423QFF77</t>
        </is>
      </c>
      <c r="K1689" s="0" t="inlineStr">
        <is>
          <t xml:space="preserve">NONE</t>
        </is>
      </c>
    </row>
    <row r="1690">
      <c r="B1690" s="0" t="inlineStr">
        <is>
          <t xml:space="preserve">N0010422PEG98</t>
        </is>
      </c>
      <c r="D1690" s="0" t="inlineStr">
        <is>
          <t xml:space="preserve">small_craft</t>
        </is>
      </c>
      <c r="E1690" s="0" t="inlineStr">
        <is>
          <t xml:space="preserve">ADIRONDACK ELECTRONICS INC</t>
        </is>
      </c>
      <c r="F1690" s="0" t="inlineStr">
        <is>
          <t xml:space="preserve">B</t>
        </is>
      </c>
      <c r="G1690" s="4">
        <v>0.006904949999999999</v>
      </c>
      <c r="H1690" s="0" t="inlineStr">
        <is>
          <t xml:space="preserve">2022-07-15</t>
        </is>
      </c>
      <c r="I1690" s="0" t="inlineStr">
        <is>
          <t xml:space="preserve">no</t>
        </is>
      </c>
      <c r="K1690" s="0" t="inlineStr">
        <is>
          <t xml:space="preserve">NONE</t>
        </is>
      </c>
    </row>
    <row r="1691">
      <c r="B1691" s="0" t="inlineStr">
        <is>
          <t xml:space="preserve">N4044315P0119</t>
        </is>
      </c>
      <c r="D1691" s="0" t="inlineStr">
        <is>
          <t xml:space="preserve">small_craft</t>
        </is>
      </c>
      <c r="E1691" s="0" t="inlineStr">
        <is>
          <t xml:space="preserve">ICON INTERNATIONAL, INC.</t>
        </is>
      </c>
      <c r="F1691" s="0" t="inlineStr">
        <is>
          <t xml:space="preserve">B</t>
        </is>
      </c>
      <c r="G1691" s="4">
        <v>0.0069</v>
      </c>
      <c r="H1691" s="0" t="inlineStr">
        <is>
          <t xml:space="preserve">2015-08-07</t>
        </is>
      </c>
      <c r="I1691" s="0" t="inlineStr">
        <is>
          <t xml:space="preserve">no</t>
        </is>
      </c>
      <c r="K1691" s="0" t="inlineStr">
        <is>
          <t xml:space="preserve">NONE</t>
        </is>
      </c>
    </row>
    <row r="1692">
      <c r="B1692" s="0" t="inlineStr">
        <is>
          <t xml:space="preserve">0070</t>
        </is>
      </c>
      <c r="C1692" s="0" t="inlineStr">
        <is>
          <t xml:space="preserve">N3220513D2000</t>
        </is>
      </c>
      <c r="D1692" s="0" t="inlineStr">
        <is>
          <t xml:space="preserve">other_small</t>
        </is>
      </c>
      <c r="E1692" s="0" t="inlineStr">
        <is>
          <t xml:space="preserve">ROLLS-ROYCE SOLUTIONS AMERICA INC</t>
        </is>
      </c>
      <c r="F1692" s="0" t="inlineStr">
        <is>
          <t xml:space="preserve">C</t>
        </is>
      </c>
      <c r="G1692" s="4">
        <v>0.00688294</v>
      </c>
      <c r="H1692" s="0" t="inlineStr">
        <is>
          <t xml:space="preserve">2016-02-07</t>
        </is>
      </c>
      <c r="I1692" s="0" t="inlineStr">
        <is>
          <t xml:space="preserve">no</t>
        </is>
      </c>
      <c r="J1692" s="0" t="inlineStr">
        <is>
          <t xml:space="preserve">N4044211R2005</t>
        </is>
      </c>
      <c r="K1692" s="0" t="inlineStr">
        <is>
          <t xml:space="preserve">NONE</t>
        </is>
      </c>
    </row>
    <row r="1693">
      <c r="B1693" s="0" t="inlineStr">
        <is>
          <t xml:space="preserve">N0040614P5440</t>
        </is>
      </c>
      <c r="D1693" s="0" t="inlineStr">
        <is>
          <t xml:space="preserve">small_craft</t>
        </is>
      </c>
      <c r="E1693" s="0" t="inlineStr">
        <is>
          <t xml:space="preserve">CSR MARINE, INC.</t>
        </is>
      </c>
      <c r="F1693" s="0" t="inlineStr">
        <is>
          <t xml:space="preserve">B</t>
        </is>
      </c>
      <c r="G1693" s="4">
        <v>0.006875999999999999</v>
      </c>
      <c r="H1693" s="0" t="inlineStr">
        <is>
          <t xml:space="preserve">2014-09-29</t>
        </is>
      </c>
      <c r="I1693" s="0" t="inlineStr">
        <is>
          <t xml:space="preserve">no</t>
        </is>
      </c>
      <c r="K1693" s="0" t="inlineStr">
        <is>
          <t xml:space="preserve">NONE</t>
        </is>
      </c>
    </row>
    <row r="1694">
      <c r="B1694" s="0" t="inlineStr">
        <is>
          <t xml:space="preserve">N0010424PBK81</t>
        </is>
      </c>
      <c r="D1694" s="0" t="inlineStr">
        <is>
          <t xml:space="preserve">small_craft</t>
        </is>
      </c>
      <c r="E1694" s="0" t="inlineStr">
        <is>
          <t xml:space="preserve">U.S.A. SPARES INC.</t>
        </is>
      </c>
      <c r="F1694" s="0" t="inlineStr">
        <is>
          <t xml:space="preserve">B</t>
        </is>
      </c>
      <c r="G1694" s="4">
        <v>0.0068249999999999995</v>
      </c>
      <c r="H1694" s="0" t="inlineStr">
        <is>
          <t xml:space="preserve">2024-02-15</t>
        </is>
      </c>
      <c r="I1694" s="0" t="inlineStr">
        <is>
          <t xml:space="preserve">no</t>
        </is>
      </c>
      <c r="K1694" s="0" t="inlineStr">
        <is>
          <t xml:space="preserve">NONE</t>
        </is>
      </c>
    </row>
    <row r="1695">
      <c r="B1695" s="0" t="inlineStr">
        <is>
          <t xml:space="preserve">N4044207P5562</t>
        </is>
      </c>
      <c r="D1695" s="0" t="inlineStr">
        <is>
          <t xml:space="preserve">other_small</t>
        </is>
      </c>
      <c r="E1695" s="0" t="inlineStr">
        <is>
          <t xml:space="preserve">VAPOR POWER INTERNATIONAL, LLC</t>
        </is>
      </c>
      <c r="F1695" s="0" t="inlineStr">
        <is>
          <t xml:space="preserve">B</t>
        </is>
      </c>
      <c r="G1695" s="4">
        <v>0.006796239999999999</v>
      </c>
      <c r="H1695" s="0" t="inlineStr">
        <is>
          <t xml:space="preserve">2007-05-09</t>
        </is>
      </c>
      <c r="I1695" s="0" t="inlineStr">
        <is>
          <t xml:space="preserve">no</t>
        </is>
      </c>
      <c r="K1695" s="0" t="inlineStr">
        <is>
          <t xml:space="preserve">NONE</t>
        </is>
      </c>
    </row>
    <row r="1696">
      <c r="B1696" s="0" t="inlineStr">
        <is>
          <t xml:space="preserve">N0010417PBT00</t>
        </is>
      </c>
      <c r="D1696" s="0" t="inlineStr">
        <is>
          <t xml:space="preserve">small_craft</t>
        </is>
      </c>
      <c r="E1696" s="0" t="inlineStr">
        <is>
          <t xml:space="preserve">GREATER MARYLAND TOOL &amp; MFG. CORP.</t>
        </is>
      </c>
      <c r="F1696" s="0" t="inlineStr">
        <is>
          <t xml:space="preserve">B</t>
        </is>
      </c>
      <c r="G1696" s="4">
        <v>0.00665</v>
      </c>
      <c r="H1696" s="0" t="inlineStr">
        <is>
          <t xml:space="preserve">2017-02-15</t>
        </is>
      </c>
      <c r="I1696" s="0" t="inlineStr">
        <is>
          <t xml:space="preserve">no</t>
        </is>
      </c>
      <c r="K1696" s="0" t="inlineStr">
        <is>
          <t xml:space="preserve">NONE</t>
        </is>
      </c>
    </row>
    <row r="1697">
      <c r="B1697" s="0" t="inlineStr">
        <is>
          <t xml:space="preserve">LH71</t>
        </is>
      </c>
      <c r="C1697" s="0" t="inlineStr">
        <is>
          <t xml:space="preserve">N6238715D2104</t>
        </is>
      </c>
      <c r="D1697" s="0" t="inlineStr">
        <is>
          <t xml:space="preserve">other_small</t>
        </is>
      </c>
      <c r="E1697" s="0" t="inlineStr">
        <is>
          <t xml:space="preserve">MCALLISTER TOWING AND TRANSPORTATION COMPANY, INC.</t>
        </is>
      </c>
      <c r="F1697" s="0" t="inlineStr">
        <is>
          <t xml:space="preserve">C</t>
        </is>
      </c>
      <c r="G1697" s="4">
        <v>0.006627999999999999</v>
      </c>
      <c r="H1697" s="0" t="inlineStr">
        <is>
          <t xml:space="preserve">2017-05-30</t>
        </is>
      </c>
      <c r="I1697" s="0" t="inlineStr">
        <is>
          <t xml:space="preserve">no</t>
        </is>
      </c>
      <c r="J1697" s="0" t="inlineStr">
        <is>
          <t xml:space="preserve">N6238715R2104</t>
        </is>
      </c>
      <c r="K1697" s="0" t="inlineStr">
        <is>
          <t xml:space="preserve">NONE</t>
        </is>
      </c>
    </row>
    <row r="1698">
      <c r="B1698" s="0" t="inlineStr">
        <is>
          <t xml:space="preserve">LH70</t>
        </is>
      </c>
      <c r="C1698" s="0" t="inlineStr">
        <is>
          <t xml:space="preserve">N6238715D2104</t>
        </is>
      </c>
      <c r="D1698" s="0" t="inlineStr">
        <is>
          <t xml:space="preserve">other_small</t>
        </is>
      </c>
      <c r="E1698" s="0" t="inlineStr">
        <is>
          <t xml:space="preserve">MCALLISTER TOWING AND TRANSPORTATION COMPANY, INC.</t>
        </is>
      </c>
      <c r="F1698" s="0" t="inlineStr">
        <is>
          <t xml:space="preserve">C</t>
        </is>
      </c>
      <c r="G1698" s="4">
        <v>0.006627999999999999</v>
      </c>
      <c r="H1698" s="0" t="inlineStr">
        <is>
          <t xml:space="preserve">2017-05-24</t>
        </is>
      </c>
      <c r="I1698" s="0" t="inlineStr">
        <is>
          <t xml:space="preserve">no</t>
        </is>
      </c>
      <c r="J1698" s="0" t="inlineStr">
        <is>
          <t xml:space="preserve">N6238715R2104</t>
        </is>
      </c>
      <c r="K1698" s="0" t="inlineStr">
        <is>
          <t xml:space="preserve">NONE</t>
        </is>
      </c>
    </row>
    <row r="1699">
      <c r="B1699" s="0" t="inlineStr">
        <is>
          <t xml:space="preserve">LH68</t>
        </is>
      </c>
      <c r="C1699" s="0" t="inlineStr">
        <is>
          <t xml:space="preserve">N6238715D2104</t>
        </is>
      </c>
      <c r="D1699" s="0" t="inlineStr">
        <is>
          <t xml:space="preserve">other_small</t>
        </is>
      </c>
      <c r="E1699" s="0" t="inlineStr">
        <is>
          <t xml:space="preserve">MCALLISTER TOWING AND TRANSPORTATION COMPANY, INC.</t>
        </is>
      </c>
      <c r="F1699" s="0" t="inlineStr">
        <is>
          <t xml:space="preserve">C</t>
        </is>
      </c>
      <c r="G1699" s="4">
        <v>0.006627999999999999</v>
      </c>
      <c r="H1699" s="0" t="inlineStr">
        <is>
          <t xml:space="preserve">2017-05-30</t>
        </is>
      </c>
      <c r="I1699" s="0" t="inlineStr">
        <is>
          <t xml:space="preserve">no</t>
        </is>
      </c>
      <c r="J1699" s="0" t="inlineStr">
        <is>
          <t xml:space="preserve">N6238715R2104</t>
        </is>
      </c>
      <c r="K1699" s="0" t="inlineStr">
        <is>
          <t xml:space="preserve">NONE</t>
        </is>
      </c>
    </row>
    <row r="1700">
      <c r="B1700" s="0" t="inlineStr">
        <is>
          <t xml:space="preserve">LH66</t>
        </is>
      </c>
      <c r="C1700" s="0" t="inlineStr">
        <is>
          <t xml:space="preserve">N6238715D2104</t>
        </is>
      </c>
      <c r="D1700" s="0" t="inlineStr">
        <is>
          <t xml:space="preserve">other_small</t>
        </is>
      </c>
      <c r="E1700" s="0" t="inlineStr">
        <is>
          <t xml:space="preserve">MCALLISTER TOWING AND TRANSPORTATION COMPANY, INC.</t>
        </is>
      </c>
      <c r="F1700" s="0" t="inlineStr">
        <is>
          <t xml:space="preserve">C</t>
        </is>
      </c>
      <c r="G1700" s="4">
        <v>0.006627999999999999</v>
      </c>
      <c r="H1700" s="0" t="inlineStr">
        <is>
          <t xml:space="preserve">2017-05-30</t>
        </is>
      </c>
      <c r="I1700" s="0" t="inlineStr">
        <is>
          <t xml:space="preserve">no</t>
        </is>
      </c>
      <c r="J1700" s="0" t="inlineStr">
        <is>
          <t xml:space="preserve">N6238715R2104</t>
        </is>
      </c>
      <c r="K1700" s="0" t="inlineStr">
        <is>
          <t xml:space="preserve">NONE</t>
        </is>
      </c>
    </row>
    <row r="1701">
      <c r="B1701" s="0" t="inlineStr">
        <is>
          <t xml:space="preserve">N0040617P0228</t>
        </is>
      </c>
      <c r="D1701" s="0" t="inlineStr">
        <is>
          <t xml:space="preserve">small_craft</t>
        </is>
      </c>
      <c r="E1701" s="0" t="inlineStr">
        <is>
          <t xml:space="preserve">PACIFIC MARITIME INDUSTRIES CORP.</t>
        </is>
      </c>
      <c r="F1701" s="0" t="inlineStr">
        <is>
          <t xml:space="preserve">B</t>
        </is>
      </c>
      <c r="G1701" s="4">
        <v>0.0066</v>
      </c>
      <c r="H1701" s="0" t="inlineStr">
        <is>
          <t xml:space="preserve">2016-11-16</t>
        </is>
      </c>
      <c r="I1701" s="0" t="inlineStr">
        <is>
          <t xml:space="preserve">no</t>
        </is>
      </c>
      <c r="J1701" s="0" t="inlineStr">
        <is>
          <t xml:space="preserve">N0040617T0035</t>
        </is>
      </c>
      <c r="K1701" s="0" t="inlineStr">
        <is>
          <t xml:space="preserve">NONE</t>
        </is>
      </c>
    </row>
    <row r="1702">
      <c r="B1702" s="0" t="inlineStr">
        <is>
          <t xml:space="preserve">M6785425F1025</t>
        </is>
      </c>
      <c r="C1702" s="0" t="inlineStr">
        <is>
          <t xml:space="preserve">M6785421D1801</t>
        </is>
      </c>
      <c r="D1702" s="0" t="inlineStr">
        <is>
          <t xml:space="preserve">small_craft</t>
        </is>
      </c>
      <c r="E1702" s="0" t="inlineStr">
        <is>
          <t xml:space="preserve">WING INFLATABLES INC</t>
        </is>
      </c>
      <c r="F1702" s="0" t="inlineStr">
        <is>
          <t xml:space="preserve">C</t>
        </is>
      </c>
      <c r="G1702" s="4">
        <v>0.00658</v>
      </c>
      <c r="H1702" s="0" t="inlineStr">
        <is>
          <t xml:space="preserve">2025-05-08</t>
        </is>
      </c>
      <c r="I1702" s="0" t="inlineStr">
        <is>
          <t xml:space="preserve">no</t>
        </is>
      </c>
      <c r="J1702" s="0" t="inlineStr">
        <is>
          <t xml:space="preserve">M6785421R1801</t>
        </is>
      </c>
      <c r="K1702" s="0" t="inlineStr">
        <is>
          <t xml:space="preserve">NONE</t>
        </is>
      </c>
    </row>
    <row r="1703">
      <c r="B1703" s="0" t="inlineStr">
        <is>
          <t xml:space="preserve">N0010417PEC29</t>
        </is>
      </c>
      <c r="D1703" s="0" t="inlineStr">
        <is>
          <t xml:space="preserve">small_craft</t>
        </is>
      </c>
      <c r="E1703" s="0" t="inlineStr">
        <is>
          <t xml:space="preserve">COGITIC CORPORATION</t>
        </is>
      </c>
      <c r="F1703" s="0" t="inlineStr">
        <is>
          <t xml:space="preserve">B</t>
        </is>
      </c>
      <c r="G1703" s="4">
        <v>0.006578399999999999</v>
      </c>
      <c r="H1703" s="0" t="inlineStr">
        <is>
          <t xml:space="preserve">2017-04-27</t>
        </is>
      </c>
      <c r="I1703" s="0" t="inlineStr">
        <is>
          <t xml:space="preserve">no</t>
        </is>
      </c>
      <c r="K1703" s="0" t="inlineStr">
        <is>
          <t xml:space="preserve">NONE</t>
        </is>
      </c>
    </row>
    <row r="1704">
      <c r="B1704" s="0" t="inlineStr">
        <is>
          <t xml:space="preserve">N0024416P0428</t>
        </is>
      </c>
      <c r="D1704" s="0" t="inlineStr">
        <is>
          <t xml:space="preserve">small_craft</t>
        </is>
      </c>
      <c r="E1704" s="0" t="inlineStr">
        <is>
          <t xml:space="preserve">ROLLS-ROYCE MARINE NORTH AMERICA INC.</t>
        </is>
      </c>
      <c r="F1704" s="0" t="inlineStr">
        <is>
          <t xml:space="preserve">B</t>
        </is>
      </c>
      <c r="G1704" s="4">
        <v>0.00654905</v>
      </c>
      <c r="H1704" s="0" t="inlineStr">
        <is>
          <t xml:space="preserve">2016-07-01</t>
        </is>
      </c>
      <c r="I1704" s="0" t="inlineStr">
        <is>
          <t xml:space="preserve">no</t>
        </is>
      </c>
      <c r="K1704" s="0" t="inlineStr">
        <is>
          <t xml:space="preserve">NONE</t>
        </is>
      </c>
    </row>
    <row r="1705">
      <c r="B1705" s="0" t="inlineStr">
        <is>
          <t xml:space="preserve">N0040618P1865</t>
        </is>
      </c>
      <c r="D1705" s="0" t="inlineStr">
        <is>
          <t xml:space="preserve">small_craft</t>
        </is>
      </c>
      <c r="E1705" s="0" t="inlineStr">
        <is>
          <t xml:space="preserve">JUNIPER ELBOW CO. INC.</t>
        </is>
      </c>
      <c r="F1705" s="0" t="inlineStr">
        <is>
          <t xml:space="preserve">B</t>
        </is>
      </c>
      <c r="G1705" s="4">
        <v>0.006541</v>
      </c>
      <c r="H1705" s="0" t="inlineStr">
        <is>
          <t xml:space="preserve">2018-09-28</t>
        </is>
      </c>
      <c r="I1705" s="0" t="inlineStr">
        <is>
          <t xml:space="preserve">no</t>
        </is>
      </c>
      <c r="K1705" s="0" t="inlineStr">
        <is>
          <t xml:space="preserve">NONE</t>
        </is>
      </c>
    </row>
    <row r="1706">
      <c r="B1706" s="0" t="inlineStr">
        <is>
          <t xml:space="preserve">N0010422PNC46</t>
        </is>
      </c>
      <c r="D1706" s="0" t="inlineStr">
        <is>
          <t xml:space="preserve">small_craft</t>
        </is>
      </c>
      <c r="E1706" s="0" t="inlineStr">
        <is>
          <t xml:space="preserve">BASIC RUBBER AND PLASTICS CO.</t>
        </is>
      </c>
      <c r="F1706" s="0" t="inlineStr">
        <is>
          <t xml:space="preserve">B</t>
        </is>
      </c>
      <c r="G1706" s="4">
        <v>0.00648</v>
      </c>
      <c r="H1706" s="0" t="inlineStr">
        <is>
          <t xml:space="preserve">2022-06-28</t>
        </is>
      </c>
      <c r="I1706" s="0" t="inlineStr">
        <is>
          <t xml:space="preserve">no</t>
        </is>
      </c>
      <c r="J1706" s="0" t="inlineStr">
        <is>
          <t xml:space="preserve">N0010422QNE59</t>
        </is>
      </c>
      <c r="K1706" s="0" t="inlineStr">
        <is>
          <t xml:space="preserve">NONE</t>
        </is>
      </c>
    </row>
    <row r="1707">
      <c r="B1707" s="0" t="inlineStr">
        <is>
          <t xml:space="preserve">N0040617P0534</t>
        </is>
      </c>
      <c r="D1707" s="0" t="inlineStr">
        <is>
          <t xml:space="preserve">small_craft</t>
        </is>
      </c>
      <c r="E1707" s="0" t="inlineStr">
        <is>
          <t xml:space="preserve">JERED LLC</t>
        </is>
      </c>
      <c r="F1707" s="0" t="inlineStr">
        <is>
          <t xml:space="preserve">B</t>
        </is>
      </c>
      <c r="G1707" s="4">
        <v>0.00647127</v>
      </c>
      <c r="H1707" s="0" t="inlineStr">
        <is>
          <t xml:space="preserve">2017-01-04</t>
        </is>
      </c>
      <c r="I1707" s="0" t="inlineStr">
        <is>
          <t xml:space="preserve">no</t>
        </is>
      </c>
      <c r="K1707" s="0" t="inlineStr">
        <is>
          <t xml:space="preserve">NONE</t>
        </is>
      </c>
    </row>
    <row r="1708">
      <c r="B1708" s="0" t="inlineStr">
        <is>
          <t xml:space="preserve">N0010417PEC31</t>
        </is>
      </c>
      <c r="D1708" s="0" t="inlineStr">
        <is>
          <t xml:space="preserve">small_craft</t>
        </is>
      </c>
      <c r="E1708" s="0" t="inlineStr">
        <is>
          <t xml:space="preserve">COGITIC CORPORATION</t>
        </is>
      </c>
      <c r="F1708" s="0" t="inlineStr">
        <is>
          <t xml:space="preserve">B</t>
        </is>
      </c>
      <c r="G1708" s="4">
        <v>0.0064583999999999996</v>
      </c>
      <c r="H1708" s="0" t="inlineStr">
        <is>
          <t xml:space="preserve">2017-04-27</t>
        </is>
      </c>
      <c r="I1708" s="0" t="inlineStr">
        <is>
          <t xml:space="preserve">no</t>
        </is>
      </c>
      <c r="K1708" s="0" t="inlineStr">
        <is>
          <t xml:space="preserve">NONE</t>
        </is>
      </c>
    </row>
    <row r="1709">
      <c r="B1709" s="0" t="inlineStr">
        <is>
          <t xml:space="preserve">N0010421PAD66</t>
        </is>
      </c>
      <c r="D1709" s="0" t="inlineStr">
        <is>
          <t xml:space="preserve">small_craft</t>
        </is>
      </c>
      <c r="E1709" s="0" t="inlineStr">
        <is>
          <t xml:space="preserve">FITZHUGH CLIFTON</t>
        </is>
      </c>
      <c r="F1709" s="0" t="inlineStr">
        <is>
          <t xml:space="preserve">B</t>
        </is>
      </c>
      <c r="G1709" s="4">
        <v>0.006449</v>
      </c>
      <c r="H1709" s="0" t="inlineStr">
        <is>
          <t xml:space="preserve">2021-07-13</t>
        </is>
      </c>
      <c r="I1709" s="0" t="inlineStr">
        <is>
          <t xml:space="preserve">no</t>
        </is>
      </c>
      <c r="K1709" s="0" t="inlineStr">
        <is>
          <t xml:space="preserve">NONE</t>
        </is>
      </c>
    </row>
    <row r="1710">
      <c r="B1710" s="0" t="inlineStr">
        <is>
          <t xml:space="preserve">0065</t>
        </is>
      </c>
      <c r="C1710" s="0" t="inlineStr">
        <is>
          <t xml:space="preserve">N3220513D2000</t>
        </is>
      </c>
      <c r="D1710" s="0" t="inlineStr">
        <is>
          <t xml:space="preserve">other_small</t>
        </is>
      </c>
      <c r="E1710" s="0" t="inlineStr">
        <is>
          <t xml:space="preserve">ROLLS-ROYCE SOLUTIONS AMERICA INC</t>
        </is>
      </c>
      <c r="F1710" s="0" t="inlineStr">
        <is>
          <t xml:space="preserve">C</t>
        </is>
      </c>
      <c r="G1710" s="4">
        <v>0.00644099</v>
      </c>
      <c r="H1710" s="0" t="inlineStr">
        <is>
          <t xml:space="preserve">2016-01-23</t>
        </is>
      </c>
      <c r="I1710" s="0" t="inlineStr">
        <is>
          <t xml:space="preserve">no</t>
        </is>
      </c>
      <c r="J1710" s="0" t="inlineStr">
        <is>
          <t xml:space="preserve">N4044211R2005</t>
        </is>
      </c>
      <c r="K1710" s="0" t="inlineStr">
        <is>
          <t xml:space="preserve">NONE</t>
        </is>
      </c>
    </row>
    <row r="1711">
      <c r="B1711" s="0" t="inlineStr">
        <is>
          <t xml:space="preserve">LH47</t>
        </is>
      </c>
      <c r="C1711" s="0" t="inlineStr">
        <is>
          <t xml:space="preserve">N6238715D2104</t>
        </is>
      </c>
      <c r="D1711" s="0" t="inlineStr">
        <is>
          <t xml:space="preserve">other_small</t>
        </is>
      </c>
      <c r="E1711" s="0" t="inlineStr">
        <is>
          <t xml:space="preserve">MCALLISTER TOWING AND TRANSPORTATION COMPANY, INC.</t>
        </is>
      </c>
      <c r="F1711" s="0" t="inlineStr">
        <is>
          <t xml:space="preserve">C</t>
        </is>
      </c>
      <c r="G1711" s="4">
        <v>0.006436</v>
      </c>
      <c r="H1711" s="0" t="inlineStr">
        <is>
          <t xml:space="preserve">2016-05-13</t>
        </is>
      </c>
      <c r="I1711" s="0" t="inlineStr">
        <is>
          <t xml:space="preserve">no</t>
        </is>
      </c>
      <c r="J1711" s="0" t="inlineStr">
        <is>
          <t xml:space="preserve">N6238715R2104</t>
        </is>
      </c>
      <c r="K1711" s="0" t="inlineStr">
        <is>
          <t xml:space="preserve">NONE</t>
        </is>
      </c>
    </row>
    <row r="1712">
      <c r="B1712" s="0" t="inlineStr">
        <is>
          <t xml:space="preserve">N0018923P0101</t>
        </is>
      </c>
      <c r="D1712" s="0" t="inlineStr">
        <is>
          <t xml:space="preserve">small_craft</t>
        </is>
      </c>
      <c r="E1712" s="0" t="inlineStr">
        <is>
          <t xml:space="preserve">WINSLOW MARINE PRODUCTS CORPORATION</t>
        </is>
      </c>
      <c r="F1712" s="0" t="inlineStr">
        <is>
          <t xml:space="preserve">B</t>
        </is>
      </c>
      <c r="G1712" s="4">
        <v>0.0064315200000000005</v>
      </c>
      <c r="H1712" s="0" t="inlineStr">
        <is>
          <t xml:space="preserve">2023-01-30</t>
        </is>
      </c>
      <c r="I1712" s="0" t="inlineStr">
        <is>
          <t xml:space="preserve">no</t>
        </is>
      </c>
      <c r="K1712" s="0" t="inlineStr">
        <is>
          <t xml:space="preserve">NONE</t>
        </is>
      </c>
    </row>
    <row r="1713">
      <c r="B1713" s="0" t="inlineStr">
        <is>
          <t xml:space="preserve">N0040616P1682</t>
        </is>
      </c>
      <c r="D1713" s="0" t="inlineStr">
        <is>
          <t xml:space="preserve">small_craft</t>
        </is>
      </c>
      <c r="E1713" s="0" t="inlineStr">
        <is>
          <t xml:space="preserve">BRIGHT LIGHTS USA, INC</t>
        </is>
      </c>
      <c r="F1713" s="0" t="inlineStr">
        <is>
          <t xml:space="preserve">B</t>
        </is>
      </c>
      <c r="G1713" s="4">
        <v>0.0063999999999999994</v>
      </c>
      <c r="H1713" s="0" t="inlineStr">
        <is>
          <t xml:space="preserve">2016-04-07</t>
        </is>
      </c>
      <c r="I1713" s="0" t="inlineStr">
        <is>
          <t xml:space="preserve">no</t>
        </is>
      </c>
      <c r="K1713" s="0" t="inlineStr">
        <is>
          <t xml:space="preserve">NONE</t>
        </is>
      </c>
    </row>
    <row r="1714">
      <c r="B1714" s="0" t="inlineStr">
        <is>
          <t xml:space="preserve">N0010422PSC87</t>
        </is>
      </c>
      <c r="D1714" s="0" t="inlineStr">
        <is>
          <t xml:space="preserve">small_craft</t>
        </is>
      </c>
      <c r="E1714" s="0" t="inlineStr">
        <is>
          <t xml:space="preserve">TRIMAN INDUSTRIES INC</t>
        </is>
      </c>
      <c r="F1714" s="0" t="inlineStr">
        <is>
          <t xml:space="preserve">B</t>
        </is>
      </c>
      <c r="G1714" s="4">
        <v>0.006292</v>
      </c>
      <c r="H1714" s="0" t="inlineStr">
        <is>
          <t xml:space="preserve">2022-09-23</t>
        </is>
      </c>
      <c r="I1714" s="0" t="inlineStr">
        <is>
          <t xml:space="preserve">no</t>
        </is>
      </c>
      <c r="K1714" s="0" t="inlineStr">
        <is>
          <t xml:space="preserve">NONE</t>
        </is>
      </c>
    </row>
    <row r="1715">
      <c r="B1715" s="0" t="inlineStr">
        <is>
          <t xml:space="preserve">N0010426PBC26</t>
        </is>
      </c>
      <c r="D1715" s="0" t="inlineStr">
        <is>
          <t xml:space="preserve">small_craft</t>
        </is>
      </c>
      <c r="E1715" s="0" t="inlineStr">
        <is>
          <t xml:space="preserve">DIBERT VALVE AND FITTING COMPANY, INCORPORATED</t>
        </is>
      </c>
      <c r="F1715" s="0" t="inlineStr">
        <is>
          <t xml:space="preserve">B</t>
        </is>
      </c>
      <c r="G1715" s="4">
        <v>0.006258199999999999</v>
      </c>
      <c r="H1715" s="0" t="inlineStr">
        <is>
          <t xml:space="preserve">2025-10-30</t>
        </is>
      </c>
      <c r="I1715" s="0" t="inlineStr">
        <is>
          <t xml:space="preserve">yes</t>
        </is>
      </c>
      <c r="K1715" s="0" t="inlineStr">
        <is>
          <t xml:space="preserve">NONE</t>
        </is>
      </c>
    </row>
    <row r="1716">
      <c r="B1716" s="0" t="inlineStr">
        <is>
          <t xml:space="preserve">N6133118P0078</t>
        </is>
      </c>
      <c r="D1716" s="0" t="inlineStr">
        <is>
          <t xml:space="preserve">usv_core</t>
        </is>
      </c>
      <c r="E1716" s="0" t="inlineStr">
        <is>
          <t xml:space="preserve">HII UNMANNED MARITIME SYSTEMS INC.</t>
        </is>
      </c>
      <c r="F1716" s="0" t="inlineStr">
        <is>
          <t xml:space="preserve">B</t>
        </is>
      </c>
      <c r="G1716" s="4">
        <v>0.0062499999999999995</v>
      </c>
      <c r="H1716" s="0" t="inlineStr">
        <is>
          <t xml:space="preserve">2018-03-08</t>
        </is>
      </c>
      <c r="I1716" s="0" t="inlineStr">
        <is>
          <t xml:space="preserve">no</t>
        </is>
      </c>
      <c r="K1716" s="0" t="inlineStr">
        <is>
          <t xml:space="preserve">NONE</t>
        </is>
      </c>
    </row>
    <row r="1717">
      <c r="B1717" s="0" t="inlineStr">
        <is>
          <t xml:space="preserve">N0040617P1395</t>
        </is>
      </c>
      <c r="D1717" s="0" t="inlineStr">
        <is>
          <t xml:space="preserve">small_craft</t>
        </is>
      </c>
      <c r="E1717" s="0" t="inlineStr">
        <is>
          <t xml:space="preserve">JUNIPER ELBOW CO. INC.</t>
        </is>
      </c>
      <c r="F1717" s="0" t="inlineStr">
        <is>
          <t xml:space="preserve">B</t>
        </is>
      </c>
      <c r="G1717" s="4">
        <v>0.006241</v>
      </c>
      <c r="H1717" s="0" t="inlineStr">
        <is>
          <t xml:space="preserve">2017-05-09</t>
        </is>
      </c>
      <c r="I1717" s="0" t="inlineStr">
        <is>
          <t xml:space="preserve">no</t>
        </is>
      </c>
      <c r="K1717" s="0" t="inlineStr">
        <is>
          <t xml:space="preserve">NONE</t>
        </is>
      </c>
    </row>
    <row r="1718">
      <c r="B1718" s="0" t="inlineStr">
        <is>
          <t xml:space="preserve">LH41</t>
        </is>
      </c>
      <c r="C1718" s="0" t="inlineStr">
        <is>
          <t xml:space="preserve">N6238715D2104</t>
        </is>
      </c>
      <c r="D1718" s="0" t="inlineStr">
        <is>
          <t xml:space="preserve">other_small</t>
        </is>
      </c>
      <c r="E1718" s="0" t="inlineStr">
        <is>
          <t xml:space="preserve">MCALLISTER TOWING AND TRANSPORTATION COMPANY, INC.</t>
        </is>
      </c>
      <c r="F1718" s="0" t="inlineStr">
        <is>
          <t xml:space="preserve">C</t>
        </is>
      </c>
      <c r="G1718" s="4">
        <v>0.0062274999999999995</v>
      </c>
      <c r="H1718" s="0" t="inlineStr">
        <is>
          <t xml:space="preserve">2016-05-13</t>
        </is>
      </c>
      <c r="I1718" s="0" t="inlineStr">
        <is>
          <t xml:space="preserve">no</t>
        </is>
      </c>
      <c r="J1718" s="0" t="inlineStr">
        <is>
          <t xml:space="preserve">N6238715R2104</t>
        </is>
      </c>
      <c r="K1718" s="0" t="inlineStr">
        <is>
          <t xml:space="preserve">NONE</t>
        </is>
      </c>
    </row>
    <row r="1719">
      <c r="B1719" s="0" t="inlineStr">
        <is>
          <t xml:space="preserve">LH79</t>
        </is>
      </c>
      <c r="C1719" s="0" t="inlineStr">
        <is>
          <t xml:space="preserve">N6238715D2104</t>
        </is>
      </c>
      <c r="D1719" s="0" t="inlineStr">
        <is>
          <t xml:space="preserve">other_small</t>
        </is>
      </c>
      <c r="E1719" s="0" t="inlineStr">
        <is>
          <t xml:space="preserve">MCALLISTER TOWING AND TRANSPORTATION COMPANY, INC.</t>
        </is>
      </c>
      <c r="F1719" s="0" t="inlineStr">
        <is>
          <t xml:space="preserve">C</t>
        </is>
      </c>
      <c r="G1719" s="4">
        <v>0.0061985</v>
      </c>
      <c r="H1719" s="0" t="inlineStr">
        <is>
          <t xml:space="preserve">2017-11-13</t>
        </is>
      </c>
      <c r="I1719" s="0" t="inlineStr">
        <is>
          <t xml:space="preserve">no</t>
        </is>
      </c>
      <c r="J1719" s="0" t="inlineStr">
        <is>
          <t xml:space="preserve">N6238715R2104</t>
        </is>
      </c>
      <c r="K1719" s="0" t="inlineStr">
        <is>
          <t xml:space="preserve">NONE</t>
        </is>
      </c>
    </row>
    <row r="1720">
      <c r="B1720" s="0" t="inlineStr">
        <is>
          <t xml:space="preserve">N0040615P1604</t>
        </is>
      </c>
      <c r="D1720" s="0" t="inlineStr">
        <is>
          <t xml:space="preserve">small_craft</t>
        </is>
      </c>
      <c r="E1720" s="0" t="inlineStr">
        <is>
          <t xml:space="preserve">B.W. ELLIOTT MANUFACTURING CO., LLC</t>
        </is>
      </c>
      <c r="F1720" s="0" t="inlineStr">
        <is>
          <t xml:space="preserve">B</t>
        </is>
      </c>
      <c r="G1720" s="4">
        <v>0.00615552</v>
      </c>
      <c r="H1720" s="0" t="inlineStr">
        <is>
          <t xml:space="preserve">2015-03-04</t>
        </is>
      </c>
      <c r="I1720" s="0" t="inlineStr">
        <is>
          <t xml:space="preserve">no</t>
        </is>
      </c>
      <c r="K1720" s="0" t="inlineStr">
        <is>
          <t xml:space="preserve">NONE</t>
        </is>
      </c>
    </row>
    <row r="1721">
      <c r="B1721" s="0" t="inlineStr">
        <is>
          <t xml:space="preserve">N4044207P5354</t>
        </is>
      </c>
      <c r="D1721" s="0" t="inlineStr">
        <is>
          <t xml:space="preserve">other_small</t>
        </is>
      </c>
      <c r="E1721" s="0" t="inlineStr">
        <is>
          <t xml:space="preserve">BOLL FILTER CORPORATION</t>
        </is>
      </c>
      <c r="F1721" s="0" t="inlineStr">
        <is>
          <t xml:space="preserve">B</t>
        </is>
      </c>
      <c r="G1721" s="4">
        <v>0.006143539999999999</v>
      </c>
      <c r="H1721" s="0" t="inlineStr">
        <is>
          <t xml:space="preserve">2007-02-23</t>
        </is>
      </c>
      <c r="I1721" s="0" t="inlineStr">
        <is>
          <t xml:space="preserve">no</t>
        </is>
      </c>
      <c r="K1721" s="0" t="inlineStr">
        <is>
          <t xml:space="preserve">NONE</t>
        </is>
      </c>
    </row>
    <row r="1722">
      <c r="B1722" s="0" t="inlineStr">
        <is>
          <t xml:space="preserve">N0010425PEC24</t>
        </is>
      </c>
      <c r="D1722" s="0" t="inlineStr">
        <is>
          <t xml:space="preserve">small_craft</t>
        </is>
      </c>
      <c r="E1722" s="0" t="inlineStr">
        <is>
          <t xml:space="preserve">FLUIDYNE CORPORATION</t>
        </is>
      </c>
      <c r="F1722" s="0" t="inlineStr">
        <is>
          <t xml:space="preserve">B</t>
        </is>
      </c>
      <c r="G1722" s="4">
        <v>0.006142</v>
      </c>
      <c r="H1722" s="0" t="inlineStr">
        <is>
          <t xml:space="preserve">2025-09-16</t>
        </is>
      </c>
      <c r="I1722" s="0" t="inlineStr">
        <is>
          <t xml:space="preserve">yes</t>
        </is>
      </c>
      <c r="K1722" s="0" t="inlineStr">
        <is>
          <t xml:space="preserve">NONE</t>
        </is>
      </c>
    </row>
    <row r="1723">
      <c r="B1723" s="0" t="inlineStr">
        <is>
          <t xml:space="preserve">N0040617P1831</t>
        </is>
      </c>
      <c r="D1723" s="0" t="inlineStr">
        <is>
          <t xml:space="preserve">small_craft</t>
        </is>
      </c>
      <c r="E1723" s="0" t="inlineStr">
        <is>
          <t xml:space="preserve">JUNIPER ELBOW CO. INC.</t>
        </is>
      </c>
      <c r="F1723" s="0" t="inlineStr">
        <is>
          <t xml:space="preserve">B</t>
        </is>
      </c>
      <c r="G1723" s="4">
        <v>0.006134</v>
      </c>
      <c r="H1723" s="0" t="inlineStr">
        <is>
          <t xml:space="preserve">2017-05-16</t>
        </is>
      </c>
      <c r="I1723" s="0" t="inlineStr">
        <is>
          <t xml:space="preserve">no</t>
        </is>
      </c>
      <c r="K1723" s="0" t="inlineStr">
        <is>
          <t xml:space="preserve">NONE</t>
        </is>
      </c>
    </row>
    <row r="1724">
      <c r="B1724" s="0" t="inlineStr">
        <is>
          <t xml:space="preserve">N4044316P0117</t>
        </is>
      </c>
      <c r="D1724" s="0" t="inlineStr">
        <is>
          <t xml:space="preserve">small_craft</t>
        </is>
      </c>
      <c r="E1724" s="0" t="inlineStr">
        <is>
          <t xml:space="preserve">J. W. MARINE EQUIPMENT, INC.</t>
        </is>
      </c>
      <c r="F1724" s="0" t="inlineStr">
        <is>
          <t xml:space="preserve">B</t>
        </is>
      </c>
      <c r="G1724" s="4">
        <v>0.0061300799999999996</v>
      </c>
      <c r="H1724" s="0" t="inlineStr">
        <is>
          <t xml:space="preserve">2015-11-05</t>
        </is>
      </c>
      <c r="I1724" s="0" t="inlineStr">
        <is>
          <t xml:space="preserve">no</t>
        </is>
      </c>
      <c r="K1724" s="0" t="inlineStr">
        <is>
          <t xml:space="preserve">NONE</t>
        </is>
      </c>
    </row>
    <row r="1725">
      <c r="B1725" s="0" t="inlineStr">
        <is>
          <t xml:space="preserve">N0010412PCF78</t>
        </is>
      </c>
      <c r="D1725" s="0" t="inlineStr">
        <is>
          <t xml:space="preserve">small_craft</t>
        </is>
      </c>
      <c r="E1725" s="0" t="inlineStr">
        <is>
          <t xml:space="preserve">GLOBAL INCORPORATED</t>
        </is>
      </c>
      <c r="F1725" s="0" t="inlineStr">
        <is>
          <t xml:space="preserve">B</t>
        </is>
      </c>
      <c r="G1725" s="4">
        <v>0.00612962</v>
      </c>
      <c r="H1725" s="0" t="inlineStr">
        <is>
          <t xml:space="preserve">2012-03-07</t>
        </is>
      </c>
      <c r="I1725" s="0" t="inlineStr">
        <is>
          <t xml:space="preserve">no</t>
        </is>
      </c>
      <c r="K1725" s="0" t="inlineStr">
        <is>
          <t xml:space="preserve">NONE</t>
        </is>
      </c>
    </row>
    <row r="1726">
      <c r="B1726" s="0" t="inlineStr">
        <is>
          <t xml:space="preserve">N0024416P0413</t>
        </is>
      </c>
      <c r="D1726" s="0" t="inlineStr">
        <is>
          <t xml:space="preserve">small_craft</t>
        </is>
      </c>
      <c r="E1726" s="0" t="inlineStr">
        <is>
          <t xml:space="preserve">LOUISIANA ASSOCIATION FOR THE BLIND</t>
        </is>
      </c>
      <c r="F1726" s="0" t="inlineStr">
        <is>
          <t xml:space="preserve">B</t>
        </is>
      </c>
      <c r="G1726" s="4">
        <v>0.00610646</v>
      </c>
      <c r="H1726" s="0" t="inlineStr">
        <is>
          <t xml:space="preserve">2016-07-01</t>
        </is>
      </c>
      <c r="I1726" s="0" t="inlineStr">
        <is>
          <t xml:space="preserve">no</t>
        </is>
      </c>
      <c r="K1726" s="0" t="inlineStr">
        <is>
          <t xml:space="preserve">NONE</t>
        </is>
      </c>
    </row>
    <row r="1727">
      <c r="B1727" s="0" t="inlineStr">
        <is>
          <t xml:space="preserve">N0010426PBL86</t>
        </is>
      </c>
      <c r="D1727" s="0" t="inlineStr">
        <is>
          <t xml:space="preserve">small_craft</t>
        </is>
      </c>
      <c r="E1727" s="0" t="inlineStr">
        <is>
          <t xml:space="preserve">ADIRONDACK ELECTRONICS INC</t>
        </is>
      </c>
      <c r="F1727" s="0" t="inlineStr">
        <is>
          <t xml:space="preserve">B</t>
        </is>
      </c>
      <c r="G1727" s="4">
        <v>0.00608772</v>
      </c>
      <c r="H1727" s="0" t="inlineStr">
        <is>
          <t xml:space="preserve">2026-02-26</t>
        </is>
      </c>
      <c r="I1727" s="0" t="inlineStr">
        <is>
          <t xml:space="preserve">yes</t>
        </is>
      </c>
      <c r="K1727" s="0" t="inlineStr">
        <is>
          <t xml:space="preserve">NONE</t>
        </is>
      </c>
    </row>
    <row r="1728">
      <c r="B1728" s="0" t="inlineStr">
        <is>
          <t xml:space="preserve">N0018915P1281</t>
        </is>
      </c>
      <c r="D1728" s="0" t="inlineStr">
        <is>
          <t xml:space="preserve">small_craft</t>
        </is>
      </c>
      <c r="E1728" s="0" t="inlineStr">
        <is>
          <t xml:space="preserve">BRADLEY, TODD H</t>
        </is>
      </c>
      <c r="F1728" s="0" t="inlineStr">
        <is>
          <t xml:space="preserve">B</t>
        </is>
      </c>
      <c r="G1728" s="4">
        <v>0.006075</v>
      </c>
      <c r="H1728" s="0" t="inlineStr">
        <is>
          <t xml:space="preserve">2015-09-09</t>
        </is>
      </c>
      <c r="I1728" s="0" t="inlineStr">
        <is>
          <t xml:space="preserve">no</t>
        </is>
      </c>
      <c r="K1728" s="0" t="inlineStr">
        <is>
          <t xml:space="preserve">NONE</t>
        </is>
      </c>
    </row>
    <row r="1729">
      <c r="B1729" s="0" t="inlineStr">
        <is>
          <t xml:space="preserve">N0040616P3645</t>
        </is>
      </c>
      <c r="D1729" s="0" t="inlineStr">
        <is>
          <t xml:space="preserve">small_craft</t>
        </is>
      </c>
      <c r="E1729" s="0" t="inlineStr">
        <is>
          <t xml:space="preserve">JAMESTOWN METAL MARINE SALES, INC.</t>
        </is>
      </c>
      <c r="F1729" s="0" t="inlineStr">
        <is>
          <t xml:space="preserve">B</t>
        </is>
      </c>
      <c r="G1729" s="4">
        <v>0.006072</v>
      </c>
      <c r="H1729" s="0" t="inlineStr">
        <is>
          <t xml:space="preserve">2016-09-28</t>
        </is>
      </c>
      <c r="I1729" s="0" t="inlineStr">
        <is>
          <t xml:space="preserve">no</t>
        </is>
      </c>
      <c r="K1729" s="0" t="inlineStr">
        <is>
          <t xml:space="preserve">NONE</t>
        </is>
      </c>
    </row>
    <row r="1730">
      <c r="B1730" s="0" t="inlineStr">
        <is>
          <t xml:space="preserve">LH44</t>
        </is>
      </c>
      <c r="C1730" s="0" t="inlineStr">
        <is>
          <t xml:space="preserve">N6238715D2104</t>
        </is>
      </c>
      <c r="D1730" s="0" t="inlineStr">
        <is>
          <t xml:space="preserve">other_small</t>
        </is>
      </c>
      <c r="E1730" s="0" t="inlineStr">
        <is>
          <t xml:space="preserve">MCALLISTER TOWING AND TRANSPORTATION COMPANY, INC.</t>
        </is>
      </c>
      <c r="F1730" s="0" t="inlineStr">
        <is>
          <t xml:space="preserve">C</t>
        </is>
      </c>
      <c r="G1730" s="4">
        <v>0.006019</v>
      </c>
      <c r="H1730" s="0" t="inlineStr">
        <is>
          <t xml:space="preserve">2016-05-13</t>
        </is>
      </c>
      <c r="I1730" s="0" t="inlineStr">
        <is>
          <t xml:space="preserve">no</t>
        </is>
      </c>
      <c r="J1730" s="0" t="inlineStr">
        <is>
          <t xml:space="preserve">N6238715R2104</t>
        </is>
      </c>
      <c r="K1730" s="0" t="inlineStr">
        <is>
          <t xml:space="preserve">NONE</t>
        </is>
      </c>
    </row>
    <row r="1731">
      <c r="B1731" s="0" t="inlineStr">
        <is>
          <t xml:space="preserve">N0010425PJA65</t>
        </is>
      </c>
      <c r="D1731" s="0" t="inlineStr">
        <is>
          <t xml:space="preserve">small_craft</t>
        </is>
      </c>
      <c r="E1731" s="0" t="inlineStr">
        <is>
          <t xml:space="preserve">SPECIALTY SEALS &amp; ACCESSORIES, INC.</t>
        </is>
      </c>
      <c r="F1731" s="0" t="inlineStr">
        <is>
          <t xml:space="preserve">B</t>
        </is>
      </c>
      <c r="G1731" s="4">
        <v>0.00600277</v>
      </c>
      <c r="H1731" s="0" t="inlineStr">
        <is>
          <t xml:space="preserve">2025-01-29</t>
        </is>
      </c>
      <c r="I1731" s="0" t="inlineStr">
        <is>
          <t xml:space="preserve">no</t>
        </is>
      </c>
      <c r="K1731" s="0" t="inlineStr">
        <is>
          <t xml:space="preserve">NONE</t>
        </is>
      </c>
    </row>
    <row r="1732">
      <c r="B1732" s="0" t="inlineStr">
        <is>
          <t xml:space="preserve">N0060416P3297</t>
        </is>
      </c>
      <c r="D1732" s="0" t="inlineStr">
        <is>
          <t xml:space="preserve">small_craft</t>
        </is>
      </c>
      <c r="E1732" s="0" t="inlineStr">
        <is>
          <t xml:space="preserve">WINDWARD BOATS INC</t>
        </is>
      </c>
      <c r="F1732" s="0" t="inlineStr">
        <is>
          <t xml:space="preserve">B</t>
        </is>
      </c>
      <c r="G1732" s="4">
        <v>0.00599905</v>
      </c>
      <c r="H1732" s="0" t="inlineStr">
        <is>
          <t xml:space="preserve">2016-06-16</t>
        </is>
      </c>
      <c r="I1732" s="0" t="inlineStr">
        <is>
          <t xml:space="preserve">no</t>
        </is>
      </c>
      <c r="K1732" s="0" t="inlineStr">
        <is>
          <t xml:space="preserve">NONE</t>
        </is>
      </c>
    </row>
    <row r="1733">
      <c r="B1733" s="0" t="inlineStr">
        <is>
          <t xml:space="preserve">0033</t>
        </is>
      </c>
      <c r="C1733" s="0" t="inlineStr">
        <is>
          <t xml:space="preserve">N3220513D2001</t>
        </is>
      </c>
      <c r="D1733" s="0" t="inlineStr">
        <is>
          <t xml:space="preserve">other_small</t>
        </is>
      </c>
      <c r="E1733" s="0" t="inlineStr">
        <is>
          <t xml:space="preserve">AUSTAL USA, LLC</t>
        </is>
      </c>
      <c r="F1733" s="0" t="inlineStr">
        <is>
          <t xml:space="preserve">C</t>
        </is>
      </c>
      <c r="G1733" s="4">
        <v>0.00598776</v>
      </c>
      <c r="H1733" s="0" t="inlineStr">
        <is>
          <t xml:space="preserve">2015-09-22</t>
        </is>
      </c>
      <c r="I1733" s="0" t="inlineStr">
        <is>
          <t xml:space="preserve">no</t>
        </is>
      </c>
      <c r="J1733" s="0" t="inlineStr">
        <is>
          <t xml:space="preserve">N4044212R2004</t>
        </is>
      </c>
      <c r="K1733" s="0" t="inlineStr">
        <is>
          <t xml:space="preserve">NONE</t>
        </is>
      </c>
    </row>
    <row r="1734">
      <c r="B1734" s="0" t="inlineStr">
        <is>
          <t xml:space="preserve">N0010422PXA37</t>
        </is>
      </c>
      <c r="D1734" s="0" t="inlineStr">
        <is>
          <t xml:space="preserve">small_craft</t>
        </is>
      </c>
      <c r="E1734" s="0" t="inlineStr">
        <is>
          <t xml:space="preserve">ROLLS-ROYCE MARINE NORTH AMERICA INC.</t>
        </is>
      </c>
      <c r="F1734" s="0" t="inlineStr">
        <is>
          <t xml:space="preserve">B</t>
        </is>
      </c>
      <c r="G1734" s="4">
        <v>0.00597</v>
      </c>
      <c r="H1734" s="0" t="inlineStr">
        <is>
          <t xml:space="preserve">2022-01-12</t>
        </is>
      </c>
      <c r="I1734" s="0" t="inlineStr">
        <is>
          <t xml:space="preserve">no</t>
        </is>
      </c>
      <c r="K1734" s="0" t="inlineStr">
        <is>
          <t xml:space="preserve">NONE</t>
        </is>
      </c>
    </row>
    <row r="1735">
      <c r="B1735" s="0" t="inlineStr">
        <is>
          <t xml:space="preserve">N0010421PXC56</t>
        </is>
      </c>
      <c r="D1735" s="0" t="inlineStr">
        <is>
          <t xml:space="preserve">small_craft</t>
        </is>
      </c>
      <c r="E1735" s="0" t="inlineStr">
        <is>
          <t xml:space="preserve">ROLLS-ROYCE MARINE NORTH AMERICA INC.</t>
        </is>
      </c>
      <c r="F1735" s="0" t="inlineStr">
        <is>
          <t xml:space="preserve">B</t>
        </is>
      </c>
      <c r="G1735" s="4">
        <v>0.00597</v>
      </c>
      <c r="H1735" s="0" t="inlineStr">
        <is>
          <t xml:space="preserve">2021-09-15</t>
        </is>
      </c>
      <c r="I1735" s="0" t="inlineStr">
        <is>
          <t xml:space="preserve">no</t>
        </is>
      </c>
      <c r="K1735" s="0" t="inlineStr">
        <is>
          <t xml:space="preserve">NONE</t>
        </is>
      </c>
    </row>
    <row r="1736">
      <c r="B1736" s="0" t="inlineStr">
        <is>
          <t xml:space="preserve">N0040615P1012</t>
        </is>
      </c>
      <c r="D1736" s="0" t="inlineStr">
        <is>
          <t xml:space="preserve">small_craft</t>
        </is>
      </c>
      <c r="E1736" s="0" t="inlineStr">
        <is>
          <t xml:space="preserve">PIER SIDE SUPPLY INC</t>
        </is>
      </c>
      <c r="F1736" s="0" t="inlineStr">
        <is>
          <t xml:space="preserve">B</t>
        </is>
      </c>
      <c r="G1736" s="4">
        <v>0.0059499999999999996</v>
      </c>
      <c r="H1736" s="0" t="inlineStr">
        <is>
          <t xml:space="preserve">2015-01-15</t>
        </is>
      </c>
      <c r="I1736" s="0" t="inlineStr">
        <is>
          <t xml:space="preserve">no</t>
        </is>
      </c>
      <c r="K1736" s="0" t="inlineStr">
        <is>
          <t xml:space="preserve">NONE</t>
        </is>
      </c>
    </row>
    <row r="1737">
      <c r="B1737" s="0" t="inlineStr">
        <is>
          <t xml:space="preserve">N0010415PEJ25</t>
        </is>
      </c>
      <c r="D1737" s="0" t="inlineStr">
        <is>
          <t xml:space="preserve">small_craft</t>
        </is>
      </c>
      <c r="E1737" s="0" t="inlineStr">
        <is>
          <t xml:space="preserve">DEFENSE MANUFACTURERS INC</t>
        </is>
      </c>
      <c r="F1737" s="0" t="inlineStr">
        <is>
          <t xml:space="preserve">B</t>
        </is>
      </c>
      <c r="G1737" s="4">
        <v>0.005945</v>
      </c>
      <c r="H1737" s="0" t="inlineStr">
        <is>
          <t xml:space="preserve">2015-06-08</t>
        </is>
      </c>
      <c r="I1737" s="0" t="inlineStr">
        <is>
          <t xml:space="preserve">no</t>
        </is>
      </c>
      <c r="K1737" s="0" t="inlineStr">
        <is>
          <t xml:space="preserve">NONE</t>
        </is>
      </c>
    </row>
    <row r="1738">
      <c r="B1738" s="0" t="inlineStr">
        <is>
          <t xml:space="preserve">HC108423FA846</t>
        </is>
      </c>
      <c r="C1738" s="0" t="inlineStr">
        <is>
          <t xml:space="preserve">HC108421A0001</t>
        </is>
      </c>
      <c r="D1738" s="0" t="inlineStr">
        <is>
          <t xml:space="preserve">usv_core</t>
        </is>
      </c>
      <c r="E1738" s="0" t="inlineStr">
        <is>
          <t xml:space="preserve">ATT MOBILITY LLC</t>
        </is>
      </c>
      <c r="F1738" s="0" t="inlineStr">
        <is>
          <t xml:space="preserve">A</t>
        </is>
      </c>
      <c r="G1738" s="4">
        <v>0.0059345299999999995</v>
      </c>
      <c r="H1738" s="0" t="inlineStr">
        <is>
          <t xml:space="preserve">2023-05-11</t>
        </is>
      </c>
      <c r="I1738" s="0" t="inlineStr">
        <is>
          <t xml:space="preserve">no</t>
        </is>
      </c>
      <c r="K1738" s="0" t="inlineStr">
        <is>
          <t xml:space="preserve">NONE</t>
        </is>
      </c>
    </row>
    <row r="1739">
      <c r="B1739" s="0" t="inlineStr">
        <is>
          <t xml:space="preserve">N4044207P5372</t>
        </is>
      </c>
      <c r="D1739" s="0" t="inlineStr">
        <is>
          <t xml:space="preserve">other_small</t>
        </is>
      </c>
      <c r="E1739" s="0" t="inlineStr">
        <is>
          <t xml:space="preserve">EXCELL TECHNOLOGIES INTERNATIONAL CORPORATION</t>
        </is>
      </c>
      <c r="F1739" s="0" t="inlineStr">
        <is>
          <t xml:space="preserve">B</t>
        </is>
      </c>
      <c r="G1739" s="4">
        <v>0.0059235799999999995</v>
      </c>
      <c r="H1739" s="0" t="inlineStr">
        <is>
          <t xml:space="preserve">2007-03-02</t>
        </is>
      </c>
      <c r="I1739" s="0" t="inlineStr">
        <is>
          <t xml:space="preserve">no</t>
        </is>
      </c>
      <c r="K1739" s="0" t="inlineStr">
        <is>
          <t xml:space="preserve">NONE</t>
        </is>
      </c>
    </row>
    <row r="1740">
      <c r="B1740" s="0" t="inlineStr">
        <is>
          <t xml:space="preserve">N0040616P2518</t>
        </is>
      </c>
      <c r="D1740" s="0" t="inlineStr">
        <is>
          <t xml:space="preserve">small_craft</t>
        </is>
      </c>
      <c r="E1740" s="0" t="inlineStr">
        <is>
          <t xml:space="preserve">PACIFIC MARITIME INDUSTRIES CORP.</t>
        </is>
      </c>
      <c r="F1740" s="0" t="inlineStr">
        <is>
          <t xml:space="preserve">B</t>
        </is>
      </c>
      <c r="G1740" s="4">
        <v>0.0059</v>
      </c>
      <c r="H1740" s="0" t="inlineStr">
        <is>
          <t xml:space="preserve">2016-07-06</t>
        </is>
      </c>
      <c r="I1740" s="0" t="inlineStr">
        <is>
          <t xml:space="preserve">no</t>
        </is>
      </c>
      <c r="K1740" s="0" t="inlineStr">
        <is>
          <t xml:space="preserve">NONE</t>
        </is>
      </c>
    </row>
    <row r="1741">
      <c r="B1741" s="0" t="inlineStr">
        <is>
          <t xml:space="preserve">N6227115M1250</t>
        </is>
      </c>
      <c r="D1741" s="0" t="inlineStr">
        <is>
          <t xml:space="preserve">other_small</t>
        </is>
      </c>
      <c r="E1741" s="0" t="inlineStr">
        <is>
          <t xml:space="preserve">CLEARPATH ROBOTICS INC.</t>
        </is>
      </c>
      <c r="F1741" s="0" t="inlineStr">
        <is>
          <t xml:space="preserve">B</t>
        </is>
      </c>
      <c r="G1741" s="4">
        <v>0.005889999999999999</v>
      </c>
      <c r="H1741" s="0" t="inlineStr">
        <is>
          <t xml:space="preserve">2015-06-12</t>
        </is>
      </c>
      <c r="I1741" s="0" t="inlineStr">
        <is>
          <t xml:space="preserve">no</t>
        </is>
      </c>
      <c r="K1741" s="0" t="inlineStr">
        <is>
          <t xml:space="preserve">NONE</t>
        </is>
      </c>
    </row>
    <row r="1742">
      <c r="B1742" s="0" t="inlineStr">
        <is>
          <t xml:space="preserve">N0010422PQA22</t>
        </is>
      </c>
      <c r="D1742" s="0" t="inlineStr">
        <is>
          <t xml:space="preserve">small_craft</t>
        </is>
      </c>
      <c r="E1742" s="0" t="inlineStr">
        <is>
          <t xml:space="preserve">MADISON ELECTRIC CO</t>
        </is>
      </c>
      <c r="F1742" s="0" t="inlineStr">
        <is>
          <t xml:space="preserve">B</t>
        </is>
      </c>
      <c r="G1742" s="4">
        <v>0.005886499999999999</v>
      </c>
      <c r="H1742" s="0" t="inlineStr">
        <is>
          <t xml:space="preserve">2022-02-03</t>
        </is>
      </c>
      <c r="I1742" s="0" t="inlineStr">
        <is>
          <t xml:space="preserve">no</t>
        </is>
      </c>
      <c r="K1742" s="0" t="inlineStr">
        <is>
          <t xml:space="preserve">NONE</t>
        </is>
      </c>
    </row>
    <row r="1743">
      <c r="B1743" s="0" t="inlineStr">
        <is>
          <t xml:space="preserve">N0040615P2280</t>
        </is>
      </c>
      <c r="D1743" s="0" t="inlineStr">
        <is>
          <t xml:space="preserve">small_craft</t>
        </is>
      </c>
      <c r="E1743" s="0" t="inlineStr">
        <is>
          <t xml:space="preserve">DURAMAX MARINE, LLC</t>
        </is>
      </c>
      <c r="F1743" s="0" t="inlineStr">
        <is>
          <t xml:space="preserve">B</t>
        </is>
      </c>
      <c r="G1743" s="4">
        <v>0.00588</v>
      </c>
      <c r="H1743" s="0" t="inlineStr">
        <is>
          <t xml:space="preserve">2015-04-28</t>
        </is>
      </c>
      <c r="I1743" s="0" t="inlineStr">
        <is>
          <t xml:space="preserve">no</t>
        </is>
      </c>
      <c r="K1743" s="0" t="inlineStr">
        <is>
          <t xml:space="preserve">NONE</t>
        </is>
      </c>
    </row>
    <row r="1744">
      <c r="B1744" s="0" t="inlineStr">
        <is>
          <t xml:space="preserve">N0010421PND20</t>
        </is>
      </c>
      <c r="D1744" s="0" t="inlineStr">
        <is>
          <t xml:space="preserve">small_craft</t>
        </is>
      </c>
      <c r="E1744" s="0" t="inlineStr">
        <is>
          <t xml:space="preserve">GUILL TOOL &amp; ENGINEERING CO INC</t>
        </is>
      </c>
      <c r="F1744" s="0" t="inlineStr">
        <is>
          <t xml:space="preserve">B</t>
        </is>
      </c>
      <c r="G1744" s="4">
        <v>0.00588</v>
      </c>
      <c r="H1744" s="0" t="inlineStr">
        <is>
          <t xml:space="preserve">2021-08-11</t>
        </is>
      </c>
      <c r="I1744" s="0" t="inlineStr">
        <is>
          <t xml:space="preserve">no</t>
        </is>
      </c>
      <c r="K1744" s="0" t="inlineStr">
        <is>
          <t xml:space="preserve">NONE</t>
        </is>
      </c>
    </row>
    <row r="1745">
      <c r="B1745" s="0" t="inlineStr">
        <is>
          <t xml:space="preserve">N0040618P0020</t>
        </is>
      </c>
      <c r="D1745" s="0" t="inlineStr">
        <is>
          <t xml:space="preserve">small_craft</t>
        </is>
      </c>
      <c r="E1745" s="0" t="inlineStr">
        <is>
          <t xml:space="preserve">JUNIPER ELBOW CO. INC.</t>
        </is>
      </c>
      <c r="F1745" s="0" t="inlineStr">
        <is>
          <t xml:space="preserve">B</t>
        </is>
      </c>
      <c r="G1745" s="4">
        <v>0.005868</v>
      </c>
      <c r="H1745" s="0" t="inlineStr">
        <is>
          <t xml:space="preserve">2017-10-16</t>
        </is>
      </c>
      <c r="I1745" s="0" t="inlineStr">
        <is>
          <t xml:space="preserve">no</t>
        </is>
      </c>
      <c r="K1745" s="0" t="inlineStr">
        <is>
          <t xml:space="preserve">NONE</t>
        </is>
      </c>
    </row>
    <row r="1746">
      <c r="B1746" s="0" t="inlineStr">
        <is>
          <t xml:space="preserve">LH76</t>
        </is>
      </c>
      <c r="C1746" s="0" t="inlineStr">
        <is>
          <t xml:space="preserve">N0003312D2100</t>
        </is>
      </c>
      <c r="D1746" s="0" t="inlineStr">
        <is>
          <t xml:space="preserve">other_small</t>
        </is>
      </c>
      <c r="E1746" s="0" t="inlineStr">
        <is>
          <t xml:space="preserve">MCALLISTER TOWING OF VIRGINIA INC</t>
        </is>
      </c>
      <c r="F1746" s="0" t="inlineStr">
        <is>
          <t xml:space="preserve">C</t>
        </is>
      </c>
      <c r="G1746" s="4">
        <v>0.00583</v>
      </c>
      <c r="H1746" s="0" t="inlineStr">
        <is>
          <t xml:space="preserve">2017-08-21</t>
        </is>
      </c>
      <c r="I1746" s="0" t="inlineStr">
        <is>
          <t xml:space="preserve">no</t>
        </is>
      </c>
      <c r="J1746" s="0" t="inlineStr">
        <is>
          <t xml:space="preserve">N0003312R2100</t>
        </is>
      </c>
      <c r="K1746" s="0" t="inlineStr">
        <is>
          <t xml:space="preserve">NONE</t>
        </is>
      </c>
    </row>
    <row r="1747">
      <c r="B1747" s="0" t="inlineStr">
        <is>
          <t xml:space="preserve">N0040615P2794</t>
        </is>
      </c>
      <c r="D1747" s="0" t="inlineStr">
        <is>
          <t xml:space="preserve">small_craft</t>
        </is>
      </c>
      <c r="E1747" s="0" t="inlineStr">
        <is>
          <t xml:space="preserve">JUNIPER ELBOW CO. INC.</t>
        </is>
      </c>
      <c r="F1747" s="0" t="inlineStr">
        <is>
          <t xml:space="preserve">B</t>
        </is>
      </c>
      <c r="G1747" s="4">
        <v>0.005763</v>
      </c>
      <c r="H1747" s="0" t="inlineStr">
        <is>
          <t xml:space="preserve">2015-06-11</t>
        </is>
      </c>
      <c r="I1747" s="0" t="inlineStr">
        <is>
          <t xml:space="preserve">no</t>
        </is>
      </c>
      <c r="K1747" s="0" t="inlineStr">
        <is>
          <t xml:space="preserve">NONE</t>
        </is>
      </c>
    </row>
    <row r="1748">
      <c r="B1748" s="0" t="inlineStr">
        <is>
          <t xml:space="preserve">N0040615P2946</t>
        </is>
      </c>
      <c r="D1748" s="0" t="inlineStr">
        <is>
          <t xml:space="preserve">small_craft</t>
        </is>
      </c>
      <c r="E1748" s="0" t="inlineStr">
        <is>
          <t xml:space="preserve">DEFENSE MARITIME SOLUTIONS, INC.</t>
        </is>
      </c>
      <c r="F1748" s="0" t="inlineStr">
        <is>
          <t xml:space="preserve">B</t>
        </is>
      </c>
      <c r="G1748" s="4">
        <v>0.005761</v>
      </c>
      <c r="H1748" s="0" t="inlineStr">
        <is>
          <t xml:space="preserve">2015-06-19</t>
        </is>
      </c>
      <c r="I1748" s="0" t="inlineStr">
        <is>
          <t xml:space="preserve">no</t>
        </is>
      </c>
      <c r="K1748" s="0" t="inlineStr">
        <is>
          <t xml:space="preserve">NONE</t>
        </is>
      </c>
    </row>
    <row r="1749">
      <c r="B1749" s="0" t="inlineStr">
        <is>
          <t xml:space="preserve">N3220518F2418</t>
        </is>
      </c>
      <c r="C1749" s="0" t="inlineStr">
        <is>
          <t xml:space="preserve">N3220513D2001</t>
        </is>
      </c>
      <c r="D1749" s="0" t="inlineStr">
        <is>
          <t xml:space="preserve">other_small</t>
        </is>
      </c>
      <c r="E1749" s="0" t="inlineStr">
        <is>
          <t xml:space="preserve">AUSTAL USA, LLC</t>
        </is>
      </c>
      <c r="F1749" s="0" t="inlineStr">
        <is>
          <t xml:space="preserve">C</t>
        </is>
      </c>
      <c r="G1749" s="4">
        <v>0.0057497</v>
      </c>
      <c r="H1749" s="0" t="inlineStr">
        <is>
          <t xml:space="preserve">2018-01-19</t>
        </is>
      </c>
      <c r="I1749" s="0" t="inlineStr">
        <is>
          <t xml:space="preserve">no</t>
        </is>
      </c>
      <c r="J1749" s="0" t="inlineStr">
        <is>
          <t xml:space="preserve">N4044212R2004</t>
        </is>
      </c>
      <c r="K1749" s="0" t="inlineStr">
        <is>
          <t xml:space="preserve">NONE</t>
        </is>
      </c>
    </row>
    <row r="1750">
      <c r="B1750" s="0" t="inlineStr">
        <is>
          <t xml:space="preserve">N0010423PEB96</t>
        </is>
      </c>
      <c r="D1750" s="0" t="inlineStr">
        <is>
          <t xml:space="preserve">small_craft</t>
        </is>
      </c>
      <c r="E1750" s="0" t="inlineStr">
        <is>
          <t xml:space="preserve">IN SPECK CORP</t>
        </is>
      </c>
      <c r="F1750" s="0" t="inlineStr">
        <is>
          <t xml:space="preserve">B</t>
        </is>
      </c>
      <c r="G1750" s="4">
        <v>0.0057414</v>
      </c>
      <c r="H1750" s="0" t="inlineStr">
        <is>
          <t xml:space="preserve">2023-06-23</t>
        </is>
      </c>
      <c r="I1750" s="0" t="inlineStr">
        <is>
          <t xml:space="preserve">no</t>
        </is>
      </c>
      <c r="K1750" s="0" t="inlineStr">
        <is>
          <t xml:space="preserve">NONE</t>
        </is>
      </c>
    </row>
    <row r="1751">
      <c r="B1751" s="0" t="inlineStr">
        <is>
          <t xml:space="preserve">N0010421PEL07</t>
        </is>
      </c>
      <c r="D1751" s="0" t="inlineStr">
        <is>
          <t xml:space="preserve">small_craft</t>
        </is>
      </c>
      <c r="E1751" s="0" t="inlineStr">
        <is>
          <t xml:space="preserve">DIBERT VALVE AND FITTING COMPANY, INCORPORATED</t>
        </is>
      </c>
      <c r="F1751" s="0" t="inlineStr">
        <is>
          <t xml:space="preserve">B</t>
        </is>
      </c>
      <c r="G1751" s="4">
        <v>0.0057356</v>
      </c>
      <c r="H1751" s="0" t="inlineStr">
        <is>
          <t xml:space="preserve">2021-08-03</t>
        </is>
      </c>
      <c r="I1751" s="0" t="inlineStr">
        <is>
          <t xml:space="preserve">no</t>
        </is>
      </c>
      <c r="K1751" s="0" t="inlineStr">
        <is>
          <t xml:space="preserve">NONE</t>
        </is>
      </c>
    </row>
    <row r="1752">
      <c r="B1752" s="0" t="inlineStr">
        <is>
          <t xml:space="preserve">N0010417PBV18</t>
        </is>
      </c>
      <c r="D1752" s="0" t="inlineStr">
        <is>
          <t xml:space="preserve">small_craft</t>
        </is>
      </c>
      <c r="E1752" s="0" t="inlineStr">
        <is>
          <t xml:space="preserve">GREATER MARYLAND TOOL &amp; MFG. CORP.</t>
        </is>
      </c>
      <c r="F1752" s="0" t="inlineStr">
        <is>
          <t xml:space="preserve">B</t>
        </is>
      </c>
      <c r="G1752" s="4">
        <v>0.00573</v>
      </c>
      <c r="H1752" s="0" t="inlineStr">
        <is>
          <t xml:space="preserve">2017-02-24</t>
        </is>
      </c>
      <c r="I1752" s="0" t="inlineStr">
        <is>
          <t xml:space="preserve">no</t>
        </is>
      </c>
      <c r="K1752" s="0" t="inlineStr">
        <is>
          <t xml:space="preserve">NONE</t>
        </is>
      </c>
    </row>
    <row r="1753">
      <c r="B1753" s="0" t="inlineStr">
        <is>
          <t xml:space="preserve">0064</t>
        </is>
      </c>
      <c r="C1753" s="0" t="inlineStr">
        <is>
          <t xml:space="preserve">N3220513D2000</t>
        </is>
      </c>
      <c r="D1753" s="0" t="inlineStr">
        <is>
          <t xml:space="preserve">other_small</t>
        </is>
      </c>
      <c r="E1753" s="0" t="inlineStr">
        <is>
          <t xml:space="preserve">ROLLS-ROYCE SOLUTIONS AMERICA INC</t>
        </is>
      </c>
      <c r="F1753" s="0" t="inlineStr">
        <is>
          <t xml:space="preserve">C</t>
        </is>
      </c>
      <c r="G1753" s="4">
        <v>0.005726939999999999</v>
      </c>
      <c r="H1753" s="0" t="inlineStr">
        <is>
          <t xml:space="preserve">2015-12-28</t>
        </is>
      </c>
      <c r="I1753" s="0" t="inlineStr">
        <is>
          <t xml:space="preserve">no</t>
        </is>
      </c>
      <c r="J1753" s="0" t="inlineStr">
        <is>
          <t xml:space="preserve">N4044211R2005</t>
        </is>
      </c>
      <c r="K1753" s="0" t="inlineStr">
        <is>
          <t xml:space="preserve">NONE</t>
        </is>
      </c>
    </row>
    <row r="1754">
      <c r="B1754" s="0" t="inlineStr">
        <is>
          <t xml:space="preserve">N0010423PEC26</t>
        </is>
      </c>
      <c r="D1754" s="0" t="inlineStr">
        <is>
          <t xml:space="preserve">small_craft</t>
        </is>
      </c>
      <c r="E1754" s="0" t="inlineStr">
        <is>
          <t xml:space="preserve">JO-KELL INC.</t>
        </is>
      </c>
      <c r="F1754" s="0" t="inlineStr">
        <is>
          <t xml:space="preserve">B</t>
        </is>
      </c>
      <c r="G1754" s="4">
        <v>0.0056879999999999995</v>
      </c>
      <c r="H1754" s="0" t="inlineStr">
        <is>
          <t xml:space="preserve">2023-06-23</t>
        </is>
      </c>
      <c r="I1754" s="0" t="inlineStr">
        <is>
          <t xml:space="preserve">no</t>
        </is>
      </c>
      <c r="K1754" s="0" t="inlineStr">
        <is>
          <t xml:space="preserve">NONE</t>
        </is>
      </c>
    </row>
    <row r="1755">
      <c r="B1755" s="0" t="inlineStr">
        <is>
          <t xml:space="preserve">N0040615P4132</t>
        </is>
      </c>
      <c r="D1755" s="0" t="inlineStr">
        <is>
          <t xml:space="preserve">small_craft</t>
        </is>
      </c>
      <c r="E1755" s="0" t="inlineStr">
        <is>
          <t xml:space="preserve">SAFE BOATS INTERNATIONAL LLC</t>
        </is>
      </c>
      <c r="F1755" s="0" t="inlineStr">
        <is>
          <t xml:space="preserve">B</t>
        </is>
      </c>
      <c r="G1755" s="4">
        <v>0.00565746</v>
      </c>
      <c r="H1755" s="0" t="inlineStr">
        <is>
          <t xml:space="preserve">2015-09-21</t>
        </is>
      </c>
      <c r="I1755" s="0" t="inlineStr">
        <is>
          <t xml:space="preserve">no</t>
        </is>
      </c>
      <c r="K1755" s="0" t="inlineStr">
        <is>
          <t xml:space="preserve">NONE</t>
        </is>
      </c>
    </row>
    <row r="1756">
      <c r="B1756" s="0" t="inlineStr">
        <is>
          <t xml:space="preserve">N0010417PEC30</t>
        </is>
      </c>
      <c r="D1756" s="0" t="inlineStr">
        <is>
          <t xml:space="preserve">small_craft</t>
        </is>
      </c>
      <c r="E1756" s="0" t="inlineStr">
        <is>
          <t xml:space="preserve">COGITIC CORPORATION</t>
        </is>
      </c>
      <c r="F1756" s="0" t="inlineStr">
        <is>
          <t xml:space="preserve">B</t>
        </is>
      </c>
      <c r="G1756" s="4">
        <v>0.0056321999999999995</v>
      </c>
      <c r="H1756" s="0" t="inlineStr">
        <is>
          <t xml:space="preserve">2017-04-27</t>
        </is>
      </c>
      <c r="I1756" s="0" t="inlineStr">
        <is>
          <t xml:space="preserve">no</t>
        </is>
      </c>
      <c r="K1756" s="0" t="inlineStr">
        <is>
          <t xml:space="preserve">NONE</t>
        </is>
      </c>
    </row>
    <row r="1757">
      <c r="B1757" s="0" t="inlineStr">
        <is>
          <t xml:space="preserve">N0010426PBL69</t>
        </is>
      </c>
      <c r="D1757" s="0" t="inlineStr">
        <is>
          <t xml:space="preserve">small_craft</t>
        </is>
      </c>
      <c r="E1757" s="0" t="inlineStr">
        <is>
          <t xml:space="preserve">SHENANDOAH INDUSTRIES, LLC</t>
        </is>
      </c>
      <c r="F1757" s="0" t="inlineStr">
        <is>
          <t xml:space="preserve">B</t>
        </is>
      </c>
      <c r="G1757" s="4">
        <v>0.0056</v>
      </c>
      <c r="H1757" s="0" t="inlineStr">
        <is>
          <t xml:space="preserve">2026-02-26</t>
        </is>
      </c>
      <c r="I1757" s="0" t="inlineStr">
        <is>
          <t xml:space="preserve">yes</t>
        </is>
      </c>
      <c r="K1757" s="0" t="inlineStr">
        <is>
          <t xml:space="preserve">NONE</t>
        </is>
      </c>
    </row>
    <row r="1758">
      <c r="B1758" s="0" t="inlineStr">
        <is>
          <t xml:space="preserve">N0010425PEA33</t>
        </is>
      </c>
      <c r="D1758" s="0" t="inlineStr">
        <is>
          <t xml:space="preserve">small_craft</t>
        </is>
      </c>
      <c r="E1758" s="0" t="inlineStr">
        <is>
          <t xml:space="preserve">GAFFEL EQUIPMENT</t>
        </is>
      </c>
      <c r="F1758" s="0" t="inlineStr">
        <is>
          <t xml:space="preserve">B</t>
        </is>
      </c>
      <c r="G1758" s="4">
        <v>0.0056</v>
      </c>
      <c r="H1758" s="0" t="inlineStr">
        <is>
          <t xml:space="preserve">2025-08-12</t>
        </is>
      </c>
      <c r="I1758" s="0" t="inlineStr">
        <is>
          <t xml:space="preserve">yes</t>
        </is>
      </c>
      <c r="K1758" s="0" t="inlineStr">
        <is>
          <t xml:space="preserve">NONE</t>
        </is>
      </c>
    </row>
    <row r="1759">
      <c r="B1759" s="0" t="inlineStr">
        <is>
          <t xml:space="preserve">N0010418PCE91</t>
        </is>
      </c>
      <c r="D1759" s="0" t="inlineStr">
        <is>
          <t xml:space="preserve">small_craft</t>
        </is>
      </c>
      <c r="E1759" s="0" t="inlineStr">
        <is>
          <t xml:space="preserve">DEFENSE MARITIME SOLUTIONS, INC.</t>
        </is>
      </c>
      <c r="F1759" s="0" t="inlineStr">
        <is>
          <t xml:space="preserve">B</t>
        </is>
      </c>
      <c r="G1759" s="4">
        <v>0.0056</v>
      </c>
      <c r="H1759" s="0" t="inlineStr">
        <is>
          <t xml:space="preserve">2018-07-31</t>
        </is>
      </c>
      <c r="I1759" s="0" t="inlineStr">
        <is>
          <t xml:space="preserve">no</t>
        </is>
      </c>
      <c r="K1759" s="0" t="inlineStr">
        <is>
          <t xml:space="preserve">NONE</t>
        </is>
      </c>
    </row>
    <row r="1760">
      <c r="B1760" s="0" t="inlineStr">
        <is>
          <t xml:space="preserve">N0010418PCB87</t>
        </is>
      </c>
      <c r="D1760" s="0" t="inlineStr">
        <is>
          <t xml:space="preserve">small_craft</t>
        </is>
      </c>
      <c r="E1760" s="0" t="inlineStr">
        <is>
          <t xml:space="preserve">DEFENSE MARITIME SOLUTIONS, INC.</t>
        </is>
      </c>
      <c r="F1760" s="0" t="inlineStr">
        <is>
          <t xml:space="preserve">B</t>
        </is>
      </c>
      <c r="G1760" s="4">
        <v>0.0056</v>
      </c>
      <c r="H1760" s="0" t="inlineStr">
        <is>
          <t xml:space="preserve">2018-02-22</t>
        </is>
      </c>
      <c r="I1760" s="0" t="inlineStr">
        <is>
          <t xml:space="preserve">no</t>
        </is>
      </c>
      <c r="K1760" s="0" t="inlineStr">
        <is>
          <t xml:space="preserve">NONE</t>
        </is>
      </c>
    </row>
    <row r="1761">
      <c r="B1761" s="0" t="inlineStr">
        <is>
          <t xml:space="preserve">N0010421PED32</t>
        </is>
      </c>
      <c r="D1761" s="0" t="inlineStr">
        <is>
          <t xml:space="preserve">small_craft</t>
        </is>
      </c>
      <c r="E1761" s="0" t="inlineStr">
        <is>
          <t xml:space="preserve">AIRGAS USA LLC</t>
        </is>
      </c>
      <c r="F1761" s="0" t="inlineStr">
        <is>
          <t xml:space="preserve">B</t>
        </is>
      </c>
      <c r="G1761" s="4">
        <v>0.00558</v>
      </c>
      <c r="H1761" s="0" t="inlineStr">
        <is>
          <t xml:space="preserve">2021-06-11</t>
        </is>
      </c>
      <c r="I1761" s="0" t="inlineStr">
        <is>
          <t xml:space="preserve">no</t>
        </is>
      </c>
      <c r="K1761" s="0" t="inlineStr">
        <is>
          <t xml:space="preserve">NONE</t>
        </is>
      </c>
    </row>
    <row r="1762">
      <c r="B1762" s="0" t="inlineStr">
        <is>
          <t xml:space="preserve">0049</t>
        </is>
      </c>
      <c r="C1762" s="0" t="inlineStr">
        <is>
          <t xml:space="preserve">N3220513D2001</t>
        </is>
      </c>
      <c r="D1762" s="0" t="inlineStr">
        <is>
          <t xml:space="preserve">other_small</t>
        </is>
      </c>
      <c r="E1762" s="0" t="inlineStr">
        <is>
          <t xml:space="preserve">AUSTAL USA, LLC</t>
        </is>
      </c>
      <c r="F1762" s="0" t="inlineStr">
        <is>
          <t xml:space="preserve">C</t>
        </is>
      </c>
      <c r="G1762" s="4">
        <v>0.00555954</v>
      </c>
      <c r="H1762" s="0" t="inlineStr">
        <is>
          <t xml:space="preserve">2016-03-22</t>
        </is>
      </c>
      <c r="I1762" s="0" t="inlineStr">
        <is>
          <t xml:space="preserve">no</t>
        </is>
      </c>
      <c r="J1762" s="0" t="inlineStr">
        <is>
          <t xml:space="preserve">N4044212R2004</t>
        </is>
      </c>
      <c r="K1762" s="0" t="inlineStr">
        <is>
          <t xml:space="preserve">NONE</t>
        </is>
      </c>
    </row>
    <row r="1763">
      <c r="B1763" s="0" t="inlineStr">
        <is>
          <t xml:space="preserve">N0018916P1167</t>
        </is>
      </c>
      <c r="D1763" s="0" t="inlineStr">
        <is>
          <t xml:space="preserve">small_craft</t>
        </is>
      </c>
      <c r="E1763" s="0" t="inlineStr">
        <is>
          <t xml:space="preserve">THE WASHINGTON MARINA COMPANY</t>
        </is>
      </c>
      <c r="F1763" s="0" t="inlineStr">
        <is>
          <t xml:space="preserve">B</t>
        </is>
      </c>
      <c r="G1763" s="4">
        <v>0.00555809</v>
      </c>
      <c r="H1763" s="0" t="inlineStr">
        <is>
          <t xml:space="preserve">2016-09-20</t>
        </is>
      </c>
      <c r="I1763" s="0" t="inlineStr">
        <is>
          <t xml:space="preserve">no</t>
        </is>
      </c>
      <c r="K1763" s="0" t="inlineStr">
        <is>
          <t xml:space="preserve">NONE</t>
        </is>
      </c>
    </row>
    <row r="1764">
      <c r="B1764" s="0" t="inlineStr">
        <is>
          <t xml:space="preserve">N0010422PEQ39</t>
        </is>
      </c>
      <c r="D1764" s="0" t="inlineStr">
        <is>
          <t xml:space="preserve">small_craft</t>
        </is>
      </c>
      <c r="E1764" s="0" t="inlineStr">
        <is>
          <t xml:space="preserve">ADIRONDACK ELECTRONICS INC</t>
        </is>
      </c>
      <c r="F1764" s="0" t="inlineStr">
        <is>
          <t xml:space="preserve">B</t>
        </is>
      </c>
      <c r="G1764" s="4">
        <v>0.005520239999999999</v>
      </c>
      <c r="H1764" s="0" t="inlineStr">
        <is>
          <t xml:space="preserve">2022-09-22</t>
        </is>
      </c>
      <c r="I1764" s="0" t="inlineStr">
        <is>
          <t xml:space="preserve">no</t>
        </is>
      </c>
      <c r="J1764" s="0" t="inlineStr">
        <is>
          <t xml:space="preserve">N0010422QEH84</t>
        </is>
      </c>
      <c r="K1764" s="0" t="inlineStr">
        <is>
          <t xml:space="preserve">NONE</t>
        </is>
      </c>
    </row>
    <row r="1765">
      <c r="B1765" s="0" t="inlineStr">
        <is>
          <t xml:space="preserve">N0040616P0167</t>
        </is>
      </c>
      <c r="D1765" s="0" t="inlineStr">
        <is>
          <t xml:space="preserve">small_craft</t>
        </is>
      </c>
      <c r="E1765" s="0" t="inlineStr">
        <is>
          <t xml:space="preserve">JUNIPER ELBOW CO. INC.</t>
        </is>
      </c>
      <c r="F1765" s="0" t="inlineStr">
        <is>
          <t xml:space="preserve">B</t>
        </is>
      </c>
      <c r="G1765" s="4">
        <v>0.0055179999999999995</v>
      </c>
      <c r="H1765" s="0" t="inlineStr">
        <is>
          <t xml:space="preserve">2015-10-29</t>
        </is>
      </c>
      <c r="I1765" s="0" t="inlineStr">
        <is>
          <t xml:space="preserve">no</t>
        </is>
      </c>
      <c r="K1765" s="0" t="inlineStr">
        <is>
          <t xml:space="preserve">NONE</t>
        </is>
      </c>
    </row>
    <row r="1766">
      <c r="B1766" s="0" t="inlineStr">
        <is>
          <t xml:space="preserve">N0010425PEB74</t>
        </is>
      </c>
      <c r="D1766" s="0" t="inlineStr">
        <is>
          <t xml:space="preserve">small_craft</t>
        </is>
      </c>
      <c r="E1766" s="0" t="inlineStr">
        <is>
          <t xml:space="preserve">III WILLIAMS LLC</t>
        </is>
      </c>
      <c r="F1766" s="0" t="inlineStr">
        <is>
          <t xml:space="preserve">B</t>
        </is>
      </c>
      <c r="G1766" s="4">
        <v>0.00551552</v>
      </c>
      <c r="H1766" s="0" t="inlineStr">
        <is>
          <t xml:space="preserve">2025-09-15</t>
        </is>
      </c>
      <c r="I1766" s="0" t="inlineStr">
        <is>
          <t xml:space="preserve">yes</t>
        </is>
      </c>
      <c r="K1766" s="0" t="inlineStr">
        <is>
          <t xml:space="preserve">NONE</t>
        </is>
      </c>
    </row>
    <row r="1767">
      <c r="B1767" s="0" t="inlineStr">
        <is>
          <t xml:space="preserve">N0040615P0758</t>
        </is>
      </c>
      <c r="D1767" s="0" t="inlineStr">
        <is>
          <t xml:space="preserve">small_craft</t>
        </is>
      </c>
      <c r="E1767" s="0" t="inlineStr">
        <is>
          <t xml:space="preserve">COOKSON DOOR SALES OF ARIZONA, INC.</t>
        </is>
      </c>
      <c r="F1767" s="0" t="inlineStr">
        <is>
          <t xml:space="preserve">B</t>
        </is>
      </c>
      <c r="G1767" s="4">
        <v>0.0055119999999999995</v>
      </c>
      <c r="H1767" s="0" t="inlineStr">
        <is>
          <t xml:space="preserve">2014-12-22</t>
        </is>
      </c>
      <c r="I1767" s="0" t="inlineStr">
        <is>
          <t xml:space="preserve">no</t>
        </is>
      </c>
      <c r="K1767" s="0" t="inlineStr">
        <is>
          <t xml:space="preserve">NONE</t>
        </is>
      </c>
    </row>
    <row r="1768">
      <c r="B1768" s="0" t="inlineStr">
        <is>
          <t xml:space="preserve">0052</t>
        </is>
      </c>
      <c r="C1768" s="0" t="inlineStr">
        <is>
          <t xml:space="preserve">N3220513D2000</t>
        </is>
      </c>
      <c r="D1768" s="0" t="inlineStr">
        <is>
          <t xml:space="preserve">other_small</t>
        </is>
      </c>
      <c r="E1768" s="0" t="inlineStr">
        <is>
          <t xml:space="preserve">ROLLS-ROYCE SOLUTIONS AMERICA INC</t>
        </is>
      </c>
      <c r="F1768" s="0" t="inlineStr">
        <is>
          <t xml:space="preserve">C</t>
        </is>
      </c>
      <c r="G1768" s="4">
        <v>0.0055026</v>
      </c>
      <c r="H1768" s="0" t="inlineStr">
        <is>
          <t xml:space="preserve">2015-07-29</t>
        </is>
      </c>
      <c r="I1768" s="0" t="inlineStr">
        <is>
          <t xml:space="preserve">no</t>
        </is>
      </c>
      <c r="J1768" s="0" t="inlineStr">
        <is>
          <t xml:space="preserve">N4044211R2005</t>
        </is>
      </c>
      <c r="K1768" s="0" t="inlineStr">
        <is>
          <t xml:space="preserve">NONE</t>
        </is>
      </c>
    </row>
    <row r="1769">
      <c r="B1769" s="0" t="inlineStr">
        <is>
          <t xml:space="preserve">N6278925P0020</t>
        </is>
      </c>
      <c r="D1769" s="0" t="inlineStr">
        <is>
          <t xml:space="preserve">small_craft</t>
        </is>
      </c>
      <c r="E1769" s="0" t="inlineStr">
        <is>
          <t xml:space="preserve">LIFE RAFT &amp; SURVIVAL EQUIPMENT, INC.</t>
        </is>
      </c>
      <c r="F1769" s="0" t="inlineStr">
        <is>
          <t xml:space="preserve">B</t>
        </is>
      </c>
      <c r="G1769" s="4">
        <v>0.0055</v>
      </c>
      <c r="H1769" s="0" t="inlineStr">
        <is>
          <t xml:space="preserve">2025-05-08</t>
        </is>
      </c>
      <c r="I1769" s="0" t="inlineStr">
        <is>
          <t xml:space="preserve">no</t>
        </is>
      </c>
      <c r="J1769" s="0" t="inlineStr">
        <is>
          <t xml:space="preserve">N6278925Q0012</t>
        </is>
      </c>
      <c r="K1769" s="0" t="inlineStr">
        <is>
          <t xml:space="preserve">NONE</t>
        </is>
      </c>
    </row>
    <row r="1770">
      <c r="B1770" s="0" t="inlineStr">
        <is>
          <t xml:space="preserve">N0040615P3202</t>
        </is>
      </c>
      <c r="D1770" s="0" t="inlineStr">
        <is>
          <t xml:space="preserve">small_craft</t>
        </is>
      </c>
      <c r="E1770" s="0" t="inlineStr">
        <is>
          <t xml:space="preserve">J.D.A. MARITIME, INC.</t>
        </is>
      </c>
      <c r="F1770" s="0" t="inlineStr">
        <is>
          <t xml:space="preserve">B</t>
        </is>
      </c>
      <c r="G1770" s="4">
        <v>0.005445</v>
      </c>
      <c r="H1770" s="0" t="inlineStr">
        <is>
          <t xml:space="preserve">2015-07-14</t>
        </is>
      </c>
      <c r="I1770" s="0" t="inlineStr">
        <is>
          <t xml:space="preserve">no</t>
        </is>
      </c>
      <c r="K1770" s="0" t="inlineStr">
        <is>
          <t xml:space="preserve">NONE</t>
        </is>
      </c>
    </row>
    <row r="1771">
      <c r="B1771" s="0" t="inlineStr">
        <is>
          <t xml:space="preserve">N0040616P0420</t>
        </is>
      </c>
      <c r="D1771" s="0" t="inlineStr">
        <is>
          <t xml:space="preserve">small_craft</t>
        </is>
      </c>
      <c r="E1771" s="0" t="inlineStr">
        <is>
          <t xml:space="preserve">JUNIPER ELBOW CO. INC.</t>
        </is>
      </c>
      <c r="F1771" s="0" t="inlineStr">
        <is>
          <t xml:space="preserve">B</t>
        </is>
      </c>
      <c r="G1771" s="4">
        <v>0.005405</v>
      </c>
      <c r="H1771" s="0" t="inlineStr">
        <is>
          <t xml:space="preserve">2015-12-01</t>
        </is>
      </c>
      <c r="I1771" s="0" t="inlineStr">
        <is>
          <t xml:space="preserve">no</t>
        </is>
      </c>
      <c r="K1771" s="0" t="inlineStr">
        <is>
          <t xml:space="preserve">NONE</t>
        </is>
      </c>
    </row>
    <row r="1772">
      <c r="B1772" s="0" t="inlineStr">
        <is>
          <t xml:space="preserve">N0010418PBK13</t>
        </is>
      </c>
      <c r="D1772" s="0" t="inlineStr">
        <is>
          <t xml:space="preserve">small_craft</t>
        </is>
      </c>
      <c r="E1772" s="0" t="inlineStr">
        <is>
          <t xml:space="preserve">DERBYSHIRE MACHINE &amp; TOOL CO</t>
        </is>
      </c>
      <c r="F1772" s="0" t="inlineStr">
        <is>
          <t xml:space="preserve">B</t>
        </is>
      </c>
      <c r="G1772" s="4">
        <v>0.005402489999999999</v>
      </c>
      <c r="H1772" s="0" t="inlineStr">
        <is>
          <t xml:space="preserve">2018-01-04</t>
        </is>
      </c>
      <c r="I1772" s="0" t="inlineStr">
        <is>
          <t xml:space="preserve">no</t>
        </is>
      </c>
      <c r="K1772" s="0" t="inlineStr">
        <is>
          <t xml:space="preserve">NONE</t>
        </is>
      </c>
    </row>
    <row r="1773">
      <c r="B1773" s="0" t="inlineStr">
        <is>
          <t xml:space="preserve">N0016725FG096</t>
        </is>
      </c>
      <c r="C1773" s="0" t="inlineStr">
        <is>
          <t xml:space="preserve">N0016723A0057</t>
        </is>
      </c>
      <c r="D1773" s="0" t="inlineStr">
        <is>
          <t xml:space="preserve">small_craft</t>
        </is>
      </c>
      <c r="E1773" s="0" t="inlineStr">
        <is>
          <t xml:space="preserve">ANCHOR INNOVATION, INC.</t>
        </is>
      </c>
      <c r="F1773" s="0" t="inlineStr">
        <is>
          <t xml:space="preserve">A</t>
        </is>
      </c>
      <c r="G1773" s="4">
        <v>0.00540056</v>
      </c>
      <c r="H1773" s="0" t="inlineStr">
        <is>
          <t xml:space="preserve">2025-04-16</t>
        </is>
      </c>
      <c r="I1773" s="0" t="inlineStr">
        <is>
          <t xml:space="preserve">no</t>
        </is>
      </c>
      <c r="K1773" s="0" t="inlineStr">
        <is>
          <t xml:space="preserve">NONE</t>
        </is>
      </c>
    </row>
    <row r="1774">
      <c r="B1774" s="0" t="inlineStr">
        <is>
          <t xml:space="preserve">N0010424PCC23</t>
        </is>
      </c>
      <c r="D1774" s="0" t="inlineStr">
        <is>
          <t xml:space="preserve">small_craft</t>
        </is>
      </c>
      <c r="E1774" s="0" t="inlineStr">
        <is>
          <t xml:space="preserve">ADIRONDACK ELECTRONICS INC</t>
        </is>
      </c>
      <c r="F1774" s="0" t="inlineStr">
        <is>
          <t xml:space="preserve">B</t>
        </is>
      </c>
      <c r="G1774" s="4">
        <v>0.005399999999999999</v>
      </c>
      <c r="H1774" s="0" t="inlineStr">
        <is>
          <t xml:space="preserve">2024-09-23</t>
        </is>
      </c>
      <c r="I1774" s="0" t="inlineStr">
        <is>
          <t xml:space="preserve">no</t>
        </is>
      </c>
      <c r="K1774" s="0" t="inlineStr">
        <is>
          <t xml:space="preserve">NONE</t>
        </is>
      </c>
    </row>
    <row r="1775">
      <c r="B1775" s="0" t="inlineStr">
        <is>
          <t xml:space="preserve">N0010423PXE29</t>
        </is>
      </c>
      <c r="D1775" s="0" t="inlineStr">
        <is>
          <t xml:space="preserve">small_craft</t>
        </is>
      </c>
      <c r="E1775" s="0" t="inlineStr">
        <is>
          <t xml:space="preserve">VIRGINIA ELECTRONIC SYSTEMS, INC.</t>
        </is>
      </c>
      <c r="F1775" s="0" t="inlineStr">
        <is>
          <t xml:space="preserve">B</t>
        </is>
      </c>
      <c r="G1775" s="4">
        <v>0.005399999999999999</v>
      </c>
      <c r="H1775" s="0" t="inlineStr">
        <is>
          <t xml:space="preserve">2023-08-17</t>
        </is>
      </c>
      <c r="I1775" s="0" t="inlineStr">
        <is>
          <t xml:space="preserve">no</t>
        </is>
      </c>
      <c r="K1775" s="0" t="inlineStr">
        <is>
          <t xml:space="preserve">NONE</t>
        </is>
      </c>
    </row>
    <row r="1776">
      <c r="B1776" s="0" t="inlineStr">
        <is>
          <t xml:space="preserve">N0010423PXB85</t>
        </is>
      </c>
      <c r="D1776" s="0" t="inlineStr">
        <is>
          <t xml:space="preserve">small_craft</t>
        </is>
      </c>
      <c r="E1776" s="0" t="inlineStr">
        <is>
          <t xml:space="preserve">VIRGINIA ELECTRONIC SYSTEMS, INC.</t>
        </is>
      </c>
      <c r="F1776" s="0" t="inlineStr">
        <is>
          <t xml:space="preserve">B</t>
        </is>
      </c>
      <c r="G1776" s="4">
        <v>0.005399999999999999</v>
      </c>
      <c r="H1776" s="0" t="inlineStr">
        <is>
          <t xml:space="preserve">2023-03-16</t>
        </is>
      </c>
      <c r="I1776" s="0" t="inlineStr">
        <is>
          <t xml:space="preserve">no</t>
        </is>
      </c>
      <c r="K1776" s="0" t="inlineStr">
        <is>
          <t xml:space="preserve">NONE</t>
        </is>
      </c>
    </row>
    <row r="1777">
      <c r="B1777" s="0" t="inlineStr">
        <is>
          <t xml:space="preserve">N0010423PXB84</t>
        </is>
      </c>
      <c r="D1777" s="0" t="inlineStr">
        <is>
          <t xml:space="preserve">small_craft</t>
        </is>
      </c>
      <c r="E1777" s="0" t="inlineStr">
        <is>
          <t xml:space="preserve">VIRGINIA ELECTRONIC SYSTEMS, INC.</t>
        </is>
      </c>
      <c r="F1777" s="0" t="inlineStr">
        <is>
          <t xml:space="preserve">B</t>
        </is>
      </c>
      <c r="G1777" s="4">
        <v>0.005399999999999999</v>
      </c>
      <c r="H1777" s="0" t="inlineStr">
        <is>
          <t xml:space="preserve">2023-03-16</t>
        </is>
      </c>
      <c r="I1777" s="0" t="inlineStr">
        <is>
          <t xml:space="preserve">no</t>
        </is>
      </c>
      <c r="K1777" s="0" t="inlineStr">
        <is>
          <t xml:space="preserve">NONE</t>
        </is>
      </c>
    </row>
    <row r="1778">
      <c r="B1778" s="0" t="inlineStr">
        <is>
          <t xml:space="preserve">N0010422PUC25</t>
        </is>
      </c>
      <c r="D1778" s="0" t="inlineStr">
        <is>
          <t xml:space="preserve">small_craft</t>
        </is>
      </c>
      <c r="E1778" s="0" t="inlineStr">
        <is>
          <t xml:space="preserve">DYNALEC CORPORATION</t>
        </is>
      </c>
      <c r="F1778" s="0" t="inlineStr">
        <is>
          <t xml:space="preserve">B</t>
        </is>
      </c>
      <c r="G1778" s="4">
        <v>0.00539752</v>
      </c>
      <c r="H1778" s="0" t="inlineStr">
        <is>
          <t xml:space="preserve">2022-09-08</t>
        </is>
      </c>
      <c r="I1778" s="0" t="inlineStr">
        <is>
          <t xml:space="preserve">no</t>
        </is>
      </c>
      <c r="K1778" s="0" t="inlineStr">
        <is>
          <t xml:space="preserve">NONE</t>
        </is>
      </c>
    </row>
    <row r="1779">
      <c r="B1779" s="0" t="inlineStr">
        <is>
          <t xml:space="preserve">N0010421PED17</t>
        </is>
      </c>
      <c r="D1779" s="0" t="inlineStr">
        <is>
          <t xml:space="preserve">small_craft</t>
        </is>
      </c>
      <c r="E1779" s="0" t="inlineStr">
        <is>
          <t xml:space="preserve">DUTCH VALLEY SUPPLY CO.</t>
        </is>
      </c>
      <c r="F1779" s="0" t="inlineStr">
        <is>
          <t xml:space="preserve">B</t>
        </is>
      </c>
      <c r="G1779" s="4">
        <v>0.0053831999999999994</v>
      </c>
      <c r="H1779" s="0" t="inlineStr">
        <is>
          <t xml:space="preserve">2021-06-04</t>
        </is>
      </c>
      <c r="I1779" s="0" t="inlineStr">
        <is>
          <t xml:space="preserve">no</t>
        </is>
      </c>
      <c r="K1779" s="0" t="inlineStr">
        <is>
          <t xml:space="preserve">NONE</t>
        </is>
      </c>
    </row>
    <row r="1780">
      <c r="B1780" s="0" t="inlineStr">
        <is>
          <t xml:space="preserve">N0010417PEC61</t>
        </is>
      </c>
      <c r="D1780" s="0" t="inlineStr">
        <is>
          <t xml:space="preserve">small_craft</t>
        </is>
      </c>
      <c r="E1780" s="0" t="inlineStr">
        <is>
          <t xml:space="preserve">DIBERT VALVE AND FITTING COMPANY, INCORPORATED</t>
        </is>
      </c>
      <c r="F1780" s="0" t="inlineStr">
        <is>
          <t xml:space="preserve">B</t>
        </is>
      </c>
      <c r="G1780" s="4">
        <v>0.005356819999999999</v>
      </c>
      <c r="H1780" s="0" t="inlineStr">
        <is>
          <t xml:space="preserve">2017-04-27</t>
        </is>
      </c>
      <c r="I1780" s="0" t="inlineStr">
        <is>
          <t xml:space="preserve">no</t>
        </is>
      </c>
      <c r="K1780" s="0" t="inlineStr">
        <is>
          <t xml:space="preserve">NONE</t>
        </is>
      </c>
    </row>
    <row r="1781">
      <c r="B1781" s="0" t="inlineStr">
        <is>
          <t xml:space="preserve">N0010424PEG67</t>
        </is>
      </c>
      <c r="D1781" s="0" t="inlineStr">
        <is>
          <t xml:space="preserve">small_craft</t>
        </is>
      </c>
      <c r="E1781" s="0" t="inlineStr">
        <is>
          <t xml:space="preserve">FLUIDYNE CORPORATION</t>
        </is>
      </c>
      <c r="F1781" s="0" t="inlineStr">
        <is>
          <t xml:space="preserve">B</t>
        </is>
      </c>
      <c r="G1781" s="4">
        <v>0.00535</v>
      </c>
      <c r="H1781" s="0" t="inlineStr">
        <is>
          <t xml:space="preserve">2024-09-18</t>
        </is>
      </c>
      <c r="I1781" s="0" t="inlineStr">
        <is>
          <t xml:space="preserve">no</t>
        </is>
      </c>
      <c r="K1781" s="0" t="inlineStr">
        <is>
          <t xml:space="preserve">NONE</t>
        </is>
      </c>
    </row>
    <row r="1782">
      <c r="B1782" s="0" t="inlineStr">
        <is>
          <t xml:space="preserve">N0040615P2036</t>
        </is>
      </c>
      <c r="D1782" s="0" t="inlineStr">
        <is>
          <t xml:space="preserve">small_craft</t>
        </is>
      </c>
      <c r="E1782" s="0" t="inlineStr">
        <is>
          <t xml:space="preserve">RAILWAY SPECIALTIES CORP</t>
        </is>
      </c>
      <c r="F1782" s="0" t="inlineStr">
        <is>
          <t xml:space="preserve">B</t>
        </is>
      </c>
      <c r="G1782" s="4">
        <v>0.005345</v>
      </c>
      <c r="H1782" s="0" t="inlineStr">
        <is>
          <t xml:space="preserve">2015-04-13</t>
        </is>
      </c>
      <c r="I1782" s="0" t="inlineStr">
        <is>
          <t xml:space="preserve">no</t>
        </is>
      </c>
      <c r="K1782" s="0" t="inlineStr">
        <is>
          <t xml:space="preserve">NONE</t>
        </is>
      </c>
    </row>
    <row r="1783">
      <c r="B1783" s="0" t="inlineStr">
        <is>
          <t xml:space="preserve">N0010417PEC33</t>
        </is>
      </c>
      <c r="D1783" s="0" t="inlineStr">
        <is>
          <t xml:space="preserve">small_craft</t>
        </is>
      </c>
      <c r="E1783" s="0" t="inlineStr">
        <is>
          <t xml:space="preserve">COGITIC CORPORATION</t>
        </is>
      </c>
      <c r="F1783" s="0" t="inlineStr">
        <is>
          <t xml:space="preserve">B</t>
        </is>
      </c>
      <c r="G1783" s="4">
        <v>0.00528456</v>
      </c>
      <c r="H1783" s="0" t="inlineStr">
        <is>
          <t xml:space="preserve">2017-04-27</t>
        </is>
      </c>
      <c r="I1783" s="0" t="inlineStr">
        <is>
          <t xml:space="preserve">no</t>
        </is>
      </c>
      <c r="K1783" s="0" t="inlineStr">
        <is>
          <t xml:space="preserve">NONE</t>
        </is>
      </c>
    </row>
    <row r="1784">
      <c r="B1784" s="0" t="inlineStr">
        <is>
          <t xml:space="preserve">N0010421PND53</t>
        </is>
      </c>
      <c r="D1784" s="0" t="inlineStr">
        <is>
          <t xml:space="preserve">small_craft</t>
        </is>
      </c>
      <c r="E1784" s="0" t="inlineStr">
        <is>
          <t xml:space="preserve">MMC METROLOGY LAB, INC.</t>
        </is>
      </c>
      <c r="F1784" s="0" t="inlineStr">
        <is>
          <t xml:space="preserve">B</t>
        </is>
      </c>
      <c r="G1784" s="4">
        <v>0.0052499999999999995</v>
      </c>
      <c r="H1784" s="0" t="inlineStr">
        <is>
          <t xml:space="preserve">2021-09-07</t>
        </is>
      </c>
      <c r="I1784" s="0" t="inlineStr">
        <is>
          <t xml:space="preserve">no</t>
        </is>
      </c>
      <c r="K1784" s="0" t="inlineStr">
        <is>
          <t xml:space="preserve">NONE</t>
        </is>
      </c>
    </row>
    <row r="1785">
      <c r="B1785" s="0" t="inlineStr">
        <is>
          <t xml:space="preserve">N0010421PAD62</t>
        </is>
      </c>
      <c r="D1785" s="0" t="inlineStr">
        <is>
          <t xml:space="preserve">small_craft</t>
        </is>
      </c>
      <c r="E1785" s="0" t="inlineStr">
        <is>
          <t xml:space="preserve">COMETTO S.P.A.</t>
        </is>
      </c>
      <c r="F1785" s="0" t="inlineStr">
        <is>
          <t xml:space="preserve">B</t>
        </is>
      </c>
      <c r="G1785" s="4">
        <v>0.0052356</v>
      </c>
      <c r="H1785" s="0" t="inlineStr">
        <is>
          <t xml:space="preserve">2021-07-13</t>
        </is>
      </c>
      <c r="I1785" s="0" t="inlineStr">
        <is>
          <t xml:space="preserve">no</t>
        </is>
      </c>
      <c r="K1785" s="0" t="inlineStr">
        <is>
          <t xml:space="preserve">NONE</t>
        </is>
      </c>
    </row>
    <row r="1786">
      <c r="B1786" s="0" t="inlineStr">
        <is>
          <t xml:space="preserve">N0010425PAD48</t>
        </is>
      </c>
      <c r="D1786" s="0" t="inlineStr">
        <is>
          <t xml:space="preserve">small_craft</t>
        </is>
      </c>
      <c r="E1786" s="0" t="inlineStr">
        <is>
          <t xml:space="preserve">A.M.S. NETWORK, LLC</t>
        </is>
      </c>
      <c r="F1786" s="0" t="inlineStr">
        <is>
          <t xml:space="preserve">B</t>
        </is>
      </c>
      <c r="G1786" s="4">
        <v>0.00522528</v>
      </c>
      <c r="H1786" s="0" t="inlineStr">
        <is>
          <t xml:space="preserve">2025-09-24</t>
        </is>
      </c>
      <c r="I1786" s="0" t="inlineStr">
        <is>
          <t xml:space="preserve">yes</t>
        </is>
      </c>
      <c r="K1786" s="0" t="inlineStr">
        <is>
          <t xml:space="preserve">NONE</t>
        </is>
      </c>
    </row>
    <row r="1787">
      <c r="B1787" s="0" t="inlineStr">
        <is>
          <t xml:space="preserve">N0010418PBZ55</t>
        </is>
      </c>
      <c r="D1787" s="0" t="inlineStr">
        <is>
          <t xml:space="preserve">small_craft</t>
        </is>
      </c>
      <c r="E1787" s="0" t="inlineStr">
        <is>
          <t xml:space="preserve">GREATER MARYLAND TOOL &amp; MFG. CORP.</t>
        </is>
      </c>
      <c r="F1787" s="0" t="inlineStr">
        <is>
          <t xml:space="preserve">B</t>
        </is>
      </c>
      <c r="G1787" s="4">
        <v>0.005135</v>
      </c>
      <c r="H1787" s="0" t="inlineStr">
        <is>
          <t xml:space="preserve">2018-04-30</t>
        </is>
      </c>
      <c r="I1787" s="0" t="inlineStr">
        <is>
          <t xml:space="preserve">no</t>
        </is>
      </c>
      <c r="K1787" s="0" t="inlineStr">
        <is>
          <t xml:space="preserve">NONE</t>
        </is>
      </c>
    </row>
    <row r="1788">
      <c r="B1788" s="0" t="inlineStr">
        <is>
          <t xml:space="preserve">N0010426PFB42</t>
        </is>
      </c>
      <c r="D1788" s="0" t="inlineStr">
        <is>
          <t xml:space="preserve">small_craft</t>
        </is>
      </c>
      <c r="E1788" s="0" t="inlineStr">
        <is>
          <t xml:space="preserve">IN SPECK CORP</t>
        </is>
      </c>
      <c r="F1788" s="0" t="inlineStr">
        <is>
          <t xml:space="preserve">B</t>
        </is>
      </c>
      <c r="G1788" s="4">
        <v>0.005104899999999999</v>
      </c>
      <c r="H1788" s="0" t="inlineStr">
        <is>
          <t xml:space="preserve">2026-01-22</t>
        </is>
      </c>
      <c r="I1788" s="0" t="inlineStr">
        <is>
          <t xml:space="preserve">yes</t>
        </is>
      </c>
      <c r="J1788" s="0" t="inlineStr">
        <is>
          <t xml:space="preserve">N0010426QFB09</t>
        </is>
      </c>
      <c r="K1788" s="0" t="inlineStr">
        <is>
          <t xml:space="preserve">NONE</t>
        </is>
      </c>
    </row>
    <row r="1789">
      <c r="B1789" s="0" t="inlineStr">
        <is>
          <t xml:space="preserve">N0024415P0376</t>
        </is>
      </c>
      <c r="D1789" s="0" t="inlineStr">
        <is>
          <t xml:space="preserve">small_craft</t>
        </is>
      </c>
      <c r="E1789" s="0" t="inlineStr">
        <is>
          <t xml:space="preserve">WING INFLATABLES INC</t>
        </is>
      </c>
      <c r="F1789" s="0" t="inlineStr">
        <is>
          <t xml:space="preserve">B</t>
        </is>
      </c>
      <c r="G1789" s="4">
        <v>0.0050999999999999995</v>
      </c>
      <c r="H1789" s="0" t="inlineStr">
        <is>
          <t xml:space="preserve">2015-06-30</t>
        </is>
      </c>
      <c r="I1789" s="0" t="inlineStr">
        <is>
          <t xml:space="preserve">no</t>
        </is>
      </c>
      <c r="K1789" s="0" t="inlineStr">
        <is>
          <t xml:space="preserve">NONE</t>
        </is>
      </c>
    </row>
    <row r="1790">
      <c r="B1790" s="0" t="inlineStr">
        <is>
          <t xml:space="preserve">0001</t>
        </is>
      </c>
      <c r="C1790" s="0" t="inlineStr">
        <is>
          <t xml:space="preserve">N3220517D4700</t>
        </is>
      </c>
      <c r="D1790" s="0" t="inlineStr">
        <is>
          <t xml:space="preserve">other_small</t>
        </is>
      </c>
      <c r="E1790" s="0" t="inlineStr">
        <is>
          <t xml:space="preserve">LAKE SHORE SYSTEMS, INC.</t>
        </is>
      </c>
      <c r="F1790" s="0" t="inlineStr">
        <is>
          <t xml:space="preserve">C</t>
        </is>
      </c>
      <c r="G1790" s="4">
        <v>0.0050999999999999995</v>
      </c>
      <c r="H1790" s="0" t="inlineStr">
        <is>
          <t xml:space="preserve">2016-10-06</t>
        </is>
      </c>
      <c r="I1790" s="0" t="inlineStr">
        <is>
          <t xml:space="preserve">no</t>
        </is>
      </c>
      <c r="K1790" s="0" t="inlineStr">
        <is>
          <t xml:space="preserve">NONE</t>
        </is>
      </c>
    </row>
    <row r="1791">
      <c r="B1791" s="0" t="inlineStr">
        <is>
          <t xml:space="preserve">N0016725FG165</t>
        </is>
      </c>
      <c r="C1791" s="0" t="inlineStr">
        <is>
          <t xml:space="preserve">N0016723A0057</t>
        </is>
      </c>
      <c r="D1791" s="0" t="inlineStr">
        <is>
          <t xml:space="preserve">small_craft</t>
        </is>
      </c>
      <c r="E1791" s="0" t="inlineStr">
        <is>
          <t xml:space="preserve">ANCHOR INNOVATION, INC.</t>
        </is>
      </c>
      <c r="F1791" s="0" t="inlineStr">
        <is>
          <t xml:space="preserve">A</t>
        </is>
      </c>
      <c r="G1791" s="4">
        <v>0.005083699999999999</v>
      </c>
      <c r="H1791" s="0" t="inlineStr">
        <is>
          <t xml:space="preserve">2025-06-24</t>
        </is>
      </c>
      <c r="I1791" s="0" t="inlineStr">
        <is>
          <t xml:space="preserve">yes</t>
        </is>
      </c>
      <c r="K1791" s="0" t="inlineStr">
        <is>
          <t xml:space="preserve">NONE</t>
        </is>
      </c>
    </row>
    <row r="1792">
      <c r="B1792" s="0" t="inlineStr">
        <is>
          <t xml:space="preserve">N0040618P0539</t>
        </is>
      </c>
      <c r="D1792" s="0" t="inlineStr">
        <is>
          <t xml:space="preserve">small_craft</t>
        </is>
      </c>
      <c r="E1792" s="0" t="inlineStr">
        <is>
          <t xml:space="preserve">B.W. ELLIOTT MANUFACTURING CO., LLC</t>
        </is>
      </c>
      <c r="F1792" s="0" t="inlineStr">
        <is>
          <t xml:space="preserve">B</t>
        </is>
      </c>
      <c r="G1792" s="4">
        <v>0.00507452</v>
      </c>
      <c r="H1792" s="0" t="inlineStr">
        <is>
          <t xml:space="preserve">2018-01-31</t>
        </is>
      </c>
      <c r="I1792" s="0" t="inlineStr">
        <is>
          <t xml:space="preserve">no</t>
        </is>
      </c>
      <c r="K1792" s="0" t="inlineStr">
        <is>
          <t xml:space="preserve">NONE</t>
        </is>
      </c>
    </row>
    <row r="1793">
      <c r="B1793" s="0" t="inlineStr">
        <is>
          <t xml:space="preserve">N3220518F0025</t>
        </is>
      </c>
      <c r="C1793" s="0" t="inlineStr">
        <is>
          <t xml:space="preserve">N3220517D4700</t>
        </is>
      </c>
      <c r="D1793" s="0" t="inlineStr">
        <is>
          <t xml:space="preserve">other_small</t>
        </is>
      </c>
      <c r="E1793" s="0" t="inlineStr">
        <is>
          <t xml:space="preserve">LAKE SHORE SYSTEMS, INC.</t>
        </is>
      </c>
      <c r="F1793" s="0" t="inlineStr">
        <is>
          <t xml:space="preserve">C</t>
        </is>
      </c>
      <c r="G1793" s="4">
        <v>0.005049</v>
      </c>
      <c r="H1793" s="0" t="inlineStr">
        <is>
          <t xml:space="preserve">2017-10-04</t>
        </is>
      </c>
      <c r="I1793" s="0" t="inlineStr">
        <is>
          <t xml:space="preserve">no</t>
        </is>
      </c>
      <c r="K1793" s="0" t="inlineStr">
        <is>
          <t xml:space="preserve">NONE</t>
        </is>
      </c>
    </row>
    <row r="1794">
      <c r="B1794" s="0" t="inlineStr">
        <is>
          <t xml:space="preserve">N0010422PXA56</t>
        </is>
      </c>
      <c r="D1794" s="0" t="inlineStr">
        <is>
          <t xml:space="preserve">small_craft</t>
        </is>
      </c>
      <c r="E1794" s="0" t="inlineStr">
        <is>
          <t xml:space="preserve">VIRGINIA ELECTRONIC SYSTEMS, INC.</t>
        </is>
      </c>
      <c r="F1794" s="0" t="inlineStr">
        <is>
          <t xml:space="preserve">B</t>
        </is>
      </c>
      <c r="G1794" s="4">
        <v>0.005025</v>
      </c>
      <c r="H1794" s="0" t="inlineStr">
        <is>
          <t xml:space="preserve">2022-03-29</t>
        </is>
      </c>
      <c r="I1794" s="0" t="inlineStr">
        <is>
          <t xml:space="preserve">no</t>
        </is>
      </c>
      <c r="K1794" s="0" t="inlineStr">
        <is>
          <t xml:space="preserve">NONE</t>
        </is>
      </c>
    </row>
    <row r="1795">
      <c r="B1795" s="0" t="inlineStr">
        <is>
          <t xml:space="preserve">N0010422PXA52</t>
        </is>
      </c>
      <c r="D1795" s="0" t="inlineStr">
        <is>
          <t xml:space="preserve">small_craft</t>
        </is>
      </c>
      <c r="E1795" s="0" t="inlineStr">
        <is>
          <t xml:space="preserve">VIRGINIA ELECTRONIC SYSTEMS, INC.</t>
        </is>
      </c>
      <c r="F1795" s="0" t="inlineStr">
        <is>
          <t xml:space="preserve">B</t>
        </is>
      </c>
      <c r="G1795" s="4">
        <v>0.005025</v>
      </c>
      <c r="H1795" s="0" t="inlineStr">
        <is>
          <t xml:space="preserve">2022-02-01</t>
        </is>
      </c>
      <c r="I1795" s="0" t="inlineStr">
        <is>
          <t xml:space="preserve">no</t>
        </is>
      </c>
      <c r="K1795" s="0" t="inlineStr">
        <is>
          <t xml:space="preserve">NONE</t>
        </is>
      </c>
    </row>
    <row r="1796">
      <c r="B1796" s="0" t="inlineStr">
        <is>
          <t xml:space="preserve">N0010423PQB91</t>
        </is>
      </c>
      <c r="D1796" s="0" t="inlineStr">
        <is>
          <t xml:space="preserve">small_craft</t>
        </is>
      </c>
      <c r="E1796" s="0" t="inlineStr">
        <is>
          <t xml:space="preserve">CORNET TECHNOLOGY, INC.</t>
        </is>
      </c>
      <c r="F1796" s="0" t="inlineStr">
        <is>
          <t xml:space="preserve">B</t>
        </is>
      </c>
      <c r="G1796" s="4">
        <v>0.005013999999999999</v>
      </c>
      <c r="H1796" s="0" t="inlineStr">
        <is>
          <t xml:space="preserve">2023-03-22</t>
        </is>
      </c>
      <c r="I1796" s="0" t="inlineStr">
        <is>
          <t xml:space="preserve">no</t>
        </is>
      </c>
      <c r="K1796" s="0" t="inlineStr">
        <is>
          <t xml:space="preserve">NONE</t>
        </is>
      </c>
    </row>
    <row r="1797">
      <c r="B1797" s="0" t="inlineStr">
        <is>
          <t xml:space="preserve">N6449824F3014</t>
        </is>
      </c>
      <c r="C1797" s="0" t="inlineStr">
        <is>
          <t xml:space="preserve">N6449822D4010</t>
        </is>
      </c>
      <c r="D1797" s="0" t="inlineStr">
        <is>
          <t xml:space="preserve">usv_core</t>
        </is>
      </c>
      <c r="E1797" s="0" t="inlineStr">
        <is>
          <t xml:space="preserve">NDI ENGINEERING COMPANY</t>
        </is>
      </c>
      <c r="F1797" s="0" t="inlineStr">
        <is>
          <t xml:space="preserve">C</t>
        </is>
      </c>
      <c r="G1797" s="4">
        <v>0.005</v>
      </c>
      <c r="H1797" s="0" t="inlineStr">
        <is>
          <t xml:space="preserve">2023-11-07</t>
        </is>
      </c>
      <c r="I1797" s="0" t="inlineStr">
        <is>
          <t xml:space="preserve">no</t>
        </is>
      </c>
      <c r="J1797" s="0" t="inlineStr">
        <is>
          <t xml:space="preserve">N6449823Q3134</t>
        </is>
      </c>
      <c r="K1797" s="0" t="inlineStr">
        <is>
          <t xml:space="preserve">NONE</t>
        </is>
      </c>
    </row>
    <row r="1798">
      <c r="B1798" s="0" t="inlineStr">
        <is>
          <t xml:space="preserve">N0010425PSB19</t>
        </is>
      </c>
      <c r="D1798" s="0" t="inlineStr">
        <is>
          <t xml:space="preserve">small_craft</t>
        </is>
      </c>
      <c r="E1798" s="0" t="inlineStr">
        <is>
          <t xml:space="preserve">COMARK LLC</t>
        </is>
      </c>
      <c r="F1798" s="0" t="inlineStr">
        <is>
          <t xml:space="preserve">B</t>
        </is>
      </c>
      <c r="G1798" s="4">
        <v>0.005</v>
      </c>
      <c r="H1798" s="0" t="inlineStr">
        <is>
          <t xml:space="preserve">2025-05-13</t>
        </is>
      </c>
      <c r="I1798" s="0" t="inlineStr">
        <is>
          <t xml:space="preserve">no</t>
        </is>
      </c>
      <c r="K1798" s="0" t="inlineStr">
        <is>
          <t xml:space="preserve">NONE</t>
        </is>
      </c>
    </row>
    <row r="1799">
      <c r="B1799" s="0" t="inlineStr">
        <is>
          <t xml:space="preserve">N0010421PDC86</t>
        </is>
      </c>
      <c r="D1799" s="0" t="inlineStr">
        <is>
          <t xml:space="preserve">small_craft</t>
        </is>
      </c>
      <c r="E1799" s="0" t="inlineStr">
        <is>
          <t xml:space="preserve">FRONTIER ELECTRONIC SYSTEMS CORP</t>
        </is>
      </c>
      <c r="F1799" s="0" t="inlineStr">
        <is>
          <t xml:space="preserve">B</t>
        </is>
      </c>
      <c r="G1799" s="4">
        <v>0.005</v>
      </c>
      <c r="H1799" s="0" t="inlineStr">
        <is>
          <t xml:space="preserve">2021-08-10</t>
        </is>
      </c>
      <c r="I1799" s="0" t="inlineStr">
        <is>
          <t xml:space="preserve">no</t>
        </is>
      </c>
      <c r="K1799" s="0" t="inlineStr">
        <is>
          <t xml:space="preserve">NONE</t>
        </is>
      </c>
    </row>
    <row r="1800">
      <c r="B1800" s="0" t="inlineStr">
        <is>
          <t xml:space="preserve">N0040615P0955</t>
        </is>
      </c>
      <c r="D1800" s="0" t="inlineStr">
        <is>
          <t xml:space="preserve">small_craft</t>
        </is>
      </c>
      <c r="E1800" s="0" t="inlineStr">
        <is>
          <t xml:space="preserve">RAILWAY SPECIALTIES CORP</t>
        </is>
      </c>
      <c r="F1800" s="0" t="inlineStr">
        <is>
          <t xml:space="preserve">B</t>
        </is>
      </c>
      <c r="G1800" s="4">
        <v>0.0049949999999999994</v>
      </c>
      <c r="H1800" s="0" t="inlineStr">
        <is>
          <t xml:space="preserve">2015-01-15</t>
        </is>
      </c>
      <c r="I1800" s="0" t="inlineStr">
        <is>
          <t xml:space="preserve">no</t>
        </is>
      </c>
      <c r="K1800" s="0" t="inlineStr">
        <is>
          <t xml:space="preserve">NONE</t>
        </is>
      </c>
    </row>
    <row r="1801">
      <c r="B1801" s="0" t="inlineStr">
        <is>
          <t xml:space="preserve">N6449819P5249</t>
        </is>
      </c>
      <c r="D1801" s="0" t="inlineStr">
        <is>
          <t xml:space="preserve">small_craft</t>
        </is>
      </c>
      <c r="E1801" s="0" t="inlineStr">
        <is>
          <t xml:space="preserve">HILL, P J INDUSTRIES</t>
        </is>
      </c>
      <c r="F1801" s="0" t="inlineStr">
        <is>
          <t xml:space="preserve">B</t>
        </is>
      </c>
      <c r="G1801" s="4">
        <v>0.0049745200000000005</v>
      </c>
      <c r="H1801" s="0" t="inlineStr">
        <is>
          <t xml:space="preserve">2019-08-14</t>
        </is>
      </c>
      <c r="I1801" s="0" t="inlineStr">
        <is>
          <t xml:space="preserve">no</t>
        </is>
      </c>
      <c r="K1801" s="0" t="inlineStr">
        <is>
          <t xml:space="preserve">NONE</t>
        </is>
      </c>
    </row>
    <row r="1802">
      <c r="B1802" s="0" t="inlineStr">
        <is>
          <t xml:space="preserve">N6883618P0305</t>
        </is>
      </c>
      <c r="D1802" s="0" t="inlineStr">
        <is>
          <t xml:space="preserve">small_craft</t>
        </is>
      </c>
      <c r="E1802" s="0" t="inlineStr">
        <is>
          <t xml:space="preserve">VIGOR KVICHAK LLC</t>
        </is>
      </c>
      <c r="F1802" s="0" t="inlineStr">
        <is>
          <t xml:space="preserve">B</t>
        </is>
      </c>
      <c r="G1802" s="4">
        <v>0.00497</v>
      </c>
      <c r="H1802" s="0" t="inlineStr">
        <is>
          <t xml:space="preserve">2018-05-02</t>
        </is>
      </c>
      <c r="I1802" s="0" t="inlineStr">
        <is>
          <t xml:space="preserve">no</t>
        </is>
      </c>
      <c r="K1802" s="0" t="inlineStr">
        <is>
          <t xml:space="preserve">NONE</t>
        </is>
      </c>
    </row>
    <row r="1803">
      <c r="B1803" s="0" t="inlineStr">
        <is>
          <t xml:space="preserve">N0060416P3463</t>
        </is>
      </c>
      <c r="D1803" s="0" t="inlineStr">
        <is>
          <t xml:space="preserve">small_craft</t>
        </is>
      </c>
      <c r="E1803" s="0" t="inlineStr">
        <is>
          <t xml:space="preserve">SAFE BOATS INTERNATIONAL LLC</t>
        </is>
      </c>
      <c r="F1803" s="0" t="inlineStr">
        <is>
          <t xml:space="preserve">B</t>
        </is>
      </c>
      <c r="G1803" s="4">
        <v>0.00495805</v>
      </c>
      <c r="H1803" s="0" t="inlineStr">
        <is>
          <t xml:space="preserve">2016-09-22</t>
        </is>
      </c>
      <c r="I1803" s="0" t="inlineStr">
        <is>
          <t xml:space="preserve">no</t>
        </is>
      </c>
      <c r="K1803" s="0" t="inlineStr">
        <is>
          <t xml:space="preserve">NONE</t>
        </is>
      </c>
    </row>
    <row r="1804">
      <c r="B1804" s="0" t="inlineStr">
        <is>
          <t xml:space="preserve">N0040618P0407</t>
        </is>
      </c>
      <c r="D1804" s="0" t="inlineStr">
        <is>
          <t xml:space="preserve">small_craft</t>
        </is>
      </c>
      <c r="E1804" s="0" t="inlineStr">
        <is>
          <t xml:space="preserve">PACIFIC MARITIME INDUSTRIES CORP.</t>
        </is>
      </c>
      <c r="F1804" s="0" t="inlineStr">
        <is>
          <t xml:space="preserve">B</t>
        </is>
      </c>
      <c r="G1804" s="4">
        <v>0.0049499999999999995</v>
      </c>
      <c r="H1804" s="0" t="inlineStr">
        <is>
          <t xml:space="preserve">2018-01-03</t>
        </is>
      </c>
      <c r="I1804" s="0" t="inlineStr">
        <is>
          <t xml:space="preserve">no</t>
        </is>
      </c>
      <c r="K1804" s="0" t="inlineStr">
        <is>
          <t xml:space="preserve">NONE</t>
        </is>
      </c>
    </row>
    <row r="1805">
      <c r="B1805" s="0" t="inlineStr">
        <is>
          <t xml:space="preserve">N0040618P0376</t>
        </is>
      </c>
      <c r="D1805" s="0" t="inlineStr">
        <is>
          <t xml:space="preserve">small_craft</t>
        </is>
      </c>
      <c r="E1805" s="0" t="inlineStr">
        <is>
          <t xml:space="preserve">PACIFIC MARITIME INDUSTRIES CORP.</t>
        </is>
      </c>
      <c r="F1805" s="0" t="inlineStr">
        <is>
          <t xml:space="preserve">B</t>
        </is>
      </c>
      <c r="G1805" s="4">
        <v>0.0049499999999999995</v>
      </c>
      <c r="H1805" s="0" t="inlineStr">
        <is>
          <t xml:space="preserve">2017-12-21</t>
        </is>
      </c>
      <c r="I1805" s="0" t="inlineStr">
        <is>
          <t xml:space="preserve">no</t>
        </is>
      </c>
      <c r="K1805" s="0" t="inlineStr">
        <is>
          <t xml:space="preserve">NONE</t>
        </is>
      </c>
    </row>
    <row r="1806">
      <c r="B1806" s="0" t="inlineStr">
        <is>
          <t xml:space="preserve">N0040616P1363</t>
        </is>
      </c>
      <c r="D1806" s="0" t="inlineStr">
        <is>
          <t xml:space="preserve">small_craft</t>
        </is>
      </c>
      <c r="E1806" s="0" t="inlineStr">
        <is>
          <t xml:space="preserve">RAILWAY SPECIALTIES CORP</t>
        </is>
      </c>
      <c r="F1806" s="0" t="inlineStr">
        <is>
          <t xml:space="preserve">B</t>
        </is>
      </c>
      <c r="G1806" s="4">
        <v>0.0049499999999999995</v>
      </c>
      <c r="H1806" s="0" t="inlineStr">
        <is>
          <t xml:space="preserve">2016-03-04</t>
        </is>
      </c>
      <c r="I1806" s="0" t="inlineStr">
        <is>
          <t xml:space="preserve">no</t>
        </is>
      </c>
      <c r="K1806" s="0" t="inlineStr">
        <is>
          <t xml:space="preserve">NONE</t>
        </is>
      </c>
    </row>
    <row r="1807">
      <c r="B1807" s="0" t="inlineStr">
        <is>
          <t xml:space="preserve">N0010422PEP27</t>
        </is>
      </c>
      <c r="D1807" s="0" t="inlineStr">
        <is>
          <t xml:space="preserve">small_craft</t>
        </is>
      </c>
      <c r="E1807" s="0" t="inlineStr">
        <is>
          <t xml:space="preserve">GREATER MARYLAND TOOL &amp; MFG. CORP.</t>
        </is>
      </c>
      <c r="F1807" s="0" t="inlineStr">
        <is>
          <t xml:space="preserve">B</t>
        </is>
      </c>
      <c r="G1807" s="4">
        <v>0.0049499999999999995</v>
      </c>
      <c r="H1807" s="0" t="inlineStr">
        <is>
          <t xml:space="preserve">2022-09-19</t>
        </is>
      </c>
      <c r="I1807" s="0" t="inlineStr">
        <is>
          <t xml:space="preserve">no</t>
        </is>
      </c>
      <c r="K1807" s="0" t="inlineStr">
        <is>
          <t xml:space="preserve">NONE</t>
        </is>
      </c>
    </row>
    <row r="1808">
      <c r="B1808" s="0" t="inlineStr">
        <is>
          <t xml:space="preserve">N3220519F7106</t>
        </is>
      </c>
      <c r="C1808" s="0" t="inlineStr">
        <is>
          <t xml:space="preserve">N3220517D4700</t>
        </is>
      </c>
      <c r="D1808" s="0" t="inlineStr">
        <is>
          <t xml:space="preserve">other_small</t>
        </is>
      </c>
      <c r="E1808" s="0" t="inlineStr">
        <is>
          <t xml:space="preserve">LAKE SHORE SYSTEMS, INC.</t>
        </is>
      </c>
      <c r="F1808" s="0" t="inlineStr">
        <is>
          <t xml:space="preserve">C</t>
        </is>
      </c>
      <c r="G1808" s="4">
        <v>0.0049318999999999995</v>
      </c>
      <c r="H1808" s="0" t="inlineStr">
        <is>
          <t xml:space="preserve">2018-11-19</t>
        </is>
      </c>
      <c r="I1808" s="0" t="inlineStr">
        <is>
          <t xml:space="preserve">no</t>
        </is>
      </c>
      <c r="K1808" s="0" t="inlineStr">
        <is>
          <t xml:space="preserve">NONE</t>
        </is>
      </c>
    </row>
    <row r="1809">
      <c r="B1809" s="0" t="inlineStr">
        <is>
          <t xml:space="preserve">LH80</t>
        </is>
      </c>
      <c r="C1809" s="0" t="inlineStr">
        <is>
          <t xml:space="preserve">N6238715D2104</t>
        </is>
      </c>
      <c r="D1809" s="0" t="inlineStr">
        <is>
          <t xml:space="preserve">other_small</t>
        </is>
      </c>
      <c r="E1809" s="0" t="inlineStr">
        <is>
          <t xml:space="preserve">MCALLISTER TOWING AND TRANSPORTATION COMPANY, INC.</t>
        </is>
      </c>
      <c r="F1809" s="0" t="inlineStr">
        <is>
          <t xml:space="preserve">C</t>
        </is>
      </c>
      <c r="G1809" s="4">
        <v>0.0049099999999999994</v>
      </c>
      <c r="H1809" s="0" t="inlineStr">
        <is>
          <t xml:space="preserve">2017-11-13</t>
        </is>
      </c>
      <c r="I1809" s="0" t="inlineStr">
        <is>
          <t xml:space="preserve">no</t>
        </is>
      </c>
      <c r="J1809" s="0" t="inlineStr">
        <is>
          <t xml:space="preserve">N6238715R2104</t>
        </is>
      </c>
      <c r="K1809" s="0" t="inlineStr">
        <is>
          <t xml:space="preserve">NONE</t>
        </is>
      </c>
    </row>
    <row r="1810">
      <c r="B1810" s="0" t="inlineStr">
        <is>
          <t xml:space="preserve">LH65</t>
        </is>
      </c>
      <c r="C1810" s="0" t="inlineStr">
        <is>
          <t xml:space="preserve">N6238715D2104</t>
        </is>
      </c>
      <c r="D1810" s="0" t="inlineStr">
        <is>
          <t xml:space="preserve">other_small</t>
        </is>
      </c>
      <c r="E1810" s="0" t="inlineStr">
        <is>
          <t xml:space="preserve">MCALLISTER TOWING AND TRANSPORTATION COMPANY, INC.</t>
        </is>
      </c>
      <c r="F1810" s="0" t="inlineStr">
        <is>
          <t xml:space="preserve">C</t>
        </is>
      </c>
      <c r="G1810" s="4">
        <v>0.0049099999999999994</v>
      </c>
      <c r="H1810" s="0" t="inlineStr">
        <is>
          <t xml:space="preserve">2017-05-24</t>
        </is>
      </c>
      <c r="I1810" s="0" t="inlineStr">
        <is>
          <t xml:space="preserve">no</t>
        </is>
      </c>
      <c r="J1810" s="0" t="inlineStr">
        <is>
          <t xml:space="preserve">N6238715R2104</t>
        </is>
      </c>
      <c r="K1810" s="0" t="inlineStr">
        <is>
          <t xml:space="preserve">NONE</t>
        </is>
      </c>
    </row>
    <row r="1811">
      <c r="B1811" s="0" t="inlineStr">
        <is>
          <t xml:space="preserve">N0040615P3738</t>
        </is>
      </c>
      <c r="D1811" s="0" t="inlineStr">
        <is>
          <t xml:space="preserve">small_craft</t>
        </is>
      </c>
      <c r="E1811" s="0" t="inlineStr">
        <is>
          <t xml:space="preserve">PACIFIC MARITIME INDUSTRIES CORP.</t>
        </is>
      </c>
      <c r="F1811" s="0" t="inlineStr">
        <is>
          <t xml:space="preserve">B</t>
        </is>
      </c>
      <c r="G1811" s="4">
        <v>0.0049</v>
      </c>
      <c r="H1811" s="0" t="inlineStr">
        <is>
          <t xml:space="preserve">2015-08-27</t>
        </is>
      </c>
      <c r="I1811" s="0" t="inlineStr">
        <is>
          <t xml:space="preserve">no</t>
        </is>
      </c>
      <c r="K1811" s="0" t="inlineStr">
        <is>
          <t xml:space="preserve">NONE</t>
        </is>
      </c>
    </row>
    <row r="1812">
      <c r="B1812" s="0" t="inlineStr">
        <is>
          <t xml:space="preserve">N0040615P2987</t>
        </is>
      </c>
      <c r="D1812" s="0" t="inlineStr">
        <is>
          <t xml:space="preserve">small_craft</t>
        </is>
      </c>
      <c r="E1812" s="0" t="inlineStr">
        <is>
          <t xml:space="preserve">PACIFIC MARITIME INDUSTRIES CORP.</t>
        </is>
      </c>
      <c r="F1812" s="0" t="inlineStr">
        <is>
          <t xml:space="preserve">B</t>
        </is>
      </c>
      <c r="G1812" s="4">
        <v>0.0049</v>
      </c>
      <c r="H1812" s="0" t="inlineStr">
        <is>
          <t xml:space="preserve">2015-06-26</t>
        </is>
      </c>
      <c r="I1812" s="0" t="inlineStr">
        <is>
          <t xml:space="preserve">no</t>
        </is>
      </c>
      <c r="K1812" s="0" t="inlineStr">
        <is>
          <t xml:space="preserve">NONE</t>
        </is>
      </c>
    </row>
    <row r="1813">
      <c r="B1813" s="0" t="inlineStr">
        <is>
          <t xml:space="preserve">N0010417PEJ59</t>
        </is>
      </c>
      <c r="D1813" s="0" t="inlineStr">
        <is>
          <t xml:space="preserve">small_craft</t>
        </is>
      </c>
      <c r="E1813" s="0" t="inlineStr">
        <is>
          <t xml:space="preserve">ADIRONDACK ELECTRONICS INC</t>
        </is>
      </c>
      <c r="F1813" s="0" t="inlineStr">
        <is>
          <t xml:space="preserve">B</t>
        </is>
      </c>
      <c r="G1813" s="4">
        <v>0.00482625</v>
      </c>
      <c r="H1813" s="0" t="inlineStr">
        <is>
          <t xml:space="preserve">2017-07-18</t>
        </is>
      </c>
      <c r="I1813" s="0" t="inlineStr">
        <is>
          <t xml:space="preserve">no</t>
        </is>
      </c>
      <c r="K1813" s="0" t="inlineStr">
        <is>
          <t xml:space="preserve">NONE</t>
        </is>
      </c>
    </row>
    <row r="1814">
      <c r="B1814" s="0" t="inlineStr">
        <is>
          <t xml:space="preserve">N0040616P0079</t>
        </is>
      </c>
      <c r="D1814" s="0" t="inlineStr">
        <is>
          <t xml:space="preserve">small_craft</t>
        </is>
      </c>
      <c r="E1814" s="0" t="inlineStr">
        <is>
          <t xml:space="preserve">MALPASS CONSTRUCTION CO INC</t>
        </is>
      </c>
      <c r="F1814" s="0" t="inlineStr">
        <is>
          <t xml:space="preserve">B</t>
        </is>
      </c>
      <c r="G1814" s="4">
        <v>0.00481</v>
      </c>
      <c r="H1814" s="0" t="inlineStr">
        <is>
          <t xml:space="preserve">2015-10-08</t>
        </is>
      </c>
      <c r="I1814" s="0" t="inlineStr">
        <is>
          <t xml:space="preserve">no</t>
        </is>
      </c>
      <c r="K1814" s="0" t="inlineStr">
        <is>
          <t xml:space="preserve">NONE</t>
        </is>
      </c>
    </row>
    <row r="1815">
      <c r="B1815" s="0" t="inlineStr">
        <is>
          <t xml:space="preserve">N0010421PCC30</t>
        </is>
      </c>
      <c r="D1815" s="0" t="inlineStr">
        <is>
          <t xml:space="preserve">small_craft</t>
        </is>
      </c>
      <c r="E1815" s="0" t="inlineStr">
        <is>
          <t xml:space="preserve">NORTHROP GRUMMAN SYSTEMS CORPORATION</t>
        </is>
      </c>
      <c r="F1815" s="0" t="inlineStr">
        <is>
          <t xml:space="preserve">B</t>
        </is>
      </c>
      <c r="G1815" s="4">
        <v>0.0048</v>
      </c>
      <c r="H1815" s="0" t="inlineStr">
        <is>
          <t xml:space="preserve">2021-04-16</t>
        </is>
      </c>
      <c r="I1815" s="0" t="inlineStr">
        <is>
          <t xml:space="preserve">no</t>
        </is>
      </c>
      <c r="K1815" s="0" t="inlineStr">
        <is>
          <t xml:space="preserve">NONE</t>
        </is>
      </c>
    </row>
    <row r="1816">
      <c r="B1816" s="0" t="inlineStr">
        <is>
          <t xml:space="preserve">LH46</t>
        </is>
      </c>
      <c r="C1816" s="0" t="inlineStr">
        <is>
          <t xml:space="preserve">N6238715D2104</t>
        </is>
      </c>
      <c r="D1816" s="0" t="inlineStr">
        <is>
          <t xml:space="preserve">other_small</t>
        </is>
      </c>
      <c r="E1816" s="0" t="inlineStr">
        <is>
          <t xml:space="preserve">MCALLISTER TOWING AND TRANSPORTATION COMPANY, INC.</t>
        </is>
      </c>
      <c r="F1816" s="0" t="inlineStr">
        <is>
          <t xml:space="preserve">C</t>
        </is>
      </c>
      <c r="G1816" s="4">
        <v>0.004768</v>
      </c>
      <c r="H1816" s="0" t="inlineStr">
        <is>
          <t xml:space="preserve">2016-05-13</t>
        </is>
      </c>
      <c r="I1816" s="0" t="inlineStr">
        <is>
          <t xml:space="preserve">no</t>
        </is>
      </c>
      <c r="J1816" s="0" t="inlineStr">
        <is>
          <t xml:space="preserve">N6238715R2104</t>
        </is>
      </c>
      <c r="K1816" s="0" t="inlineStr">
        <is>
          <t xml:space="preserve">NONE</t>
        </is>
      </c>
    </row>
    <row r="1817">
      <c r="B1817" s="0" t="inlineStr">
        <is>
          <t xml:space="preserve">N6449816P5224</t>
        </is>
      </c>
      <c r="D1817" s="0" t="inlineStr">
        <is>
          <t xml:space="preserve">small_craft</t>
        </is>
      </c>
      <c r="E1817" s="0" t="inlineStr">
        <is>
          <t xml:space="preserve">HILL, P J INDUSTRIES</t>
        </is>
      </c>
      <c r="F1817" s="0" t="inlineStr">
        <is>
          <t xml:space="preserve">B</t>
        </is>
      </c>
      <c r="G1817" s="4">
        <v>0.00475392</v>
      </c>
      <c r="H1817" s="0" t="inlineStr">
        <is>
          <t xml:space="preserve">2016-08-12</t>
        </is>
      </c>
      <c r="I1817" s="0" t="inlineStr">
        <is>
          <t xml:space="preserve">no</t>
        </is>
      </c>
      <c r="J1817" s="0" t="inlineStr">
        <is>
          <t xml:space="preserve">N6449816T0269</t>
        </is>
      </c>
      <c r="K1817" s="0" t="inlineStr">
        <is>
          <t xml:space="preserve">NONE</t>
        </is>
      </c>
    </row>
    <row r="1818">
      <c r="B1818" s="0" t="inlineStr">
        <is>
          <t xml:space="preserve">N3225318P0129</t>
        </is>
      </c>
      <c r="D1818" s="0" t="inlineStr">
        <is>
          <t xml:space="preserve">small_craft</t>
        </is>
      </c>
      <c r="E1818" s="0" t="inlineStr">
        <is>
          <t xml:space="preserve">GILMAN CORPORATION THE</t>
        </is>
      </c>
      <c r="F1818" s="0" t="inlineStr">
        <is>
          <t xml:space="preserve">B</t>
        </is>
      </c>
      <c r="G1818" s="4">
        <v>0.00475</v>
      </c>
      <c r="H1818" s="0" t="inlineStr">
        <is>
          <t xml:space="preserve">2018-09-22</t>
        </is>
      </c>
      <c r="I1818" s="0" t="inlineStr">
        <is>
          <t xml:space="preserve">no</t>
        </is>
      </c>
      <c r="J1818" s="0" t="inlineStr">
        <is>
          <t xml:space="preserve">N3225318R0053</t>
        </is>
      </c>
      <c r="K1818" s="0" t="inlineStr">
        <is>
          <t xml:space="preserve">NONE</t>
        </is>
      </c>
    </row>
    <row r="1819">
      <c r="B1819" s="0" t="inlineStr">
        <is>
          <t xml:space="preserve">N0040616P3400</t>
        </is>
      </c>
      <c r="D1819" s="0" t="inlineStr">
        <is>
          <t xml:space="preserve">small_craft</t>
        </is>
      </c>
      <c r="E1819" s="0" t="inlineStr">
        <is>
          <t xml:space="preserve">PACIFIC MARITIME INDUSTRIES CORP.</t>
        </is>
      </c>
      <c r="F1819" s="0" t="inlineStr">
        <is>
          <t xml:space="preserve">B</t>
        </is>
      </c>
      <c r="G1819" s="4">
        <v>0.00475</v>
      </c>
      <c r="H1819" s="0" t="inlineStr">
        <is>
          <t xml:space="preserve">2016-09-20</t>
        </is>
      </c>
      <c r="I1819" s="0" t="inlineStr">
        <is>
          <t xml:space="preserve">no</t>
        </is>
      </c>
      <c r="K1819" s="0" t="inlineStr">
        <is>
          <t xml:space="preserve">NONE</t>
        </is>
      </c>
    </row>
    <row r="1820">
      <c r="B1820" s="0" t="inlineStr">
        <is>
          <t xml:space="preserve">N0010426PFA36</t>
        </is>
      </c>
      <c r="D1820" s="0" t="inlineStr">
        <is>
          <t xml:space="preserve">small_craft</t>
        </is>
      </c>
      <c r="E1820" s="0" t="inlineStr">
        <is>
          <t xml:space="preserve">B&amp;G MANUFACTURING CO INC</t>
        </is>
      </c>
      <c r="F1820" s="0" t="inlineStr">
        <is>
          <t xml:space="preserve">B</t>
        </is>
      </c>
      <c r="G1820" s="4">
        <v>0.004725</v>
      </c>
      <c r="H1820" s="0" t="inlineStr">
        <is>
          <t xml:space="preserve">2025-11-04</t>
        </is>
      </c>
      <c r="I1820" s="0" t="inlineStr">
        <is>
          <t xml:space="preserve">yes</t>
        </is>
      </c>
      <c r="J1820" s="0" t="inlineStr">
        <is>
          <t xml:space="preserve">N0010425QZE27</t>
        </is>
      </c>
      <c r="K1820" s="0" t="inlineStr">
        <is>
          <t xml:space="preserve">NONE</t>
        </is>
      </c>
    </row>
    <row r="1821">
      <c r="B1821" s="0" t="inlineStr">
        <is>
          <t xml:space="preserve">N0018916P1446</t>
        </is>
      </c>
      <c r="D1821" s="0" t="inlineStr">
        <is>
          <t xml:space="preserve">small_craft</t>
        </is>
      </c>
      <c r="E1821" s="0" t="inlineStr">
        <is>
          <t xml:space="preserve">MAZZELLA LIFTING TECHNOLOGIES, INC.</t>
        </is>
      </c>
      <c r="F1821" s="0" t="inlineStr">
        <is>
          <t xml:space="preserve">B</t>
        </is>
      </c>
      <c r="G1821" s="4">
        <v>0.004725</v>
      </c>
      <c r="H1821" s="0" t="inlineStr">
        <is>
          <t xml:space="preserve">2016-09-06</t>
        </is>
      </c>
      <c r="I1821" s="0" t="inlineStr">
        <is>
          <t xml:space="preserve">no</t>
        </is>
      </c>
      <c r="K1821" s="0" t="inlineStr">
        <is>
          <t xml:space="preserve">NONE</t>
        </is>
      </c>
    </row>
    <row r="1822">
      <c r="B1822" s="0" t="inlineStr">
        <is>
          <t xml:space="preserve">N0010421PXB67</t>
        </is>
      </c>
      <c r="D1822" s="0" t="inlineStr">
        <is>
          <t xml:space="preserve">small_craft</t>
        </is>
      </c>
      <c r="E1822" s="0" t="inlineStr">
        <is>
          <t xml:space="preserve">VIRGINIA ELECTRONIC SYSTEMS, INC.</t>
        </is>
      </c>
      <c r="F1822" s="0" t="inlineStr">
        <is>
          <t xml:space="preserve">B</t>
        </is>
      </c>
      <c r="G1822" s="4">
        <v>0.004725</v>
      </c>
      <c r="H1822" s="0" t="inlineStr">
        <is>
          <t xml:space="preserve">2021-06-29</t>
        </is>
      </c>
      <c r="I1822" s="0" t="inlineStr">
        <is>
          <t xml:space="preserve">no</t>
        </is>
      </c>
      <c r="K1822" s="0" t="inlineStr">
        <is>
          <t xml:space="preserve">NONE</t>
        </is>
      </c>
    </row>
    <row r="1823">
      <c r="B1823" s="0" t="inlineStr">
        <is>
          <t xml:space="preserve">N0017314W8390</t>
        </is>
      </c>
      <c r="D1823" s="0" t="inlineStr">
        <is>
          <t xml:space="preserve">other_small</t>
        </is>
      </c>
      <c r="E1823" s="0" t="inlineStr">
        <is>
          <t xml:space="preserve">MCALLISTER TOWING OF VIRGINIA INC</t>
        </is>
      </c>
      <c r="F1823" s="0" t="inlineStr">
        <is>
          <t xml:space="preserve">B</t>
        </is>
      </c>
      <c r="G1823" s="4">
        <v>0.004725</v>
      </c>
      <c r="H1823" s="0" t="inlineStr">
        <is>
          <t xml:space="preserve">2014-08-12</t>
        </is>
      </c>
      <c r="I1823" s="0" t="inlineStr">
        <is>
          <t xml:space="preserve">no</t>
        </is>
      </c>
      <c r="K1823" s="0" t="inlineStr">
        <is>
          <t xml:space="preserve">NONE</t>
        </is>
      </c>
    </row>
    <row r="1824">
      <c r="B1824" s="0" t="inlineStr">
        <is>
          <t xml:space="preserve">N0040616P0188</t>
        </is>
      </c>
      <c r="D1824" s="0" t="inlineStr">
        <is>
          <t xml:space="preserve">small_craft</t>
        </is>
      </c>
      <c r="E1824" s="0" t="inlineStr">
        <is>
          <t xml:space="preserve">RAILWAY SPECIALTIES CORP</t>
        </is>
      </c>
      <c r="F1824" s="0" t="inlineStr">
        <is>
          <t xml:space="preserve">B</t>
        </is>
      </c>
      <c r="G1824" s="4">
        <v>0.0047</v>
      </c>
      <c r="H1824" s="0" t="inlineStr">
        <is>
          <t xml:space="preserve">2015-10-30</t>
        </is>
      </c>
      <c r="I1824" s="0" t="inlineStr">
        <is>
          <t xml:space="preserve">no</t>
        </is>
      </c>
      <c r="K1824" s="0" t="inlineStr">
        <is>
          <t xml:space="preserve">NONE</t>
        </is>
      </c>
    </row>
    <row r="1825">
      <c r="B1825" s="0" t="inlineStr">
        <is>
          <t xml:space="preserve">N0040616P2729</t>
        </is>
      </c>
      <c r="D1825" s="0" t="inlineStr">
        <is>
          <t xml:space="preserve">small_craft</t>
        </is>
      </c>
      <c r="E1825" s="0" t="inlineStr">
        <is>
          <t xml:space="preserve">JUNIPER ELBOW CO. INC.</t>
        </is>
      </c>
      <c r="F1825" s="0" t="inlineStr">
        <is>
          <t xml:space="preserve">B</t>
        </is>
      </c>
      <c r="G1825" s="4">
        <v>0.0046694</v>
      </c>
      <c r="H1825" s="0" t="inlineStr">
        <is>
          <t xml:space="preserve">2016-08-05</t>
        </is>
      </c>
      <c r="I1825" s="0" t="inlineStr">
        <is>
          <t xml:space="preserve">no</t>
        </is>
      </c>
      <c r="K1825" s="0" t="inlineStr">
        <is>
          <t xml:space="preserve">NONE</t>
        </is>
      </c>
    </row>
    <row r="1826">
      <c r="B1826" s="0" t="inlineStr">
        <is>
          <t xml:space="preserve">N0040617P1175</t>
        </is>
      </c>
      <c r="D1826" s="0" t="inlineStr">
        <is>
          <t xml:space="preserve">small_craft</t>
        </is>
      </c>
      <c r="E1826" s="0" t="inlineStr">
        <is>
          <t xml:space="preserve">JUNIPER ELBOW CO. INC.</t>
        </is>
      </c>
      <c r="F1826" s="0" t="inlineStr">
        <is>
          <t xml:space="preserve">B</t>
        </is>
      </c>
      <c r="G1826" s="4">
        <v>0.004588</v>
      </c>
      <c r="H1826" s="0" t="inlineStr">
        <is>
          <t xml:space="preserve">2017-03-10</t>
        </is>
      </c>
      <c r="I1826" s="0" t="inlineStr">
        <is>
          <t xml:space="preserve">no</t>
        </is>
      </c>
      <c r="K1826" s="0" t="inlineStr">
        <is>
          <t xml:space="preserve">NONE</t>
        </is>
      </c>
    </row>
    <row r="1827">
      <c r="B1827" s="0" t="inlineStr">
        <is>
          <t xml:space="preserve">0004</t>
        </is>
      </c>
      <c r="C1827" s="0" t="inlineStr">
        <is>
          <t xml:space="preserve">N3220517D4700</t>
        </is>
      </c>
      <c r="D1827" s="0" t="inlineStr">
        <is>
          <t xml:space="preserve">other_small</t>
        </is>
      </c>
      <c r="E1827" s="0" t="inlineStr">
        <is>
          <t xml:space="preserve">LAKE SHORE SYSTEMS, INC.</t>
        </is>
      </c>
      <c r="F1827" s="0" t="inlineStr">
        <is>
          <t xml:space="preserve">C</t>
        </is>
      </c>
      <c r="G1827" s="4">
        <v>0.00457915</v>
      </c>
      <c r="H1827" s="0" t="inlineStr">
        <is>
          <t xml:space="preserve">2016-12-06</t>
        </is>
      </c>
      <c r="I1827" s="0" t="inlineStr">
        <is>
          <t xml:space="preserve">no</t>
        </is>
      </c>
      <c r="K1827" s="0" t="inlineStr">
        <is>
          <t xml:space="preserve">NONE</t>
        </is>
      </c>
    </row>
    <row r="1828">
      <c r="B1828" s="0" t="inlineStr">
        <is>
          <t xml:space="preserve">N0010417PEC57</t>
        </is>
      </c>
      <c r="D1828" s="0" t="inlineStr">
        <is>
          <t xml:space="preserve">small_craft</t>
        </is>
      </c>
      <c r="E1828" s="0" t="inlineStr">
        <is>
          <t xml:space="preserve">ALLENTOWN FLUID SYSTEMS, INC</t>
        </is>
      </c>
      <c r="F1828" s="0" t="inlineStr">
        <is>
          <t xml:space="preserve">B</t>
        </is>
      </c>
      <c r="G1828" s="4">
        <v>0.00457852</v>
      </c>
      <c r="H1828" s="0" t="inlineStr">
        <is>
          <t xml:space="preserve">2017-04-27</t>
        </is>
      </c>
      <c r="I1828" s="0" t="inlineStr">
        <is>
          <t xml:space="preserve">no</t>
        </is>
      </c>
      <c r="K1828" s="0" t="inlineStr">
        <is>
          <t xml:space="preserve">NONE</t>
        </is>
      </c>
    </row>
    <row r="1829">
      <c r="B1829" s="0" t="inlineStr">
        <is>
          <t xml:space="preserve">N4044212P7056</t>
        </is>
      </c>
      <c r="D1829" s="0" t="inlineStr">
        <is>
          <t xml:space="preserve">small_craft</t>
        </is>
      </c>
      <c r="E1829" s="0" t="inlineStr">
        <is>
          <t xml:space="preserve">PALFINGER MARINE USA, LLC</t>
        </is>
      </c>
      <c r="F1829" s="0" t="inlineStr">
        <is>
          <t xml:space="preserve">B</t>
        </is>
      </c>
      <c r="G1829" s="4">
        <v>0.0045639999999999995</v>
      </c>
      <c r="H1829" s="0" t="inlineStr">
        <is>
          <t xml:space="preserve">2011-10-12</t>
        </is>
      </c>
      <c r="I1829" s="0" t="inlineStr">
        <is>
          <t xml:space="preserve">no</t>
        </is>
      </c>
      <c r="K1829" s="0" t="inlineStr">
        <is>
          <t xml:space="preserve">NONE</t>
        </is>
      </c>
    </row>
    <row r="1830">
      <c r="B1830" s="0" t="inlineStr">
        <is>
          <t xml:space="preserve">N0010425PBT80</t>
        </is>
      </c>
      <c r="D1830" s="0" t="inlineStr">
        <is>
          <t xml:space="preserve">small_craft</t>
        </is>
      </c>
      <c r="E1830" s="0" t="inlineStr">
        <is>
          <t xml:space="preserve">ECI DEFENSE GROUP, INC.</t>
        </is>
      </c>
      <c r="F1830" s="0" t="inlineStr">
        <is>
          <t xml:space="preserve">B</t>
        </is>
      </c>
      <c r="G1830" s="4">
        <v>0.00453789</v>
      </c>
      <c r="H1830" s="0" t="inlineStr">
        <is>
          <t xml:space="preserve">2025-05-07</t>
        </is>
      </c>
      <c r="I1830" s="0" t="inlineStr">
        <is>
          <t xml:space="preserve">no</t>
        </is>
      </c>
      <c r="K1830" s="0" t="inlineStr">
        <is>
          <t xml:space="preserve">NONE</t>
        </is>
      </c>
    </row>
    <row r="1831">
      <c r="B1831" s="0" t="inlineStr">
        <is>
          <t xml:space="preserve">N4044209P5969</t>
        </is>
      </c>
      <c r="D1831" s="0" t="inlineStr">
        <is>
          <t xml:space="preserve">small_craft</t>
        </is>
      </c>
      <c r="E1831" s="0" t="inlineStr">
        <is>
          <t xml:space="preserve">PALFINGER MARINE USA, LLC</t>
        </is>
      </c>
      <c r="F1831" s="0" t="inlineStr">
        <is>
          <t xml:space="preserve">B</t>
        </is>
      </c>
      <c r="G1831" s="4">
        <v>0.0045119999999999995</v>
      </c>
      <c r="H1831" s="0" t="inlineStr">
        <is>
          <t xml:space="preserve">2009-08-11</t>
        </is>
      </c>
      <c r="I1831" s="0" t="inlineStr">
        <is>
          <t xml:space="preserve">no</t>
        </is>
      </c>
      <c r="K1831" s="0" t="inlineStr">
        <is>
          <t xml:space="preserve">NONE</t>
        </is>
      </c>
    </row>
    <row r="1832">
      <c r="B1832" s="0" t="inlineStr">
        <is>
          <t xml:space="preserve">N0040617P1450</t>
        </is>
      </c>
      <c r="D1832" s="0" t="inlineStr">
        <is>
          <t xml:space="preserve">small_craft</t>
        </is>
      </c>
      <c r="E1832" s="0" t="inlineStr">
        <is>
          <t xml:space="preserve">PACIFIC MARITIME INDUSTRIES CORP.</t>
        </is>
      </c>
      <c r="F1832" s="0" t="inlineStr">
        <is>
          <t xml:space="preserve">B</t>
        </is>
      </c>
      <c r="G1832" s="4">
        <v>0.0045</v>
      </c>
      <c r="H1832" s="0" t="inlineStr">
        <is>
          <t xml:space="preserve">2017-04-05</t>
        </is>
      </c>
      <c r="I1832" s="0" t="inlineStr">
        <is>
          <t xml:space="preserve">no</t>
        </is>
      </c>
      <c r="K1832" s="0" t="inlineStr">
        <is>
          <t xml:space="preserve">NONE</t>
        </is>
      </c>
    </row>
    <row r="1833">
      <c r="B1833" s="0" t="inlineStr">
        <is>
          <t xml:space="preserve">N0040616P0607</t>
        </is>
      </c>
      <c r="D1833" s="0" t="inlineStr">
        <is>
          <t xml:space="preserve">small_craft</t>
        </is>
      </c>
      <c r="E1833" s="0" t="inlineStr">
        <is>
          <t xml:space="preserve">KLB ENTERPRISES CORP</t>
        </is>
      </c>
      <c r="F1833" s="0" t="inlineStr">
        <is>
          <t xml:space="preserve">B</t>
        </is>
      </c>
      <c r="G1833" s="4">
        <v>0.0045</v>
      </c>
      <c r="H1833" s="0" t="inlineStr">
        <is>
          <t xml:space="preserve">2015-12-17</t>
        </is>
      </c>
      <c r="I1833" s="0" t="inlineStr">
        <is>
          <t xml:space="preserve">no</t>
        </is>
      </c>
      <c r="K1833" s="0" t="inlineStr">
        <is>
          <t xml:space="preserve">NONE</t>
        </is>
      </c>
    </row>
    <row r="1834">
      <c r="B1834" s="0" t="inlineStr">
        <is>
          <t xml:space="preserve">N0040615P2163</t>
        </is>
      </c>
      <c r="D1834" s="0" t="inlineStr">
        <is>
          <t xml:space="preserve">small_craft</t>
        </is>
      </c>
      <c r="E1834" s="0" t="inlineStr">
        <is>
          <t xml:space="preserve">RAILWAY SPECIALTIES CORP</t>
        </is>
      </c>
      <c r="F1834" s="0" t="inlineStr">
        <is>
          <t xml:space="preserve">B</t>
        </is>
      </c>
      <c r="G1834" s="4">
        <v>0.0045</v>
      </c>
      <c r="H1834" s="0" t="inlineStr">
        <is>
          <t xml:space="preserve">2015-04-21</t>
        </is>
      </c>
      <c r="I1834" s="0" t="inlineStr">
        <is>
          <t xml:space="preserve">no</t>
        </is>
      </c>
      <c r="K1834" s="0" t="inlineStr">
        <is>
          <t xml:space="preserve">NONE</t>
        </is>
      </c>
    </row>
    <row r="1835">
      <c r="B1835" s="0" t="inlineStr">
        <is>
          <t xml:space="preserve">M3361017P0005</t>
        </is>
      </c>
      <c r="D1835" s="0" t="inlineStr">
        <is>
          <t xml:space="preserve">small_craft</t>
        </is>
      </c>
      <c r="E1835" s="0" t="inlineStr">
        <is>
          <t xml:space="preserve">DIVE RESCUE INTERNATIONAL, INC.</t>
        </is>
      </c>
      <c r="F1835" s="0" t="inlineStr">
        <is>
          <t xml:space="preserve">B</t>
        </is>
      </c>
      <c r="G1835" s="4">
        <v>0.0045</v>
      </c>
      <c r="H1835" s="0" t="inlineStr">
        <is>
          <t xml:space="preserve">2017-03-31</t>
        </is>
      </c>
      <c r="I1835" s="0" t="inlineStr">
        <is>
          <t xml:space="preserve">no</t>
        </is>
      </c>
      <c r="K1835" s="0" t="inlineStr">
        <is>
          <t xml:space="preserve">NONE</t>
        </is>
      </c>
    </row>
    <row r="1836">
      <c r="B1836" s="0" t="inlineStr">
        <is>
          <t xml:space="preserve">N0010425PBV48</t>
        </is>
      </c>
      <c r="D1836" s="0" t="inlineStr">
        <is>
          <t xml:space="preserve">small_craft</t>
        </is>
      </c>
      <c r="E1836" s="0" t="inlineStr">
        <is>
          <t xml:space="preserve">III WILLIAMS LLC</t>
        </is>
      </c>
      <c r="F1836" s="0" t="inlineStr">
        <is>
          <t xml:space="preserve">B</t>
        </is>
      </c>
      <c r="G1836" s="4">
        <v>0.00447678</v>
      </c>
      <c r="H1836" s="0" t="inlineStr">
        <is>
          <t xml:space="preserve">2025-06-05</t>
        </is>
      </c>
      <c r="I1836" s="0" t="inlineStr">
        <is>
          <t xml:space="preserve">no</t>
        </is>
      </c>
      <c r="K1836" s="0" t="inlineStr">
        <is>
          <t xml:space="preserve">NONE</t>
        </is>
      </c>
    </row>
    <row r="1837">
      <c r="B1837" s="0" t="inlineStr">
        <is>
          <t xml:space="preserve">N0010425PEA91</t>
        </is>
      </c>
      <c r="D1837" s="0" t="inlineStr">
        <is>
          <t xml:space="preserve">small_craft</t>
        </is>
      </c>
      <c r="E1837" s="0" t="inlineStr">
        <is>
          <t xml:space="preserve">SOLID STATE COOLING SYSTEMS, INC.</t>
        </is>
      </c>
      <c r="F1837" s="0" t="inlineStr">
        <is>
          <t xml:space="preserve">B</t>
        </is>
      </c>
      <c r="G1837" s="4">
        <v>0.0044399999999999995</v>
      </c>
      <c r="H1837" s="0" t="inlineStr">
        <is>
          <t xml:space="preserve">2025-08-26</t>
        </is>
      </c>
      <c r="I1837" s="0" t="inlineStr">
        <is>
          <t xml:space="preserve">yes</t>
        </is>
      </c>
      <c r="K1837" s="0" t="inlineStr">
        <is>
          <t xml:space="preserve">NONE</t>
        </is>
      </c>
    </row>
    <row r="1838">
      <c r="B1838" s="0" t="inlineStr">
        <is>
          <t xml:space="preserve">N0010417PCG17</t>
        </is>
      </c>
      <c r="D1838" s="0" t="inlineStr">
        <is>
          <t xml:space="preserve">small_craft</t>
        </is>
      </c>
      <c r="E1838" s="0" t="inlineStr">
        <is>
          <t xml:space="preserve">DEFENSE MARITIME SOLUTIONS, INC.</t>
        </is>
      </c>
      <c r="F1838" s="0" t="inlineStr">
        <is>
          <t xml:space="preserve">B</t>
        </is>
      </c>
      <c r="G1838" s="4">
        <v>0.0044199999999999995</v>
      </c>
      <c r="H1838" s="0" t="inlineStr">
        <is>
          <t xml:space="preserve">2017-09-21</t>
        </is>
      </c>
      <c r="I1838" s="0" t="inlineStr">
        <is>
          <t xml:space="preserve">no</t>
        </is>
      </c>
      <c r="K1838" s="0" t="inlineStr">
        <is>
          <t xml:space="preserve">NONE</t>
        </is>
      </c>
    </row>
    <row r="1839">
      <c r="B1839" s="0" t="inlineStr">
        <is>
          <t xml:space="preserve">N0040618P1319</t>
        </is>
      </c>
      <c r="D1839" s="0" t="inlineStr">
        <is>
          <t xml:space="preserve">small_craft</t>
        </is>
      </c>
      <c r="E1839" s="0" t="inlineStr">
        <is>
          <t xml:space="preserve">GOVERNMENT &amp; INDUSTRIAL SUPPLY, INC.</t>
        </is>
      </c>
      <c r="F1839" s="0" t="inlineStr">
        <is>
          <t xml:space="preserve">B</t>
        </is>
      </c>
      <c r="G1839" s="4">
        <v>0.004399999999999999</v>
      </c>
      <c r="H1839" s="0" t="inlineStr">
        <is>
          <t xml:space="preserve">2018-07-19</t>
        </is>
      </c>
      <c r="I1839" s="0" t="inlineStr">
        <is>
          <t xml:space="preserve">no</t>
        </is>
      </c>
      <c r="K1839" s="0" t="inlineStr">
        <is>
          <t xml:space="preserve">NONE</t>
        </is>
      </c>
    </row>
    <row r="1840">
      <c r="B1840" s="0" t="inlineStr">
        <is>
          <t xml:space="preserve">N0040615P1552</t>
        </is>
      </c>
      <c r="D1840" s="0" t="inlineStr">
        <is>
          <t xml:space="preserve">small_craft</t>
        </is>
      </c>
      <c r="E1840" s="0" t="inlineStr">
        <is>
          <t xml:space="preserve">MAZZELLA LIFTING TECHNOLOGIES, INC.</t>
        </is>
      </c>
      <c r="F1840" s="0" t="inlineStr">
        <is>
          <t xml:space="preserve">B</t>
        </is>
      </c>
      <c r="G1840" s="4">
        <v>0.004399999999999999</v>
      </c>
      <c r="H1840" s="0" t="inlineStr">
        <is>
          <t xml:space="preserve">2015-03-02</t>
        </is>
      </c>
      <c r="I1840" s="0" t="inlineStr">
        <is>
          <t xml:space="preserve">no</t>
        </is>
      </c>
      <c r="K1840" s="0" t="inlineStr">
        <is>
          <t xml:space="preserve">NONE</t>
        </is>
      </c>
    </row>
    <row r="1841">
      <c r="B1841" s="0" t="inlineStr">
        <is>
          <t xml:space="preserve">N0040615P1551</t>
        </is>
      </c>
      <c r="D1841" s="0" t="inlineStr">
        <is>
          <t xml:space="preserve">small_craft</t>
        </is>
      </c>
      <c r="E1841" s="0" t="inlineStr">
        <is>
          <t xml:space="preserve">MAZZELLA LIFTING TECHNOLOGIES, INC.</t>
        </is>
      </c>
      <c r="F1841" s="0" t="inlineStr">
        <is>
          <t xml:space="preserve">B</t>
        </is>
      </c>
      <c r="G1841" s="4">
        <v>0.004399999999999999</v>
      </c>
      <c r="H1841" s="0" t="inlineStr">
        <is>
          <t xml:space="preserve">2015-03-02</t>
        </is>
      </c>
      <c r="I1841" s="0" t="inlineStr">
        <is>
          <t xml:space="preserve">no</t>
        </is>
      </c>
      <c r="K1841" s="0" t="inlineStr">
        <is>
          <t xml:space="preserve">NONE</t>
        </is>
      </c>
    </row>
    <row r="1842">
      <c r="B1842" s="0" t="inlineStr">
        <is>
          <t xml:space="preserve">M6700117P1252</t>
        </is>
      </c>
      <c r="D1842" s="0" t="inlineStr">
        <is>
          <t xml:space="preserve">small_craft</t>
        </is>
      </c>
      <c r="E1842" s="0" t="inlineStr">
        <is>
          <t xml:space="preserve">NOBLE SUPPLY &amp; LOGISTICS, LLC</t>
        </is>
      </c>
      <c r="F1842" s="0" t="inlineStr">
        <is>
          <t xml:space="preserve">B</t>
        </is>
      </c>
      <c r="G1842" s="4">
        <v>0.004397239999999999</v>
      </c>
      <c r="H1842" s="0" t="inlineStr">
        <is>
          <t xml:space="preserve">2017-09-12</t>
        </is>
      </c>
      <c r="I1842" s="0" t="inlineStr">
        <is>
          <t xml:space="preserve">no</t>
        </is>
      </c>
      <c r="J1842" s="0" t="inlineStr">
        <is>
          <t xml:space="preserve">M6700117Q1383</t>
        </is>
      </c>
      <c r="K1842" s="0" t="inlineStr">
        <is>
          <t xml:space="preserve">NONE</t>
        </is>
      </c>
    </row>
    <row r="1843">
      <c r="B1843" s="0" t="inlineStr">
        <is>
          <t xml:space="preserve">N0010423PEA54</t>
        </is>
      </c>
      <c r="D1843" s="0" t="inlineStr">
        <is>
          <t xml:space="preserve">small_craft</t>
        </is>
      </c>
      <c r="E1843" s="0" t="inlineStr">
        <is>
          <t xml:space="preserve">IN SPECK CORP</t>
        </is>
      </c>
      <c r="F1843" s="0" t="inlineStr">
        <is>
          <t xml:space="preserve">B</t>
        </is>
      </c>
      <c r="G1843" s="4">
        <v>0.004357</v>
      </c>
      <c r="H1843" s="0" t="inlineStr">
        <is>
          <t xml:space="preserve">2023-05-25</t>
        </is>
      </c>
      <c r="I1843" s="0" t="inlineStr">
        <is>
          <t xml:space="preserve">no</t>
        </is>
      </c>
      <c r="K1843" s="0" t="inlineStr">
        <is>
          <t xml:space="preserve">NONE</t>
        </is>
      </c>
    </row>
    <row r="1844">
      <c r="B1844" s="0" t="inlineStr">
        <is>
          <t xml:space="preserve">N0010421PND62</t>
        </is>
      </c>
      <c r="D1844" s="0" t="inlineStr">
        <is>
          <t xml:space="preserve">small_craft</t>
        </is>
      </c>
      <c r="E1844" s="0" t="inlineStr">
        <is>
          <t xml:space="preserve">CURTISS-WRIGHT ELECTRO-MECHANICAL CORPORATION</t>
        </is>
      </c>
      <c r="F1844" s="0" t="inlineStr">
        <is>
          <t xml:space="preserve">B</t>
        </is>
      </c>
      <c r="G1844" s="4">
        <v>0.004324</v>
      </c>
      <c r="H1844" s="0" t="inlineStr">
        <is>
          <t xml:space="preserve">2021-08-30</t>
        </is>
      </c>
      <c r="I1844" s="0" t="inlineStr">
        <is>
          <t xml:space="preserve">no</t>
        </is>
      </c>
      <c r="K1844" s="0" t="inlineStr">
        <is>
          <t xml:space="preserve">NONE</t>
        </is>
      </c>
    </row>
    <row r="1845">
      <c r="B1845" s="0" t="inlineStr">
        <is>
          <t xml:space="preserve">N3220518P4159</t>
        </is>
      </c>
      <c r="D1845" s="0" t="inlineStr">
        <is>
          <t xml:space="preserve">other_small</t>
        </is>
      </c>
      <c r="E1845" s="0" t="inlineStr">
        <is>
          <t xml:space="preserve">FAIRBANKS MORSE, LLC</t>
        </is>
      </c>
      <c r="F1845" s="0" t="inlineStr">
        <is>
          <t xml:space="preserve">B</t>
        </is>
      </c>
      <c r="G1845" s="4">
        <v>0.00427018</v>
      </c>
      <c r="H1845" s="0" t="inlineStr">
        <is>
          <t xml:space="preserve">2018-02-15</t>
        </is>
      </c>
      <c r="I1845" s="0" t="inlineStr">
        <is>
          <t xml:space="preserve">no</t>
        </is>
      </c>
      <c r="J1845" s="0" t="inlineStr">
        <is>
          <t xml:space="preserve">N3220518R4164</t>
        </is>
      </c>
      <c r="K1845" s="0" t="inlineStr">
        <is>
          <t xml:space="preserve">NONE</t>
        </is>
      </c>
    </row>
    <row r="1846">
      <c r="B1846" s="0" t="inlineStr">
        <is>
          <t xml:space="preserve">LH39</t>
        </is>
      </c>
      <c r="C1846" s="0" t="inlineStr">
        <is>
          <t xml:space="preserve">N6238715D2104</t>
        </is>
      </c>
      <c r="D1846" s="0" t="inlineStr">
        <is>
          <t xml:space="preserve">other_small</t>
        </is>
      </c>
      <c r="E1846" s="0" t="inlineStr">
        <is>
          <t xml:space="preserve">MCALLISTER TOWING AND TRANSPORTATION COMPANY, INC.</t>
        </is>
      </c>
      <c r="F1846" s="0" t="inlineStr">
        <is>
          <t xml:space="preserve">C</t>
        </is>
      </c>
      <c r="G1846" s="4">
        <v>0.0042604999999999995</v>
      </c>
      <c r="H1846" s="0" t="inlineStr">
        <is>
          <t xml:space="preserve">2016-05-13</t>
        </is>
      </c>
      <c r="I1846" s="0" t="inlineStr">
        <is>
          <t xml:space="preserve">no</t>
        </is>
      </c>
      <c r="J1846" s="0" t="inlineStr">
        <is>
          <t xml:space="preserve">N6238715R2104</t>
        </is>
      </c>
      <c r="K1846" s="0" t="inlineStr">
        <is>
          <t xml:space="preserve">NONE</t>
        </is>
      </c>
    </row>
    <row r="1847">
      <c r="B1847" s="0" t="inlineStr">
        <is>
          <t xml:space="preserve">N0010421PEC88</t>
        </is>
      </c>
      <c r="D1847" s="0" t="inlineStr">
        <is>
          <t xml:space="preserve">small_craft</t>
        </is>
      </c>
      <c r="E1847" s="0" t="inlineStr">
        <is>
          <t xml:space="preserve">DUTCH VALLEY SUPPLY CO.</t>
        </is>
      </c>
      <c r="F1847" s="0" t="inlineStr">
        <is>
          <t xml:space="preserve">B</t>
        </is>
      </c>
      <c r="G1847" s="4">
        <v>0.00421608</v>
      </c>
      <c r="H1847" s="0" t="inlineStr">
        <is>
          <t xml:space="preserve">2021-06-03</t>
        </is>
      </c>
      <c r="I1847" s="0" t="inlineStr">
        <is>
          <t xml:space="preserve">no</t>
        </is>
      </c>
      <c r="K1847" s="0" t="inlineStr">
        <is>
          <t xml:space="preserve">NONE</t>
        </is>
      </c>
    </row>
    <row r="1848">
      <c r="B1848" s="0" t="inlineStr">
        <is>
          <t xml:space="preserve">N0010417PDH85</t>
        </is>
      </c>
      <c r="D1848" s="0" t="inlineStr">
        <is>
          <t xml:space="preserve">small_craft</t>
        </is>
      </c>
      <c r="E1848" s="0" t="inlineStr">
        <is>
          <t xml:space="preserve">TIMKEN GEARS &amp; SERVICES INC.</t>
        </is>
      </c>
      <c r="F1848" s="0" t="inlineStr">
        <is>
          <t xml:space="preserve">B</t>
        </is>
      </c>
      <c r="G1848" s="4">
        <v>0.004208</v>
      </c>
      <c r="H1848" s="0" t="inlineStr">
        <is>
          <t xml:space="preserve">2017-08-22</t>
        </is>
      </c>
      <c r="I1848" s="0" t="inlineStr">
        <is>
          <t xml:space="preserve">no</t>
        </is>
      </c>
      <c r="K1848" s="0" t="inlineStr">
        <is>
          <t xml:space="preserve">NONE</t>
        </is>
      </c>
    </row>
    <row r="1849">
      <c r="B1849" s="0" t="inlineStr">
        <is>
          <t xml:space="preserve">N0010424PEE39</t>
        </is>
      </c>
      <c r="D1849" s="0" t="inlineStr">
        <is>
          <t xml:space="preserve">small_craft</t>
        </is>
      </c>
      <c r="E1849" s="0" t="inlineStr">
        <is>
          <t xml:space="preserve">ECI DEFENSE GROUP, INC.</t>
        </is>
      </c>
      <c r="F1849" s="0" t="inlineStr">
        <is>
          <t xml:space="preserve">B</t>
        </is>
      </c>
      <c r="G1849" s="4">
        <v>0.004179199999999999</v>
      </c>
      <c r="H1849" s="0" t="inlineStr">
        <is>
          <t xml:space="preserve">2024-08-27</t>
        </is>
      </c>
      <c r="I1849" s="0" t="inlineStr">
        <is>
          <t xml:space="preserve">no</t>
        </is>
      </c>
      <c r="K1849" s="0" t="inlineStr">
        <is>
          <t xml:space="preserve">NONE</t>
        </is>
      </c>
    </row>
    <row r="1850">
      <c r="B1850" s="0" t="inlineStr">
        <is>
          <t xml:space="preserve">N0010420FK402</t>
        </is>
      </c>
      <c r="C1850" s="0" t="inlineStr">
        <is>
          <t xml:space="preserve">N0010416DX004</t>
        </is>
      </c>
      <c r="D1850" s="0" t="inlineStr">
        <is>
          <t xml:space="preserve">small_craft</t>
        </is>
      </c>
      <c r="E1850" s="0" t="inlineStr">
        <is>
          <t xml:space="preserve">WING INFLATABLES INC</t>
        </is>
      </c>
      <c r="F1850" s="0" t="inlineStr">
        <is>
          <t xml:space="preserve">C</t>
        </is>
      </c>
      <c r="G1850" s="4">
        <v>0.00417555</v>
      </c>
      <c r="H1850" s="0" t="inlineStr">
        <is>
          <t xml:space="preserve">2020-03-26</t>
        </is>
      </c>
      <c r="I1850" s="0" t="inlineStr">
        <is>
          <t xml:space="preserve">no</t>
        </is>
      </c>
      <c r="K1850" s="0" t="inlineStr">
        <is>
          <t xml:space="preserve">NONE</t>
        </is>
      </c>
    </row>
    <row r="1851">
      <c r="B1851" s="0" t="inlineStr">
        <is>
          <t xml:space="preserve">N0010422PBE81</t>
        </is>
      </c>
      <c r="D1851" s="0" t="inlineStr">
        <is>
          <t xml:space="preserve">small_craft</t>
        </is>
      </c>
      <c r="E1851" s="0" t="inlineStr">
        <is>
          <t xml:space="preserve">IN SPECK CORP</t>
        </is>
      </c>
      <c r="F1851" s="0" t="inlineStr">
        <is>
          <t xml:space="preserve">B</t>
        </is>
      </c>
      <c r="G1851" s="4">
        <v>0.004097</v>
      </c>
      <c r="H1851" s="0" t="inlineStr">
        <is>
          <t xml:space="preserve">2021-11-18</t>
        </is>
      </c>
      <c r="I1851" s="0" t="inlineStr">
        <is>
          <t xml:space="preserve">no</t>
        </is>
      </c>
      <c r="K1851" s="0" t="inlineStr">
        <is>
          <t xml:space="preserve">NONE</t>
        </is>
      </c>
    </row>
    <row r="1852">
      <c r="B1852" s="0" t="inlineStr">
        <is>
          <t xml:space="preserve">N4044207P5534</t>
        </is>
      </c>
      <c r="D1852" s="0" t="inlineStr">
        <is>
          <t xml:space="preserve">other_small</t>
        </is>
      </c>
      <c r="E1852" s="0" t="inlineStr">
        <is>
          <t xml:space="preserve">US JOINER LLC</t>
        </is>
      </c>
      <c r="F1852" s="0" t="inlineStr">
        <is>
          <t xml:space="preserve">B</t>
        </is>
      </c>
      <c r="G1852" s="4">
        <v>0.00409419</v>
      </c>
      <c r="H1852" s="0" t="inlineStr">
        <is>
          <t xml:space="preserve">2007-04-27</t>
        </is>
      </c>
      <c r="I1852" s="0" t="inlineStr">
        <is>
          <t xml:space="preserve">no</t>
        </is>
      </c>
      <c r="K1852" s="0" t="inlineStr">
        <is>
          <t xml:space="preserve">NONE</t>
        </is>
      </c>
    </row>
    <row r="1853">
      <c r="B1853" s="0" t="inlineStr">
        <is>
          <t xml:space="preserve">N0018915F0173</t>
        </is>
      </c>
      <c r="C1853" s="0" t="inlineStr">
        <is>
          <t xml:space="preserve">GS07F0101K</t>
        </is>
      </c>
      <c r="D1853" s="0" t="inlineStr">
        <is>
          <t xml:space="preserve">small_craft</t>
        </is>
      </c>
      <c r="E1853" s="0" t="inlineStr">
        <is>
          <t xml:space="preserve">STIDD SYSTEMS, INC.</t>
        </is>
      </c>
      <c r="F1853" s="0" t="inlineStr">
        <is>
          <t xml:space="preserve">C</t>
        </is>
      </c>
      <c r="G1853" s="4">
        <v>0.00408621</v>
      </c>
      <c r="H1853" s="0" t="inlineStr">
        <is>
          <t xml:space="preserve">2015-07-01</t>
        </is>
      </c>
      <c r="I1853" s="0" t="inlineStr">
        <is>
          <t xml:space="preserve">no</t>
        </is>
      </c>
      <c r="K1853" s="0" t="inlineStr">
        <is>
          <t xml:space="preserve">NONE</t>
        </is>
      </c>
    </row>
    <row r="1854">
      <c r="B1854" s="0" t="inlineStr">
        <is>
          <t xml:space="preserve">N0010419PDE07</t>
        </is>
      </c>
      <c r="D1854" s="0" t="inlineStr">
        <is>
          <t xml:space="preserve">small_craft</t>
        </is>
      </c>
      <c r="E1854" s="0" t="inlineStr">
        <is>
          <t xml:space="preserve">TIMKEN GEARS &amp; SERVICES INC.</t>
        </is>
      </c>
      <c r="F1854" s="0" t="inlineStr">
        <is>
          <t xml:space="preserve">B</t>
        </is>
      </c>
      <c r="G1854" s="4">
        <v>0.004072</v>
      </c>
      <c r="H1854" s="0" t="inlineStr">
        <is>
          <t xml:space="preserve">2019-09-16</t>
        </is>
      </c>
      <c r="I1854" s="0" t="inlineStr">
        <is>
          <t xml:space="preserve">no</t>
        </is>
      </c>
      <c r="K1854" s="0" t="inlineStr">
        <is>
          <t xml:space="preserve">NONE</t>
        </is>
      </c>
    </row>
    <row r="1855">
      <c r="B1855" s="0" t="inlineStr">
        <is>
          <t xml:space="preserve">N0010419PDD56</t>
        </is>
      </c>
      <c r="D1855" s="0" t="inlineStr">
        <is>
          <t xml:space="preserve">small_craft</t>
        </is>
      </c>
      <c r="E1855" s="0" t="inlineStr">
        <is>
          <t xml:space="preserve">TIMKEN GEARS &amp; SERVICES INC.</t>
        </is>
      </c>
      <c r="F1855" s="0" t="inlineStr">
        <is>
          <t xml:space="preserve">B</t>
        </is>
      </c>
      <c r="G1855" s="4">
        <v>0.004072</v>
      </c>
      <c r="H1855" s="0" t="inlineStr">
        <is>
          <t xml:space="preserve">2019-06-20</t>
        </is>
      </c>
      <c r="I1855" s="0" t="inlineStr">
        <is>
          <t xml:space="preserve">no</t>
        </is>
      </c>
      <c r="K1855" s="0" t="inlineStr">
        <is>
          <t xml:space="preserve">NONE</t>
        </is>
      </c>
    </row>
    <row r="1856">
      <c r="B1856" s="0" t="inlineStr">
        <is>
          <t xml:space="preserve">N0040615P3723</t>
        </is>
      </c>
      <c r="D1856" s="0" t="inlineStr">
        <is>
          <t xml:space="preserve">small_craft</t>
        </is>
      </c>
      <c r="E1856" s="0" t="inlineStr">
        <is>
          <t xml:space="preserve">BENNETT INDUSTRIES, INC</t>
        </is>
      </c>
      <c r="F1856" s="0" t="inlineStr">
        <is>
          <t xml:space="preserve">B</t>
        </is>
      </c>
      <c r="G1856" s="4">
        <v>0.00406679</v>
      </c>
      <c r="H1856" s="0" t="inlineStr">
        <is>
          <t xml:space="preserve">2015-08-26</t>
        </is>
      </c>
      <c r="I1856" s="0" t="inlineStr">
        <is>
          <t xml:space="preserve">no</t>
        </is>
      </c>
      <c r="K1856" s="0" t="inlineStr">
        <is>
          <t xml:space="preserve">NONE</t>
        </is>
      </c>
    </row>
    <row r="1857">
      <c r="B1857" s="0" t="inlineStr">
        <is>
          <t xml:space="preserve">N0010418PDE62</t>
        </is>
      </c>
      <c r="D1857" s="0" t="inlineStr">
        <is>
          <t xml:space="preserve">small_craft</t>
        </is>
      </c>
      <c r="E1857" s="0" t="inlineStr">
        <is>
          <t xml:space="preserve">ARGONAUT ENTERPRISES VB LLC</t>
        </is>
      </c>
      <c r="F1857" s="0" t="inlineStr">
        <is>
          <t xml:space="preserve">B</t>
        </is>
      </c>
      <c r="G1857" s="4">
        <v>0.00405175</v>
      </c>
      <c r="H1857" s="0" t="inlineStr">
        <is>
          <t xml:space="preserve">2018-07-11</t>
        </is>
      </c>
      <c r="I1857" s="0" t="inlineStr">
        <is>
          <t xml:space="preserve">no</t>
        </is>
      </c>
      <c r="K1857" s="0" t="inlineStr">
        <is>
          <t xml:space="preserve">NONE</t>
        </is>
      </c>
    </row>
    <row r="1858">
      <c r="B1858" s="0" t="inlineStr">
        <is>
          <t xml:space="preserve">N0010425PCA39</t>
        </is>
      </c>
      <c r="D1858" s="0" t="inlineStr">
        <is>
          <t xml:space="preserve">small_craft</t>
        </is>
      </c>
      <c r="E1858" s="0" t="inlineStr">
        <is>
          <t xml:space="preserve">ADVANCED STRUCTURES CORPORATION</t>
        </is>
      </c>
      <c r="F1858" s="0" t="inlineStr">
        <is>
          <t xml:space="preserve">B</t>
        </is>
      </c>
      <c r="G1858" s="4">
        <v>0.00405</v>
      </c>
      <c r="H1858" s="0" t="inlineStr">
        <is>
          <t xml:space="preserve">2024-12-19</t>
        </is>
      </c>
      <c r="I1858" s="0" t="inlineStr">
        <is>
          <t xml:space="preserve">no</t>
        </is>
      </c>
      <c r="K1858" s="0" t="inlineStr">
        <is>
          <t xml:space="preserve">NONE</t>
        </is>
      </c>
    </row>
    <row r="1859">
      <c r="B1859" s="0" t="inlineStr">
        <is>
          <t xml:space="preserve">N4044207P5337</t>
        </is>
      </c>
      <c r="D1859" s="0" t="inlineStr">
        <is>
          <t xml:space="preserve">other_small</t>
        </is>
      </c>
      <c r="E1859" s="0" t="inlineStr">
        <is>
          <t xml:space="preserve">DIESEL INJECTION SALES &amp; SERVICE LIMITED</t>
        </is>
      </c>
      <c r="F1859" s="0" t="inlineStr">
        <is>
          <t xml:space="preserve">B</t>
        </is>
      </c>
      <c r="G1859" s="4">
        <v>0.0040098899999999995</v>
      </c>
      <c r="H1859" s="0" t="inlineStr">
        <is>
          <t xml:space="preserve">2007-02-27</t>
        </is>
      </c>
      <c r="I1859" s="0" t="inlineStr">
        <is>
          <t xml:space="preserve">no</t>
        </is>
      </c>
      <c r="K1859" s="0" t="inlineStr">
        <is>
          <t xml:space="preserve">NONE</t>
        </is>
      </c>
    </row>
    <row r="1860">
      <c r="B1860" s="0" t="inlineStr">
        <is>
          <t xml:space="preserve">N0010423PFE44</t>
        </is>
      </c>
      <c r="D1860" s="0" t="inlineStr">
        <is>
          <t xml:space="preserve">small_craft</t>
        </is>
      </c>
      <c r="E1860" s="0" t="inlineStr">
        <is>
          <t xml:space="preserve">IN SPECK CORP</t>
        </is>
      </c>
      <c r="F1860" s="0" t="inlineStr">
        <is>
          <t xml:space="preserve">B</t>
        </is>
      </c>
      <c r="G1860" s="4">
        <v>0.0040095</v>
      </c>
      <c r="H1860" s="0" t="inlineStr">
        <is>
          <t xml:space="preserve">2023-09-13</t>
        </is>
      </c>
      <c r="I1860" s="0" t="inlineStr">
        <is>
          <t xml:space="preserve">no</t>
        </is>
      </c>
      <c r="J1860" s="0" t="inlineStr">
        <is>
          <t xml:space="preserve">N0010423QFD98</t>
        </is>
      </c>
      <c r="K1860" s="0" t="inlineStr">
        <is>
          <t xml:space="preserve">NONE</t>
        </is>
      </c>
    </row>
    <row r="1861">
      <c r="B1861" s="0" t="inlineStr">
        <is>
          <t xml:space="preserve">N0040615P0987</t>
        </is>
      </c>
      <c r="D1861" s="0" t="inlineStr">
        <is>
          <t xml:space="preserve">small_craft</t>
        </is>
      </c>
      <c r="E1861" s="0" t="inlineStr">
        <is>
          <t xml:space="preserve">DELTA INTERNATIONAL, INC.</t>
        </is>
      </c>
      <c r="F1861" s="0" t="inlineStr">
        <is>
          <t xml:space="preserve">B</t>
        </is>
      </c>
      <c r="G1861" s="4">
        <v>0.0040089999999999995</v>
      </c>
      <c r="H1861" s="0" t="inlineStr">
        <is>
          <t xml:space="preserve">2015-01-14</t>
        </is>
      </c>
      <c r="I1861" s="0" t="inlineStr">
        <is>
          <t xml:space="preserve">no</t>
        </is>
      </c>
      <c r="K1861" s="0" t="inlineStr">
        <is>
          <t xml:space="preserve">NONE</t>
        </is>
      </c>
    </row>
    <row r="1862">
      <c r="B1862" s="0" t="inlineStr">
        <is>
          <t xml:space="preserve">N0020314P7509</t>
        </is>
      </c>
      <c r="D1862" s="0" t="inlineStr">
        <is>
          <t xml:space="preserve">other_small</t>
        </is>
      </c>
      <c r="E1862" s="0" t="inlineStr">
        <is>
          <t xml:space="preserve">LABREPCO LLC</t>
        </is>
      </c>
      <c r="F1862" s="0" t="inlineStr">
        <is>
          <t xml:space="preserve">B</t>
        </is>
      </c>
      <c r="G1862" s="4">
        <v>0.003994999999999999</v>
      </c>
      <c r="H1862" s="0" t="inlineStr">
        <is>
          <t xml:space="preserve">2014-08-07</t>
        </is>
      </c>
      <c r="I1862" s="0" t="inlineStr">
        <is>
          <t xml:space="preserve">no</t>
        </is>
      </c>
      <c r="K1862" s="0" t="inlineStr">
        <is>
          <t xml:space="preserve">NONE</t>
        </is>
      </c>
    </row>
    <row r="1863">
      <c r="B1863" s="0" t="inlineStr">
        <is>
          <t xml:space="preserve">N0010418PBH72</t>
        </is>
      </c>
      <c r="D1863" s="0" t="inlineStr">
        <is>
          <t xml:space="preserve">small_craft</t>
        </is>
      </c>
      <c r="E1863" s="0" t="inlineStr">
        <is>
          <t xml:space="preserve">DERBYSHIRE MACHINE &amp; TOOL CO</t>
        </is>
      </c>
      <c r="F1863" s="0" t="inlineStr">
        <is>
          <t xml:space="preserve">B</t>
        </is>
      </c>
      <c r="G1863" s="4">
        <v>0.00399</v>
      </c>
      <c r="H1863" s="0" t="inlineStr">
        <is>
          <t xml:space="preserve">2017-12-21</t>
        </is>
      </c>
      <c r="I1863" s="0" t="inlineStr">
        <is>
          <t xml:space="preserve">no</t>
        </is>
      </c>
      <c r="K1863" s="0" t="inlineStr">
        <is>
          <t xml:space="preserve">NONE</t>
        </is>
      </c>
    </row>
    <row r="1864">
      <c r="B1864" s="0" t="inlineStr">
        <is>
          <t xml:space="preserve">N0010417PBD62</t>
        </is>
      </c>
      <c r="D1864" s="0" t="inlineStr">
        <is>
          <t xml:space="preserve">small_craft</t>
        </is>
      </c>
      <c r="E1864" s="0" t="inlineStr">
        <is>
          <t xml:space="preserve">DERBYSHIRE MACHINE &amp; TOOL CO</t>
        </is>
      </c>
      <c r="F1864" s="0" t="inlineStr">
        <is>
          <t xml:space="preserve">B</t>
        </is>
      </c>
      <c r="G1864" s="4">
        <v>0.00399</v>
      </c>
      <c r="H1864" s="0" t="inlineStr">
        <is>
          <t xml:space="preserve">2016-10-28</t>
        </is>
      </c>
      <c r="I1864" s="0" t="inlineStr">
        <is>
          <t xml:space="preserve">no</t>
        </is>
      </c>
      <c r="K1864" s="0" t="inlineStr">
        <is>
          <t xml:space="preserve">NONE</t>
        </is>
      </c>
    </row>
    <row r="1865">
      <c r="B1865" s="0" t="inlineStr">
        <is>
          <t xml:space="preserve">N0040616P1191</t>
        </is>
      </c>
      <c r="D1865" s="0" t="inlineStr">
        <is>
          <t xml:space="preserve">small_craft</t>
        </is>
      </c>
      <c r="E1865" s="0" t="inlineStr">
        <is>
          <t xml:space="preserve">PACIFIC MARITIME INDUSTRIES CORP.</t>
        </is>
      </c>
      <c r="F1865" s="0" t="inlineStr">
        <is>
          <t xml:space="preserve">B</t>
        </is>
      </c>
      <c r="G1865" s="4">
        <v>0.0039499999999999995</v>
      </c>
      <c r="H1865" s="0" t="inlineStr">
        <is>
          <t xml:space="preserve">2016-02-17</t>
        </is>
      </c>
      <c r="I1865" s="0" t="inlineStr">
        <is>
          <t xml:space="preserve">no</t>
        </is>
      </c>
      <c r="K1865" s="0" t="inlineStr">
        <is>
          <t xml:space="preserve">NONE</t>
        </is>
      </c>
    </row>
    <row r="1866">
      <c r="B1866" s="0" t="inlineStr">
        <is>
          <t xml:space="preserve">N0040615P2970</t>
        </is>
      </c>
      <c r="D1866" s="0" t="inlineStr">
        <is>
          <t xml:space="preserve">small_craft</t>
        </is>
      </c>
      <c r="E1866" s="0" t="inlineStr">
        <is>
          <t xml:space="preserve">PACIFIC MARITIME INDUSTRIES CORP.</t>
        </is>
      </c>
      <c r="F1866" s="0" t="inlineStr">
        <is>
          <t xml:space="preserve">B</t>
        </is>
      </c>
      <c r="G1866" s="4">
        <v>0.0039499999999999995</v>
      </c>
      <c r="H1866" s="0" t="inlineStr">
        <is>
          <t xml:space="preserve">2015-06-22</t>
        </is>
      </c>
      <c r="I1866" s="0" t="inlineStr">
        <is>
          <t xml:space="preserve">no</t>
        </is>
      </c>
      <c r="K1866" s="0" t="inlineStr">
        <is>
          <t xml:space="preserve">NONE</t>
        </is>
      </c>
    </row>
    <row r="1867">
      <c r="B1867" s="0" t="inlineStr">
        <is>
          <t xml:space="preserve">N0040615P1862</t>
        </is>
      </c>
      <c r="D1867" s="0" t="inlineStr">
        <is>
          <t xml:space="preserve">small_craft</t>
        </is>
      </c>
      <c r="E1867" s="0" t="inlineStr">
        <is>
          <t xml:space="preserve">PACIFIC MARITIME INDUSTRIES CORP.</t>
        </is>
      </c>
      <c r="F1867" s="0" t="inlineStr">
        <is>
          <t xml:space="preserve">B</t>
        </is>
      </c>
      <c r="G1867" s="4">
        <v>0.0039499999999999995</v>
      </c>
      <c r="H1867" s="0" t="inlineStr">
        <is>
          <t xml:space="preserve">2015-03-30</t>
        </is>
      </c>
      <c r="I1867" s="0" t="inlineStr">
        <is>
          <t xml:space="preserve">no</t>
        </is>
      </c>
      <c r="K1867" s="0" t="inlineStr">
        <is>
          <t xml:space="preserve">NONE</t>
        </is>
      </c>
    </row>
    <row r="1868">
      <c r="B1868" s="0" t="inlineStr">
        <is>
          <t xml:space="preserve">N0010421PND40</t>
        </is>
      </c>
      <c r="D1868" s="0" t="inlineStr">
        <is>
          <t xml:space="preserve">small_craft</t>
        </is>
      </c>
      <c r="E1868" s="0" t="inlineStr">
        <is>
          <t xml:space="preserve">FAXON ENGINEERING CO INC</t>
        </is>
      </c>
      <c r="F1868" s="0" t="inlineStr">
        <is>
          <t xml:space="preserve">B</t>
        </is>
      </c>
      <c r="G1868" s="4">
        <v>0.003945</v>
      </c>
      <c r="H1868" s="0" t="inlineStr">
        <is>
          <t xml:space="preserve">2021-08-18</t>
        </is>
      </c>
      <c r="I1868" s="0" t="inlineStr">
        <is>
          <t xml:space="preserve">no</t>
        </is>
      </c>
      <c r="K1868" s="0" t="inlineStr">
        <is>
          <t xml:space="preserve">NONE</t>
        </is>
      </c>
    </row>
    <row r="1869">
      <c r="B1869" s="0" t="inlineStr">
        <is>
          <t xml:space="preserve">N0010420PED95</t>
        </is>
      </c>
      <c r="D1869" s="0" t="inlineStr">
        <is>
          <t xml:space="preserve">small_craft</t>
        </is>
      </c>
      <c r="E1869" s="0" t="inlineStr">
        <is>
          <t xml:space="preserve">HUGHES CORP</t>
        </is>
      </c>
      <c r="F1869" s="0" t="inlineStr">
        <is>
          <t xml:space="preserve">B</t>
        </is>
      </c>
      <c r="G1869" s="4">
        <v>0.003888</v>
      </c>
      <c r="H1869" s="0" t="inlineStr">
        <is>
          <t xml:space="preserve">2020-05-14</t>
        </is>
      </c>
      <c r="I1869" s="0" t="inlineStr">
        <is>
          <t xml:space="preserve">no</t>
        </is>
      </c>
      <c r="K1869" s="0" t="inlineStr">
        <is>
          <t xml:space="preserve">NONE</t>
        </is>
      </c>
    </row>
    <row r="1870">
      <c r="B1870" s="0" t="inlineStr">
        <is>
          <t xml:space="preserve">N0010421PBX15</t>
        </is>
      </c>
      <c r="D1870" s="0" t="inlineStr">
        <is>
          <t xml:space="preserve">small_craft</t>
        </is>
      </c>
      <c r="E1870" s="0" t="inlineStr">
        <is>
          <t xml:space="preserve">GOVERNMENT SCIENTIFIC SOURCE INC</t>
        </is>
      </c>
      <c r="F1870" s="0" t="inlineStr">
        <is>
          <t xml:space="preserve">B</t>
        </is>
      </c>
      <c r="G1870" s="4">
        <v>0.0038867199999999998</v>
      </c>
      <c r="H1870" s="0" t="inlineStr">
        <is>
          <t xml:space="preserve">2021-04-14</t>
        </is>
      </c>
      <c r="I1870" s="0" t="inlineStr">
        <is>
          <t xml:space="preserve">no</t>
        </is>
      </c>
      <c r="K1870" s="0" t="inlineStr">
        <is>
          <t xml:space="preserve">NONE</t>
        </is>
      </c>
    </row>
    <row r="1871">
      <c r="B1871" s="0" t="inlineStr">
        <is>
          <t xml:space="preserve">N0010423PBN15</t>
        </is>
      </c>
      <c r="D1871" s="0" t="inlineStr">
        <is>
          <t xml:space="preserve">small_craft</t>
        </is>
      </c>
      <c r="E1871" s="0" t="inlineStr">
        <is>
          <t xml:space="preserve">ADIRONDACK ELECTRONICS INC</t>
        </is>
      </c>
      <c r="F1871" s="0" t="inlineStr">
        <is>
          <t xml:space="preserve">B</t>
        </is>
      </c>
      <c r="G1871" s="4">
        <v>0.0038838</v>
      </c>
      <c r="H1871" s="0" t="inlineStr">
        <is>
          <t xml:space="preserve">2023-02-07</t>
        </is>
      </c>
      <c r="I1871" s="0" t="inlineStr">
        <is>
          <t xml:space="preserve">no</t>
        </is>
      </c>
      <c r="K1871" s="0" t="inlineStr">
        <is>
          <t xml:space="preserve">NONE</t>
        </is>
      </c>
    </row>
    <row r="1872">
      <c r="B1872" s="0" t="inlineStr">
        <is>
          <t xml:space="preserve">0066</t>
        </is>
      </c>
      <c r="C1872" s="0" t="inlineStr">
        <is>
          <t xml:space="preserve">N3220513D2000</t>
        </is>
      </c>
      <c r="D1872" s="0" t="inlineStr">
        <is>
          <t xml:space="preserve">other_small</t>
        </is>
      </c>
      <c r="E1872" s="0" t="inlineStr">
        <is>
          <t xml:space="preserve">ROLLS-ROYCE SOLUTIONS AMERICA INC</t>
        </is>
      </c>
      <c r="F1872" s="0" t="inlineStr">
        <is>
          <t xml:space="preserve">C</t>
        </is>
      </c>
      <c r="G1872" s="4">
        <v>0.00386875</v>
      </c>
      <c r="H1872" s="0" t="inlineStr">
        <is>
          <t xml:space="preserve">2016-01-23</t>
        </is>
      </c>
      <c r="I1872" s="0" t="inlineStr">
        <is>
          <t xml:space="preserve">no</t>
        </is>
      </c>
      <c r="J1872" s="0" t="inlineStr">
        <is>
          <t xml:space="preserve">N4044211R2005</t>
        </is>
      </c>
      <c r="K1872" s="0" t="inlineStr">
        <is>
          <t xml:space="preserve">NONE</t>
        </is>
      </c>
    </row>
    <row r="1873">
      <c r="B1873" s="0" t="inlineStr">
        <is>
          <t xml:space="preserve">N4044207P5360</t>
        </is>
      </c>
      <c r="D1873" s="0" t="inlineStr">
        <is>
          <t xml:space="preserve">other_small</t>
        </is>
      </c>
      <c r="E1873" s="0" t="inlineStr">
        <is>
          <t xml:space="preserve">REDDEN MARINE SUPPLY, INC.</t>
        </is>
      </c>
      <c r="F1873" s="0" t="inlineStr">
        <is>
          <t xml:space="preserve">B</t>
        </is>
      </c>
      <c r="G1873" s="4">
        <v>0.0038315199999999997</v>
      </c>
      <c r="H1873" s="0" t="inlineStr">
        <is>
          <t xml:space="preserve">2007-02-26</t>
        </is>
      </c>
      <c r="I1873" s="0" t="inlineStr">
        <is>
          <t xml:space="preserve">no</t>
        </is>
      </c>
      <c r="K1873" s="0" t="inlineStr">
        <is>
          <t xml:space="preserve">NONE</t>
        </is>
      </c>
    </row>
    <row r="1874">
      <c r="B1874" s="0" t="inlineStr">
        <is>
          <t xml:space="preserve">N0010423PSC33</t>
        </is>
      </c>
      <c r="D1874" s="0" t="inlineStr">
        <is>
          <t xml:space="preserve">small_craft</t>
        </is>
      </c>
      <c r="E1874" s="0" t="inlineStr">
        <is>
          <t xml:space="preserve">ADVANCED TEST EQUIPMENT CORPORATION</t>
        </is>
      </c>
      <c r="F1874" s="0" t="inlineStr">
        <is>
          <t xml:space="preserve">B</t>
        </is>
      </c>
      <c r="G1874" s="4">
        <v>0.0038074999999999997</v>
      </c>
      <c r="H1874" s="0" t="inlineStr">
        <is>
          <t xml:space="preserve">2023-07-26</t>
        </is>
      </c>
      <c r="I1874" s="0" t="inlineStr">
        <is>
          <t xml:space="preserve">no</t>
        </is>
      </c>
      <c r="K1874" s="0" t="inlineStr">
        <is>
          <t xml:space="preserve">NONE</t>
        </is>
      </c>
    </row>
    <row r="1875">
      <c r="B1875" s="0" t="inlineStr">
        <is>
          <t xml:space="preserve">N0010415PEE18</t>
        </is>
      </c>
      <c r="D1875" s="0" t="inlineStr">
        <is>
          <t xml:space="preserve">small_craft</t>
        </is>
      </c>
      <c r="E1875" s="0" t="inlineStr">
        <is>
          <t xml:space="preserve">DEFENSE MANUFACTURERS INC</t>
        </is>
      </c>
      <c r="F1875" s="0" t="inlineStr">
        <is>
          <t xml:space="preserve">B</t>
        </is>
      </c>
      <c r="G1875" s="4">
        <v>0.0037832399999999998</v>
      </c>
      <c r="H1875" s="0" t="inlineStr">
        <is>
          <t xml:space="preserve">2015-05-14</t>
        </is>
      </c>
      <c r="I1875" s="0" t="inlineStr">
        <is>
          <t xml:space="preserve">no</t>
        </is>
      </c>
      <c r="K1875" s="0" t="inlineStr">
        <is>
          <t xml:space="preserve">NONE</t>
        </is>
      </c>
    </row>
    <row r="1876">
      <c r="B1876" s="0" t="inlineStr">
        <is>
          <t xml:space="preserve">N0040615P4138</t>
        </is>
      </c>
      <c r="D1876" s="0" t="inlineStr">
        <is>
          <t xml:space="preserve">small_craft</t>
        </is>
      </c>
      <c r="E1876" s="0" t="inlineStr">
        <is>
          <t xml:space="preserve">SETRA SYSTEMS, INC.</t>
        </is>
      </c>
      <c r="F1876" s="0" t="inlineStr">
        <is>
          <t xml:space="preserve">B</t>
        </is>
      </c>
      <c r="G1876" s="4">
        <v>0.00375</v>
      </c>
      <c r="H1876" s="0" t="inlineStr">
        <is>
          <t xml:space="preserve">2015-09-21</t>
        </is>
      </c>
      <c r="I1876" s="0" t="inlineStr">
        <is>
          <t xml:space="preserve">no</t>
        </is>
      </c>
      <c r="K1876" s="0" t="inlineStr">
        <is>
          <t xml:space="preserve">NONE</t>
        </is>
      </c>
    </row>
    <row r="1877">
      <c r="B1877" s="0" t="inlineStr">
        <is>
          <t xml:space="preserve">N0010420PNB75</t>
        </is>
      </c>
      <c r="D1877" s="0" t="inlineStr">
        <is>
          <t xml:space="preserve">small_craft</t>
        </is>
      </c>
      <c r="E1877" s="0" t="inlineStr">
        <is>
          <t xml:space="preserve">OIL STATES INDUSTRIES, INC.</t>
        </is>
      </c>
      <c r="F1877" s="0" t="inlineStr">
        <is>
          <t xml:space="preserve">B</t>
        </is>
      </c>
      <c r="G1877" s="4">
        <v>0.00375</v>
      </c>
      <c r="H1877" s="0" t="inlineStr">
        <is>
          <t xml:space="preserve">2020-02-13</t>
        </is>
      </c>
      <c r="I1877" s="0" t="inlineStr">
        <is>
          <t xml:space="preserve">no</t>
        </is>
      </c>
      <c r="K1877" s="0" t="inlineStr">
        <is>
          <t xml:space="preserve">NONE</t>
        </is>
      </c>
    </row>
    <row r="1878">
      <c r="B1878" s="0" t="inlineStr">
        <is>
          <t xml:space="preserve">N0010426PBN22</t>
        </is>
      </c>
      <c r="D1878" s="0" t="inlineStr">
        <is>
          <t xml:space="preserve">small_craft</t>
        </is>
      </c>
      <c r="E1878" s="0" t="inlineStr">
        <is>
          <t xml:space="preserve">GAFFEL EQUIPMENT</t>
        </is>
      </c>
      <c r="F1878" s="0" t="inlineStr">
        <is>
          <t xml:space="preserve">B</t>
        </is>
      </c>
      <c r="G1878" s="4">
        <v>0.0037365</v>
      </c>
      <c r="H1878" s="0" t="inlineStr">
        <is>
          <t xml:space="preserve">2026-03-20</t>
        </is>
      </c>
      <c r="I1878" s="0" t="inlineStr">
        <is>
          <t xml:space="preserve">yes</t>
        </is>
      </c>
      <c r="K1878" s="0" t="inlineStr">
        <is>
          <t xml:space="preserve">NONE</t>
        </is>
      </c>
    </row>
    <row r="1879">
      <c r="B1879" s="0" t="inlineStr">
        <is>
          <t xml:space="preserve">N6883616P0413</t>
        </is>
      </c>
      <c r="D1879" s="0" t="inlineStr">
        <is>
          <t xml:space="preserve">small_craft</t>
        </is>
      </c>
      <c r="E1879" s="0" t="inlineStr">
        <is>
          <t xml:space="preserve">WING INFLATABLES, INC.</t>
        </is>
      </c>
      <c r="F1879" s="0" t="inlineStr">
        <is>
          <t xml:space="preserve">B</t>
        </is>
      </c>
      <c r="G1879" s="4">
        <v>0.00372262</v>
      </c>
      <c r="H1879" s="0" t="inlineStr">
        <is>
          <t xml:space="preserve">2016-04-06</t>
        </is>
      </c>
      <c r="I1879" s="0" t="inlineStr">
        <is>
          <t xml:space="preserve">no</t>
        </is>
      </c>
      <c r="K1879" s="0" t="inlineStr">
        <is>
          <t xml:space="preserve">NONE</t>
        </is>
      </c>
    </row>
    <row r="1880">
      <c r="B1880" s="0" t="inlineStr">
        <is>
          <t xml:space="preserve">N4044316P0473</t>
        </is>
      </c>
      <c r="D1880" s="0" t="inlineStr">
        <is>
          <t xml:space="preserve">small_craft</t>
        </is>
      </c>
      <c r="E1880" s="0" t="inlineStr">
        <is>
          <t xml:space="preserve">BAY DIESEL CORP</t>
        </is>
      </c>
      <c r="F1880" s="0" t="inlineStr">
        <is>
          <t xml:space="preserve">B</t>
        </is>
      </c>
      <c r="G1880" s="4">
        <v>0.00367125</v>
      </c>
      <c r="H1880" s="0" t="inlineStr">
        <is>
          <t xml:space="preserve">2016-07-13</t>
        </is>
      </c>
      <c r="I1880" s="0" t="inlineStr">
        <is>
          <t xml:space="preserve">no</t>
        </is>
      </c>
      <c r="K1880" s="0" t="inlineStr">
        <is>
          <t xml:space="preserve">NONE</t>
        </is>
      </c>
    </row>
    <row r="1881">
      <c r="B1881" s="0" t="inlineStr">
        <is>
          <t xml:space="preserve">N0010421PND38</t>
        </is>
      </c>
      <c r="D1881" s="0" t="inlineStr">
        <is>
          <t xml:space="preserve">small_craft</t>
        </is>
      </c>
      <c r="E1881" s="0" t="inlineStr">
        <is>
          <t xml:space="preserve">NORTHROP GRUMMAN SYSTEMS CORPORATION</t>
        </is>
      </c>
      <c r="F1881" s="0" t="inlineStr">
        <is>
          <t xml:space="preserve">B</t>
        </is>
      </c>
      <c r="G1881" s="4">
        <v>0.003663</v>
      </c>
      <c r="H1881" s="0" t="inlineStr">
        <is>
          <t xml:space="preserve">2021-09-03</t>
        </is>
      </c>
      <c r="I1881" s="0" t="inlineStr">
        <is>
          <t xml:space="preserve">no</t>
        </is>
      </c>
      <c r="K1881" s="0" t="inlineStr">
        <is>
          <t xml:space="preserve">NONE</t>
        </is>
      </c>
    </row>
    <row r="1882">
      <c r="B1882" s="0" t="inlineStr">
        <is>
          <t xml:space="preserve">N0010426PYA42</t>
        </is>
      </c>
      <c r="D1882" s="0" t="inlineStr">
        <is>
          <t xml:space="preserve">small_craft</t>
        </is>
      </c>
      <c r="E1882" s="0" t="inlineStr">
        <is>
          <t xml:space="preserve">IN SPECK CORP</t>
        </is>
      </c>
      <c r="F1882" s="0" t="inlineStr">
        <is>
          <t xml:space="preserve">B</t>
        </is>
      </c>
      <c r="G1882" s="4">
        <v>0.0036324</v>
      </c>
      <c r="H1882" s="0" t="inlineStr">
        <is>
          <t xml:space="preserve">2025-10-16</t>
        </is>
      </c>
      <c r="I1882" s="0" t="inlineStr">
        <is>
          <t xml:space="preserve">yes</t>
        </is>
      </c>
      <c r="J1882" s="0" t="inlineStr">
        <is>
          <t xml:space="preserve">N0010425QZA29</t>
        </is>
      </c>
      <c r="K1882" s="0" t="inlineStr">
        <is>
          <t xml:space="preserve">NONE</t>
        </is>
      </c>
    </row>
    <row r="1883">
      <c r="B1883" s="0" t="inlineStr">
        <is>
          <t xml:space="preserve">N4044207P5430</t>
        </is>
      </c>
      <c r="D1883" s="0" t="inlineStr">
        <is>
          <t xml:space="preserve">other_small</t>
        </is>
      </c>
      <c r="E1883" s="0" t="inlineStr">
        <is>
          <t xml:space="preserve">PACIFIC CONSOLIDATED INDUSTRIES LLC</t>
        </is>
      </c>
      <c r="F1883" s="0" t="inlineStr">
        <is>
          <t xml:space="preserve">B</t>
        </is>
      </c>
      <c r="G1883" s="4">
        <v>0.00361906</v>
      </c>
      <c r="H1883" s="0" t="inlineStr">
        <is>
          <t xml:space="preserve">2007-03-20</t>
        </is>
      </c>
      <c r="I1883" s="0" t="inlineStr">
        <is>
          <t xml:space="preserve">no</t>
        </is>
      </c>
      <c r="K1883" s="0" t="inlineStr">
        <is>
          <t xml:space="preserve">NONE</t>
        </is>
      </c>
    </row>
    <row r="1884">
      <c r="B1884" s="0" t="inlineStr">
        <is>
          <t xml:space="preserve">N0010425PXC47</t>
        </is>
      </c>
      <c r="D1884" s="0" t="inlineStr">
        <is>
          <t xml:space="preserve">small_craft</t>
        </is>
      </c>
      <c r="E1884" s="0" t="inlineStr">
        <is>
          <t xml:space="preserve">HYTECH ASSOCIATES INCORPORATED</t>
        </is>
      </c>
      <c r="F1884" s="0" t="inlineStr">
        <is>
          <t xml:space="preserve">B</t>
        </is>
      </c>
      <c r="G1884" s="4">
        <v>0.0036049999999999997</v>
      </c>
      <c r="H1884" s="0" t="inlineStr">
        <is>
          <t xml:space="preserve">2025-09-29</t>
        </is>
      </c>
      <c r="I1884" s="0" t="inlineStr">
        <is>
          <t xml:space="preserve">yes</t>
        </is>
      </c>
      <c r="K1884" s="0" t="inlineStr">
        <is>
          <t xml:space="preserve">NONE</t>
        </is>
      </c>
    </row>
    <row r="1885">
      <c r="B1885" s="0" t="inlineStr">
        <is>
          <t xml:space="preserve">N0010424PLE13</t>
        </is>
      </c>
      <c r="D1885" s="0" t="inlineStr">
        <is>
          <t xml:space="preserve">small_craft</t>
        </is>
      </c>
      <c r="E1885" s="0" t="inlineStr">
        <is>
          <t xml:space="preserve">FROMM ELECTRIC SUPPLY OF READING, PENNA., LLC</t>
        </is>
      </c>
      <c r="F1885" s="0" t="inlineStr">
        <is>
          <t xml:space="preserve">B</t>
        </is>
      </c>
      <c r="G1885" s="4">
        <v>0.0036</v>
      </c>
      <c r="H1885" s="0" t="inlineStr">
        <is>
          <t xml:space="preserve">2024-09-18</t>
        </is>
      </c>
      <c r="I1885" s="0" t="inlineStr">
        <is>
          <t xml:space="preserve">no</t>
        </is>
      </c>
      <c r="J1885" s="0" t="inlineStr">
        <is>
          <t xml:space="preserve">N0010424QLE42</t>
        </is>
      </c>
      <c r="K1885" s="0" t="inlineStr">
        <is>
          <t xml:space="preserve">NONE</t>
        </is>
      </c>
    </row>
    <row r="1886">
      <c r="B1886" s="0" t="inlineStr">
        <is>
          <t xml:space="preserve">N0016716P0177</t>
        </is>
      </c>
      <c r="D1886" s="0" t="inlineStr">
        <is>
          <t xml:space="preserve">other_small</t>
        </is>
      </c>
      <c r="E1886" s="0" t="inlineStr">
        <is>
          <t xml:space="preserve">NORTHWEST RIVER SUPPLIES INC</t>
        </is>
      </c>
      <c r="F1886" s="0" t="inlineStr">
        <is>
          <t xml:space="preserve">B</t>
        </is>
      </c>
      <c r="G1886" s="4">
        <v>0.00358227</v>
      </c>
      <c r="H1886" s="0" t="inlineStr">
        <is>
          <t xml:space="preserve">2016-06-02</t>
        </is>
      </c>
      <c r="I1886" s="0" t="inlineStr">
        <is>
          <t xml:space="preserve">no</t>
        </is>
      </c>
      <c r="K1886" s="0" t="inlineStr">
        <is>
          <t xml:space="preserve">NONE</t>
        </is>
      </c>
    </row>
    <row r="1887">
      <c r="B1887" s="0" t="inlineStr">
        <is>
          <t xml:space="preserve">N0010415ML031</t>
        </is>
      </c>
      <c r="D1887" s="0" t="inlineStr">
        <is>
          <t xml:space="preserve">small_craft</t>
        </is>
      </c>
      <c r="E1887" s="0" t="inlineStr">
        <is>
          <t xml:space="preserve">BAIRSTOW LIFTING PRODUCTS, LLC</t>
        </is>
      </c>
      <c r="F1887" s="0" t="inlineStr">
        <is>
          <t xml:space="preserve">B</t>
        </is>
      </c>
      <c r="G1887" s="4">
        <v>0.0035596799999999995</v>
      </c>
      <c r="H1887" s="0" t="inlineStr">
        <is>
          <t xml:space="preserve">2015-02-12</t>
        </is>
      </c>
      <c r="I1887" s="0" t="inlineStr">
        <is>
          <t xml:space="preserve">no</t>
        </is>
      </c>
      <c r="K1887" s="0" t="inlineStr">
        <is>
          <t xml:space="preserve">NONE</t>
        </is>
      </c>
    </row>
    <row r="1888">
      <c r="B1888" s="0" t="inlineStr">
        <is>
          <t xml:space="preserve">N0010422PBS07</t>
        </is>
      </c>
      <c r="D1888" s="0" t="inlineStr">
        <is>
          <t xml:space="preserve">small_craft</t>
        </is>
      </c>
      <c r="E1888" s="0" t="inlineStr">
        <is>
          <t xml:space="preserve">MAGNATROL VALVE CORP</t>
        </is>
      </c>
      <c r="F1888" s="0" t="inlineStr">
        <is>
          <t xml:space="preserve">B</t>
        </is>
      </c>
      <c r="G1888" s="4">
        <v>0.0035356999999999997</v>
      </c>
      <c r="H1888" s="0" t="inlineStr">
        <is>
          <t xml:space="preserve">2022-02-25</t>
        </is>
      </c>
      <c r="I1888" s="0" t="inlineStr">
        <is>
          <t xml:space="preserve">no</t>
        </is>
      </c>
      <c r="K1888" s="0" t="inlineStr">
        <is>
          <t xml:space="preserve">NONE</t>
        </is>
      </c>
    </row>
    <row r="1889">
      <c r="B1889" s="0" t="inlineStr">
        <is>
          <t xml:space="preserve">N0010420PEK97</t>
        </is>
      </c>
      <c r="D1889" s="0" t="inlineStr">
        <is>
          <t xml:space="preserve">small_craft</t>
        </is>
      </c>
      <c r="E1889" s="0" t="inlineStr">
        <is>
          <t xml:space="preserve">SHENANDOAH INDUSTRIES, LLC</t>
        </is>
      </c>
      <c r="F1889" s="0" t="inlineStr">
        <is>
          <t xml:space="preserve">B</t>
        </is>
      </c>
      <c r="G1889" s="4">
        <v>0.0035199999999999997</v>
      </c>
      <c r="H1889" s="0" t="inlineStr">
        <is>
          <t xml:space="preserve">2020-07-01</t>
        </is>
      </c>
      <c r="I1889" s="0" t="inlineStr">
        <is>
          <t xml:space="preserve">no</t>
        </is>
      </c>
      <c r="K1889" s="0" t="inlineStr">
        <is>
          <t xml:space="preserve">NONE</t>
        </is>
      </c>
    </row>
    <row r="1890">
      <c r="B1890" s="0" t="inlineStr">
        <is>
          <t xml:space="preserve">N0010422PEP52</t>
        </is>
      </c>
      <c r="D1890" s="0" t="inlineStr">
        <is>
          <t xml:space="preserve">small_craft</t>
        </is>
      </c>
      <c r="E1890" s="0" t="inlineStr">
        <is>
          <t xml:space="preserve">MCGEAN-ROHCO INC</t>
        </is>
      </c>
      <c r="F1890" s="0" t="inlineStr">
        <is>
          <t xml:space="preserve">B</t>
        </is>
      </c>
      <c r="G1890" s="4">
        <v>0.0034999999999999996</v>
      </c>
      <c r="H1890" s="0" t="inlineStr">
        <is>
          <t xml:space="preserve">2022-09-22</t>
        </is>
      </c>
      <c r="I1890" s="0" t="inlineStr">
        <is>
          <t xml:space="preserve">no</t>
        </is>
      </c>
      <c r="K1890" s="0" t="inlineStr">
        <is>
          <t xml:space="preserve">NONE</t>
        </is>
      </c>
    </row>
    <row r="1891">
      <c r="B1891" s="0" t="inlineStr">
        <is>
          <t xml:space="preserve">N3220515P3778</t>
        </is>
      </c>
      <c r="D1891" s="0" t="inlineStr">
        <is>
          <t xml:space="preserve">small_craft</t>
        </is>
      </c>
      <c r="E1891" s="0" t="inlineStr">
        <is>
          <t xml:space="preserve">J. W. MARINE EQUIPMENT, INC.</t>
        </is>
      </c>
      <c r="F1891" s="0" t="inlineStr">
        <is>
          <t xml:space="preserve">B</t>
        </is>
      </c>
      <c r="G1891" s="4">
        <v>0.0034710799999999997</v>
      </c>
      <c r="H1891" s="0" t="inlineStr">
        <is>
          <t xml:space="preserve">2015-07-20</t>
        </is>
      </c>
      <c r="I1891" s="0" t="inlineStr">
        <is>
          <t xml:space="preserve">no</t>
        </is>
      </c>
      <c r="K1891" s="0" t="inlineStr">
        <is>
          <t xml:space="preserve">NONE</t>
        </is>
      </c>
    </row>
    <row r="1892">
      <c r="B1892" s="0" t="inlineStr">
        <is>
          <t xml:space="preserve">N0040616P3699</t>
        </is>
      </c>
      <c r="D1892" s="0" t="inlineStr">
        <is>
          <t xml:space="preserve">small_craft</t>
        </is>
      </c>
      <c r="E1892" s="0" t="inlineStr">
        <is>
          <t xml:space="preserve">WING INFLATABLES INC</t>
        </is>
      </c>
      <c r="F1892" s="0" t="inlineStr">
        <is>
          <t xml:space="preserve">B</t>
        </is>
      </c>
      <c r="G1892" s="4">
        <v>0.0034389999999999998</v>
      </c>
      <c r="H1892" s="0" t="inlineStr">
        <is>
          <t xml:space="preserve">2016-09-29</t>
        </is>
      </c>
      <c r="I1892" s="0" t="inlineStr">
        <is>
          <t xml:space="preserve">no</t>
        </is>
      </c>
      <c r="K1892" s="0" t="inlineStr">
        <is>
          <t xml:space="preserve">NONE</t>
        </is>
      </c>
    </row>
    <row r="1893">
      <c r="B1893" s="0" t="inlineStr">
        <is>
          <t xml:space="preserve">N0016725FG098</t>
        </is>
      </c>
      <c r="C1893" s="0" t="inlineStr">
        <is>
          <t xml:space="preserve">N0016723A0053</t>
        </is>
      </c>
      <c r="D1893" s="0" t="inlineStr">
        <is>
          <t xml:space="preserve">small_craft</t>
        </is>
      </c>
      <c r="E1893" s="0" t="inlineStr">
        <is>
          <t xml:space="preserve">VIRGINIA SPEED, INC.</t>
        </is>
      </c>
      <c r="F1893" s="0" t="inlineStr">
        <is>
          <t xml:space="preserve">A</t>
        </is>
      </c>
      <c r="G1893" s="4">
        <v>0.00343205</v>
      </c>
      <c r="H1893" s="0" t="inlineStr">
        <is>
          <t xml:space="preserve">2025-04-17</t>
        </is>
      </c>
      <c r="I1893" s="0" t="inlineStr">
        <is>
          <t xml:space="preserve">no</t>
        </is>
      </c>
      <c r="K1893" s="0" t="inlineStr">
        <is>
          <t xml:space="preserve">NONE</t>
        </is>
      </c>
    </row>
    <row r="1894">
      <c r="B1894" s="0" t="inlineStr">
        <is>
          <t xml:space="preserve">N0040615P2923</t>
        </is>
      </c>
      <c r="D1894" s="0" t="inlineStr">
        <is>
          <t xml:space="preserve">small_craft</t>
        </is>
      </c>
      <c r="E1894" s="0" t="inlineStr">
        <is>
          <t xml:space="preserve">JUNIPER ELBOW CO. INC.</t>
        </is>
      </c>
      <c r="F1894" s="0" t="inlineStr">
        <is>
          <t xml:space="preserve">B</t>
        </is>
      </c>
      <c r="G1894" s="4">
        <v>0.00343</v>
      </c>
      <c r="H1894" s="0" t="inlineStr">
        <is>
          <t xml:space="preserve">2015-06-17</t>
        </is>
      </c>
      <c r="I1894" s="0" t="inlineStr">
        <is>
          <t xml:space="preserve">no</t>
        </is>
      </c>
      <c r="K1894" s="0" t="inlineStr">
        <is>
          <t xml:space="preserve">NONE</t>
        </is>
      </c>
    </row>
    <row r="1895">
      <c r="B1895" s="0" t="inlineStr">
        <is>
          <t xml:space="preserve">N0016724FG254</t>
        </is>
      </c>
      <c r="C1895" s="0" t="inlineStr">
        <is>
          <t xml:space="preserve">N0016723A0053</t>
        </is>
      </c>
      <c r="D1895" s="0" t="inlineStr">
        <is>
          <t xml:space="preserve">small_craft</t>
        </is>
      </c>
      <c r="E1895" s="0" t="inlineStr">
        <is>
          <t xml:space="preserve">VIRGINIA SPEED, INC.</t>
        </is>
      </c>
      <c r="F1895" s="0" t="inlineStr">
        <is>
          <t xml:space="preserve">A</t>
        </is>
      </c>
      <c r="G1895" s="4">
        <v>0.00342906</v>
      </c>
      <c r="H1895" s="0" t="inlineStr">
        <is>
          <t xml:space="preserve">2024-07-22</t>
        </is>
      </c>
      <c r="I1895" s="0" t="inlineStr">
        <is>
          <t xml:space="preserve">no</t>
        </is>
      </c>
      <c r="K1895" s="0" t="inlineStr">
        <is>
          <t xml:space="preserve">NONE</t>
        </is>
      </c>
    </row>
    <row r="1896">
      <c r="B1896" s="0" t="inlineStr">
        <is>
          <t xml:space="preserve">LH75</t>
        </is>
      </c>
      <c r="C1896" s="0" t="inlineStr">
        <is>
          <t xml:space="preserve">N0003312D2100</t>
        </is>
      </c>
      <c r="D1896" s="0" t="inlineStr">
        <is>
          <t xml:space="preserve">other_small</t>
        </is>
      </c>
      <c r="E1896" s="0" t="inlineStr">
        <is>
          <t xml:space="preserve">MCALLISTER TOWING OF VIRGINIA INC</t>
        </is>
      </c>
      <c r="F1896" s="0" t="inlineStr">
        <is>
          <t xml:space="preserve">C</t>
        </is>
      </c>
      <c r="G1896" s="4">
        <v>0.00342</v>
      </c>
      <c r="H1896" s="0" t="inlineStr">
        <is>
          <t xml:space="preserve">2017-07-20</t>
        </is>
      </c>
      <c r="I1896" s="0" t="inlineStr">
        <is>
          <t xml:space="preserve">no</t>
        </is>
      </c>
      <c r="J1896" s="0" t="inlineStr">
        <is>
          <t xml:space="preserve">N0003312R2100</t>
        </is>
      </c>
      <c r="K1896" s="0" t="inlineStr">
        <is>
          <t xml:space="preserve">NONE</t>
        </is>
      </c>
    </row>
    <row r="1897">
      <c r="B1897" s="0" t="inlineStr">
        <is>
          <t xml:space="preserve">N0010421PLB25</t>
        </is>
      </c>
      <c r="D1897" s="0" t="inlineStr">
        <is>
          <t xml:space="preserve">small_craft</t>
        </is>
      </c>
      <c r="E1897" s="0" t="inlineStr">
        <is>
          <t xml:space="preserve">IMPRES TECHNOLOGY SOLUTIONS, INC</t>
        </is>
      </c>
      <c r="F1897" s="0" t="inlineStr">
        <is>
          <t xml:space="preserve">B</t>
        </is>
      </c>
      <c r="G1897" s="4">
        <v>0.0033791999999999997</v>
      </c>
      <c r="H1897" s="0" t="inlineStr">
        <is>
          <t xml:space="preserve">2021-05-19</t>
        </is>
      </c>
      <c r="I1897" s="0" t="inlineStr">
        <is>
          <t xml:space="preserve">no</t>
        </is>
      </c>
      <c r="K1897" s="0" t="inlineStr">
        <is>
          <t xml:space="preserve">NONE</t>
        </is>
      </c>
    </row>
    <row r="1898">
      <c r="B1898" s="0" t="inlineStr">
        <is>
          <t xml:space="preserve">N3220515P3634</t>
        </is>
      </c>
      <c r="D1898" s="0" t="inlineStr">
        <is>
          <t xml:space="preserve">small_craft</t>
        </is>
      </c>
      <c r="E1898" s="0" t="inlineStr">
        <is>
          <t xml:space="preserve">FASSMER SERVICE AMERICA LLC</t>
        </is>
      </c>
      <c r="F1898" s="0" t="inlineStr">
        <is>
          <t xml:space="preserve">B</t>
        </is>
      </c>
      <c r="G1898" s="4">
        <v>0.00336471</v>
      </c>
      <c r="H1898" s="0" t="inlineStr">
        <is>
          <t xml:space="preserve">2015-04-28</t>
        </is>
      </c>
      <c r="I1898" s="0" t="inlineStr">
        <is>
          <t xml:space="preserve">no</t>
        </is>
      </c>
      <c r="K1898" s="0" t="inlineStr">
        <is>
          <t xml:space="preserve">NONE</t>
        </is>
      </c>
    </row>
    <row r="1899">
      <c r="B1899" s="0" t="inlineStr">
        <is>
          <t xml:space="preserve">N0010418PEH62</t>
        </is>
      </c>
      <c r="D1899" s="0" t="inlineStr">
        <is>
          <t xml:space="preserve">small_craft</t>
        </is>
      </c>
      <c r="E1899" s="0" t="inlineStr">
        <is>
          <t xml:space="preserve">BEC SYSTEMS LLC</t>
        </is>
      </c>
      <c r="F1899" s="0" t="inlineStr">
        <is>
          <t xml:space="preserve">B</t>
        </is>
      </c>
      <c r="G1899" s="4">
        <v>0.0033551999999999996</v>
      </c>
      <c r="H1899" s="0" t="inlineStr">
        <is>
          <t xml:space="preserve">2018-07-16</t>
        </is>
      </c>
      <c r="I1899" s="0" t="inlineStr">
        <is>
          <t xml:space="preserve">no</t>
        </is>
      </c>
      <c r="K1899" s="0" t="inlineStr">
        <is>
          <t xml:space="preserve">NONE</t>
        </is>
      </c>
    </row>
    <row r="1900">
      <c r="B1900" s="0" t="inlineStr">
        <is>
          <t xml:space="preserve">N0010418PEH61</t>
        </is>
      </c>
      <c r="D1900" s="0" t="inlineStr">
        <is>
          <t xml:space="preserve">small_craft</t>
        </is>
      </c>
      <c r="E1900" s="0" t="inlineStr">
        <is>
          <t xml:space="preserve">BEC SYSTEMS LLC</t>
        </is>
      </c>
      <c r="F1900" s="0" t="inlineStr">
        <is>
          <t xml:space="preserve">B</t>
        </is>
      </c>
      <c r="G1900" s="4">
        <v>0.0033551999999999996</v>
      </c>
      <c r="H1900" s="0" t="inlineStr">
        <is>
          <t xml:space="preserve">2018-07-16</t>
        </is>
      </c>
      <c r="I1900" s="0" t="inlineStr">
        <is>
          <t xml:space="preserve">no</t>
        </is>
      </c>
      <c r="K1900" s="0" t="inlineStr">
        <is>
          <t xml:space="preserve">NONE</t>
        </is>
      </c>
    </row>
    <row r="1901">
      <c r="B1901" s="0" t="inlineStr">
        <is>
          <t xml:space="preserve">M6785424F1009</t>
        </is>
      </c>
      <c r="C1901" s="0" t="inlineStr">
        <is>
          <t xml:space="preserve">M6785421D1801</t>
        </is>
      </c>
      <c r="D1901" s="0" t="inlineStr">
        <is>
          <t xml:space="preserve">small_craft</t>
        </is>
      </c>
      <c r="E1901" s="0" t="inlineStr">
        <is>
          <t xml:space="preserve">WING INFLATABLES INC</t>
        </is>
      </c>
      <c r="F1901" s="0" t="inlineStr">
        <is>
          <t xml:space="preserve">C</t>
        </is>
      </c>
      <c r="G1901" s="4">
        <v>0.0033</v>
      </c>
      <c r="H1901" s="0" t="inlineStr">
        <is>
          <t xml:space="preserve">2023-10-23</t>
        </is>
      </c>
      <c r="I1901" s="0" t="inlineStr">
        <is>
          <t xml:space="preserve">no</t>
        </is>
      </c>
      <c r="J1901" s="0" t="inlineStr">
        <is>
          <t xml:space="preserve">M6785421R1801</t>
        </is>
      </c>
      <c r="K1901" s="0" t="inlineStr">
        <is>
          <t xml:space="preserve">NONE</t>
        </is>
      </c>
    </row>
    <row r="1902">
      <c r="B1902" s="0" t="inlineStr">
        <is>
          <t xml:space="preserve">N0010421PND25</t>
        </is>
      </c>
      <c r="D1902" s="0" t="inlineStr">
        <is>
          <t xml:space="preserve">small_craft</t>
        </is>
      </c>
      <c r="E1902" s="0" t="inlineStr">
        <is>
          <t xml:space="preserve">NORTHROP GRUMMAN SYSTEMS CORPORATION</t>
        </is>
      </c>
      <c r="F1902" s="0" t="inlineStr">
        <is>
          <t xml:space="preserve">B</t>
        </is>
      </c>
      <c r="G1902" s="4">
        <v>0.0032849999999999997</v>
      </c>
      <c r="H1902" s="0" t="inlineStr">
        <is>
          <t xml:space="preserve">2021-09-03</t>
        </is>
      </c>
      <c r="I1902" s="0" t="inlineStr">
        <is>
          <t xml:space="preserve">no</t>
        </is>
      </c>
      <c r="K1902" s="0" t="inlineStr">
        <is>
          <t xml:space="preserve">NONE</t>
        </is>
      </c>
    </row>
    <row r="1903">
      <c r="B1903" s="0" t="inlineStr">
        <is>
          <t xml:space="preserve">0051</t>
        </is>
      </c>
      <c r="C1903" s="0" t="inlineStr">
        <is>
          <t xml:space="preserve">N3220513D2000</t>
        </is>
      </c>
      <c r="D1903" s="0" t="inlineStr">
        <is>
          <t xml:space="preserve">other_small</t>
        </is>
      </c>
      <c r="E1903" s="0" t="inlineStr">
        <is>
          <t xml:space="preserve">ROLLS-ROYCE SOLUTIONS AMERICA INC</t>
        </is>
      </c>
      <c r="F1903" s="0" t="inlineStr">
        <is>
          <t xml:space="preserve">C</t>
        </is>
      </c>
      <c r="G1903" s="4">
        <v>0.0032673</v>
      </c>
      <c r="H1903" s="0" t="inlineStr">
        <is>
          <t xml:space="preserve">2015-07-29</t>
        </is>
      </c>
      <c r="I1903" s="0" t="inlineStr">
        <is>
          <t xml:space="preserve">no</t>
        </is>
      </c>
      <c r="J1903" s="0" t="inlineStr">
        <is>
          <t xml:space="preserve">N4044211R2005</t>
        </is>
      </c>
      <c r="K1903" s="0" t="inlineStr">
        <is>
          <t xml:space="preserve">NONE</t>
        </is>
      </c>
    </row>
    <row r="1904">
      <c r="B1904" s="0" t="inlineStr">
        <is>
          <t xml:space="preserve">N0040615P2126</t>
        </is>
      </c>
      <c r="D1904" s="0" t="inlineStr">
        <is>
          <t xml:space="preserve">small_craft</t>
        </is>
      </c>
      <c r="E1904" s="0" t="inlineStr">
        <is>
          <t xml:space="preserve">J.D.A. MARITIME, INC.</t>
        </is>
      </c>
      <c r="F1904" s="0" t="inlineStr">
        <is>
          <t xml:space="preserve">B</t>
        </is>
      </c>
      <c r="G1904" s="4">
        <v>0.0031899999999999997</v>
      </c>
      <c r="H1904" s="0" t="inlineStr">
        <is>
          <t xml:space="preserve">2015-04-17</t>
        </is>
      </c>
      <c r="I1904" s="0" t="inlineStr">
        <is>
          <t xml:space="preserve">no</t>
        </is>
      </c>
      <c r="K1904" s="0" t="inlineStr">
        <is>
          <t xml:space="preserve">NONE</t>
        </is>
      </c>
    </row>
    <row r="1905">
      <c r="B1905" s="0" t="inlineStr">
        <is>
          <t xml:space="preserve">N0010425PBZ73</t>
        </is>
      </c>
      <c r="D1905" s="0" t="inlineStr">
        <is>
          <t xml:space="preserve">small_craft</t>
        </is>
      </c>
      <c r="E1905" s="0" t="inlineStr">
        <is>
          <t xml:space="preserve">NASCO AEROSPACE AND ELECTRONICS LLC</t>
        </is>
      </c>
      <c r="F1905" s="0" t="inlineStr">
        <is>
          <t xml:space="preserve">B</t>
        </is>
      </c>
      <c r="G1905" s="4">
        <v>0.0031305</v>
      </c>
      <c r="H1905" s="0" t="inlineStr">
        <is>
          <t xml:space="preserve">2025-08-12</t>
        </is>
      </c>
      <c r="I1905" s="0" t="inlineStr">
        <is>
          <t xml:space="preserve">yes</t>
        </is>
      </c>
      <c r="K1905" s="0" t="inlineStr">
        <is>
          <t xml:space="preserve">NONE</t>
        </is>
      </c>
    </row>
    <row r="1906">
      <c r="B1906" s="0" t="inlineStr">
        <is>
          <t xml:space="preserve">N0040616P2838</t>
        </is>
      </c>
      <c r="D1906" s="0" t="inlineStr">
        <is>
          <t xml:space="preserve">small_craft</t>
        </is>
      </c>
      <c r="E1906" s="0" t="inlineStr">
        <is>
          <t xml:space="preserve">PACIFIC MARITIME INDUSTRIES CORP.</t>
        </is>
      </c>
      <c r="F1906" s="0" t="inlineStr">
        <is>
          <t xml:space="preserve">B</t>
        </is>
      </c>
      <c r="G1906" s="4">
        <v>0.0031</v>
      </c>
      <c r="H1906" s="0" t="inlineStr">
        <is>
          <t xml:space="preserve">2016-08-09</t>
        </is>
      </c>
      <c r="I1906" s="0" t="inlineStr">
        <is>
          <t xml:space="preserve">no</t>
        </is>
      </c>
      <c r="K1906" s="0" t="inlineStr">
        <is>
          <t xml:space="preserve">NONE</t>
        </is>
      </c>
    </row>
    <row r="1907">
      <c r="B1907" s="0" t="inlineStr">
        <is>
          <t xml:space="preserve">N0040617P1812</t>
        </is>
      </c>
      <c r="D1907" s="0" t="inlineStr">
        <is>
          <t xml:space="preserve">small_craft</t>
        </is>
      </c>
      <c r="E1907" s="0" t="inlineStr">
        <is>
          <t xml:space="preserve">B &amp; P CONSORT, INC.</t>
        </is>
      </c>
      <c r="F1907" s="0" t="inlineStr">
        <is>
          <t xml:space="preserve">B</t>
        </is>
      </c>
      <c r="G1907" s="4">
        <v>0.003055</v>
      </c>
      <c r="H1907" s="0" t="inlineStr">
        <is>
          <t xml:space="preserve">2017-05-12</t>
        </is>
      </c>
      <c r="I1907" s="0" t="inlineStr">
        <is>
          <t xml:space="preserve">no</t>
        </is>
      </c>
      <c r="K1907" s="0" t="inlineStr">
        <is>
          <t xml:space="preserve">NONE</t>
        </is>
      </c>
    </row>
    <row r="1908">
      <c r="B1908" s="0" t="inlineStr">
        <is>
          <t xml:space="preserve">N4044207P5407</t>
        </is>
      </c>
      <c r="D1908" s="0" t="inlineStr">
        <is>
          <t xml:space="preserve">other_small</t>
        </is>
      </c>
      <c r="E1908" s="0" t="inlineStr">
        <is>
          <t xml:space="preserve">NORTHROP GRUMMAN SYSTEMS CORPORATION</t>
        </is>
      </c>
      <c r="F1908" s="0" t="inlineStr">
        <is>
          <t xml:space="preserve">B</t>
        </is>
      </c>
      <c r="G1908" s="4">
        <v>0.00305075</v>
      </c>
      <c r="H1908" s="0" t="inlineStr">
        <is>
          <t xml:space="preserve">2007-03-14</t>
        </is>
      </c>
      <c r="I1908" s="0" t="inlineStr">
        <is>
          <t xml:space="preserve">no</t>
        </is>
      </c>
      <c r="K1908" s="0" t="inlineStr">
        <is>
          <t xml:space="preserve">NONE</t>
        </is>
      </c>
    </row>
    <row r="1909">
      <c r="B1909" s="0" t="inlineStr">
        <is>
          <t xml:space="preserve">N0040616P2217</t>
        </is>
      </c>
      <c r="D1909" s="0" t="inlineStr">
        <is>
          <t xml:space="preserve">small_craft</t>
        </is>
      </c>
      <c r="E1909" s="0" t="inlineStr">
        <is>
          <t xml:space="preserve">JAMESTOWN METAL MARINE SALES, INC.</t>
        </is>
      </c>
      <c r="F1909" s="0" t="inlineStr">
        <is>
          <t xml:space="preserve">B</t>
        </is>
      </c>
      <c r="G1909" s="4">
        <v>0.0030375</v>
      </c>
      <c r="H1909" s="0" t="inlineStr">
        <is>
          <t xml:space="preserve">2016-06-01</t>
        </is>
      </c>
      <c r="I1909" s="0" t="inlineStr">
        <is>
          <t xml:space="preserve">no</t>
        </is>
      </c>
      <c r="K1909" s="0" t="inlineStr">
        <is>
          <t xml:space="preserve">NONE</t>
        </is>
      </c>
    </row>
    <row r="1910">
      <c r="B1910" s="0" t="inlineStr">
        <is>
          <t xml:space="preserve">N0010422PQC40</t>
        </is>
      </c>
      <c r="D1910" s="0" t="inlineStr">
        <is>
          <t xml:space="preserve">small_craft</t>
        </is>
      </c>
      <c r="E1910" s="0" t="inlineStr">
        <is>
          <t xml:space="preserve">WAVELINE INC</t>
        </is>
      </c>
      <c r="F1910" s="0" t="inlineStr">
        <is>
          <t xml:space="preserve">B</t>
        </is>
      </c>
      <c r="G1910" s="4">
        <v>0.0030199999999999997</v>
      </c>
      <c r="H1910" s="0" t="inlineStr">
        <is>
          <t xml:space="preserve">2022-09-23</t>
        </is>
      </c>
      <c r="I1910" s="0" t="inlineStr">
        <is>
          <t xml:space="preserve">no</t>
        </is>
      </c>
      <c r="K1910" s="0" t="inlineStr">
        <is>
          <t xml:space="preserve">NONE</t>
        </is>
      </c>
    </row>
    <row r="1911">
      <c r="B1911" s="0" t="inlineStr">
        <is>
          <t xml:space="preserve">LH59</t>
        </is>
      </c>
      <c r="C1911" s="0" t="inlineStr">
        <is>
          <t xml:space="preserve">N0003312D2100</t>
        </is>
      </c>
      <c r="D1911" s="0" t="inlineStr">
        <is>
          <t xml:space="preserve">other_small</t>
        </is>
      </c>
      <c r="E1911" s="0" t="inlineStr">
        <is>
          <t xml:space="preserve">MCALLISTER TOWING OF VIRGINIA INC</t>
        </is>
      </c>
      <c r="F1911" s="0" t="inlineStr">
        <is>
          <t xml:space="preserve">C</t>
        </is>
      </c>
      <c r="G1911" s="4">
        <v>0.003015</v>
      </c>
      <c r="H1911" s="0" t="inlineStr">
        <is>
          <t xml:space="preserve">2017-04-13</t>
        </is>
      </c>
      <c r="I1911" s="0" t="inlineStr">
        <is>
          <t xml:space="preserve">no</t>
        </is>
      </c>
      <c r="J1911" s="0" t="inlineStr">
        <is>
          <t xml:space="preserve">N0003312R2100</t>
        </is>
      </c>
      <c r="K1911" s="0" t="inlineStr">
        <is>
          <t xml:space="preserve">NONE</t>
        </is>
      </c>
    </row>
    <row r="1912">
      <c r="B1912" s="0" t="inlineStr">
        <is>
          <t xml:space="preserve">LH57</t>
        </is>
      </c>
      <c r="C1912" s="0" t="inlineStr">
        <is>
          <t xml:space="preserve">N0003312D2100</t>
        </is>
      </c>
      <c r="D1912" s="0" t="inlineStr">
        <is>
          <t xml:space="preserve">other_small</t>
        </is>
      </c>
      <c r="E1912" s="0" t="inlineStr">
        <is>
          <t xml:space="preserve">MCALLISTER TOWING OF VIRGINIA INC</t>
        </is>
      </c>
      <c r="F1912" s="0" t="inlineStr">
        <is>
          <t xml:space="preserve">C</t>
        </is>
      </c>
      <c r="G1912" s="4">
        <v>0.003015</v>
      </c>
      <c r="H1912" s="0" t="inlineStr">
        <is>
          <t xml:space="preserve">2016-12-30</t>
        </is>
      </c>
      <c r="I1912" s="0" t="inlineStr">
        <is>
          <t xml:space="preserve">no</t>
        </is>
      </c>
      <c r="J1912" s="0" t="inlineStr">
        <is>
          <t xml:space="preserve">N0003312R2100</t>
        </is>
      </c>
      <c r="K1912" s="0" t="inlineStr">
        <is>
          <t xml:space="preserve">NONE</t>
        </is>
      </c>
    </row>
    <row r="1913">
      <c r="B1913" s="0" t="inlineStr">
        <is>
          <t xml:space="preserve">N0010423PEL48</t>
        </is>
      </c>
      <c r="D1913" s="0" t="inlineStr">
        <is>
          <t xml:space="preserve">small_craft</t>
        </is>
      </c>
      <c r="E1913" s="0" t="inlineStr">
        <is>
          <t xml:space="preserve">GREATER MARYLAND TOOL &amp; MFG. CORP.</t>
        </is>
      </c>
      <c r="F1913" s="0" t="inlineStr">
        <is>
          <t xml:space="preserve">B</t>
        </is>
      </c>
      <c r="G1913" s="4">
        <v>0.003</v>
      </c>
      <c r="H1913" s="0" t="inlineStr">
        <is>
          <t xml:space="preserve">2023-09-15</t>
        </is>
      </c>
      <c r="I1913" s="0" t="inlineStr">
        <is>
          <t xml:space="preserve">no</t>
        </is>
      </c>
      <c r="K1913" s="0" t="inlineStr">
        <is>
          <t xml:space="preserve">NONE</t>
        </is>
      </c>
    </row>
    <row r="1914">
      <c r="B1914" s="0" t="inlineStr">
        <is>
          <t xml:space="preserve">N0010419PND98</t>
        </is>
      </c>
      <c r="D1914" s="0" t="inlineStr">
        <is>
          <t xml:space="preserve">small_craft</t>
        </is>
      </c>
      <c r="E1914" s="0" t="inlineStr">
        <is>
          <t xml:space="preserve">GK MECHANICAL SYSTEMS LLC</t>
        </is>
      </c>
      <c r="F1914" s="0" t="inlineStr">
        <is>
          <t xml:space="preserve">B</t>
        </is>
      </c>
      <c r="G1914" s="4">
        <v>0.003</v>
      </c>
      <c r="H1914" s="0" t="inlineStr">
        <is>
          <t xml:space="preserve">2019-05-13</t>
        </is>
      </c>
      <c r="I1914" s="0" t="inlineStr">
        <is>
          <t xml:space="preserve">no</t>
        </is>
      </c>
      <c r="K1914" s="0" t="inlineStr">
        <is>
          <t xml:space="preserve">NONE</t>
        </is>
      </c>
    </row>
    <row r="1915">
      <c r="B1915" s="0" t="inlineStr">
        <is>
          <t xml:space="preserve">N4044207P5208</t>
        </is>
      </c>
      <c r="D1915" s="0" t="inlineStr">
        <is>
          <t xml:space="preserve">other_small</t>
        </is>
      </c>
      <c r="E1915" s="0" t="inlineStr">
        <is>
          <t xml:space="preserve">MAXIM EVAPORATORS, INC</t>
        </is>
      </c>
      <c r="F1915" s="0" t="inlineStr">
        <is>
          <t xml:space="preserve">B</t>
        </is>
      </c>
      <c r="G1915" s="4">
        <v>0.0029951199999999996</v>
      </c>
      <c r="H1915" s="0" t="inlineStr">
        <is>
          <t xml:space="preserve">2007-01-12</t>
        </is>
      </c>
      <c r="I1915" s="0" t="inlineStr">
        <is>
          <t xml:space="preserve">no</t>
        </is>
      </c>
      <c r="K1915" s="0" t="inlineStr">
        <is>
          <t xml:space="preserve">NONE</t>
        </is>
      </c>
    </row>
    <row r="1916">
      <c r="B1916" s="0" t="inlineStr">
        <is>
          <t xml:space="preserve">N0010417PBV21</t>
        </is>
      </c>
      <c r="D1916" s="0" t="inlineStr">
        <is>
          <t xml:space="preserve">small_craft</t>
        </is>
      </c>
      <c r="E1916" s="0" t="inlineStr">
        <is>
          <t xml:space="preserve">GREATER MARYLAND TOOL &amp; MFG. CORP.</t>
        </is>
      </c>
      <c r="F1916" s="0" t="inlineStr">
        <is>
          <t xml:space="preserve">B</t>
        </is>
      </c>
      <c r="G1916" s="4">
        <v>0.002985</v>
      </c>
      <c r="H1916" s="0" t="inlineStr">
        <is>
          <t xml:space="preserve">2017-02-24</t>
        </is>
      </c>
      <c r="I1916" s="0" t="inlineStr">
        <is>
          <t xml:space="preserve">no</t>
        </is>
      </c>
      <c r="K1916" s="0" t="inlineStr">
        <is>
          <t xml:space="preserve">NONE</t>
        </is>
      </c>
    </row>
    <row r="1917">
      <c r="B1917" s="0" t="inlineStr">
        <is>
          <t xml:space="preserve">N0010423PLA40</t>
        </is>
      </c>
      <c r="D1917" s="0" t="inlineStr">
        <is>
          <t xml:space="preserve">small_craft</t>
        </is>
      </c>
      <c r="E1917" s="0" t="inlineStr">
        <is>
          <t xml:space="preserve">AEF-PERFORMANCE LLC</t>
        </is>
      </c>
      <c r="F1917" s="0" t="inlineStr">
        <is>
          <t xml:space="preserve">B</t>
        </is>
      </c>
      <c r="G1917" s="4">
        <v>0.002904</v>
      </c>
      <c r="H1917" s="0" t="inlineStr">
        <is>
          <t xml:space="preserve">2022-10-26</t>
        </is>
      </c>
      <c r="I1917" s="0" t="inlineStr">
        <is>
          <t xml:space="preserve">no</t>
        </is>
      </c>
      <c r="K1917" s="0" t="inlineStr">
        <is>
          <t xml:space="preserve">NONE</t>
        </is>
      </c>
    </row>
    <row r="1918">
      <c r="B1918" s="0" t="inlineStr">
        <is>
          <t xml:space="preserve">N0040615P3971</t>
        </is>
      </c>
      <c r="D1918" s="0" t="inlineStr">
        <is>
          <t xml:space="preserve">small_craft</t>
        </is>
      </c>
      <c r="E1918" s="0" t="inlineStr">
        <is>
          <t xml:space="preserve">JUNIPER ELBOW CO. INC.</t>
        </is>
      </c>
      <c r="F1918" s="0" t="inlineStr">
        <is>
          <t xml:space="preserve">B</t>
        </is>
      </c>
      <c r="G1918" s="4">
        <v>0.0028699999999999997</v>
      </c>
      <c r="H1918" s="0" t="inlineStr">
        <is>
          <t xml:space="preserve">2015-09-11</t>
        </is>
      </c>
      <c r="I1918" s="0" t="inlineStr">
        <is>
          <t xml:space="preserve">no</t>
        </is>
      </c>
      <c r="K1918" s="0" t="inlineStr">
        <is>
          <t xml:space="preserve">NONE</t>
        </is>
      </c>
    </row>
    <row r="1919">
      <c r="B1919" s="0" t="inlineStr">
        <is>
          <t xml:space="preserve">N0040615P3906</t>
        </is>
      </c>
      <c r="D1919" s="0" t="inlineStr">
        <is>
          <t xml:space="preserve">small_craft</t>
        </is>
      </c>
      <c r="E1919" s="0" t="inlineStr">
        <is>
          <t xml:space="preserve">JUNIPER ELBOW CO. INC.</t>
        </is>
      </c>
      <c r="F1919" s="0" t="inlineStr">
        <is>
          <t xml:space="preserve">B</t>
        </is>
      </c>
      <c r="G1919" s="4">
        <v>0.0028699999999999997</v>
      </c>
      <c r="H1919" s="0" t="inlineStr">
        <is>
          <t xml:space="preserve">2015-09-08</t>
        </is>
      </c>
      <c r="I1919" s="0" t="inlineStr">
        <is>
          <t xml:space="preserve">no</t>
        </is>
      </c>
      <c r="K1919" s="0" t="inlineStr">
        <is>
          <t xml:space="preserve">NONE</t>
        </is>
      </c>
    </row>
    <row r="1920">
      <c r="B1920" s="0" t="inlineStr">
        <is>
          <t xml:space="preserve">N0010424PEE66</t>
        </is>
      </c>
      <c r="D1920" s="0" t="inlineStr">
        <is>
          <t xml:space="preserve">small_craft</t>
        </is>
      </c>
      <c r="E1920" s="0" t="inlineStr">
        <is>
          <t xml:space="preserve">ADIRONDACK ELECTRONICS INC</t>
        </is>
      </c>
      <c r="F1920" s="0" t="inlineStr">
        <is>
          <t xml:space="preserve">B</t>
        </is>
      </c>
      <c r="G1920" s="4">
        <v>0.00286902</v>
      </c>
      <c r="H1920" s="0" t="inlineStr">
        <is>
          <t xml:space="preserve">2024-08-29</t>
        </is>
      </c>
      <c r="I1920" s="0" t="inlineStr">
        <is>
          <t xml:space="preserve">no</t>
        </is>
      </c>
      <c r="K1920" s="0" t="inlineStr">
        <is>
          <t xml:space="preserve">NONE</t>
        </is>
      </c>
    </row>
    <row r="1921">
      <c r="B1921" s="0" t="inlineStr">
        <is>
          <t xml:space="preserve">N0010426PBL98</t>
        </is>
      </c>
      <c r="D1921" s="0" t="inlineStr">
        <is>
          <t xml:space="preserve">small_craft</t>
        </is>
      </c>
      <c r="E1921" s="0" t="inlineStr">
        <is>
          <t xml:space="preserve">IN SPECK CORP</t>
        </is>
      </c>
      <c r="F1921" s="0" t="inlineStr">
        <is>
          <t xml:space="preserve">B</t>
        </is>
      </c>
      <c r="G1921" s="4">
        <v>0.00284825</v>
      </c>
      <c r="H1921" s="0" t="inlineStr">
        <is>
          <t xml:space="preserve">2026-02-26</t>
        </is>
      </c>
      <c r="I1921" s="0" t="inlineStr">
        <is>
          <t xml:space="preserve">yes</t>
        </is>
      </c>
      <c r="K1921" s="0" t="inlineStr">
        <is>
          <t xml:space="preserve">NONE</t>
        </is>
      </c>
    </row>
    <row r="1922">
      <c r="B1922" s="0" t="inlineStr">
        <is>
          <t xml:space="preserve">N0010423PAC15</t>
        </is>
      </c>
      <c r="D1922" s="0" t="inlineStr">
        <is>
          <t xml:space="preserve">small_craft</t>
        </is>
      </c>
      <c r="E1922" s="0" t="inlineStr">
        <is>
          <t xml:space="preserve">ADIRONDACK ELECTRONICS INC</t>
        </is>
      </c>
      <c r="F1922" s="0" t="inlineStr">
        <is>
          <t xml:space="preserve">B</t>
        </is>
      </c>
      <c r="G1922" s="4">
        <v>0.002823</v>
      </c>
      <c r="H1922" s="0" t="inlineStr">
        <is>
          <t xml:space="preserve">2023-03-16</t>
        </is>
      </c>
      <c r="I1922" s="0" t="inlineStr">
        <is>
          <t xml:space="preserve">no</t>
        </is>
      </c>
      <c r="K1922" s="0" t="inlineStr">
        <is>
          <t xml:space="preserve">NONE</t>
        </is>
      </c>
    </row>
    <row r="1923">
      <c r="B1923" s="0" t="inlineStr">
        <is>
          <t xml:space="preserve">N0010424PBW51</t>
        </is>
      </c>
      <c r="D1923" s="0" t="inlineStr">
        <is>
          <t xml:space="preserve">small_craft</t>
        </is>
      </c>
      <c r="E1923" s="0" t="inlineStr">
        <is>
          <t xml:space="preserve">DETROIT SWITCH INC</t>
        </is>
      </c>
      <c r="F1923" s="0" t="inlineStr">
        <is>
          <t xml:space="preserve">B</t>
        </is>
      </c>
      <c r="G1923" s="4">
        <v>0.0028128</v>
      </c>
      <c r="H1923" s="0" t="inlineStr">
        <is>
          <t xml:space="preserve">2024-08-08</t>
        </is>
      </c>
      <c r="I1923" s="0" t="inlineStr">
        <is>
          <t xml:space="preserve">no</t>
        </is>
      </c>
      <c r="K1923" s="0" t="inlineStr">
        <is>
          <t xml:space="preserve">NONE</t>
        </is>
      </c>
    </row>
    <row r="1924">
      <c r="B1924" s="0" t="inlineStr">
        <is>
          <t xml:space="preserve">N0010425PFA30</t>
        </is>
      </c>
      <c r="D1924" s="0" t="inlineStr">
        <is>
          <t xml:space="preserve">small_craft</t>
        </is>
      </c>
      <c r="E1924" s="0" t="inlineStr">
        <is>
          <t xml:space="preserve">BEC SYSTEMS LLC</t>
        </is>
      </c>
      <c r="F1924" s="0" t="inlineStr">
        <is>
          <t xml:space="preserve">B</t>
        </is>
      </c>
      <c r="G1924" s="4">
        <v>0.0028076</v>
      </c>
      <c r="H1924" s="0" t="inlineStr">
        <is>
          <t xml:space="preserve">2024-10-28</t>
        </is>
      </c>
      <c r="I1924" s="0" t="inlineStr">
        <is>
          <t xml:space="preserve">no</t>
        </is>
      </c>
      <c r="J1924" s="0" t="inlineStr">
        <is>
          <t xml:space="preserve">N0010424QFE78</t>
        </is>
      </c>
      <c r="K1924" s="0" t="inlineStr">
        <is>
          <t xml:space="preserve">NONE</t>
        </is>
      </c>
    </row>
    <row r="1925">
      <c r="B1925" s="0" t="inlineStr">
        <is>
          <t xml:space="preserve">N0010421PCC42</t>
        </is>
      </c>
      <c r="D1925" s="0" t="inlineStr">
        <is>
          <t xml:space="preserve">small_craft</t>
        </is>
      </c>
      <c r="E1925" s="0" t="inlineStr">
        <is>
          <t xml:space="preserve">MARINE ELECTRIC SYSTEMS INC</t>
        </is>
      </c>
      <c r="F1925" s="0" t="inlineStr">
        <is>
          <t xml:space="preserve">B</t>
        </is>
      </c>
      <c r="G1925" s="4">
        <v>0.002764</v>
      </c>
      <c r="H1925" s="0" t="inlineStr">
        <is>
          <t xml:space="preserve">2021-04-16</t>
        </is>
      </c>
      <c r="I1925" s="0" t="inlineStr">
        <is>
          <t xml:space="preserve">no</t>
        </is>
      </c>
      <c r="K1925" s="0" t="inlineStr">
        <is>
          <t xml:space="preserve">NONE</t>
        </is>
      </c>
    </row>
    <row r="1926">
      <c r="B1926" s="0" t="inlineStr">
        <is>
          <t xml:space="preserve">N0010419PDB91</t>
        </is>
      </c>
      <c r="D1926" s="0" t="inlineStr">
        <is>
          <t xml:space="preserve">small_craft</t>
        </is>
      </c>
      <c r="E1926" s="0" t="inlineStr">
        <is>
          <t xml:space="preserve">TIMKEN GEARS &amp; SERVICES INC.</t>
        </is>
      </c>
      <c r="F1926" s="0" t="inlineStr">
        <is>
          <t xml:space="preserve">B</t>
        </is>
      </c>
      <c r="G1926" s="4">
        <v>0.002747</v>
      </c>
      <c r="H1926" s="0" t="inlineStr">
        <is>
          <t xml:space="preserve">2019-02-07</t>
        </is>
      </c>
      <c r="I1926" s="0" t="inlineStr">
        <is>
          <t xml:space="preserve">no</t>
        </is>
      </c>
      <c r="K1926" s="0" t="inlineStr">
        <is>
          <t xml:space="preserve">NONE</t>
        </is>
      </c>
    </row>
    <row r="1927">
      <c r="B1927" s="0" t="inlineStr">
        <is>
          <t xml:space="preserve">N0010419FK400</t>
        </is>
      </c>
      <c r="C1927" s="0" t="inlineStr">
        <is>
          <t xml:space="preserve">N0010416DX004</t>
        </is>
      </c>
      <c r="D1927" s="0" t="inlineStr">
        <is>
          <t xml:space="preserve">small_craft</t>
        </is>
      </c>
      <c r="E1927" s="0" t="inlineStr">
        <is>
          <t xml:space="preserve">WING INFLATABLES INC</t>
        </is>
      </c>
      <c r="F1927" s="0" t="inlineStr">
        <is>
          <t xml:space="preserve">C</t>
        </is>
      </c>
      <c r="G1927" s="4">
        <v>0.00274256</v>
      </c>
      <c r="H1927" s="0" t="inlineStr">
        <is>
          <t xml:space="preserve">2019-01-17</t>
        </is>
      </c>
      <c r="I1927" s="0" t="inlineStr">
        <is>
          <t xml:space="preserve">no</t>
        </is>
      </c>
      <c r="K1927" s="0" t="inlineStr">
        <is>
          <t xml:space="preserve">NONE</t>
        </is>
      </c>
    </row>
    <row r="1928">
      <c r="B1928" s="0" t="inlineStr">
        <is>
          <t xml:space="preserve">N0040616P0069</t>
        </is>
      </c>
      <c r="D1928" s="0" t="inlineStr">
        <is>
          <t xml:space="preserve">small_craft</t>
        </is>
      </c>
      <c r="E1928" s="0" t="inlineStr">
        <is>
          <t xml:space="preserve">PACIFIC MARITIME INDUSTRIES CORP.</t>
        </is>
      </c>
      <c r="F1928" s="0" t="inlineStr">
        <is>
          <t xml:space="preserve">B</t>
        </is>
      </c>
      <c r="G1928" s="4">
        <v>0.0026999999999999997</v>
      </c>
      <c r="H1928" s="0" t="inlineStr">
        <is>
          <t xml:space="preserve">2015-10-06</t>
        </is>
      </c>
      <c r="I1928" s="0" t="inlineStr">
        <is>
          <t xml:space="preserve">no</t>
        </is>
      </c>
      <c r="K1928" s="0" t="inlineStr">
        <is>
          <t xml:space="preserve">NONE</t>
        </is>
      </c>
    </row>
    <row r="1929">
      <c r="B1929" s="0" t="inlineStr">
        <is>
          <t xml:space="preserve">N0010417PEC49</t>
        </is>
      </c>
      <c r="D1929" s="0" t="inlineStr">
        <is>
          <t xml:space="preserve">small_craft</t>
        </is>
      </c>
      <c r="E1929" s="0" t="inlineStr">
        <is>
          <t xml:space="preserve">DIBERT VALVE AND FITTING COMPANY, INCORPORATED</t>
        </is>
      </c>
      <c r="F1929" s="0" t="inlineStr">
        <is>
          <t xml:space="preserve">B</t>
        </is>
      </c>
      <c r="G1929" s="4">
        <v>0.0026571</v>
      </c>
      <c r="H1929" s="0" t="inlineStr">
        <is>
          <t xml:space="preserve">2017-04-27</t>
        </is>
      </c>
      <c r="I1929" s="0" t="inlineStr">
        <is>
          <t xml:space="preserve">no</t>
        </is>
      </c>
      <c r="K1929" s="0" t="inlineStr">
        <is>
          <t xml:space="preserve">NONE</t>
        </is>
      </c>
    </row>
    <row r="1930">
      <c r="B1930" s="0" t="inlineStr">
        <is>
          <t xml:space="preserve">N0010424PEE63</t>
        </is>
      </c>
      <c r="D1930" s="0" t="inlineStr">
        <is>
          <t xml:space="preserve">small_craft</t>
        </is>
      </c>
      <c r="E1930" s="0" t="inlineStr">
        <is>
          <t xml:space="preserve">ADIRONDACK ELECTRONICS INC</t>
        </is>
      </c>
      <c r="F1930" s="0" t="inlineStr">
        <is>
          <t xml:space="preserve">B</t>
        </is>
      </c>
      <c r="G1930" s="4">
        <v>0.002644</v>
      </c>
      <c r="H1930" s="0" t="inlineStr">
        <is>
          <t xml:space="preserve">2024-08-27</t>
        </is>
      </c>
      <c r="I1930" s="0" t="inlineStr">
        <is>
          <t xml:space="preserve">no</t>
        </is>
      </c>
      <c r="K1930" s="0" t="inlineStr">
        <is>
          <t xml:space="preserve">NONE</t>
        </is>
      </c>
    </row>
    <row r="1931">
      <c r="B1931" s="0" t="inlineStr">
        <is>
          <t xml:space="preserve">N0010417PBV20</t>
        </is>
      </c>
      <c r="D1931" s="0" t="inlineStr">
        <is>
          <t xml:space="preserve">small_craft</t>
        </is>
      </c>
      <c r="E1931" s="0" t="inlineStr">
        <is>
          <t xml:space="preserve">NEW STANTON MACHINING AND TOOLING</t>
        </is>
      </c>
      <c r="F1931" s="0" t="inlineStr">
        <is>
          <t xml:space="preserve">B</t>
        </is>
      </c>
      <c r="G1931" s="4">
        <v>0.002619</v>
      </c>
      <c r="H1931" s="0" t="inlineStr">
        <is>
          <t xml:space="preserve">2017-02-24</t>
        </is>
      </c>
      <c r="I1931" s="0" t="inlineStr">
        <is>
          <t xml:space="preserve">no</t>
        </is>
      </c>
      <c r="K1931" s="0" t="inlineStr">
        <is>
          <t xml:space="preserve">NONE</t>
        </is>
      </c>
    </row>
    <row r="1932">
      <c r="B1932" s="0" t="inlineStr">
        <is>
          <t xml:space="preserve">N0010423PXC20</t>
        </is>
      </c>
      <c r="D1932" s="0" t="inlineStr">
        <is>
          <t xml:space="preserve">small_craft</t>
        </is>
      </c>
      <c r="E1932" s="0" t="inlineStr">
        <is>
          <t xml:space="preserve">TECHNICAL COMPONENTS INC</t>
        </is>
      </c>
      <c r="F1932" s="0" t="inlineStr">
        <is>
          <t xml:space="preserve">B</t>
        </is>
      </c>
      <c r="G1932" s="4">
        <v>0.00261555</v>
      </c>
      <c r="H1932" s="0" t="inlineStr">
        <is>
          <t xml:space="preserve">2023-04-03</t>
        </is>
      </c>
      <c r="I1932" s="0" t="inlineStr">
        <is>
          <t xml:space="preserve">no</t>
        </is>
      </c>
      <c r="K1932" s="0" t="inlineStr">
        <is>
          <t xml:space="preserve">NONE</t>
        </is>
      </c>
    </row>
    <row r="1933">
      <c r="B1933" s="0" t="inlineStr">
        <is>
          <t xml:space="preserve">N0010417PFC47</t>
        </is>
      </c>
      <c r="D1933" s="0" t="inlineStr">
        <is>
          <t xml:space="preserve">small_craft</t>
        </is>
      </c>
      <c r="E1933" s="0" t="inlineStr">
        <is>
          <t xml:space="preserve">GUILL TOOL &amp; ENGINEERING CO INC</t>
        </is>
      </c>
      <c r="F1933" s="0" t="inlineStr">
        <is>
          <t xml:space="preserve">B</t>
        </is>
      </c>
      <c r="G1933" s="4">
        <v>0.0026</v>
      </c>
      <c r="H1933" s="0" t="inlineStr">
        <is>
          <t xml:space="preserve">2017-02-13</t>
        </is>
      </c>
      <c r="I1933" s="0" t="inlineStr">
        <is>
          <t xml:space="preserve">no</t>
        </is>
      </c>
      <c r="K1933" s="0" t="inlineStr">
        <is>
          <t xml:space="preserve">NONE</t>
        </is>
      </c>
    </row>
    <row r="1934">
      <c r="B1934" s="0" t="inlineStr">
        <is>
          <t xml:space="preserve">N0010420PEA1N</t>
        </is>
      </c>
      <c r="D1934" s="0" t="inlineStr">
        <is>
          <t xml:space="preserve">small_craft</t>
        </is>
      </c>
      <c r="E1934" s="0" t="inlineStr">
        <is>
          <t xml:space="preserve">NASCO AEROSPACE AND ELECTRONICS LLC</t>
        </is>
      </c>
      <c r="F1934" s="0" t="inlineStr">
        <is>
          <t xml:space="preserve">B</t>
        </is>
      </c>
      <c r="G1934" s="4">
        <v>0.0025995</v>
      </c>
      <c r="H1934" s="0" t="inlineStr">
        <is>
          <t xml:space="preserve">2020-04-30</t>
        </is>
      </c>
      <c r="I1934" s="0" t="inlineStr">
        <is>
          <t xml:space="preserve">no</t>
        </is>
      </c>
      <c r="K1934" s="0" t="inlineStr">
        <is>
          <t xml:space="preserve">NONE</t>
        </is>
      </c>
    </row>
    <row r="1935">
      <c r="B1935" s="0" t="inlineStr">
        <is>
          <t xml:space="preserve">N0010421PDB29</t>
        </is>
      </c>
      <c r="D1935" s="0" t="inlineStr">
        <is>
          <t xml:space="preserve">small_craft</t>
        </is>
      </c>
      <c r="E1935" s="0" t="inlineStr">
        <is>
          <t xml:space="preserve">LEIDOS INC</t>
        </is>
      </c>
      <c r="F1935" s="0" t="inlineStr">
        <is>
          <t xml:space="preserve">B</t>
        </is>
      </c>
      <c r="G1935" s="4">
        <v>0.0025759999999999997</v>
      </c>
      <c r="H1935" s="0" t="inlineStr">
        <is>
          <t xml:space="preserve">2021-05-27</t>
        </is>
      </c>
      <c r="I1935" s="0" t="inlineStr">
        <is>
          <t xml:space="preserve">no</t>
        </is>
      </c>
      <c r="K1935" s="0" t="inlineStr">
        <is>
          <t xml:space="preserve">NONE</t>
        </is>
      </c>
    </row>
    <row r="1936">
      <c r="B1936" s="0" t="inlineStr">
        <is>
          <t xml:space="preserve">N0010421PEH85</t>
        </is>
      </c>
      <c r="D1936" s="0" t="inlineStr">
        <is>
          <t xml:space="preserve">small_craft</t>
        </is>
      </c>
      <c r="E1936" s="0" t="inlineStr">
        <is>
          <t xml:space="preserve">IN SPECK CORP</t>
        </is>
      </c>
      <c r="F1936" s="0" t="inlineStr">
        <is>
          <t xml:space="preserve">B</t>
        </is>
      </c>
      <c r="G1936" s="4">
        <v>0.002574</v>
      </c>
      <c r="H1936" s="0" t="inlineStr">
        <is>
          <t xml:space="preserve">2021-07-15</t>
        </is>
      </c>
      <c r="I1936" s="0" t="inlineStr">
        <is>
          <t xml:space="preserve">no</t>
        </is>
      </c>
      <c r="K1936" s="0" t="inlineStr">
        <is>
          <t xml:space="preserve">NONE</t>
        </is>
      </c>
    </row>
    <row r="1937">
      <c r="B1937" s="0" t="inlineStr">
        <is>
          <t xml:space="preserve">N0010419PDC01</t>
        </is>
      </c>
      <c r="D1937" s="0" t="inlineStr">
        <is>
          <t xml:space="preserve">small_craft</t>
        </is>
      </c>
      <c r="E1937" s="0" t="inlineStr">
        <is>
          <t xml:space="preserve">TIMKEN GEARS &amp; SERVICES INC.</t>
        </is>
      </c>
      <c r="F1937" s="0" t="inlineStr">
        <is>
          <t xml:space="preserve">B</t>
        </is>
      </c>
      <c r="G1937" s="4">
        <v>0.0025559999999999997</v>
      </c>
      <c r="H1937" s="0" t="inlineStr">
        <is>
          <t xml:space="preserve">2019-02-15</t>
        </is>
      </c>
      <c r="I1937" s="0" t="inlineStr">
        <is>
          <t xml:space="preserve">no</t>
        </is>
      </c>
      <c r="K1937" s="0" t="inlineStr">
        <is>
          <t xml:space="preserve">NONE</t>
        </is>
      </c>
    </row>
    <row r="1938">
      <c r="B1938" s="0" t="inlineStr">
        <is>
          <t xml:space="preserve">N0010419PDB90</t>
        </is>
      </c>
      <c r="D1938" s="0" t="inlineStr">
        <is>
          <t xml:space="preserve">small_craft</t>
        </is>
      </c>
      <c r="E1938" s="0" t="inlineStr">
        <is>
          <t xml:space="preserve">TIMKEN GEARS &amp; SERVICES INC.</t>
        </is>
      </c>
      <c r="F1938" s="0" t="inlineStr">
        <is>
          <t xml:space="preserve">B</t>
        </is>
      </c>
      <c r="G1938" s="4">
        <v>0.0025559999999999997</v>
      </c>
      <c r="H1938" s="0" t="inlineStr">
        <is>
          <t xml:space="preserve">2019-02-08</t>
        </is>
      </c>
      <c r="I1938" s="0" t="inlineStr">
        <is>
          <t xml:space="preserve">no</t>
        </is>
      </c>
      <c r="K1938" s="0" t="inlineStr">
        <is>
          <t xml:space="preserve">NONE</t>
        </is>
      </c>
    </row>
    <row r="1939">
      <c r="B1939" s="0" t="inlineStr">
        <is>
          <t xml:space="preserve">N0010418PDC64</t>
        </is>
      </c>
      <c r="D1939" s="0" t="inlineStr">
        <is>
          <t xml:space="preserve">small_craft</t>
        </is>
      </c>
      <c r="E1939" s="0" t="inlineStr">
        <is>
          <t xml:space="preserve">TIMKEN GEARS &amp; SERVICES INC.</t>
        </is>
      </c>
      <c r="F1939" s="0" t="inlineStr">
        <is>
          <t xml:space="preserve">B</t>
        </is>
      </c>
      <c r="G1939" s="4">
        <v>0.0025559999999999997</v>
      </c>
      <c r="H1939" s="0" t="inlineStr">
        <is>
          <t xml:space="preserve">2018-03-13</t>
        </is>
      </c>
      <c r="I1939" s="0" t="inlineStr">
        <is>
          <t xml:space="preserve">no</t>
        </is>
      </c>
      <c r="K1939" s="0" t="inlineStr">
        <is>
          <t xml:space="preserve">NONE</t>
        </is>
      </c>
    </row>
    <row r="1940">
      <c r="B1940" s="0" t="inlineStr">
        <is>
          <t xml:space="preserve">N0010418PDB72</t>
        </is>
      </c>
      <c r="D1940" s="0" t="inlineStr">
        <is>
          <t xml:space="preserve">small_craft</t>
        </is>
      </c>
      <c r="E1940" s="0" t="inlineStr">
        <is>
          <t xml:space="preserve">TIMKEN GEARS &amp; SERVICES INC.</t>
        </is>
      </c>
      <c r="F1940" s="0" t="inlineStr">
        <is>
          <t xml:space="preserve">B</t>
        </is>
      </c>
      <c r="G1940" s="4">
        <v>0.0025559999999999997</v>
      </c>
      <c r="H1940" s="0" t="inlineStr">
        <is>
          <t xml:space="preserve">2018-01-19</t>
        </is>
      </c>
      <c r="I1940" s="0" t="inlineStr">
        <is>
          <t xml:space="preserve">no</t>
        </is>
      </c>
      <c r="K1940" s="0" t="inlineStr">
        <is>
          <t xml:space="preserve">NONE</t>
        </is>
      </c>
    </row>
    <row r="1941">
      <c r="B1941" s="0" t="inlineStr">
        <is>
          <t xml:space="preserve">N0010421PND34</t>
        </is>
      </c>
      <c r="D1941" s="0" t="inlineStr">
        <is>
          <t xml:space="preserve">small_craft</t>
        </is>
      </c>
      <c r="E1941" s="0" t="inlineStr">
        <is>
          <t xml:space="preserve">NORTHROP GRUMMAN SYSTEMS CORPORATION</t>
        </is>
      </c>
      <c r="F1941" s="0" t="inlineStr">
        <is>
          <t xml:space="preserve">B</t>
        </is>
      </c>
      <c r="G1941" s="4">
        <v>0.002555</v>
      </c>
      <c r="H1941" s="0" t="inlineStr">
        <is>
          <t xml:space="preserve">2021-09-03</t>
        </is>
      </c>
      <c r="I1941" s="0" t="inlineStr">
        <is>
          <t xml:space="preserve">no</t>
        </is>
      </c>
      <c r="K1941" s="0" t="inlineStr">
        <is>
          <t xml:space="preserve">NONE</t>
        </is>
      </c>
    </row>
    <row r="1942">
      <c r="B1942" s="0" t="inlineStr">
        <is>
          <t xml:space="preserve">N0010420PXB89</t>
        </is>
      </c>
      <c r="D1942" s="0" t="inlineStr">
        <is>
          <t xml:space="preserve">small_craft</t>
        </is>
      </c>
      <c r="E1942" s="0" t="inlineStr">
        <is>
          <t xml:space="preserve">WING INFLATABLES INC</t>
        </is>
      </c>
      <c r="F1942" s="0" t="inlineStr">
        <is>
          <t xml:space="preserve">B</t>
        </is>
      </c>
      <c r="G1942" s="4">
        <v>0.002525</v>
      </c>
      <c r="H1942" s="0" t="inlineStr">
        <is>
          <t xml:space="preserve">2020-07-21</t>
        </is>
      </c>
      <c r="I1942" s="0" t="inlineStr">
        <is>
          <t xml:space="preserve">no</t>
        </is>
      </c>
      <c r="K1942" s="0" t="inlineStr">
        <is>
          <t xml:space="preserve">NONE</t>
        </is>
      </c>
    </row>
    <row r="1943">
      <c r="B1943" s="0" t="inlineStr">
        <is>
          <t xml:space="preserve">N0010421PCC01</t>
        </is>
      </c>
      <c r="D1943" s="0" t="inlineStr">
        <is>
          <t xml:space="preserve">small_craft</t>
        </is>
      </c>
      <c r="E1943" s="0" t="inlineStr">
        <is>
          <t xml:space="preserve">AMETEK PROGRAMMABLE POWER, INC.</t>
        </is>
      </c>
      <c r="F1943" s="0" t="inlineStr">
        <is>
          <t xml:space="preserve">B</t>
        </is>
      </c>
      <c r="G1943" s="4">
        <v>0.002519</v>
      </c>
      <c r="H1943" s="0" t="inlineStr">
        <is>
          <t xml:space="preserve">2021-04-21</t>
        </is>
      </c>
      <c r="I1943" s="0" t="inlineStr">
        <is>
          <t xml:space="preserve">no</t>
        </is>
      </c>
      <c r="K1943" s="0" t="inlineStr">
        <is>
          <t xml:space="preserve">NONE</t>
        </is>
      </c>
    </row>
    <row r="1944">
      <c r="B1944" s="0" t="inlineStr">
        <is>
          <t xml:space="preserve">N0010417PBV09</t>
        </is>
      </c>
      <c r="D1944" s="0" t="inlineStr">
        <is>
          <t xml:space="preserve">small_craft</t>
        </is>
      </c>
      <c r="E1944" s="0" t="inlineStr">
        <is>
          <t xml:space="preserve">EUR-PAC CORPORATION</t>
        </is>
      </c>
      <c r="F1944" s="0" t="inlineStr">
        <is>
          <t xml:space="preserve">B</t>
        </is>
      </c>
      <c r="G1944" s="4">
        <v>0.00250665</v>
      </c>
      <c r="H1944" s="0" t="inlineStr">
        <is>
          <t xml:space="preserve">2017-02-24</t>
        </is>
      </c>
      <c r="I1944" s="0" t="inlineStr">
        <is>
          <t xml:space="preserve">no</t>
        </is>
      </c>
      <c r="K1944" s="0" t="inlineStr">
        <is>
          <t xml:space="preserve">NONE</t>
        </is>
      </c>
    </row>
    <row r="1945">
      <c r="B1945" s="0" t="inlineStr">
        <is>
          <t xml:space="preserve">N0010425PLC02</t>
        </is>
      </c>
      <c r="D1945" s="0" t="inlineStr">
        <is>
          <t xml:space="preserve">small_craft</t>
        </is>
      </c>
      <c r="E1945" s="0" t="inlineStr">
        <is>
          <t xml:space="preserve">FM AF, LLC</t>
        </is>
      </c>
      <c r="F1945" s="0" t="inlineStr">
        <is>
          <t xml:space="preserve">B</t>
        </is>
      </c>
      <c r="G1945" s="4">
        <v>0.0025</v>
      </c>
      <c r="H1945" s="0" t="inlineStr">
        <is>
          <t xml:space="preserve">2025-07-16</t>
        </is>
      </c>
      <c r="I1945" s="0" t="inlineStr">
        <is>
          <t xml:space="preserve">yes</t>
        </is>
      </c>
      <c r="K1945" s="0" t="inlineStr">
        <is>
          <t xml:space="preserve">NONE</t>
        </is>
      </c>
    </row>
    <row r="1946">
      <c r="B1946" s="0" t="inlineStr">
        <is>
          <t xml:space="preserve">N6660418FC823</t>
        </is>
      </c>
      <c r="C1946" s="0" t="inlineStr">
        <is>
          <t xml:space="preserve">N6660418DC828</t>
        </is>
      </c>
      <c r="D1946" s="0" t="inlineStr">
        <is>
          <t xml:space="preserve">small_craft</t>
        </is>
      </c>
      <c r="E1946" s="0" t="inlineStr">
        <is>
          <t xml:space="preserve">WOODS HOLE OCEANOGRAPHIC INSTITUTION</t>
        </is>
      </c>
      <c r="F1946" s="0" t="inlineStr">
        <is>
          <t xml:space="preserve">C</t>
        </is>
      </c>
      <c r="G1946" s="4">
        <v>0.0025</v>
      </c>
      <c r="H1946" s="0" t="inlineStr">
        <is>
          <t xml:space="preserve">2018-08-07</t>
        </is>
      </c>
      <c r="I1946" s="0" t="inlineStr">
        <is>
          <t xml:space="preserve">no</t>
        </is>
      </c>
      <c r="J1946" s="0" t="inlineStr">
        <is>
          <t xml:space="preserve">N6660417R0350</t>
        </is>
      </c>
      <c r="K1946" s="0" t="inlineStr">
        <is>
          <t xml:space="preserve">NONE</t>
        </is>
      </c>
    </row>
    <row r="1947">
      <c r="B1947" s="0" t="inlineStr">
        <is>
          <t xml:space="preserve">N6660418FC822</t>
        </is>
      </c>
      <c r="C1947" s="0" t="inlineStr">
        <is>
          <t xml:space="preserve">N6660418DC826</t>
        </is>
      </c>
      <c r="D1947" s="0" t="inlineStr">
        <is>
          <t xml:space="preserve">small_craft</t>
        </is>
      </c>
      <c r="E1947" s="0" t="inlineStr">
        <is>
          <t xml:space="preserve">TELEDYNE BROWN ENGINEERING, INC.</t>
        </is>
      </c>
      <c r="F1947" s="0" t="inlineStr">
        <is>
          <t xml:space="preserve">C</t>
        </is>
      </c>
      <c r="G1947" s="4">
        <v>0.0025</v>
      </c>
      <c r="H1947" s="0" t="inlineStr">
        <is>
          <t xml:space="preserve">2018-08-07</t>
        </is>
      </c>
      <c r="I1947" s="0" t="inlineStr">
        <is>
          <t xml:space="preserve">no</t>
        </is>
      </c>
      <c r="J1947" s="0" t="inlineStr">
        <is>
          <t xml:space="preserve">N6660417R0350</t>
        </is>
      </c>
      <c r="K1947" s="0" t="inlineStr">
        <is>
          <t xml:space="preserve">NONE</t>
        </is>
      </c>
    </row>
    <row r="1948">
      <c r="B1948" s="0" t="inlineStr">
        <is>
          <t xml:space="preserve">N6660418FC821</t>
        </is>
      </c>
      <c r="C1948" s="0" t="inlineStr">
        <is>
          <t xml:space="preserve">N6660418DC825</t>
        </is>
      </c>
      <c r="D1948" s="0" t="inlineStr">
        <is>
          <t xml:space="preserve">small_craft</t>
        </is>
      </c>
      <c r="E1948" s="0" t="inlineStr">
        <is>
          <t xml:space="preserve">SOUTHWEST RESEARCH INSTITUTE</t>
        </is>
      </c>
      <c r="F1948" s="0" t="inlineStr">
        <is>
          <t xml:space="preserve">C</t>
        </is>
      </c>
      <c r="G1948" s="4">
        <v>0.0025</v>
      </c>
      <c r="H1948" s="0" t="inlineStr">
        <is>
          <t xml:space="preserve">2018-08-07</t>
        </is>
      </c>
      <c r="I1948" s="0" t="inlineStr">
        <is>
          <t xml:space="preserve">no</t>
        </is>
      </c>
      <c r="J1948" s="0" t="inlineStr">
        <is>
          <t xml:space="preserve">N6660417R0350</t>
        </is>
      </c>
      <c r="K1948" s="0" t="inlineStr">
        <is>
          <t xml:space="preserve">NONE</t>
        </is>
      </c>
    </row>
    <row r="1949">
      <c r="B1949" s="0" t="inlineStr">
        <is>
          <t xml:space="preserve">N6660418FC820</t>
        </is>
      </c>
      <c r="C1949" s="0" t="inlineStr">
        <is>
          <t xml:space="preserve">N6660418DC823</t>
        </is>
      </c>
      <c r="D1949" s="0" t="inlineStr">
        <is>
          <t xml:space="preserve">small_craft</t>
        </is>
      </c>
      <c r="E1949" s="0" t="inlineStr">
        <is>
          <t xml:space="preserve">SEACORP, LLC</t>
        </is>
      </c>
      <c r="F1949" s="0" t="inlineStr">
        <is>
          <t xml:space="preserve">C</t>
        </is>
      </c>
      <c r="G1949" s="4">
        <v>0.0025</v>
      </c>
      <c r="H1949" s="0" t="inlineStr">
        <is>
          <t xml:space="preserve">2018-08-07</t>
        </is>
      </c>
      <c r="I1949" s="0" t="inlineStr">
        <is>
          <t xml:space="preserve">no</t>
        </is>
      </c>
      <c r="J1949" s="0" t="inlineStr">
        <is>
          <t xml:space="preserve">N6660417R0350</t>
        </is>
      </c>
      <c r="K1949" s="0" t="inlineStr">
        <is>
          <t xml:space="preserve">NONE</t>
        </is>
      </c>
    </row>
    <row r="1950">
      <c r="B1950" s="0" t="inlineStr">
        <is>
          <t xml:space="preserve">N6660418FC819</t>
        </is>
      </c>
      <c r="C1950" s="0" t="inlineStr">
        <is>
          <t xml:space="preserve">N6660418DC822</t>
        </is>
      </c>
      <c r="D1950" s="0" t="inlineStr">
        <is>
          <t xml:space="preserve">small_craft</t>
        </is>
      </c>
      <c r="E1950" s="0" t="inlineStr">
        <is>
          <t xml:space="preserve">SCIENCE APPLICATIONS INTERNATIONAL CORPORATION</t>
        </is>
      </c>
      <c r="F1950" s="0" t="inlineStr">
        <is>
          <t xml:space="preserve">C</t>
        </is>
      </c>
      <c r="G1950" s="4">
        <v>0.0025</v>
      </c>
      <c r="H1950" s="0" t="inlineStr">
        <is>
          <t xml:space="preserve">2018-08-07</t>
        </is>
      </c>
      <c r="I1950" s="0" t="inlineStr">
        <is>
          <t xml:space="preserve">no</t>
        </is>
      </c>
      <c r="J1950" s="0" t="inlineStr">
        <is>
          <t xml:space="preserve">N6660417R0350</t>
        </is>
      </c>
      <c r="K1950" s="0" t="inlineStr">
        <is>
          <t xml:space="preserve">NONE</t>
        </is>
      </c>
    </row>
    <row r="1951">
      <c r="B1951" s="0" t="inlineStr">
        <is>
          <t xml:space="preserve">N6660418FC818</t>
        </is>
      </c>
      <c r="C1951" s="0" t="inlineStr">
        <is>
          <t xml:space="preserve">N6660418DC820</t>
        </is>
      </c>
      <c r="D1951" s="0" t="inlineStr">
        <is>
          <t xml:space="preserve">small_craft</t>
        </is>
      </c>
      <c r="E1951" s="0" t="inlineStr">
        <is>
          <t xml:space="preserve">RITE-SOLUTIONS, INC.</t>
        </is>
      </c>
      <c r="F1951" s="0" t="inlineStr">
        <is>
          <t xml:space="preserve">C</t>
        </is>
      </c>
      <c r="G1951" s="4">
        <v>0.0025</v>
      </c>
      <c r="H1951" s="0" t="inlineStr">
        <is>
          <t xml:space="preserve">2018-08-07</t>
        </is>
      </c>
      <c r="I1951" s="0" t="inlineStr">
        <is>
          <t xml:space="preserve">no</t>
        </is>
      </c>
      <c r="J1951" s="0" t="inlineStr">
        <is>
          <t xml:space="preserve">N6660417R0350</t>
        </is>
      </c>
      <c r="K1951" s="0" t="inlineStr">
        <is>
          <t xml:space="preserve">NONE</t>
        </is>
      </c>
    </row>
    <row r="1952">
      <c r="B1952" s="0" t="inlineStr">
        <is>
          <t xml:space="preserve">N6660418FC817</t>
        </is>
      </c>
      <c r="C1952" s="0" t="inlineStr">
        <is>
          <t xml:space="preserve">N6660418DC819</t>
        </is>
      </c>
      <c r="D1952" s="0" t="inlineStr">
        <is>
          <t xml:space="preserve">small_craft</t>
        </is>
      </c>
      <c r="E1952" s="0" t="inlineStr">
        <is>
          <t xml:space="preserve">RAYTHEON COMPANY</t>
        </is>
      </c>
      <c r="F1952" s="0" t="inlineStr">
        <is>
          <t xml:space="preserve">C</t>
        </is>
      </c>
      <c r="G1952" s="4">
        <v>0.0025</v>
      </c>
      <c r="H1952" s="0" t="inlineStr">
        <is>
          <t xml:space="preserve">2018-08-07</t>
        </is>
      </c>
      <c r="I1952" s="0" t="inlineStr">
        <is>
          <t xml:space="preserve">no</t>
        </is>
      </c>
      <c r="J1952" s="0" t="inlineStr">
        <is>
          <t xml:space="preserve">N6660417R0350</t>
        </is>
      </c>
      <c r="K1952" s="0" t="inlineStr">
        <is>
          <t xml:space="preserve">NONE</t>
        </is>
      </c>
    </row>
    <row r="1953">
      <c r="B1953" s="0" t="inlineStr">
        <is>
          <t xml:space="preserve">N6660418FC816</t>
        </is>
      </c>
      <c r="C1953" s="0" t="inlineStr">
        <is>
          <t xml:space="preserve">N6660418DC818</t>
        </is>
      </c>
      <c r="D1953" s="0" t="inlineStr">
        <is>
          <t xml:space="preserve">small_craft</t>
        </is>
      </c>
      <c r="E1953" s="0" t="inlineStr">
        <is>
          <t xml:space="preserve">OCEANEERING INTERNATIONAL INC</t>
        </is>
      </c>
      <c r="F1953" s="0" t="inlineStr">
        <is>
          <t xml:space="preserve">C</t>
        </is>
      </c>
      <c r="G1953" s="4">
        <v>0.0025</v>
      </c>
      <c r="H1953" s="0" t="inlineStr">
        <is>
          <t xml:space="preserve">2018-08-06</t>
        </is>
      </c>
      <c r="I1953" s="0" t="inlineStr">
        <is>
          <t xml:space="preserve">no</t>
        </is>
      </c>
      <c r="J1953" s="0" t="inlineStr">
        <is>
          <t xml:space="preserve">N6660417R0350</t>
        </is>
      </c>
      <c r="K1953" s="0" t="inlineStr">
        <is>
          <t xml:space="preserve">NONE</t>
        </is>
      </c>
    </row>
    <row r="1954">
      <c r="B1954" s="0" t="inlineStr">
        <is>
          <t xml:space="preserve">N6660418FC815</t>
        </is>
      </c>
      <c r="C1954" s="0" t="inlineStr">
        <is>
          <t xml:space="preserve">N6660418DC817</t>
        </is>
      </c>
      <c r="D1954" s="0" t="inlineStr">
        <is>
          <t xml:space="preserve">small_craft</t>
        </is>
      </c>
      <c r="E1954" s="0" t="inlineStr">
        <is>
          <t xml:space="preserve">NORTHROP GRUMMAN SYSTEMS CORPORATION</t>
        </is>
      </c>
      <c r="F1954" s="0" t="inlineStr">
        <is>
          <t xml:space="preserve">C</t>
        </is>
      </c>
      <c r="G1954" s="4">
        <v>0.0025</v>
      </c>
      <c r="H1954" s="0" t="inlineStr">
        <is>
          <t xml:space="preserve">2018-08-06</t>
        </is>
      </c>
      <c r="I1954" s="0" t="inlineStr">
        <is>
          <t xml:space="preserve">no</t>
        </is>
      </c>
      <c r="J1954" s="0" t="inlineStr">
        <is>
          <t xml:space="preserve">N6660417R0350</t>
        </is>
      </c>
      <c r="K1954" s="0" t="inlineStr">
        <is>
          <t xml:space="preserve">NONE</t>
        </is>
      </c>
    </row>
    <row r="1955">
      <c r="B1955" s="0" t="inlineStr">
        <is>
          <t xml:space="preserve">N6660418FC814</t>
        </is>
      </c>
      <c r="C1955" s="0" t="inlineStr">
        <is>
          <t xml:space="preserve">N6660418DC816</t>
        </is>
      </c>
      <c r="D1955" s="0" t="inlineStr">
        <is>
          <t xml:space="preserve">small_craft</t>
        </is>
      </c>
      <c r="E1955" s="0" t="inlineStr">
        <is>
          <t xml:space="preserve">MOOG INC</t>
        </is>
      </c>
      <c r="F1955" s="0" t="inlineStr">
        <is>
          <t xml:space="preserve">C</t>
        </is>
      </c>
      <c r="G1955" s="4">
        <v>0.0025</v>
      </c>
      <c r="H1955" s="0" t="inlineStr">
        <is>
          <t xml:space="preserve">2018-08-06</t>
        </is>
      </c>
      <c r="I1955" s="0" t="inlineStr">
        <is>
          <t xml:space="preserve">no</t>
        </is>
      </c>
      <c r="J1955" s="0" t="inlineStr">
        <is>
          <t xml:space="preserve">N6660417R0350</t>
        </is>
      </c>
      <c r="K1955" s="0" t="inlineStr">
        <is>
          <t xml:space="preserve">NONE</t>
        </is>
      </c>
    </row>
    <row r="1956">
      <c r="B1956" s="0" t="inlineStr">
        <is>
          <t xml:space="preserve">N6660418FC813</t>
        </is>
      </c>
      <c r="C1956" s="0" t="inlineStr">
        <is>
          <t xml:space="preserve">N6660418DC815</t>
        </is>
      </c>
      <c r="D1956" s="0" t="inlineStr">
        <is>
          <t xml:space="preserve">small_craft</t>
        </is>
      </c>
      <c r="E1956" s="0" t="inlineStr">
        <is>
          <t xml:space="preserve">LOCKHEED MARTIN CORPORATION</t>
        </is>
      </c>
      <c r="F1956" s="0" t="inlineStr">
        <is>
          <t xml:space="preserve">C</t>
        </is>
      </c>
      <c r="G1956" s="4">
        <v>0.0025</v>
      </c>
      <c r="H1956" s="0" t="inlineStr">
        <is>
          <t xml:space="preserve">2018-08-06</t>
        </is>
      </c>
      <c r="I1956" s="0" t="inlineStr">
        <is>
          <t xml:space="preserve">no</t>
        </is>
      </c>
      <c r="J1956" s="0" t="inlineStr">
        <is>
          <t xml:space="preserve">N6660417R0350</t>
        </is>
      </c>
      <c r="K1956" s="0" t="inlineStr">
        <is>
          <t xml:space="preserve">NONE</t>
        </is>
      </c>
    </row>
    <row r="1957">
      <c r="B1957" s="0" t="inlineStr">
        <is>
          <t xml:space="preserve">N6660418FC812</t>
        </is>
      </c>
      <c r="C1957" s="0" t="inlineStr">
        <is>
          <t xml:space="preserve">N6660418DC814</t>
        </is>
      </c>
      <c r="D1957" s="0" t="inlineStr">
        <is>
          <t xml:space="preserve">small_craft</t>
        </is>
      </c>
      <c r="E1957" s="0" t="inlineStr">
        <is>
          <t xml:space="preserve">L3 TECHNOLOGIES, INC.</t>
        </is>
      </c>
      <c r="F1957" s="0" t="inlineStr">
        <is>
          <t xml:space="preserve">C</t>
        </is>
      </c>
      <c r="G1957" s="4">
        <v>0.0025</v>
      </c>
      <c r="H1957" s="0" t="inlineStr">
        <is>
          <t xml:space="preserve">2018-08-06</t>
        </is>
      </c>
      <c r="I1957" s="0" t="inlineStr">
        <is>
          <t xml:space="preserve">no</t>
        </is>
      </c>
      <c r="J1957" s="0" t="inlineStr">
        <is>
          <t xml:space="preserve">N6660417R0350</t>
        </is>
      </c>
      <c r="K1957" s="0" t="inlineStr">
        <is>
          <t xml:space="preserve">NONE</t>
        </is>
      </c>
    </row>
    <row r="1958">
      <c r="B1958" s="0" t="inlineStr">
        <is>
          <t xml:space="preserve">N6660418FC811</t>
        </is>
      </c>
      <c r="C1958" s="0" t="inlineStr">
        <is>
          <t xml:space="preserve">N6660418DC812</t>
        </is>
      </c>
      <c r="D1958" s="0" t="inlineStr">
        <is>
          <t xml:space="preserve">small_craft</t>
        </is>
      </c>
      <c r="E1958" s="0" t="inlineStr">
        <is>
          <t xml:space="preserve">HII UNMANNED SYSTEMS, INC</t>
        </is>
      </c>
      <c r="F1958" s="0" t="inlineStr">
        <is>
          <t xml:space="preserve">C</t>
        </is>
      </c>
      <c r="G1958" s="4">
        <v>0.0025</v>
      </c>
      <c r="H1958" s="0" t="inlineStr">
        <is>
          <t xml:space="preserve">2018-08-06</t>
        </is>
      </c>
      <c r="I1958" s="0" t="inlineStr">
        <is>
          <t xml:space="preserve">no</t>
        </is>
      </c>
      <c r="J1958" s="0" t="inlineStr">
        <is>
          <t xml:space="preserve">N6660417R0350</t>
        </is>
      </c>
      <c r="K1958" s="0" t="inlineStr">
        <is>
          <t xml:space="preserve">NONE</t>
        </is>
      </c>
    </row>
    <row r="1959">
      <c r="B1959" s="0" t="inlineStr">
        <is>
          <t xml:space="preserve">N6660418FC810</t>
        </is>
      </c>
      <c r="C1959" s="0" t="inlineStr">
        <is>
          <t xml:space="preserve">N6660418DC811</t>
        </is>
      </c>
      <c r="D1959" s="0" t="inlineStr">
        <is>
          <t xml:space="preserve">small_craft</t>
        </is>
      </c>
      <c r="E1959" s="0" t="inlineStr">
        <is>
          <t xml:space="preserve">HII FLEET SUPPORT GROUP LLC</t>
        </is>
      </c>
      <c r="F1959" s="0" t="inlineStr">
        <is>
          <t xml:space="preserve">C</t>
        </is>
      </c>
      <c r="G1959" s="4">
        <v>0.0025</v>
      </c>
      <c r="H1959" s="0" t="inlineStr">
        <is>
          <t xml:space="preserve">2018-08-09</t>
        </is>
      </c>
      <c r="I1959" s="0" t="inlineStr">
        <is>
          <t xml:space="preserve">no</t>
        </is>
      </c>
      <c r="J1959" s="0" t="inlineStr">
        <is>
          <t xml:space="preserve">N6660417R0350</t>
        </is>
      </c>
      <c r="K1959" s="0" t="inlineStr">
        <is>
          <t xml:space="preserve">NONE</t>
        </is>
      </c>
    </row>
    <row r="1960">
      <c r="B1960" s="0" t="inlineStr">
        <is>
          <t xml:space="preserve">N6660418FC809</t>
        </is>
      </c>
      <c r="C1960" s="0" t="inlineStr">
        <is>
          <t xml:space="preserve">N6660418DC810</t>
        </is>
      </c>
      <c r="D1960" s="0" t="inlineStr">
        <is>
          <t xml:space="preserve">small_craft</t>
        </is>
      </c>
      <c r="E1960" s="0" t="inlineStr">
        <is>
          <t xml:space="preserve">HAMILTON SUNDSTRAND CORPORATION</t>
        </is>
      </c>
      <c r="F1960" s="0" t="inlineStr">
        <is>
          <t xml:space="preserve">C</t>
        </is>
      </c>
      <c r="G1960" s="4">
        <v>0.0025</v>
      </c>
      <c r="H1960" s="0" t="inlineStr">
        <is>
          <t xml:space="preserve">2018-08-09</t>
        </is>
      </c>
      <c r="I1960" s="0" t="inlineStr">
        <is>
          <t xml:space="preserve">no</t>
        </is>
      </c>
      <c r="J1960" s="0" t="inlineStr">
        <is>
          <t xml:space="preserve">N6660417R0350</t>
        </is>
      </c>
      <c r="K1960" s="0" t="inlineStr">
        <is>
          <t xml:space="preserve">NONE</t>
        </is>
      </c>
    </row>
    <row r="1961">
      <c r="B1961" s="0" t="inlineStr">
        <is>
          <t xml:space="preserve">N6660418FC808</t>
        </is>
      </c>
      <c r="C1961" s="0" t="inlineStr">
        <is>
          <t xml:space="preserve">N6660418DC809</t>
        </is>
      </c>
      <c r="D1961" s="0" t="inlineStr">
        <is>
          <t xml:space="preserve">small_craft</t>
        </is>
      </c>
      <c r="E1961" s="0" t="inlineStr">
        <is>
          <t xml:space="preserve">GENERAL DYNAMICS ONE SOURCE LLC</t>
        </is>
      </c>
      <c r="F1961" s="0" t="inlineStr">
        <is>
          <t xml:space="preserve">C</t>
        </is>
      </c>
      <c r="G1961" s="4">
        <v>0.0025</v>
      </c>
      <c r="H1961" s="0" t="inlineStr">
        <is>
          <t xml:space="preserve">2018-08-06</t>
        </is>
      </c>
      <c r="I1961" s="0" t="inlineStr">
        <is>
          <t xml:space="preserve">no</t>
        </is>
      </c>
      <c r="J1961" s="0" t="inlineStr">
        <is>
          <t xml:space="preserve">N6660417R0350</t>
        </is>
      </c>
      <c r="K1961" s="0" t="inlineStr">
        <is>
          <t xml:space="preserve">NONE</t>
        </is>
      </c>
    </row>
    <row r="1962">
      <c r="B1962" s="0" t="inlineStr">
        <is>
          <t xml:space="preserve">N6660418FC807</t>
        </is>
      </c>
      <c r="C1962" s="0" t="inlineStr">
        <is>
          <t xml:space="preserve">N6660418DC808</t>
        </is>
      </c>
      <c r="D1962" s="0" t="inlineStr">
        <is>
          <t xml:space="preserve">small_craft</t>
        </is>
      </c>
      <c r="E1962" s="0" t="inlineStr">
        <is>
          <t xml:space="preserve">GENERAL ATOMICS</t>
        </is>
      </c>
      <c r="F1962" s="0" t="inlineStr">
        <is>
          <t xml:space="preserve">C</t>
        </is>
      </c>
      <c r="G1962" s="4">
        <v>0.0025</v>
      </c>
      <c r="H1962" s="0" t="inlineStr">
        <is>
          <t xml:space="preserve">2018-08-06</t>
        </is>
      </c>
      <c r="I1962" s="0" t="inlineStr">
        <is>
          <t xml:space="preserve">no</t>
        </is>
      </c>
      <c r="J1962" s="0" t="inlineStr">
        <is>
          <t xml:space="preserve">N6660417R0350</t>
        </is>
      </c>
      <c r="K1962" s="0" t="inlineStr">
        <is>
          <t xml:space="preserve">NONE</t>
        </is>
      </c>
    </row>
    <row r="1963">
      <c r="B1963" s="0" t="inlineStr">
        <is>
          <t xml:space="preserve">N6660418FC806</t>
        </is>
      </c>
      <c r="C1963" s="0" t="inlineStr">
        <is>
          <t xml:space="preserve">N6660418DC807</t>
        </is>
      </c>
      <c r="D1963" s="0" t="inlineStr">
        <is>
          <t xml:space="preserve">small_craft</t>
        </is>
      </c>
      <c r="E1963" s="0" t="inlineStr">
        <is>
          <t xml:space="preserve">DRS NAVAL POWER SYSTEMS, INC.</t>
        </is>
      </c>
      <c r="F1963" s="0" t="inlineStr">
        <is>
          <t xml:space="preserve">C</t>
        </is>
      </c>
      <c r="G1963" s="4">
        <v>0.0025</v>
      </c>
      <c r="H1963" s="0" t="inlineStr">
        <is>
          <t xml:space="preserve">2018-08-06</t>
        </is>
      </c>
      <c r="I1963" s="0" t="inlineStr">
        <is>
          <t xml:space="preserve">no</t>
        </is>
      </c>
      <c r="J1963" s="0" t="inlineStr">
        <is>
          <t xml:space="preserve">N6660417R0350</t>
        </is>
      </c>
      <c r="K1963" s="0" t="inlineStr">
        <is>
          <t xml:space="preserve">NONE</t>
        </is>
      </c>
    </row>
    <row r="1964">
      <c r="B1964" s="0" t="inlineStr">
        <is>
          <t xml:space="preserve">N6660418FC805</t>
        </is>
      </c>
      <c r="C1964" s="0" t="inlineStr">
        <is>
          <t xml:space="preserve">N6660418DC806</t>
        </is>
      </c>
      <c r="D1964" s="0" t="inlineStr">
        <is>
          <t xml:space="preserve">small_craft</t>
        </is>
      </c>
      <c r="E1964" s="0" t="inlineStr">
        <is>
          <t xml:space="preserve">THE CHARLES STARK DRAPER LABORATORY, INC.</t>
        </is>
      </c>
      <c r="F1964" s="0" t="inlineStr">
        <is>
          <t xml:space="preserve">C</t>
        </is>
      </c>
      <c r="G1964" s="4">
        <v>0.0025</v>
      </c>
      <c r="H1964" s="0" t="inlineStr">
        <is>
          <t xml:space="preserve">2018-08-06</t>
        </is>
      </c>
      <c r="I1964" s="0" t="inlineStr">
        <is>
          <t xml:space="preserve">no</t>
        </is>
      </c>
      <c r="J1964" s="0" t="inlineStr">
        <is>
          <t xml:space="preserve">N6660417R0350</t>
        </is>
      </c>
      <c r="K1964" s="0" t="inlineStr">
        <is>
          <t xml:space="preserve">NONE</t>
        </is>
      </c>
    </row>
    <row r="1965">
      <c r="B1965" s="0" t="inlineStr">
        <is>
          <t xml:space="preserve">N6660418FC804</t>
        </is>
      </c>
      <c r="C1965" s="0" t="inlineStr">
        <is>
          <t xml:space="preserve">N6660418DC804</t>
        </is>
      </c>
      <c r="D1965" s="0" t="inlineStr">
        <is>
          <t xml:space="preserve">small_craft</t>
        </is>
      </c>
      <c r="E1965" s="0" t="inlineStr">
        <is>
          <t xml:space="preserve">BAE SYSTEMS INFORMATION AND ELECTRONIC SYSTEMS INTEGRATION INC.</t>
        </is>
      </c>
      <c r="F1965" s="0" t="inlineStr">
        <is>
          <t xml:space="preserve">C</t>
        </is>
      </c>
      <c r="G1965" s="4">
        <v>0.0025</v>
      </c>
      <c r="H1965" s="0" t="inlineStr">
        <is>
          <t xml:space="preserve">2018-08-06</t>
        </is>
      </c>
      <c r="I1965" s="0" t="inlineStr">
        <is>
          <t xml:space="preserve">no</t>
        </is>
      </c>
      <c r="J1965" s="0" t="inlineStr">
        <is>
          <t xml:space="preserve">N6660417R0350</t>
        </is>
      </c>
      <c r="K1965" s="0" t="inlineStr">
        <is>
          <t xml:space="preserve">NONE</t>
        </is>
      </c>
    </row>
    <row r="1966">
      <c r="B1966" s="0" t="inlineStr">
        <is>
          <t xml:space="preserve">N6660418FC803</t>
        </is>
      </c>
      <c r="C1966" s="0" t="inlineStr">
        <is>
          <t xml:space="preserve">N6660418DC803</t>
        </is>
      </c>
      <c r="D1966" s="0" t="inlineStr">
        <is>
          <t xml:space="preserve">small_craft</t>
        </is>
      </c>
      <c r="E1966" s="0" t="inlineStr">
        <is>
          <t xml:space="preserve">AMERICAN SYSTEMS CORPORATION</t>
        </is>
      </c>
      <c r="F1966" s="0" t="inlineStr">
        <is>
          <t xml:space="preserve">C</t>
        </is>
      </c>
      <c r="G1966" s="4">
        <v>0.0025</v>
      </c>
      <c r="H1966" s="0" t="inlineStr">
        <is>
          <t xml:space="preserve">2018-08-06</t>
        </is>
      </c>
      <c r="I1966" s="0" t="inlineStr">
        <is>
          <t xml:space="preserve">no</t>
        </is>
      </c>
      <c r="J1966" s="0" t="inlineStr">
        <is>
          <t xml:space="preserve">N6660417R0350</t>
        </is>
      </c>
      <c r="K1966" s="0" t="inlineStr">
        <is>
          <t xml:space="preserve">NONE</t>
        </is>
      </c>
    </row>
    <row r="1967">
      <c r="B1967" s="0" t="inlineStr">
        <is>
          <t xml:space="preserve">N6660418FC801</t>
        </is>
      </c>
      <c r="C1967" s="0" t="inlineStr">
        <is>
          <t xml:space="preserve">N6660418DC801</t>
        </is>
      </c>
      <c r="D1967" s="0" t="inlineStr">
        <is>
          <t xml:space="preserve">small_craft</t>
        </is>
      </c>
      <c r="E1967" s="0" t="inlineStr">
        <is>
          <t xml:space="preserve">AEROJET ROCKETDYNE OF DE, INC</t>
        </is>
      </c>
      <c r="F1967" s="0" t="inlineStr">
        <is>
          <t xml:space="preserve">C</t>
        </is>
      </c>
      <c r="G1967" s="4">
        <v>0.0025</v>
      </c>
      <c r="H1967" s="0" t="inlineStr">
        <is>
          <t xml:space="preserve">2018-08-06</t>
        </is>
      </c>
      <c r="I1967" s="0" t="inlineStr">
        <is>
          <t xml:space="preserve">no</t>
        </is>
      </c>
      <c r="J1967" s="0" t="inlineStr">
        <is>
          <t xml:space="preserve">N6660417R0350</t>
        </is>
      </c>
      <c r="K1967" s="0" t="inlineStr">
        <is>
          <t xml:space="preserve">NONE</t>
        </is>
      </c>
    </row>
    <row r="1968">
      <c r="B1968" s="0" t="inlineStr">
        <is>
          <t xml:space="preserve">N0040616P1643</t>
        </is>
      </c>
      <c r="D1968" s="0" t="inlineStr">
        <is>
          <t xml:space="preserve">small_craft</t>
        </is>
      </c>
      <c r="E1968" s="0" t="inlineStr">
        <is>
          <t xml:space="preserve">ADVANCED STRUCTURES CORPORATION</t>
        </is>
      </c>
      <c r="F1968" s="0" t="inlineStr">
        <is>
          <t xml:space="preserve">B</t>
        </is>
      </c>
      <c r="G1968" s="4">
        <v>0.0024939999999999997</v>
      </c>
      <c r="H1968" s="0" t="inlineStr">
        <is>
          <t xml:space="preserve">2016-04-08</t>
        </is>
      </c>
      <c r="I1968" s="0" t="inlineStr">
        <is>
          <t xml:space="preserve">no</t>
        </is>
      </c>
      <c r="K1968" s="0" t="inlineStr">
        <is>
          <t xml:space="preserve">NONE</t>
        </is>
      </c>
    </row>
    <row r="1969">
      <c r="B1969" s="0" t="inlineStr">
        <is>
          <t xml:space="preserve">N0010418PFH07</t>
        </is>
      </c>
      <c r="D1969" s="0" t="inlineStr">
        <is>
          <t xml:space="preserve">small_craft</t>
        </is>
      </c>
      <c r="E1969" s="0" t="inlineStr">
        <is>
          <t xml:space="preserve">GUILL TOOL &amp; ENGINEERING CO INC</t>
        </is>
      </c>
      <c r="F1969" s="0" t="inlineStr">
        <is>
          <t xml:space="preserve">B</t>
        </is>
      </c>
      <c r="G1969" s="4">
        <v>0.00247</v>
      </c>
      <c r="H1969" s="0" t="inlineStr">
        <is>
          <t xml:space="preserve">2018-07-25</t>
        </is>
      </c>
      <c r="I1969" s="0" t="inlineStr">
        <is>
          <t xml:space="preserve">no</t>
        </is>
      </c>
      <c r="J1969" s="0" t="inlineStr">
        <is>
          <t xml:space="preserve">N0010418QFH14</t>
        </is>
      </c>
      <c r="K1969" s="0" t="inlineStr">
        <is>
          <t xml:space="preserve">NONE</t>
        </is>
      </c>
    </row>
    <row r="1970">
      <c r="B1970" s="0" t="inlineStr">
        <is>
          <t xml:space="preserve">N3904017P0043</t>
        </is>
      </c>
      <c r="D1970" s="0" t="inlineStr">
        <is>
          <t xml:space="preserve">other_small</t>
        </is>
      </c>
      <c r="E1970" s="0" t="inlineStr">
        <is>
          <t xml:space="preserve">ANDGJENN LLC</t>
        </is>
      </c>
      <c r="F1970" s="0" t="inlineStr">
        <is>
          <t xml:space="preserve">B</t>
        </is>
      </c>
      <c r="G1970" s="4">
        <v>0.00245502</v>
      </c>
      <c r="H1970" s="0" t="inlineStr">
        <is>
          <t xml:space="preserve">2016-11-10</t>
        </is>
      </c>
      <c r="I1970" s="0" t="inlineStr">
        <is>
          <t xml:space="preserve">no</t>
        </is>
      </c>
      <c r="K1970" s="0" t="inlineStr">
        <is>
          <t xml:space="preserve">NONE</t>
        </is>
      </c>
    </row>
    <row r="1971">
      <c r="B1971" s="0" t="inlineStr">
        <is>
          <t xml:space="preserve">N0040617P2067</t>
        </is>
      </c>
      <c r="D1971" s="0" t="inlineStr">
        <is>
          <t xml:space="preserve">small_craft</t>
        </is>
      </c>
      <c r="E1971" s="0" t="inlineStr">
        <is>
          <t xml:space="preserve">DURAMAX MARINE, LLC</t>
        </is>
      </c>
      <c r="F1971" s="0" t="inlineStr">
        <is>
          <t xml:space="preserve">B</t>
        </is>
      </c>
      <c r="G1971" s="4">
        <v>0.0024546</v>
      </c>
      <c r="H1971" s="0" t="inlineStr">
        <is>
          <t xml:space="preserve">2017-06-13</t>
        </is>
      </c>
      <c r="I1971" s="0" t="inlineStr">
        <is>
          <t xml:space="preserve">no</t>
        </is>
      </c>
      <c r="K1971" s="0" t="inlineStr">
        <is>
          <t xml:space="preserve">NONE</t>
        </is>
      </c>
    </row>
    <row r="1972">
      <c r="B1972" s="0" t="inlineStr">
        <is>
          <t xml:space="preserve">N0010421PAC99</t>
        </is>
      </c>
      <c r="D1972" s="0" t="inlineStr">
        <is>
          <t xml:space="preserve">small_craft</t>
        </is>
      </c>
      <c r="E1972" s="0" t="inlineStr">
        <is>
          <t xml:space="preserve">FITZHUGH CLIFTON</t>
        </is>
      </c>
      <c r="F1972" s="0" t="inlineStr">
        <is>
          <t xml:space="preserve">B</t>
        </is>
      </c>
      <c r="G1972" s="4">
        <v>0.00244</v>
      </c>
      <c r="H1972" s="0" t="inlineStr">
        <is>
          <t xml:space="preserve">2021-06-11</t>
        </is>
      </c>
      <c r="I1972" s="0" t="inlineStr">
        <is>
          <t xml:space="preserve">no</t>
        </is>
      </c>
      <c r="K1972" s="0" t="inlineStr">
        <is>
          <t xml:space="preserve">NONE</t>
        </is>
      </c>
    </row>
    <row r="1973">
      <c r="B1973" s="0" t="inlineStr">
        <is>
          <t xml:space="preserve">N0010423PLB22</t>
        </is>
      </c>
      <c r="D1973" s="0" t="inlineStr">
        <is>
          <t xml:space="preserve">small_craft</t>
        </is>
      </c>
      <c r="E1973" s="0" t="inlineStr">
        <is>
          <t xml:space="preserve">ITL LLC</t>
        </is>
      </c>
      <c r="F1973" s="0" t="inlineStr">
        <is>
          <t xml:space="preserve">B</t>
        </is>
      </c>
      <c r="G1973" s="4">
        <v>0.0024375</v>
      </c>
      <c r="H1973" s="0" t="inlineStr">
        <is>
          <t xml:space="preserve">2022-12-22</t>
        </is>
      </c>
      <c r="I1973" s="0" t="inlineStr">
        <is>
          <t xml:space="preserve">no</t>
        </is>
      </c>
      <c r="J1973" s="0" t="inlineStr">
        <is>
          <t xml:space="preserve">N0010422QLF66</t>
        </is>
      </c>
      <c r="K1973" s="0" t="inlineStr">
        <is>
          <t xml:space="preserve">NONE</t>
        </is>
      </c>
    </row>
    <row r="1974">
      <c r="B1974" s="0" t="inlineStr">
        <is>
          <t xml:space="preserve">N0010421PND27</t>
        </is>
      </c>
      <c r="D1974" s="0" t="inlineStr">
        <is>
          <t xml:space="preserve">small_craft</t>
        </is>
      </c>
      <c r="E1974" s="0" t="inlineStr">
        <is>
          <t xml:space="preserve">DYNALEC CORPORATION</t>
        </is>
      </c>
      <c r="F1974" s="0" t="inlineStr">
        <is>
          <t xml:space="preserve">B</t>
        </is>
      </c>
      <c r="G1974" s="4">
        <v>0.0024094999999999997</v>
      </c>
      <c r="H1974" s="0" t="inlineStr">
        <is>
          <t xml:space="preserve">2021-08-24</t>
        </is>
      </c>
      <c r="I1974" s="0" t="inlineStr">
        <is>
          <t xml:space="preserve">no</t>
        </is>
      </c>
      <c r="K1974" s="0" t="inlineStr">
        <is>
          <t xml:space="preserve">NONE</t>
        </is>
      </c>
    </row>
    <row r="1975">
      <c r="B1975" s="0" t="inlineStr">
        <is>
          <t xml:space="preserve">N0010418PBL81</t>
        </is>
      </c>
      <c r="D1975" s="0" t="inlineStr">
        <is>
          <t xml:space="preserve">small_craft</t>
        </is>
      </c>
      <c r="E1975" s="0" t="inlineStr">
        <is>
          <t xml:space="preserve">DERBYSHIRE MACHINE &amp; TOOL CO</t>
        </is>
      </c>
      <c r="F1975" s="0" t="inlineStr">
        <is>
          <t xml:space="preserve">B</t>
        </is>
      </c>
      <c r="G1975" s="4">
        <v>0.0023699999999999997</v>
      </c>
      <c r="H1975" s="0" t="inlineStr">
        <is>
          <t xml:space="preserve">2018-01-17</t>
        </is>
      </c>
      <c r="I1975" s="0" t="inlineStr">
        <is>
          <t xml:space="preserve">no</t>
        </is>
      </c>
      <c r="K1975" s="0" t="inlineStr">
        <is>
          <t xml:space="preserve">NONE</t>
        </is>
      </c>
    </row>
    <row r="1976">
      <c r="B1976" s="0" t="inlineStr">
        <is>
          <t xml:space="preserve">N0010420PEP41</t>
        </is>
      </c>
      <c r="D1976" s="0" t="inlineStr">
        <is>
          <t xml:space="preserve">small_craft</t>
        </is>
      </c>
      <c r="E1976" s="0" t="inlineStr">
        <is>
          <t xml:space="preserve">GREATER MARYLAND TOOL &amp; MFG. CORP.</t>
        </is>
      </c>
      <c r="F1976" s="0" t="inlineStr">
        <is>
          <t xml:space="preserve">B</t>
        </is>
      </c>
      <c r="G1976" s="4">
        <v>0.00234</v>
      </c>
      <c r="H1976" s="0" t="inlineStr">
        <is>
          <t xml:space="preserve">2020-08-18</t>
        </is>
      </c>
      <c r="I1976" s="0" t="inlineStr">
        <is>
          <t xml:space="preserve">no</t>
        </is>
      </c>
      <c r="K1976" s="0" t="inlineStr">
        <is>
          <t xml:space="preserve">NONE</t>
        </is>
      </c>
    </row>
    <row r="1977">
      <c r="B1977" s="0" t="inlineStr">
        <is>
          <t xml:space="preserve">N6133116P4594</t>
        </is>
      </c>
      <c r="D1977" s="0" t="inlineStr">
        <is>
          <t xml:space="preserve">small_craft</t>
        </is>
      </c>
      <c r="E1977" s="0" t="inlineStr">
        <is>
          <t xml:space="preserve">BROOKS &amp; PERKINS, INC.</t>
        </is>
      </c>
      <c r="F1977" s="0" t="inlineStr">
        <is>
          <t xml:space="preserve">B</t>
        </is>
      </c>
      <c r="G1977" s="4">
        <v>0.002326</v>
      </c>
      <c r="H1977" s="0" t="inlineStr">
        <is>
          <t xml:space="preserve">2016-09-27</t>
        </is>
      </c>
      <c r="I1977" s="0" t="inlineStr">
        <is>
          <t xml:space="preserve">no</t>
        </is>
      </c>
      <c r="K1977" s="0" t="inlineStr">
        <is>
          <t xml:space="preserve">NONE</t>
        </is>
      </c>
    </row>
    <row r="1978">
      <c r="B1978" s="0" t="inlineStr">
        <is>
          <t xml:space="preserve">N0040615P1890</t>
        </is>
      </c>
      <c r="D1978" s="0" t="inlineStr">
        <is>
          <t xml:space="preserve">small_craft</t>
        </is>
      </c>
      <c r="E1978" s="0" t="inlineStr">
        <is>
          <t xml:space="preserve">J.D.A. MARITIME, INC.</t>
        </is>
      </c>
      <c r="F1978" s="0" t="inlineStr">
        <is>
          <t xml:space="preserve">B</t>
        </is>
      </c>
      <c r="G1978" s="4">
        <v>0.002315</v>
      </c>
      <c r="H1978" s="0" t="inlineStr">
        <is>
          <t xml:space="preserve">2015-03-30</t>
        </is>
      </c>
      <c r="I1978" s="0" t="inlineStr">
        <is>
          <t xml:space="preserve">no</t>
        </is>
      </c>
      <c r="K1978" s="0" t="inlineStr">
        <is>
          <t xml:space="preserve">NONE</t>
        </is>
      </c>
    </row>
    <row r="1979">
      <c r="B1979" s="0" t="inlineStr">
        <is>
          <t xml:space="preserve">HC108424FA263</t>
        </is>
      </c>
      <c r="C1979" s="0" t="inlineStr">
        <is>
          <t xml:space="preserve">HC108421A0001</t>
        </is>
      </c>
      <c r="D1979" s="0" t="inlineStr">
        <is>
          <t xml:space="preserve">usv_core</t>
        </is>
      </c>
      <c r="E1979" s="0" t="inlineStr">
        <is>
          <t xml:space="preserve">ATT MOBILITY LLC</t>
        </is>
      </c>
      <c r="F1979" s="0" t="inlineStr">
        <is>
          <t xml:space="preserve">A</t>
        </is>
      </c>
      <c r="G1979" s="4">
        <v>0.00230973</v>
      </c>
      <c r="H1979" s="0" t="inlineStr">
        <is>
          <t xml:space="preserve">2023-12-14</t>
        </is>
      </c>
      <c r="I1979" s="0" t="inlineStr">
        <is>
          <t xml:space="preserve">no</t>
        </is>
      </c>
      <c r="K1979" s="0" t="inlineStr">
        <is>
          <t xml:space="preserve">NONE</t>
        </is>
      </c>
    </row>
    <row r="1980">
      <c r="B1980" s="0" t="inlineStr">
        <is>
          <t xml:space="preserve">0047</t>
        </is>
      </c>
      <c r="C1980" s="0" t="inlineStr">
        <is>
          <t xml:space="preserve">N3220513D2000</t>
        </is>
      </c>
      <c r="D1980" s="0" t="inlineStr">
        <is>
          <t xml:space="preserve">other_small</t>
        </is>
      </c>
      <c r="E1980" s="0" t="inlineStr">
        <is>
          <t xml:space="preserve">ROLLS-ROYCE SOLUTIONS AMERICA INC</t>
        </is>
      </c>
      <c r="F1980" s="0" t="inlineStr">
        <is>
          <t xml:space="preserve">C</t>
        </is>
      </c>
      <c r="G1980" s="4">
        <v>0.002304</v>
      </c>
      <c r="H1980" s="0" t="inlineStr">
        <is>
          <t xml:space="preserve">2015-06-02</t>
        </is>
      </c>
      <c r="I1980" s="0" t="inlineStr">
        <is>
          <t xml:space="preserve">no</t>
        </is>
      </c>
      <c r="J1980" s="0" t="inlineStr">
        <is>
          <t xml:space="preserve">N4044211R2005</t>
        </is>
      </c>
      <c r="K1980" s="0" t="inlineStr">
        <is>
          <t xml:space="preserve">NONE</t>
        </is>
      </c>
    </row>
    <row r="1981">
      <c r="B1981" s="0" t="inlineStr">
        <is>
          <t xml:space="preserve">N0010421PND58</t>
        </is>
      </c>
      <c r="D1981" s="0" t="inlineStr">
        <is>
          <t xml:space="preserve">small_craft</t>
        </is>
      </c>
      <c r="E1981" s="0" t="inlineStr">
        <is>
          <t xml:space="preserve">U.S.A. SPARES INC.</t>
        </is>
      </c>
      <c r="F1981" s="0" t="inlineStr">
        <is>
          <t xml:space="preserve">B</t>
        </is>
      </c>
      <c r="G1981" s="4">
        <v>0.00226</v>
      </c>
      <c r="H1981" s="0" t="inlineStr">
        <is>
          <t xml:space="preserve">2021-08-30</t>
        </is>
      </c>
      <c r="I1981" s="0" t="inlineStr">
        <is>
          <t xml:space="preserve">no</t>
        </is>
      </c>
      <c r="K1981" s="0" t="inlineStr">
        <is>
          <t xml:space="preserve">NONE</t>
        </is>
      </c>
    </row>
    <row r="1982">
      <c r="B1982" s="0" t="inlineStr">
        <is>
          <t xml:space="preserve">N0010426PBC29</t>
        </is>
      </c>
      <c r="D1982" s="0" t="inlineStr">
        <is>
          <t xml:space="preserve">small_craft</t>
        </is>
      </c>
      <c r="E1982" s="0" t="inlineStr">
        <is>
          <t xml:space="preserve">DIBERT VALVE AND FITTING COMPANY, INCORPORATED</t>
        </is>
      </c>
      <c r="F1982" s="0" t="inlineStr">
        <is>
          <t xml:space="preserve">B</t>
        </is>
      </c>
      <c r="G1982" s="4">
        <v>0.00224785</v>
      </c>
      <c r="H1982" s="0" t="inlineStr">
        <is>
          <t xml:space="preserve">2025-10-30</t>
        </is>
      </c>
      <c r="I1982" s="0" t="inlineStr">
        <is>
          <t xml:space="preserve">yes</t>
        </is>
      </c>
      <c r="K1982" s="0" t="inlineStr">
        <is>
          <t xml:space="preserve">NONE</t>
        </is>
      </c>
    </row>
    <row r="1983">
      <c r="B1983" s="0" t="inlineStr">
        <is>
          <t xml:space="preserve">0048</t>
        </is>
      </c>
      <c r="C1983" s="0" t="inlineStr">
        <is>
          <t xml:space="preserve">N3220513D2000</t>
        </is>
      </c>
      <c r="D1983" s="0" t="inlineStr">
        <is>
          <t xml:space="preserve">other_small</t>
        </is>
      </c>
      <c r="E1983" s="0" t="inlineStr">
        <is>
          <t xml:space="preserve">ROLLS-ROYCE SOLUTIONS AMERICA INC</t>
        </is>
      </c>
      <c r="F1983" s="0" t="inlineStr">
        <is>
          <t xml:space="preserve">C</t>
        </is>
      </c>
      <c r="G1983" s="4">
        <v>0.00223558</v>
      </c>
      <c r="H1983" s="0" t="inlineStr">
        <is>
          <t xml:space="preserve">2015-06-04</t>
        </is>
      </c>
      <c r="I1983" s="0" t="inlineStr">
        <is>
          <t xml:space="preserve">no</t>
        </is>
      </c>
      <c r="J1983" s="0" t="inlineStr">
        <is>
          <t xml:space="preserve">N4044211R2005</t>
        </is>
      </c>
      <c r="K1983" s="0" t="inlineStr">
        <is>
          <t xml:space="preserve">NONE</t>
        </is>
      </c>
    </row>
    <row r="1984">
      <c r="B1984" s="0" t="inlineStr">
        <is>
          <t xml:space="preserve">N0010423PEF90</t>
        </is>
      </c>
      <c r="D1984" s="0" t="inlineStr">
        <is>
          <t xml:space="preserve">small_craft</t>
        </is>
      </c>
      <c r="E1984" s="0" t="inlineStr">
        <is>
          <t xml:space="preserve">FLOWSERVE CORP</t>
        </is>
      </c>
      <c r="F1984" s="0" t="inlineStr">
        <is>
          <t xml:space="preserve">B</t>
        </is>
      </c>
      <c r="G1984" s="4">
        <v>0.0022229999999999997</v>
      </c>
      <c r="H1984" s="0" t="inlineStr">
        <is>
          <t xml:space="preserve">2023-07-20</t>
        </is>
      </c>
      <c r="I1984" s="0" t="inlineStr">
        <is>
          <t xml:space="preserve">no</t>
        </is>
      </c>
      <c r="J1984" s="0" t="inlineStr">
        <is>
          <t xml:space="preserve">N0010420QEH60</t>
        </is>
      </c>
      <c r="K1984" s="0" t="inlineStr">
        <is>
          <t xml:space="preserve">NONE</t>
        </is>
      </c>
    </row>
    <row r="1985">
      <c r="B1985" s="0" t="inlineStr">
        <is>
          <t xml:space="preserve">N0010417PEM52</t>
        </is>
      </c>
      <c r="D1985" s="0" t="inlineStr">
        <is>
          <t xml:space="preserve">small_craft</t>
        </is>
      </c>
      <c r="E1985" s="0" t="inlineStr">
        <is>
          <t xml:space="preserve">SEALING SPECIALISTS &amp; SERVICE CO</t>
        </is>
      </c>
      <c r="F1985" s="0" t="inlineStr">
        <is>
          <t xml:space="preserve">B</t>
        </is>
      </c>
      <c r="G1985" s="4">
        <v>0.00215226</v>
      </c>
      <c r="H1985" s="0" t="inlineStr">
        <is>
          <t xml:space="preserve">2017-07-10</t>
        </is>
      </c>
      <c r="I1985" s="0" t="inlineStr">
        <is>
          <t xml:space="preserve">no</t>
        </is>
      </c>
      <c r="K1985" s="0" t="inlineStr">
        <is>
          <t xml:space="preserve">NONE</t>
        </is>
      </c>
    </row>
    <row r="1986">
      <c r="B1986" s="0" t="inlineStr">
        <is>
          <t xml:space="preserve">N0010421PCA68</t>
        </is>
      </c>
      <c r="D1986" s="0" t="inlineStr">
        <is>
          <t xml:space="preserve">small_craft</t>
        </is>
      </c>
      <c r="E1986" s="0" t="inlineStr">
        <is>
          <t xml:space="preserve">17 MACHINERY LLC</t>
        </is>
      </c>
      <c r="F1986" s="0" t="inlineStr">
        <is>
          <t xml:space="preserve">B</t>
        </is>
      </c>
      <c r="G1986" s="4">
        <v>0.00214235</v>
      </c>
      <c r="H1986" s="0" t="inlineStr">
        <is>
          <t xml:space="preserve">2020-12-01</t>
        </is>
      </c>
      <c r="I1986" s="0" t="inlineStr">
        <is>
          <t xml:space="preserve">no</t>
        </is>
      </c>
      <c r="K1986" s="0" t="inlineStr">
        <is>
          <t xml:space="preserve">NONE</t>
        </is>
      </c>
    </row>
    <row r="1987">
      <c r="B1987" s="0" t="inlineStr">
        <is>
          <t xml:space="preserve">0085</t>
        </is>
      </c>
      <c r="C1987" s="0" t="inlineStr">
        <is>
          <t xml:space="preserve">N3220513D2001</t>
        </is>
      </c>
      <c r="D1987" s="0" t="inlineStr">
        <is>
          <t xml:space="preserve">other_small</t>
        </is>
      </c>
      <c r="E1987" s="0" t="inlineStr">
        <is>
          <t xml:space="preserve">AUSTAL USA, LLC</t>
        </is>
      </c>
      <c r="F1987" s="0" t="inlineStr">
        <is>
          <t xml:space="preserve">C</t>
        </is>
      </c>
      <c r="G1987" s="4">
        <v>0.0021165399999999997</v>
      </c>
      <c r="H1987" s="0" t="inlineStr">
        <is>
          <t xml:space="preserve">2016-12-12</t>
        </is>
      </c>
      <c r="I1987" s="0" t="inlineStr">
        <is>
          <t xml:space="preserve">no</t>
        </is>
      </c>
      <c r="J1987" s="0" t="inlineStr">
        <is>
          <t xml:space="preserve">N4044212R2004</t>
        </is>
      </c>
      <c r="K1987" s="0" t="inlineStr">
        <is>
          <t xml:space="preserve">NONE</t>
        </is>
      </c>
    </row>
    <row r="1988">
      <c r="B1988" s="0" t="inlineStr">
        <is>
          <t xml:space="preserve">N0010415PCC84</t>
        </is>
      </c>
      <c r="D1988" s="0" t="inlineStr">
        <is>
          <t xml:space="preserve">small_craft</t>
        </is>
      </c>
      <c r="E1988" s="0" t="inlineStr">
        <is>
          <t xml:space="preserve">DEFENSE MARITIME SOLUTIONS, INC.</t>
        </is>
      </c>
      <c r="F1988" s="0" t="inlineStr">
        <is>
          <t xml:space="preserve">B</t>
        </is>
      </c>
      <c r="G1988" s="4">
        <v>0.0021</v>
      </c>
      <c r="H1988" s="0" t="inlineStr">
        <is>
          <t xml:space="preserve">2015-03-24</t>
        </is>
      </c>
      <c r="I1988" s="0" t="inlineStr">
        <is>
          <t xml:space="preserve">no</t>
        </is>
      </c>
      <c r="K1988" s="0" t="inlineStr">
        <is>
          <t xml:space="preserve">NONE</t>
        </is>
      </c>
    </row>
    <row r="1989">
      <c r="B1989" s="0" t="inlineStr">
        <is>
          <t xml:space="preserve">N0010426PBC22</t>
        </is>
      </c>
      <c r="D1989" s="0" t="inlineStr">
        <is>
          <t xml:space="preserve">small_craft</t>
        </is>
      </c>
      <c r="E1989" s="0" t="inlineStr">
        <is>
          <t xml:space="preserve">JA MOODY LLC</t>
        </is>
      </c>
      <c r="F1989" s="0" t="inlineStr">
        <is>
          <t xml:space="preserve">B</t>
        </is>
      </c>
      <c r="G1989" s="4">
        <v>0.002097</v>
      </c>
      <c r="H1989" s="0" t="inlineStr">
        <is>
          <t xml:space="preserve">2025-10-30</t>
        </is>
      </c>
      <c r="I1989" s="0" t="inlineStr">
        <is>
          <t xml:space="preserve">yes</t>
        </is>
      </c>
      <c r="K1989" s="0" t="inlineStr">
        <is>
          <t xml:space="preserve">NONE</t>
        </is>
      </c>
    </row>
    <row r="1990">
      <c r="B1990" s="0" t="inlineStr">
        <is>
          <t xml:space="preserve">N6931621F1000</t>
        </is>
      </c>
      <c r="C1990" s="0" t="inlineStr">
        <is>
          <t xml:space="preserve">N0002417D2201</t>
        </is>
      </c>
      <c r="D1990" s="0" t="inlineStr">
        <is>
          <t xml:space="preserve">small_craft</t>
        </is>
      </c>
      <c r="E1990" s="0" t="inlineStr">
        <is>
          <t xml:space="preserve">GRAVOIS ALUMINUM BOATS LLC</t>
        </is>
      </c>
      <c r="F1990" s="0" t="inlineStr">
        <is>
          <t xml:space="preserve">C</t>
        </is>
      </c>
      <c r="G1990" s="4">
        <v>0.0020499999999999997</v>
      </c>
      <c r="H1990" s="0" t="inlineStr">
        <is>
          <t xml:space="preserve">2020-12-17</t>
        </is>
      </c>
      <c r="I1990" s="0" t="inlineStr">
        <is>
          <t xml:space="preserve">no</t>
        </is>
      </c>
      <c r="J1990" s="0" t="inlineStr">
        <is>
          <t xml:space="preserve">N0002417R2201</t>
        </is>
      </c>
      <c r="K1990" s="0" t="inlineStr">
        <is>
          <t xml:space="preserve">NONE</t>
        </is>
      </c>
    </row>
    <row r="1991">
      <c r="B1991" s="0" t="inlineStr">
        <is>
          <t xml:space="preserve">N0010424PUC94</t>
        </is>
      </c>
      <c r="D1991" s="0" t="inlineStr">
        <is>
          <t xml:space="preserve">small_craft</t>
        </is>
      </c>
      <c r="E1991" s="0" t="inlineStr">
        <is>
          <t xml:space="preserve">UNIVERSAL SWITCHING CORPORATION</t>
        </is>
      </c>
      <c r="F1991" s="0" t="inlineStr">
        <is>
          <t xml:space="preserve">B</t>
        </is>
      </c>
      <c r="G1991" s="4">
        <v>0.002</v>
      </c>
      <c r="H1991" s="0" t="inlineStr">
        <is>
          <t xml:space="preserve">2024-07-10</t>
        </is>
      </c>
      <c r="I1991" s="0" t="inlineStr">
        <is>
          <t xml:space="preserve">no</t>
        </is>
      </c>
      <c r="J1991" s="0" t="inlineStr">
        <is>
          <t xml:space="preserve">N0010424QUE24</t>
        </is>
      </c>
      <c r="K1991" s="0" t="inlineStr">
        <is>
          <t xml:space="preserve">NONE</t>
        </is>
      </c>
    </row>
    <row r="1992">
      <c r="B1992" s="0" t="inlineStr">
        <is>
          <t xml:space="preserve">N0010422PLD21</t>
        </is>
      </c>
      <c r="D1992" s="0" t="inlineStr">
        <is>
          <t xml:space="preserve">small_craft</t>
        </is>
      </c>
      <c r="E1992" s="0" t="inlineStr">
        <is>
          <t xml:space="preserve">GLOBAL INCORPORATED</t>
        </is>
      </c>
      <c r="F1992" s="0" t="inlineStr">
        <is>
          <t xml:space="preserve">B</t>
        </is>
      </c>
      <c r="G1992" s="4">
        <v>0.002</v>
      </c>
      <c r="H1992" s="0" t="inlineStr">
        <is>
          <t xml:space="preserve">2022-07-05</t>
        </is>
      </c>
      <c r="I1992" s="0" t="inlineStr">
        <is>
          <t xml:space="preserve">no</t>
        </is>
      </c>
      <c r="K1992" s="0" t="inlineStr">
        <is>
          <t xml:space="preserve">NONE</t>
        </is>
      </c>
    </row>
    <row r="1993">
      <c r="B1993" s="0" t="inlineStr">
        <is>
          <t xml:space="preserve">N0010423PBH52</t>
        </is>
      </c>
      <c r="D1993" s="0" t="inlineStr">
        <is>
          <t xml:space="preserve">small_craft</t>
        </is>
      </c>
      <c r="E1993" s="0" t="inlineStr">
        <is>
          <t xml:space="preserve">GAFFEL EQUIPMENT</t>
        </is>
      </c>
      <c r="F1993" s="0" t="inlineStr">
        <is>
          <t xml:space="preserve">B</t>
        </is>
      </c>
      <c r="G1993" s="4">
        <v>0.00198</v>
      </c>
      <c r="H1993" s="0" t="inlineStr">
        <is>
          <t xml:space="preserve">2022-12-27</t>
        </is>
      </c>
      <c r="I1993" s="0" t="inlineStr">
        <is>
          <t xml:space="preserve">no</t>
        </is>
      </c>
      <c r="K1993" s="0" t="inlineStr">
        <is>
          <t xml:space="preserve">NONE</t>
        </is>
      </c>
    </row>
    <row r="1994">
      <c r="B1994" s="0" t="inlineStr">
        <is>
          <t xml:space="preserve">N0010421PCA80</t>
        </is>
      </c>
      <c r="D1994" s="0" t="inlineStr">
        <is>
          <t xml:space="preserve">small_craft</t>
        </is>
      </c>
      <c r="E1994" s="0" t="inlineStr">
        <is>
          <t xml:space="preserve">HONEYWELL INTERNATIONAL INC.</t>
        </is>
      </c>
      <c r="F1994" s="0" t="inlineStr">
        <is>
          <t xml:space="preserve">B</t>
        </is>
      </c>
      <c r="G1994" s="4">
        <v>0.0019199999999999998</v>
      </c>
      <c r="H1994" s="0" t="inlineStr">
        <is>
          <t xml:space="preserve">2021-09-28</t>
        </is>
      </c>
      <c r="I1994" s="0" t="inlineStr">
        <is>
          <t xml:space="preserve">no</t>
        </is>
      </c>
      <c r="J1994" s="0" t="inlineStr">
        <is>
          <t xml:space="preserve">N0010420QCC43</t>
        </is>
      </c>
      <c r="K1994" s="0" t="inlineStr">
        <is>
          <t xml:space="preserve">NONE</t>
        </is>
      </c>
    </row>
    <row r="1995">
      <c r="B1995" s="0" t="inlineStr">
        <is>
          <t xml:space="preserve">N0040615P1973</t>
        </is>
      </c>
      <c r="D1995" s="0" t="inlineStr">
        <is>
          <t xml:space="preserve">small_craft</t>
        </is>
      </c>
      <c r="E1995" s="0" t="inlineStr">
        <is>
          <t xml:space="preserve">US JOINER LLC</t>
        </is>
      </c>
      <c r="F1995" s="0" t="inlineStr">
        <is>
          <t xml:space="preserve">B</t>
        </is>
      </c>
      <c r="G1995" s="4">
        <v>0.00191563</v>
      </c>
      <c r="H1995" s="0" t="inlineStr">
        <is>
          <t xml:space="preserve">2015-04-06</t>
        </is>
      </c>
      <c r="I1995" s="0" t="inlineStr">
        <is>
          <t xml:space="preserve">no</t>
        </is>
      </c>
      <c r="K1995" s="0" t="inlineStr">
        <is>
          <t xml:space="preserve">NONE</t>
        </is>
      </c>
    </row>
    <row r="1996">
      <c r="B1996" s="0" t="inlineStr">
        <is>
          <t xml:space="preserve">N0010417PEC48</t>
        </is>
      </c>
      <c r="D1996" s="0" t="inlineStr">
        <is>
          <t xml:space="preserve">small_craft</t>
        </is>
      </c>
      <c r="E1996" s="0" t="inlineStr">
        <is>
          <t xml:space="preserve">DIBERT VALVE AND FITTING COMPANY, INCORPORATED</t>
        </is>
      </c>
      <c r="F1996" s="0" t="inlineStr">
        <is>
          <t xml:space="preserve">B</t>
        </is>
      </c>
      <c r="G1996" s="4">
        <v>0.001911</v>
      </c>
      <c r="H1996" s="0" t="inlineStr">
        <is>
          <t xml:space="preserve">2017-04-27</t>
        </is>
      </c>
      <c r="I1996" s="0" t="inlineStr">
        <is>
          <t xml:space="preserve">no</t>
        </is>
      </c>
      <c r="K1996" s="0" t="inlineStr">
        <is>
          <t xml:space="preserve">NONE</t>
        </is>
      </c>
    </row>
    <row r="1997">
      <c r="B1997" s="0" t="inlineStr">
        <is>
          <t xml:space="preserve">N0010421PAD65</t>
        </is>
      </c>
      <c r="D1997" s="0" t="inlineStr">
        <is>
          <t xml:space="preserve">small_craft</t>
        </is>
      </c>
      <c r="E1997" s="0" t="inlineStr">
        <is>
          <t xml:space="preserve">FITZHUGH CLIFTON</t>
        </is>
      </c>
      <c r="F1997" s="0" t="inlineStr">
        <is>
          <t xml:space="preserve">B</t>
        </is>
      </c>
      <c r="G1997" s="4">
        <v>0.0018558</v>
      </c>
      <c r="H1997" s="0" t="inlineStr">
        <is>
          <t xml:space="preserve">2021-07-13</t>
        </is>
      </c>
      <c r="I1997" s="0" t="inlineStr">
        <is>
          <t xml:space="preserve">no</t>
        </is>
      </c>
      <c r="K1997" s="0" t="inlineStr">
        <is>
          <t xml:space="preserve">NONE</t>
        </is>
      </c>
    </row>
    <row r="1998">
      <c r="B1998" s="0" t="inlineStr">
        <is>
          <t xml:space="preserve">N0010425PBT75</t>
        </is>
      </c>
      <c r="D1998" s="0" t="inlineStr">
        <is>
          <t xml:space="preserve">small_craft</t>
        </is>
      </c>
      <c r="E1998" s="0" t="inlineStr">
        <is>
          <t xml:space="preserve">ADIRONDACK ELECTRONICS INC</t>
        </is>
      </c>
      <c r="F1998" s="0" t="inlineStr">
        <is>
          <t xml:space="preserve">B</t>
        </is>
      </c>
      <c r="G1998" s="4">
        <v>0.0018545599999999999</v>
      </c>
      <c r="H1998" s="0" t="inlineStr">
        <is>
          <t xml:space="preserve">2025-05-07</t>
        </is>
      </c>
      <c r="I1998" s="0" t="inlineStr">
        <is>
          <t xml:space="preserve">no</t>
        </is>
      </c>
      <c r="K1998" s="0" t="inlineStr">
        <is>
          <t xml:space="preserve">NONE</t>
        </is>
      </c>
    </row>
    <row r="1999">
      <c r="B1999" s="0" t="inlineStr">
        <is>
          <t xml:space="preserve">N0010426PBN85</t>
        </is>
      </c>
      <c r="D1999" s="0" t="inlineStr">
        <is>
          <t xml:space="preserve">small_craft</t>
        </is>
      </c>
      <c r="E1999" s="0" t="inlineStr">
        <is>
          <t xml:space="preserve">III WILLIAMS LLC</t>
        </is>
      </c>
      <c r="F1999" s="0" t="inlineStr">
        <is>
          <t xml:space="preserve">B</t>
        </is>
      </c>
      <c r="G1999" s="4">
        <v>0.0018467999999999998</v>
      </c>
      <c r="H1999" s="0" t="inlineStr">
        <is>
          <t xml:space="preserve">2026-03-20</t>
        </is>
      </c>
      <c r="I1999" s="0" t="inlineStr">
        <is>
          <t xml:space="preserve">yes</t>
        </is>
      </c>
      <c r="K1999" s="0" t="inlineStr">
        <is>
          <t xml:space="preserve">NONE</t>
        </is>
      </c>
    </row>
    <row r="2000">
      <c r="B2000" s="0" t="inlineStr">
        <is>
          <t xml:space="preserve">N0010421PES21</t>
        </is>
      </c>
      <c r="D2000" s="0" t="inlineStr">
        <is>
          <t xml:space="preserve">small_craft</t>
        </is>
      </c>
      <c r="E2000" s="0" t="inlineStr">
        <is>
          <t xml:space="preserve">ADIRONDACK ELECTRONICS INC</t>
        </is>
      </c>
      <c r="F2000" s="0" t="inlineStr">
        <is>
          <t xml:space="preserve">B</t>
        </is>
      </c>
      <c r="G2000" s="4">
        <v>0.0018295199999999998</v>
      </c>
      <c r="H2000" s="0" t="inlineStr">
        <is>
          <t xml:space="preserve">2021-09-21</t>
        </is>
      </c>
      <c r="I2000" s="0" t="inlineStr">
        <is>
          <t xml:space="preserve">no</t>
        </is>
      </c>
      <c r="K2000" s="0" t="inlineStr">
        <is>
          <t xml:space="preserve">NONE</t>
        </is>
      </c>
    </row>
    <row r="2001">
      <c r="B2001" s="0" t="inlineStr">
        <is>
          <t xml:space="preserve">N0040616P0875</t>
        </is>
      </c>
      <c r="D2001" s="0" t="inlineStr">
        <is>
          <t xml:space="preserve">small_craft</t>
        </is>
      </c>
      <c r="E2001" s="0" t="inlineStr">
        <is>
          <t xml:space="preserve">DEVAL CORPORATION</t>
        </is>
      </c>
      <c r="F2001" s="0" t="inlineStr">
        <is>
          <t xml:space="preserve">B</t>
        </is>
      </c>
      <c r="G2001" s="4">
        <v>0.00181542</v>
      </c>
      <c r="H2001" s="0" t="inlineStr">
        <is>
          <t xml:space="preserve">2016-01-19</t>
        </is>
      </c>
      <c r="I2001" s="0" t="inlineStr">
        <is>
          <t xml:space="preserve">no</t>
        </is>
      </c>
      <c r="K2001" s="0" t="inlineStr">
        <is>
          <t xml:space="preserve">NONE</t>
        </is>
      </c>
    </row>
    <row r="2002">
      <c r="B2002" s="0" t="inlineStr">
        <is>
          <t xml:space="preserve">N0010423PEF45</t>
        </is>
      </c>
      <c r="D2002" s="0" t="inlineStr">
        <is>
          <t xml:space="preserve">small_craft</t>
        </is>
      </c>
      <c r="E2002" s="0" t="inlineStr">
        <is>
          <t xml:space="preserve">IN SPECK CORP</t>
        </is>
      </c>
      <c r="F2002" s="0" t="inlineStr">
        <is>
          <t xml:space="preserve">B</t>
        </is>
      </c>
      <c r="G2002" s="4">
        <v>0.0018011</v>
      </c>
      <c r="H2002" s="0" t="inlineStr">
        <is>
          <t xml:space="preserve">2023-07-18</t>
        </is>
      </c>
      <c r="I2002" s="0" t="inlineStr">
        <is>
          <t xml:space="preserve">no</t>
        </is>
      </c>
      <c r="K2002" s="0" t="inlineStr">
        <is>
          <t xml:space="preserve">NONE</t>
        </is>
      </c>
    </row>
    <row r="2003">
      <c r="B2003" s="0" t="inlineStr">
        <is>
          <t xml:space="preserve">N0010417PCD60</t>
        </is>
      </c>
      <c r="D2003" s="0" t="inlineStr">
        <is>
          <t xml:space="preserve">small_craft</t>
        </is>
      </c>
      <c r="E2003" s="0" t="inlineStr">
        <is>
          <t xml:space="preserve">DEFENSE MARITIME SOLUTIONS, INC.</t>
        </is>
      </c>
      <c r="F2003" s="0" t="inlineStr">
        <is>
          <t xml:space="preserve">B</t>
        </is>
      </c>
      <c r="G2003" s="4">
        <v>0.0018</v>
      </c>
      <c r="H2003" s="0" t="inlineStr">
        <is>
          <t xml:space="preserve">2017-04-04</t>
        </is>
      </c>
      <c r="I2003" s="0" t="inlineStr">
        <is>
          <t xml:space="preserve">no</t>
        </is>
      </c>
      <c r="K2003" s="0" t="inlineStr">
        <is>
          <t xml:space="preserve">NONE</t>
        </is>
      </c>
    </row>
    <row r="2004">
      <c r="B2004" s="0" t="inlineStr">
        <is>
          <t xml:space="preserve">HC108424FA264</t>
        </is>
      </c>
      <c r="C2004" s="0" t="inlineStr">
        <is>
          <t xml:space="preserve">NNG15SC71B</t>
        </is>
      </c>
      <c r="D2004" s="0" t="inlineStr">
        <is>
          <t xml:space="preserve">usv_core</t>
        </is>
      </c>
      <c r="E2004" s="0" t="inlineStr">
        <is>
          <t xml:space="preserve">FCN, INC.</t>
        </is>
      </c>
      <c r="F2004" s="0" t="inlineStr">
        <is>
          <t xml:space="preserve">C</t>
        </is>
      </c>
      <c r="G2004" s="4">
        <v>0.0017879999999999999</v>
      </c>
      <c r="H2004" s="0" t="inlineStr">
        <is>
          <t xml:space="preserve">2023-12-14</t>
        </is>
      </c>
      <c r="I2004" s="0" t="inlineStr">
        <is>
          <t xml:space="preserve">no</t>
        </is>
      </c>
      <c r="K2004" s="0" t="inlineStr">
        <is>
          <t xml:space="preserve">NONE</t>
        </is>
      </c>
    </row>
    <row r="2005">
      <c r="B2005" s="0" t="inlineStr">
        <is>
          <t xml:space="preserve">N0010422PEE30</t>
        </is>
      </c>
      <c r="D2005" s="0" t="inlineStr">
        <is>
          <t xml:space="preserve">small_craft</t>
        </is>
      </c>
      <c r="E2005" s="0" t="inlineStr">
        <is>
          <t xml:space="preserve">GREATER MARYLAND TOOL &amp; MFG. CORP.</t>
        </is>
      </c>
      <c r="F2005" s="0" t="inlineStr">
        <is>
          <t xml:space="preserve">B</t>
        </is>
      </c>
      <c r="G2005" s="4">
        <v>0.0017549999999999998</v>
      </c>
      <c r="H2005" s="0" t="inlineStr">
        <is>
          <t xml:space="preserve">2022-06-09</t>
        </is>
      </c>
      <c r="I2005" s="0" t="inlineStr">
        <is>
          <t xml:space="preserve">no</t>
        </is>
      </c>
      <c r="K2005" s="0" t="inlineStr">
        <is>
          <t xml:space="preserve">NONE</t>
        </is>
      </c>
    </row>
    <row r="2006">
      <c r="B2006" s="0" t="inlineStr">
        <is>
          <t xml:space="preserve">N0040617P2591</t>
        </is>
      </c>
      <c r="D2006" s="0" t="inlineStr">
        <is>
          <t xml:space="preserve">small_craft</t>
        </is>
      </c>
      <c r="E2006" s="0" t="inlineStr">
        <is>
          <t xml:space="preserve">PACIFIC MARITIME INDUSTRIES CORP.</t>
        </is>
      </c>
      <c r="F2006" s="0" t="inlineStr">
        <is>
          <t xml:space="preserve">B</t>
        </is>
      </c>
      <c r="G2006" s="4">
        <v>0.0017499999999999998</v>
      </c>
      <c r="H2006" s="0" t="inlineStr">
        <is>
          <t xml:space="preserve">2017-08-17</t>
        </is>
      </c>
      <c r="I2006" s="0" t="inlineStr">
        <is>
          <t xml:space="preserve">no</t>
        </is>
      </c>
      <c r="K2006" s="0" t="inlineStr">
        <is>
          <t xml:space="preserve">NONE</t>
        </is>
      </c>
    </row>
    <row r="2007">
      <c r="B2007" s="0" t="inlineStr">
        <is>
          <t xml:space="preserve">N0010421PBE79</t>
        </is>
      </c>
      <c r="D2007" s="0" t="inlineStr">
        <is>
          <t xml:space="preserve">small_craft</t>
        </is>
      </c>
      <c r="E2007" s="0" t="inlineStr">
        <is>
          <t xml:space="preserve">ADIRONDACK ELECTRONICS INC</t>
        </is>
      </c>
      <c r="F2007" s="0" t="inlineStr">
        <is>
          <t xml:space="preserve">B</t>
        </is>
      </c>
      <c r="G2007" s="4">
        <v>0.00150666</v>
      </c>
      <c r="H2007" s="0" t="inlineStr">
        <is>
          <t xml:space="preserve">2020-11-18</t>
        </is>
      </c>
      <c r="I2007" s="0" t="inlineStr">
        <is>
          <t xml:space="preserve">no</t>
        </is>
      </c>
      <c r="K2007" s="0" t="inlineStr">
        <is>
          <t xml:space="preserve">NONE</t>
        </is>
      </c>
    </row>
    <row r="2008">
      <c r="B2008" s="0" t="inlineStr">
        <is>
          <t xml:space="preserve">N0016424FP157</t>
        </is>
      </c>
      <c r="C2008" s="0" t="inlineStr">
        <is>
          <t xml:space="preserve">GS03F0195W</t>
        </is>
      </c>
      <c r="D2008" s="0" t="inlineStr">
        <is>
          <t xml:space="preserve">other_small</t>
        </is>
      </c>
      <c r="E2008" s="0" t="inlineStr">
        <is>
          <t xml:space="preserve">ADVERTISING/MARKETING/STRATEGIC PLANNING, LLC</t>
        </is>
      </c>
      <c r="F2008" s="0" t="inlineStr">
        <is>
          <t xml:space="preserve">C</t>
        </is>
      </c>
      <c r="G2008" s="4">
        <v>0.0012814599999999999</v>
      </c>
      <c r="H2008" s="0" t="inlineStr">
        <is>
          <t xml:space="preserve">2023-11-21</t>
        </is>
      </c>
      <c r="I2008" s="0" t="inlineStr">
        <is>
          <t xml:space="preserve">no</t>
        </is>
      </c>
      <c r="K2008" s="0" t="inlineStr">
        <is>
          <t xml:space="preserve">NONE</t>
        </is>
      </c>
    </row>
    <row r="2009">
      <c r="B2009" s="0" t="inlineStr">
        <is>
          <t xml:space="preserve">N0010422PLE85</t>
        </is>
      </c>
      <c r="D2009" s="0" t="inlineStr">
        <is>
          <t xml:space="preserve">small_craft</t>
        </is>
      </c>
      <c r="E2009" s="0" t="inlineStr">
        <is>
          <t xml:space="preserve">AEF-PERFORMANCE LLC</t>
        </is>
      </c>
      <c r="F2009" s="0" t="inlineStr">
        <is>
          <t xml:space="preserve">B</t>
        </is>
      </c>
      <c r="G2009" s="4">
        <v>0.000932</v>
      </c>
      <c r="H2009" s="0" t="inlineStr">
        <is>
          <t xml:space="preserve">2022-09-30</t>
        </is>
      </c>
      <c r="I2009" s="0" t="inlineStr">
        <is>
          <t xml:space="preserve">no</t>
        </is>
      </c>
      <c r="K2009" s="0" t="inlineStr">
        <is>
          <t xml:space="preserve">NONE</t>
        </is>
      </c>
    </row>
    <row r="2010">
      <c r="B2010" s="0" t="inlineStr">
        <is>
          <t xml:space="preserve">0060</t>
        </is>
      </c>
      <c r="C2010" s="0" t="inlineStr">
        <is>
          <t xml:space="preserve">N3220513D2000</t>
        </is>
      </c>
      <c r="D2010" s="0" t="inlineStr">
        <is>
          <t xml:space="preserve">other_small</t>
        </is>
      </c>
      <c r="E2010" s="0" t="inlineStr">
        <is>
          <t xml:space="preserve">ROLLS-ROYCE SOLUTIONS AMERICA INC</t>
        </is>
      </c>
      <c r="F2010" s="0" t="inlineStr">
        <is>
          <t xml:space="preserve">C</t>
        </is>
      </c>
      <c r="G2010" s="4">
        <v>0.00092209</v>
      </c>
      <c r="H2010" s="0" t="inlineStr">
        <is>
          <t xml:space="preserve">2015-11-04</t>
        </is>
      </c>
      <c r="I2010" s="0" t="inlineStr">
        <is>
          <t xml:space="preserve">no</t>
        </is>
      </c>
      <c r="J2010" s="0" t="inlineStr">
        <is>
          <t xml:space="preserve">N4044211R2005</t>
        </is>
      </c>
      <c r="K2010" s="0" t="inlineStr">
        <is>
          <t xml:space="preserve">NONE</t>
        </is>
      </c>
    </row>
    <row r="2011">
      <c r="B2011" s="0" t="inlineStr">
        <is>
          <t xml:space="preserve">0061</t>
        </is>
      </c>
      <c r="C2011" s="0" t="inlineStr">
        <is>
          <t xml:space="preserve">N3220513D2000</t>
        </is>
      </c>
      <c r="D2011" s="0" t="inlineStr">
        <is>
          <t xml:space="preserve">other_small</t>
        </is>
      </c>
      <c r="E2011" s="0" t="inlineStr">
        <is>
          <t xml:space="preserve">ROLLS-ROYCE SOLUTIONS AMERICA INC</t>
        </is>
      </c>
      <c r="F2011" s="0" t="inlineStr">
        <is>
          <t xml:space="preserve">C</t>
        </is>
      </c>
      <c r="G2011" s="4">
        <v>0.0009184999999999999</v>
      </c>
      <c r="H2011" s="0" t="inlineStr">
        <is>
          <t xml:space="preserve">2015-11-12</t>
        </is>
      </c>
      <c r="I2011" s="0" t="inlineStr">
        <is>
          <t xml:space="preserve">no</t>
        </is>
      </c>
      <c r="J2011" s="0" t="inlineStr">
        <is>
          <t xml:space="preserve">N4044211R2005</t>
        </is>
      </c>
      <c r="K2011" s="0" t="inlineStr">
        <is>
          <t xml:space="preserve">NONE</t>
        </is>
      </c>
    </row>
    <row r="2012">
      <c r="B2012" s="0" t="inlineStr">
        <is>
          <t xml:space="preserve">0079</t>
        </is>
      </c>
      <c r="C2012" s="0" t="inlineStr">
        <is>
          <t xml:space="preserve">N3220513D2000</t>
        </is>
      </c>
      <c r="D2012" s="0" t="inlineStr">
        <is>
          <t xml:space="preserve">other_small</t>
        </is>
      </c>
      <c r="E2012" s="0" t="inlineStr">
        <is>
          <t xml:space="preserve">ROLLS-ROYCE SOLUTIONS AMERICA INC</t>
        </is>
      </c>
      <c r="F2012" s="0" t="inlineStr">
        <is>
          <t xml:space="preserve">C</t>
        </is>
      </c>
      <c r="G2012" s="4">
        <v>0.0004033</v>
      </c>
      <c r="H2012" s="0" t="inlineStr">
        <is>
          <t xml:space="preserve">2016-03-18</t>
        </is>
      </c>
      <c r="I2012" s="0" t="inlineStr">
        <is>
          <t xml:space="preserve">no</t>
        </is>
      </c>
      <c r="J2012" s="0" t="inlineStr">
        <is>
          <t xml:space="preserve">N4044211R2005</t>
        </is>
      </c>
      <c r="K2012" s="0" t="inlineStr">
        <is>
          <t xml:space="preserve">NONE</t>
        </is>
      </c>
    </row>
    <row r="2013">
      <c r="B2013" s="0" t="inlineStr">
        <is>
          <t xml:space="preserve">0069</t>
        </is>
      </c>
      <c r="C2013" s="0" t="inlineStr">
        <is>
          <t xml:space="preserve">N3220513D2000</t>
        </is>
      </c>
      <c r="D2013" s="0" t="inlineStr">
        <is>
          <t xml:space="preserve">other_small</t>
        </is>
      </c>
      <c r="E2013" s="0" t="inlineStr">
        <is>
          <t xml:space="preserve">ROLLS-ROYCE SOLUTIONS AMERICA INC</t>
        </is>
      </c>
      <c r="F2013" s="0" t="inlineStr">
        <is>
          <t xml:space="preserve">C</t>
        </is>
      </c>
      <c r="G2013" s="4">
        <v>0.00039935999999999997</v>
      </c>
      <c r="H2013" s="0" t="inlineStr">
        <is>
          <t xml:space="preserve">2016-01-27</t>
        </is>
      </c>
      <c r="I2013" s="0" t="inlineStr">
        <is>
          <t xml:space="preserve">no</t>
        </is>
      </c>
      <c r="J2013" s="0" t="inlineStr">
        <is>
          <t xml:space="preserve">N4044211R2005</t>
        </is>
      </c>
      <c r="K2013" s="0" t="inlineStr">
        <is>
          <t xml:space="preserve">NONE</t>
        </is>
      </c>
    </row>
    <row r="2014">
      <c r="B2014" s="0" t="inlineStr">
        <is>
          <t xml:space="preserve">0050</t>
        </is>
      </c>
      <c r="C2014" s="0" t="inlineStr">
        <is>
          <t xml:space="preserve">N3220513D2000</t>
        </is>
      </c>
      <c r="D2014" s="0" t="inlineStr">
        <is>
          <t xml:space="preserve">other_small</t>
        </is>
      </c>
      <c r="E2014" s="0" t="inlineStr">
        <is>
          <t xml:space="preserve">ROLLS-ROYCE SOLUTIONS AMERICA INC</t>
        </is>
      </c>
      <c r="F2014" s="0" t="inlineStr">
        <is>
          <t xml:space="preserve">C</t>
        </is>
      </c>
      <c r="G2014" s="4">
        <v>0.00037017</v>
      </c>
      <c r="H2014" s="0" t="inlineStr">
        <is>
          <t xml:space="preserve">2015-07-16</t>
        </is>
      </c>
      <c r="I2014" s="0" t="inlineStr">
        <is>
          <t xml:space="preserve">no</t>
        </is>
      </c>
      <c r="J2014" s="0" t="inlineStr">
        <is>
          <t xml:space="preserve">N4044211R2005</t>
        </is>
      </c>
      <c r="K2014" s="0" t="inlineStr">
        <is>
          <t xml:space="preserve">NONE</t>
        </is>
      </c>
    </row>
    <row r="2015">
      <c r="B2015" s="0" t="inlineStr">
        <is>
          <t xml:space="preserve">0067</t>
        </is>
      </c>
      <c r="C2015" s="0" t="inlineStr">
        <is>
          <t xml:space="preserve">N3220513D2000</t>
        </is>
      </c>
      <c r="D2015" s="0" t="inlineStr">
        <is>
          <t xml:space="preserve">other_small</t>
        </is>
      </c>
      <c r="E2015" s="0" t="inlineStr">
        <is>
          <t xml:space="preserve">ROLLS-ROYCE SOLUTIONS AMERICA INC</t>
        </is>
      </c>
      <c r="F2015" s="0" t="inlineStr">
        <is>
          <t xml:space="preserve">C</t>
        </is>
      </c>
      <c r="G2015" s="4">
        <v>0.00036844</v>
      </c>
      <c r="H2015" s="0" t="inlineStr">
        <is>
          <t xml:space="preserve">2016-01-25</t>
        </is>
      </c>
      <c r="I2015" s="0" t="inlineStr">
        <is>
          <t xml:space="preserve">no</t>
        </is>
      </c>
      <c r="J2015" s="0" t="inlineStr">
        <is>
          <t xml:space="preserve">N4044211R2005</t>
        </is>
      </c>
      <c r="K2015" s="0" t="inlineStr">
        <is>
          <t xml:space="preserve">NONE</t>
        </is>
      </c>
    </row>
    <row r="2016">
      <c r="B2016" s="0" t="inlineStr">
        <is>
          <t xml:space="preserve">0001</t>
        </is>
      </c>
      <c r="C2016" s="0" t="inlineStr">
        <is>
          <t xml:space="preserve">N3220516D4500</t>
        </is>
      </c>
      <c r="D2016" s="0" t="inlineStr">
        <is>
          <t xml:space="preserve">other_small</t>
        </is>
      </c>
      <c r="E2016" s="0" t="inlineStr">
        <is>
          <t xml:space="preserve">DEFENSE MARITIME SOLUTIONS, INC.</t>
        </is>
      </c>
      <c r="F2016" s="0" t="inlineStr">
        <is>
          <t xml:space="preserve">C</t>
        </is>
      </c>
      <c r="G2016" s="4">
        <v>0.000175</v>
      </c>
      <c r="H2016" s="0" t="inlineStr">
        <is>
          <t xml:space="preserve">2016-09-12</t>
        </is>
      </c>
      <c r="I2016" s="0" t="inlineStr">
        <is>
          <t xml:space="preserve">no</t>
        </is>
      </c>
      <c r="J2016" s="0" t="inlineStr">
        <is>
          <t xml:space="preserve">N3220516R4501</t>
        </is>
      </c>
      <c r="K2016" s="0" t="inlineStr">
        <is>
          <t xml:space="preserve">NONE</t>
        </is>
      </c>
    </row>
    <row r="2017">
      <c r="B2017" s="0" t="inlineStr">
        <is>
          <t xml:space="preserve">0057</t>
        </is>
      </c>
      <c r="C2017" s="0" t="inlineStr">
        <is>
          <t xml:space="preserve">N3220513D2000</t>
        </is>
      </c>
      <c r="D2017" s="0" t="inlineStr">
        <is>
          <t xml:space="preserve">other_small</t>
        </is>
      </c>
      <c r="E2017" s="0" t="inlineStr">
        <is>
          <t xml:space="preserve">ROLLS-ROYCE SOLUTIONS AMERICA INC</t>
        </is>
      </c>
      <c r="F2017" s="0" t="inlineStr">
        <is>
          <t xml:space="preserve">C</t>
        </is>
      </c>
      <c r="G2017" s="4">
        <v>0.00012656</v>
      </c>
      <c r="H2017" s="0" t="inlineStr">
        <is>
          <t xml:space="preserve">2015-09-21</t>
        </is>
      </c>
      <c r="I2017" s="0" t="inlineStr">
        <is>
          <t xml:space="preserve">no</t>
        </is>
      </c>
      <c r="J2017" s="0" t="inlineStr">
        <is>
          <t xml:space="preserve">N4044211R2005</t>
        </is>
      </c>
      <c r="K2017" s="0" t="inlineStr">
        <is>
          <t xml:space="preserve">NONE</t>
        </is>
      </c>
    </row>
    <row r="2018">
      <c r="B2018" s="0" t="inlineStr">
        <is>
          <t xml:space="preserve">N0016423FP1206</t>
        </is>
      </c>
      <c r="C2018" s="0" t="inlineStr">
        <is>
          <t xml:space="preserve">47QSHA19A000X</t>
        </is>
      </c>
      <c r="D2018" s="0" t="inlineStr">
        <is>
          <t xml:space="preserve">usv_core</t>
        </is>
      </c>
      <c r="E2018" s="0" t="inlineStr">
        <is>
          <t xml:space="preserve">SPS INDUSTRIAL INC</t>
        </is>
      </c>
      <c r="F2018" s="0" t="inlineStr">
        <is>
          <t xml:space="preserve">A</t>
        </is>
      </c>
      <c r="G2018" s="4">
        <v>0.00010619999999999999</v>
      </c>
      <c r="H2018" s="0" t="inlineStr">
        <is>
          <t xml:space="preserve">2023-08-16</t>
        </is>
      </c>
      <c r="I2018" s="0" t="inlineStr">
        <is>
          <t xml:space="preserve">no</t>
        </is>
      </c>
      <c r="K2018" s="0" t="inlineStr">
        <is>
          <t xml:space="preserve">NONE</t>
        </is>
      </c>
    </row>
    <row r="2019">
      <c r="B2019" s="0" t="inlineStr">
        <is>
          <t xml:space="preserve">N6133116P0409</t>
        </is>
      </c>
      <c r="D2019" s="0" t="inlineStr">
        <is>
          <t xml:space="preserve">usv_core</t>
        </is>
      </c>
      <c r="E2019" s="0" t="inlineStr">
        <is>
          <t xml:space="preserve">HII UNMANNED MARITIME SYSTEMS INC.</t>
        </is>
      </c>
      <c r="F2019" s="0" t="inlineStr">
        <is>
          <t xml:space="preserve">B</t>
        </is>
      </c>
      <c r="G2019" s="4">
        <v>0.0</v>
      </c>
      <c r="H2019" s="0" t="inlineStr">
        <is>
          <t xml:space="preserve">2016-03-18</t>
        </is>
      </c>
      <c r="I2019" s="0" t="inlineStr">
        <is>
          <t xml:space="preserve">no</t>
        </is>
      </c>
      <c r="K2019" s="0" t="inlineStr">
        <is>
          <t xml:space="preserve">NONE</t>
        </is>
      </c>
    </row>
    <row r="2020">
      <c r="B2020" s="0" t="inlineStr">
        <is>
          <t xml:space="preserve">N0002416G2218</t>
        </is>
      </c>
      <c r="D2020" s="0" t="inlineStr">
        <is>
          <t xml:space="preserve">other_small</t>
        </is>
      </c>
      <c r="E2020" s="0" t="inlineStr">
        <is>
          <t xml:space="preserve">AUSTAL USA, LLC</t>
        </is>
      </c>
      <c r="F2020" s="0" t="inlineStr">
        <is>
          <t xml:space="preserve">IDV_D</t>
        </is>
      </c>
      <c r="G2020" s="4">
        <v>0.0</v>
      </c>
      <c r="H2020" s="0" t="inlineStr">
        <is>
          <t xml:space="preserve">2016-08-31</t>
        </is>
      </c>
      <c r="I2020" s="0" t="inlineStr">
        <is>
          <t xml:space="preserve">no</t>
        </is>
      </c>
      <c r="K2020" s="0" t="inlineStr">
        <is>
          <t xml:space="preserve">NONE</t>
        </is>
      </c>
    </row>
    <row r="2021">
      <c r="B2021" s="0" t="inlineStr">
        <is>
          <t xml:space="preserve">N0002416G2214</t>
        </is>
      </c>
      <c r="D2021" s="0" t="inlineStr">
        <is>
          <t xml:space="preserve">other_small</t>
        </is>
      </c>
      <c r="E2021" s="0" t="inlineStr">
        <is>
          <t xml:space="preserve">NATIONAL STEEL AND SHIPBUILDING COMPANY</t>
        </is>
      </c>
      <c r="F2021" s="0" t="inlineStr">
        <is>
          <t xml:space="preserve">IDV_D</t>
        </is>
      </c>
      <c r="G2021" s="4">
        <v>0.0</v>
      </c>
      <c r="H2021" s="0" t="inlineStr">
        <is>
          <t xml:space="preserve">2016-08-02</t>
        </is>
      </c>
      <c r="I2021" s="0" t="inlineStr">
        <is>
          <t xml:space="preserve">no</t>
        </is>
      </c>
      <c r="J2021" s="0" t="inlineStr">
        <is>
          <t xml:space="preserve">N0002416R2214</t>
        </is>
      </c>
      <c r="K2021" s="0" t="inlineStr">
        <is>
          <t xml:space="preserve">NONE</t>
        </is>
      </c>
    </row>
    <row r="2022">
      <c r="B2022" s="0" t="inlineStr">
        <is>
          <t xml:space="preserve">N6264923A0001</t>
        </is>
      </c>
      <c r="D2022" s="0" t="inlineStr">
        <is>
          <t xml:space="preserve">small_craft</t>
        </is>
      </c>
      <c r="E2022" s="0" t="inlineStr">
        <is>
          <t xml:space="preserve">MISCELLANEOUS FOREIGN AWARDEES</t>
        </is>
      </c>
      <c r="F2022" s="0" t="inlineStr">
        <is>
          <t xml:space="preserve">IDV_E</t>
        </is>
      </c>
      <c r="G2022" s="4">
        <v>0.0</v>
      </c>
      <c r="H2022" s="0" t="inlineStr">
        <is>
          <t xml:space="preserve">2023-01-04</t>
        </is>
      </c>
      <c r="I2022" s="0" t="inlineStr">
        <is>
          <t xml:space="preserve">no</t>
        </is>
      </c>
      <c r="K2022" s="0" t="inlineStr">
        <is>
          <t xml:space="preserve">NONE</t>
        </is>
      </c>
    </row>
    <row r="2023">
      <c r="B2023" s="0" t="inlineStr">
        <is>
          <t xml:space="preserve">N0016724A0005</t>
        </is>
      </c>
      <c r="D2023" s="0" t="inlineStr">
        <is>
          <t xml:space="preserve">small_craft</t>
        </is>
      </c>
      <c r="E2023" s="0" t="inlineStr">
        <is>
          <t xml:space="preserve">CAPE MARINE SERVICES LLC</t>
        </is>
      </c>
      <c r="F2023" s="0" t="inlineStr">
        <is>
          <t xml:space="preserve">IDV_E</t>
        </is>
      </c>
      <c r="G2023" s="4">
        <v>0.0</v>
      </c>
      <c r="H2023" s="0" t="inlineStr">
        <is>
          <t xml:space="preserve">2024-03-14</t>
        </is>
      </c>
      <c r="I2023" s="0" t="inlineStr">
        <is>
          <t xml:space="preserve">no</t>
        </is>
      </c>
      <c r="K2023" s="0" t="inlineStr">
        <is>
          <t xml:space="preserve">NONE</t>
        </is>
      </c>
    </row>
    <row r="2024">
      <c r="B2024" s="0" t="inlineStr">
        <is>
          <t xml:space="preserve">N0016723A0060</t>
        </is>
      </c>
      <c r="D2024" s="0" t="inlineStr">
        <is>
          <t xml:space="preserve">small_craft</t>
        </is>
      </c>
      <c r="E2024" s="0" t="inlineStr">
        <is>
          <t xml:space="preserve">LAMY MARINE, INC.</t>
        </is>
      </c>
      <c r="F2024" s="0" t="inlineStr">
        <is>
          <t xml:space="preserve">IDV_E</t>
        </is>
      </c>
      <c r="G2024" s="4">
        <v>0.0</v>
      </c>
      <c r="H2024" s="0" t="inlineStr">
        <is>
          <t xml:space="preserve">2023-09-18</t>
        </is>
      </c>
      <c r="I2024" s="0" t="inlineStr">
        <is>
          <t xml:space="preserve">no</t>
        </is>
      </c>
      <c r="K2024" s="0" t="inlineStr">
        <is>
          <t xml:space="preserve">NONE</t>
        </is>
      </c>
    </row>
    <row r="2025">
      <c r="B2025" s="0" t="inlineStr">
        <is>
          <t xml:space="preserve">N0016723A0059</t>
        </is>
      </c>
      <c r="D2025" s="0" t="inlineStr">
        <is>
          <t xml:space="preserve">small_craft</t>
        </is>
      </c>
      <c r="E2025" s="0" t="inlineStr">
        <is>
          <t xml:space="preserve">AYERS MARINE ELECTRONICS, INC.</t>
        </is>
      </c>
      <c r="F2025" s="0" t="inlineStr">
        <is>
          <t xml:space="preserve">IDV_E</t>
        </is>
      </c>
      <c r="G2025" s="4">
        <v>0.0</v>
      </c>
      <c r="H2025" s="0" t="inlineStr">
        <is>
          <t xml:space="preserve">2023-09-18</t>
        </is>
      </c>
      <c r="I2025" s="0" t="inlineStr">
        <is>
          <t xml:space="preserve">no</t>
        </is>
      </c>
      <c r="K2025" s="0" t="inlineStr">
        <is>
          <t xml:space="preserve">NONE</t>
        </is>
      </c>
    </row>
    <row r="2026">
      <c r="B2026" s="0" t="inlineStr">
        <is>
          <t xml:space="preserve">N0016723A0058</t>
        </is>
      </c>
      <c r="D2026" s="0" t="inlineStr">
        <is>
          <t xml:space="preserve">small_craft</t>
        </is>
      </c>
      <c r="E2026" s="0" t="inlineStr">
        <is>
          <t xml:space="preserve">BAY DIESEL CORP</t>
        </is>
      </c>
      <c r="F2026" s="0" t="inlineStr">
        <is>
          <t xml:space="preserve">IDV_E</t>
        </is>
      </c>
      <c r="G2026" s="4">
        <v>0.0</v>
      </c>
      <c r="H2026" s="0" t="inlineStr">
        <is>
          <t xml:space="preserve">2023-09-18</t>
        </is>
      </c>
      <c r="I2026" s="0" t="inlineStr">
        <is>
          <t xml:space="preserve">no</t>
        </is>
      </c>
      <c r="K2026" s="0" t="inlineStr">
        <is>
          <t xml:space="preserve">NONE</t>
        </is>
      </c>
    </row>
    <row r="2027">
      <c r="B2027" s="0" t="inlineStr">
        <is>
          <t xml:space="preserve">N0016723A0057</t>
        </is>
      </c>
      <c r="D2027" s="0" t="inlineStr">
        <is>
          <t xml:space="preserve">small_craft</t>
        </is>
      </c>
      <c r="E2027" s="0" t="inlineStr">
        <is>
          <t xml:space="preserve">ANCHOR INNOVATION, INC.</t>
        </is>
      </c>
      <c r="F2027" s="0" t="inlineStr">
        <is>
          <t xml:space="preserve">IDV_E</t>
        </is>
      </c>
      <c r="G2027" s="4">
        <v>0.0</v>
      </c>
      <c r="H2027" s="0" t="inlineStr">
        <is>
          <t xml:space="preserve">2023-09-18</t>
        </is>
      </c>
      <c r="I2027" s="0" t="inlineStr">
        <is>
          <t xml:space="preserve">no</t>
        </is>
      </c>
      <c r="K2027" s="0" t="inlineStr">
        <is>
          <t xml:space="preserve">NONE</t>
        </is>
      </c>
    </row>
    <row r="2028">
      <c r="B2028" s="0" t="inlineStr">
        <is>
          <t xml:space="preserve">N0016723A0056</t>
        </is>
      </c>
      <c r="D2028" s="0" t="inlineStr">
        <is>
          <t xml:space="preserve">small_craft</t>
        </is>
      </c>
      <c r="E2028" s="0" t="inlineStr">
        <is>
          <t xml:space="preserve">ATLANTIC MARINE, LLC</t>
        </is>
      </c>
      <c r="F2028" s="0" t="inlineStr">
        <is>
          <t xml:space="preserve">IDV_E</t>
        </is>
      </c>
      <c r="G2028" s="4">
        <v>0.0</v>
      </c>
      <c r="H2028" s="0" t="inlineStr">
        <is>
          <t xml:space="preserve">2023-09-18</t>
        </is>
      </c>
      <c r="I2028" s="0" t="inlineStr">
        <is>
          <t xml:space="preserve">no</t>
        </is>
      </c>
      <c r="K2028" s="0" t="inlineStr">
        <is>
          <t xml:space="preserve">NONE</t>
        </is>
      </c>
    </row>
    <row r="2029">
      <c r="B2029" s="0" t="inlineStr">
        <is>
          <t xml:space="preserve">N0016723A0055</t>
        </is>
      </c>
      <c r="D2029" s="0" t="inlineStr">
        <is>
          <t xml:space="preserve">small_craft</t>
        </is>
      </c>
      <c r="E2029" s="0" t="inlineStr">
        <is>
          <t xml:space="preserve">QED SYSTEMS, INC.</t>
        </is>
      </c>
      <c r="F2029" s="0" t="inlineStr">
        <is>
          <t xml:space="preserve">IDV_E</t>
        </is>
      </c>
      <c r="G2029" s="4">
        <v>0.0</v>
      </c>
      <c r="H2029" s="0" t="inlineStr">
        <is>
          <t xml:space="preserve">2023-09-18</t>
        </is>
      </c>
      <c r="I2029" s="0" t="inlineStr">
        <is>
          <t xml:space="preserve">no</t>
        </is>
      </c>
      <c r="K2029" s="0" t="inlineStr">
        <is>
          <t xml:space="preserve">NONE</t>
        </is>
      </c>
    </row>
    <row r="2030">
      <c r="B2030" s="0" t="inlineStr">
        <is>
          <t xml:space="preserve">N0016723A0054</t>
        </is>
      </c>
      <c r="D2030" s="0" t="inlineStr">
        <is>
          <t xml:space="preserve">small_craft</t>
        </is>
      </c>
      <c r="E2030" s="0" t="inlineStr">
        <is>
          <t xml:space="preserve">ADVANCED MACHINE &amp; TOOLING, INC.</t>
        </is>
      </c>
      <c r="F2030" s="0" t="inlineStr">
        <is>
          <t xml:space="preserve">IDV_E</t>
        </is>
      </c>
      <c r="G2030" s="4">
        <v>0.0</v>
      </c>
      <c r="H2030" s="0" t="inlineStr">
        <is>
          <t xml:space="preserve">2023-09-18</t>
        </is>
      </c>
      <c r="I2030" s="0" t="inlineStr">
        <is>
          <t xml:space="preserve">no</t>
        </is>
      </c>
      <c r="K2030" s="0" t="inlineStr">
        <is>
          <t xml:space="preserve">NONE</t>
        </is>
      </c>
    </row>
    <row r="2031">
      <c r="B2031" s="0" t="inlineStr">
        <is>
          <t xml:space="preserve">N0016723A0053</t>
        </is>
      </c>
      <c r="D2031" s="0" t="inlineStr">
        <is>
          <t xml:space="preserve">small_craft</t>
        </is>
      </c>
      <c r="E2031" s="0" t="inlineStr">
        <is>
          <t xml:space="preserve">VIRGINIA SPEED, INC.</t>
        </is>
      </c>
      <c r="F2031" s="0" t="inlineStr">
        <is>
          <t xml:space="preserve">IDV_E</t>
        </is>
      </c>
      <c r="G2031" s="4">
        <v>0.0</v>
      </c>
      <c r="H2031" s="0" t="inlineStr">
        <is>
          <t xml:space="preserve">2023-09-18</t>
        </is>
      </c>
      <c r="I2031" s="0" t="inlineStr">
        <is>
          <t xml:space="preserve">no</t>
        </is>
      </c>
      <c r="K2031" s="0" t="inlineStr">
        <is>
          <t xml:space="preserve">NONE</t>
        </is>
      </c>
    </row>
    <row r="2032">
      <c r="B2032" s="0" t="inlineStr">
        <is>
          <t xml:space="preserve">N0016723A0052</t>
        </is>
      </c>
      <c r="D2032" s="0" t="inlineStr">
        <is>
          <t xml:space="preserve">small_craft</t>
        </is>
      </c>
      <c r="E2032" s="0" t="inlineStr">
        <is>
          <t xml:space="preserve">FAIRLEAD BOATWORKS, INC.</t>
        </is>
      </c>
      <c r="F2032" s="0" t="inlineStr">
        <is>
          <t xml:space="preserve">IDV_E</t>
        </is>
      </c>
      <c r="G2032" s="4">
        <v>0.0</v>
      </c>
      <c r="H2032" s="0" t="inlineStr">
        <is>
          <t xml:space="preserve">2023-09-18</t>
        </is>
      </c>
      <c r="I2032" s="0" t="inlineStr">
        <is>
          <t xml:space="preserve">no</t>
        </is>
      </c>
      <c r="K2032" s="0" t="inlineStr">
        <is>
          <t xml:space="preserve">NONE</t>
        </is>
      </c>
    </row>
    <row r="2033">
      <c r="B2033" s="0" t="inlineStr">
        <is>
          <t xml:space="preserve">N0016723A0051</t>
        </is>
      </c>
      <c r="D2033" s="0" t="inlineStr">
        <is>
          <t xml:space="preserve">small_craft</t>
        </is>
      </c>
      <c r="E2033" s="0" t="inlineStr">
        <is>
          <t xml:space="preserve">UNITED STATES MARINE INC</t>
        </is>
      </c>
      <c r="F2033" s="0" t="inlineStr">
        <is>
          <t xml:space="preserve">IDV_E</t>
        </is>
      </c>
      <c r="G2033" s="4">
        <v>0.0</v>
      </c>
      <c r="H2033" s="0" t="inlineStr">
        <is>
          <t xml:space="preserve">2023-09-18</t>
        </is>
      </c>
      <c r="I2033" s="0" t="inlineStr">
        <is>
          <t xml:space="preserve">no</t>
        </is>
      </c>
      <c r="K2033" s="0" t="inlineStr">
        <is>
          <t xml:space="preserve">NONE</t>
        </is>
      </c>
    </row>
    <row r="2034">
      <c r="B2034" s="0" t="inlineStr">
        <is>
          <t xml:space="preserve">N0016723A0050</t>
        </is>
      </c>
      <c r="D2034" s="0" t="inlineStr">
        <is>
          <t xml:space="preserve">small_craft</t>
        </is>
      </c>
      <c r="E2034" s="0" t="inlineStr">
        <is>
          <t xml:space="preserve">BEACH MARINE SERVICES INC</t>
        </is>
      </c>
      <c r="F2034" s="0" t="inlineStr">
        <is>
          <t xml:space="preserve">IDV_E</t>
        </is>
      </c>
      <c r="G2034" s="4">
        <v>0.0</v>
      </c>
      <c r="H2034" s="0" t="inlineStr">
        <is>
          <t xml:space="preserve">2023-09-18</t>
        </is>
      </c>
      <c r="I2034" s="0" t="inlineStr">
        <is>
          <t xml:space="preserve">no</t>
        </is>
      </c>
      <c r="K2034" s="0" t="inlineStr">
        <is>
          <t xml:space="preserve">NONE</t>
        </is>
      </c>
    </row>
    <row r="2035">
      <c r="B2035" s="0" t="inlineStr">
        <is>
          <t xml:space="preserve">N0016723A0044</t>
        </is>
      </c>
      <c r="D2035" s="0" t="inlineStr">
        <is>
          <t xml:space="preserve">small_craft</t>
        </is>
      </c>
      <c r="E2035" s="0" t="inlineStr">
        <is>
          <t xml:space="preserve">WESTERN BRANCH DIESEL, LLC</t>
        </is>
      </c>
      <c r="F2035" s="0" t="inlineStr">
        <is>
          <t xml:space="preserve">IDV_E</t>
        </is>
      </c>
      <c r="G2035" s="4">
        <v>0.0</v>
      </c>
      <c r="H2035" s="0" t="inlineStr">
        <is>
          <t xml:space="preserve">2023-09-18</t>
        </is>
      </c>
      <c r="I2035" s="0" t="inlineStr">
        <is>
          <t xml:space="preserve">no</t>
        </is>
      </c>
      <c r="K2035" s="0" t="inlineStr">
        <is>
          <t xml:space="preserve">NONE</t>
        </is>
      </c>
    </row>
    <row r="2036">
      <c r="B2036" s="0" t="inlineStr">
        <is>
          <t xml:space="preserve">N0010424GCQ01</t>
        </is>
      </c>
      <c r="D2036" s="0" t="inlineStr">
        <is>
          <t xml:space="preserve">small_craft</t>
        </is>
      </c>
      <c r="E2036" s="0" t="inlineStr">
        <is>
          <t xml:space="preserve">BIRD-JOHNSON PROPELLER COMPANY, LLC</t>
        </is>
      </c>
      <c r="F2036" s="0" t="inlineStr">
        <is>
          <t xml:space="preserve">IDV_D</t>
        </is>
      </c>
      <c r="G2036" s="4">
        <v>0.0</v>
      </c>
      <c r="H2036" s="0" t="inlineStr">
        <is>
          <t xml:space="preserve">2024-06-07</t>
        </is>
      </c>
      <c r="I2036" s="0" t="inlineStr">
        <is>
          <t xml:space="preserve">no</t>
        </is>
      </c>
      <c r="K2036" s="0" t="inlineStr">
        <is>
          <t xml:space="preserve">NONE</t>
        </is>
      </c>
    </row>
    <row r="2037">
      <c r="B2037" s="0" t="inlineStr">
        <is>
          <t xml:space="preserve">N0010423GZL01</t>
        </is>
      </c>
      <c r="D2037" s="0" t="inlineStr">
        <is>
          <t xml:space="preserve">small_craft</t>
        </is>
      </c>
      <c r="E2037" s="0" t="inlineStr">
        <is>
          <t xml:space="preserve">DEFENSE MARITIME SOLUTIONS, INC.</t>
        </is>
      </c>
      <c r="F2037" s="0" t="inlineStr">
        <is>
          <t xml:space="preserve">IDV_D</t>
        </is>
      </c>
      <c r="G2037" s="4">
        <v>0.0</v>
      </c>
      <c r="H2037" s="0" t="inlineStr">
        <is>
          <t xml:space="preserve">2023-01-27</t>
        </is>
      </c>
      <c r="I2037" s="0" t="inlineStr">
        <is>
          <t xml:space="preserve">no</t>
        </is>
      </c>
      <c r="K2037" s="0" t="inlineStr">
        <is>
          <t xml:space="preserve">NONE</t>
        </is>
      </c>
    </row>
    <row r="2038">
      <c r="B2038" s="0" t="inlineStr">
        <is>
          <t xml:space="preserve">N0010419GUF01</t>
        </is>
      </c>
      <c r="D2038" s="0" t="inlineStr">
        <is>
          <t xml:space="preserve">small_craft</t>
        </is>
      </c>
      <c r="E2038" s="0" t="inlineStr">
        <is>
          <t xml:space="preserve">ROLLS-ROYCE MARINE NORTH AMERICA INC.</t>
        </is>
      </c>
      <c r="F2038" s="0" t="inlineStr">
        <is>
          <t xml:space="preserve">IDV_D</t>
        </is>
      </c>
      <c r="G2038" s="4">
        <v>0.0</v>
      </c>
      <c r="H2038" s="0" t="inlineStr">
        <is>
          <t xml:space="preserve">2019-08-06</t>
        </is>
      </c>
      <c r="I2038" s="0" t="inlineStr">
        <is>
          <t xml:space="preserve">no</t>
        </is>
      </c>
      <c r="J2038" s="0" t="inlineStr">
        <is>
          <t xml:space="preserve">N0010419RF004</t>
        </is>
      </c>
      <c r="K2038" s="0" t="inlineStr">
        <is>
          <t xml:space="preserve">NONE</t>
        </is>
      </c>
    </row>
    <row r="2039">
      <c r="B2039" s="0" t="inlineStr">
        <is>
          <t xml:space="preserve">N3220513P1381</t>
        </is>
      </c>
      <c r="D2039" s="0" t="inlineStr">
        <is>
          <t xml:space="preserve">other_small</t>
        </is>
      </c>
      <c r="E2039" s="0" t="inlineStr">
        <is>
          <t xml:space="preserve">SURVIVAL SYSTEMS INTERNATIONAL, INC</t>
        </is>
      </c>
      <c r="F2039" s="0" t="inlineStr">
        <is>
          <t xml:space="preserve">B</t>
        </is>
      </c>
      <c r="G2039" s="4">
        <v>0.0</v>
      </c>
      <c r="H2039" s="0" t="inlineStr">
        <is>
          <t xml:space="preserve">2013-04-30</t>
        </is>
      </c>
      <c r="I2039" s="0" t="inlineStr">
        <is>
          <t xml:space="preserve">no</t>
        </is>
      </c>
      <c r="J2039" s="0" t="inlineStr">
        <is>
          <t xml:space="preserve">N3220513T1215</t>
        </is>
      </c>
      <c r="K2039" s="0" t="inlineStr">
        <is>
          <t xml:space="preserve">NONE</t>
        </is>
      </c>
    </row>
    <row r="2040">
      <c r="B2040" s="0" t="inlineStr">
        <is>
          <t xml:space="preserve">N6660410P2309</t>
        </is>
      </c>
      <c r="D2040" s="0" t="inlineStr">
        <is>
          <t xml:space="preserve">small_craft</t>
        </is>
      </c>
      <c r="E2040" s="0" t="inlineStr">
        <is>
          <t xml:space="preserve">CAPTAIN HOOKS SPORT FISHING</t>
        </is>
      </c>
      <c r="F2040" s="0" t="inlineStr">
        <is>
          <t xml:space="preserve">B</t>
        </is>
      </c>
      <c r="G2040" s="4">
        <v>0.0</v>
      </c>
      <c r="H2040" s="0" t="inlineStr">
        <is>
          <t xml:space="preserve">2010-04-26</t>
        </is>
      </c>
      <c r="I2040" s="0" t="inlineStr">
        <is>
          <t xml:space="preserve">no</t>
        </is>
      </c>
      <c r="K2040" s="0" t="inlineStr">
        <is>
          <t xml:space="preserve">NONE</t>
        </is>
      </c>
    </row>
    <row r="2041">
      <c r="B2041" s="0" t="inlineStr">
        <is>
          <t xml:space="preserve">N5532118F1AB4</t>
        </is>
      </c>
      <c r="C2041" s="0" t="inlineStr">
        <is>
          <t xml:space="preserve">GS07F9616S</t>
        </is>
      </c>
      <c r="D2041" s="0" t="inlineStr">
        <is>
          <t xml:space="preserve">small_craft</t>
        </is>
      </c>
      <c r="E2041" s="0" t="inlineStr">
        <is>
          <t xml:space="preserve">DAVID JOSEPH EASTERBROOK LTD</t>
        </is>
      </c>
      <c r="F2041" s="0" t="inlineStr">
        <is>
          <t xml:space="preserve">C</t>
        </is>
      </c>
      <c r="G2041" s="4">
        <v>0.0</v>
      </c>
      <c r="H2041" s="0" t="inlineStr">
        <is>
          <t xml:space="preserve">2018-08-01</t>
        </is>
      </c>
      <c r="I2041" s="0" t="inlineStr">
        <is>
          <t xml:space="preserve">no</t>
        </is>
      </c>
      <c r="K2041" s="0" t="inlineStr">
        <is>
          <t xml:space="preserve">NONE</t>
        </is>
      </c>
    </row>
    <row r="2042">
      <c r="B2042" s="0" t="inlineStr">
        <is>
          <t xml:space="preserve">N3595A21F0018</t>
        </is>
      </c>
      <c r="C2042" s="0" t="inlineStr">
        <is>
          <t xml:space="preserve">GS07F0298V</t>
        </is>
      </c>
      <c r="D2042" s="0" t="inlineStr">
        <is>
          <t xml:space="preserve">small_craft</t>
        </is>
      </c>
      <c r="E2042" s="0" t="inlineStr">
        <is>
          <t xml:space="preserve">ZODIAC OF NORTH AMERICA, INC.</t>
        </is>
      </c>
      <c r="F2042" s="0" t="inlineStr">
        <is>
          <t xml:space="preserve">C</t>
        </is>
      </c>
      <c r="G2042" s="4">
        <v>0.0</v>
      </c>
      <c r="H2042" s="0" t="inlineStr">
        <is>
          <t xml:space="preserve">2021-09-01</t>
        </is>
      </c>
      <c r="I2042" s="0" t="inlineStr">
        <is>
          <t xml:space="preserve">no</t>
        </is>
      </c>
      <c r="K2042" s="0" t="inlineStr">
        <is>
          <t xml:space="preserve">NONE</t>
        </is>
      </c>
    </row>
    <row r="2043">
      <c r="B2043" s="0" t="inlineStr">
        <is>
          <t xml:space="preserve">N3595A21F0015</t>
        </is>
      </c>
      <c r="C2043" s="0" t="inlineStr">
        <is>
          <t xml:space="preserve">GS07F0298V</t>
        </is>
      </c>
      <c r="D2043" s="0" t="inlineStr">
        <is>
          <t xml:space="preserve">small_craft</t>
        </is>
      </c>
      <c r="E2043" s="0" t="inlineStr">
        <is>
          <t xml:space="preserve">ZODIAC OF NORTH AMERICA, INC.</t>
        </is>
      </c>
      <c r="F2043" s="0" t="inlineStr">
        <is>
          <t xml:space="preserve">C</t>
        </is>
      </c>
      <c r="G2043" s="4">
        <v>0.0</v>
      </c>
      <c r="H2043" s="0" t="inlineStr">
        <is>
          <t xml:space="preserve">2021-07-29</t>
        </is>
      </c>
      <c r="I2043" s="0" t="inlineStr">
        <is>
          <t xml:space="preserve">no</t>
        </is>
      </c>
      <c r="K2043" s="0" t="inlineStr">
        <is>
          <t xml:space="preserve">NONE</t>
        </is>
      </c>
    </row>
    <row r="2044">
      <c r="B2044" s="0" t="inlineStr">
        <is>
          <t xml:space="preserve">N3595A21F0014</t>
        </is>
      </c>
      <c r="C2044" s="0" t="inlineStr">
        <is>
          <t xml:space="preserve">GS03F044CA</t>
        </is>
      </c>
      <c r="D2044" s="0" t="inlineStr">
        <is>
          <t xml:space="preserve">small_craft</t>
        </is>
      </c>
      <c r="E2044" s="0" t="inlineStr">
        <is>
          <t xml:space="preserve">W S DARLEY &amp; CO</t>
        </is>
      </c>
      <c r="F2044" s="0" t="inlineStr">
        <is>
          <t xml:space="preserve">C</t>
        </is>
      </c>
      <c r="G2044" s="4">
        <v>0.0</v>
      </c>
      <c r="H2044" s="0" t="inlineStr">
        <is>
          <t xml:space="preserve">2021-07-28</t>
        </is>
      </c>
      <c r="I2044" s="0" t="inlineStr">
        <is>
          <t xml:space="preserve">no</t>
        </is>
      </c>
      <c r="K2044" s="0" t="inlineStr">
        <is>
          <t xml:space="preserve">NONE</t>
        </is>
      </c>
    </row>
    <row r="2045">
      <c r="B2045" s="0" t="inlineStr">
        <is>
          <t xml:space="preserve">N0610A22F0002</t>
        </is>
      </c>
      <c r="C2045" s="0" t="inlineStr">
        <is>
          <t xml:space="preserve">GS07F0298V</t>
        </is>
      </c>
      <c r="D2045" s="0" t="inlineStr">
        <is>
          <t xml:space="preserve">small_craft</t>
        </is>
      </c>
      <c r="E2045" s="0" t="inlineStr">
        <is>
          <t xml:space="preserve">ZODIAC OF NORTH AMERICA, INC.</t>
        </is>
      </c>
      <c r="F2045" s="0" t="inlineStr">
        <is>
          <t xml:space="preserve">C</t>
        </is>
      </c>
      <c r="G2045" s="4">
        <v>0.0</v>
      </c>
      <c r="H2045" s="0" t="inlineStr">
        <is>
          <t xml:space="preserve">2022-06-29</t>
        </is>
      </c>
      <c r="I2045" s="0" t="inlineStr">
        <is>
          <t xml:space="preserve">no</t>
        </is>
      </c>
      <c r="K2045" s="0" t="inlineStr">
        <is>
          <t xml:space="preserve">NONE</t>
        </is>
      </c>
    </row>
    <row r="2046">
      <c r="B2046" s="0" t="inlineStr">
        <is>
          <t xml:space="preserve">N0060414P3457</t>
        </is>
      </c>
      <c r="D2046" s="0" t="inlineStr">
        <is>
          <t xml:space="preserve">small_craft</t>
        </is>
      </c>
      <c r="E2046" s="0" t="inlineStr">
        <is>
          <t xml:space="preserve">ALPHASCAPE LLC</t>
        </is>
      </c>
      <c r="F2046" s="0" t="inlineStr">
        <is>
          <t xml:space="preserve">B</t>
        </is>
      </c>
      <c r="G2046" s="4">
        <v>0.0</v>
      </c>
      <c r="H2046" s="0" t="inlineStr">
        <is>
          <t xml:space="preserve">2014-08-28</t>
        </is>
      </c>
      <c r="I2046" s="0" t="inlineStr">
        <is>
          <t xml:space="preserve">no</t>
        </is>
      </c>
      <c r="J2046" s="0" t="inlineStr">
        <is>
          <t xml:space="preserve">N0060414T3092</t>
        </is>
      </c>
      <c r="K2046" s="0" t="inlineStr">
        <is>
          <t xml:space="preserve">NONE</t>
        </is>
      </c>
    </row>
    <row r="2047">
      <c r="B2047" s="0" t="inlineStr">
        <is>
          <t xml:space="preserve">N0002421F22K1</t>
        </is>
      </c>
      <c r="C2047" s="0" t="inlineStr">
        <is>
          <t xml:space="preserve">N0002417D2200</t>
        </is>
      </c>
      <c r="D2047" s="0" t="inlineStr">
        <is>
          <t xml:space="preserve">small_craft</t>
        </is>
      </c>
      <c r="E2047" s="0" t="inlineStr">
        <is>
          <t xml:space="preserve">WILLARD MARINE, INC.</t>
        </is>
      </c>
      <c r="F2047" s="0" t="inlineStr">
        <is>
          <t xml:space="preserve">C</t>
        </is>
      </c>
      <c r="G2047" s="4">
        <v>0.0</v>
      </c>
      <c r="H2047" s="0" t="inlineStr">
        <is>
          <t xml:space="preserve">2021-01-29</t>
        </is>
      </c>
      <c r="I2047" s="0" t="inlineStr">
        <is>
          <t xml:space="preserve">no</t>
        </is>
      </c>
      <c r="J2047" s="0" t="inlineStr">
        <is>
          <t xml:space="preserve">N0002416R2200</t>
        </is>
      </c>
      <c r="K2047" s="0" t="inlineStr">
        <is>
          <t xml:space="preserve">NONE</t>
        </is>
      </c>
    </row>
    <row r="2048">
      <c r="B2048" s="0" t="inlineStr">
        <is>
          <t xml:space="preserve">N0002420F22K2</t>
        </is>
      </c>
      <c r="C2048" s="0" t="inlineStr">
        <is>
          <t xml:space="preserve">N0002417D2200</t>
        </is>
      </c>
      <c r="D2048" s="0" t="inlineStr">
        <is>
          <t xml:space="preserve">small_craft</t>
        </is>
      </c>
      <c r="E2048" s="0" t="inlineStr">
        <is>
          <t xml:space="preserve">WILLARD MARINE, INC.</t>
        </is>
      </c>
      <c r="F2048" s="0" t="inlineStr">
        <is>
          <t xml:space="preserve">C</t>
        </is>
      </c>
      <c r="G2048" s="4">
        <v>0.0</v>
      </c>
      <c r="H2048" s="0" t="inlineStr">
        <is>
          <t xml:space="preserve">2020-07-02</t>
        </is>
      </c>
      <c r="I2048" s="0" t="inlineStr">
        <is>
          <t xml:space="preserve">no</t>
        </is>
      </c>
      <c r="J2048" s="0" t="inlineStr">
        <is>
          <t xml:space="preserve">N0002416R2200</t>
        </is>
      </c>
      <c r="K2048" s="0" t="inlineStr">
        <is>
          <t xml:space="preserve">NONE</t>
        </is>
      </c>
    </row>
    <row r="2049">
      <c r="B2049" s="0" t="inlineStr">
        <is>
          <t xml:space="preserve">N0002420F22K1</t>
        </is>
      </c>
      <c r="C2049" s="0" t="inlineStr">
        <is>
          <t xml:space="preserve">N0002417D2200</t>
        </is>
      </c>
      <c r="D2049" s="0" t="inlineStr">
        <is>
          <t xml:space="preserve">small_craft</t>
        </is>
      </c>
      <c r="E2049" s="0" t="inlineStr">
        <is>
          <t xml:space="preserve">WILLARD MARINE, INC.</t>
        </is>
      </c>
      <c r="F2049" s="0" t="inlineStr">
        <is>
          <t xml:space="preserve">C</t>
        </is>
      </c>
      <c r="G2049" s="4">
        <v>0.0</v>
      </c>
      <c r="H2049" s="0" t="inlineStr">
        <is>
          <t xml:space="preserve">2020-03-11</t>
        </is>
      </c>
      <c r="I2049" s="0" t="inlineStr">
        <is>
          <t xml:space="preserve">no</t>
        </is>
      </c>
      <c r="J2049" s="0" t="inlineStr">
        <is>
          <t xml:space="preserve">N0002416R2200</t>
        </is>
      </c>
      <c r="K2049" s="0" t="inlineStr">
        <is>
          <t xml:space="preserve">NONE</t>
        </is>
      </c>
    </row>
    <row r="2050">
      <c r="B2050" s="0" t="inlineStr">
        <is>
          <t xml:space="preserve">N6133119P0146</t>
        </is>
      </c>
      <c r="D2050" s="0" t="inlineStr">
        <is>
          <t xml:space="preserve">other_small</t>
        </is>
      </c>
      <c r="E2050" s="0" t="inlineStr">
        <is>
          <t xml:space="preserve">BUNDY, EVANGELINE</t>
        </is>
      </c>
      <c r="F2050" s="0" t="inlineStr">
        <is>
          <t xml:space="preserve">B</t>
        </is>
      </c>
      <c r="G2050" s="4">
        <v>0.0</v>
      </c>
      <c r="H2050" s="0" t="inlineStr">
        <is>
          <t xml:space="preserve">2019-06-20</t>
        </is>
      </c>
      <c r="I2050" s="0" t="inlineStr">
        <is>
          <t xml:space="preserve">no</t>
        </is>
      </c>
      <c r="J2050" s="0" t="inlineStr">
        <is>
          <t xml:space="preserve">N6133119QSB07</t>
        </is>
      </c>
      <c r="K2050" s="0" t="inlineStr">
        <is>
          <t xml:space="preserve">NONE</t>
        </is>
      </c>
    </row>
    <row r="2051">
      <c r="B2051" s="0" t="inlineStr">
        <is>
          <t xml:space="preserve">N3220520F1945</t>
        </is>
      </c>
      <c r="C2051" s="0" t="inlineStr">
        <is>
          <t xml:space="preserve">N3220517D4700</t>
        </is>
      </c>
      <c r="D2051" s="0" t="inlineStr">
        <is>
          <t xml:space="preserve">other_small</t>
        </is>
      </c>
      <c r="E2051" s="0" t="inlineStr">
        <is>
          <t xml:space="preserve">LAKE SHORE SYSTEMS, INC.</t>
        </is>
      </c>
      <c r="F2051" s="0" t="inlineStr">
        <is>
          <t xml:space="preserve">C</t>
        </is>
      </c>
      <c r="G2051" s="4">
        <v>0.0</v>
      </c>
      <c r="H2051" s="0" t="inlineStr">
        <is>
          <t xml:space="preserve">2020-05-27</t>
        </is>
      </c>
      <c r="I2051" s="0" t="inlineStr">
        <is>
          <t xml:space="preserve">no</t>
        </is>
      </c>
      <c r="K2051" s="0" t="inlineStr">
        <is>
          <t xml:space="preserve">NONE</t>
        </is>
      </c>
    </row>
    <row r="2052">
      <c r="B2052" s="0" t="inlineStr">
        <is>
          <t xml:space="preserve">N3220519F6761</t>
        </is>
      </c>
      <c r="C2052" s="0" t="inlineStr">
        <is>
          <t xml:space="preserve">N3220517D4700</t>
        </is>
      </c>
      <c r="D2052" s="0" t="inlineStr">
        <is>
          <t xml:space="preserve">other_small</t>
        </is>
      </c>
      <c r="E2052" s="0" t="inlineStr">
        <is>
          <t xml:space="preserve">LAKE SHORE SYSTEMS, INC.</t>
        </is>
      </c>
      <c r="F2052" s="0" t="inlineStr">
        <is>
          <t xml:space="preserve">C</t>
        </is>
      </c>
      <c r="G2052" s="4">
        <v>0.0</v>
      </c>
      <c r="H2052" s="0" t="inlineStr">
        <is>
          <t xml:space="preserve">2019-06-05</t>
        </is>
      </c>
      <c r="I2052" s="0" t="inlineStr">
        <is>
          <t xml:space="preserve">no</t>
        </is>
      </c>
      <c r="J2052" s="0" t="inlineStr">
        <is>
          <t xml:space="preserve">N3220516R4505</t>
        </is>
      </c>
      <c r="K2052" s="0" t="inlineStr">
        <is>
          <t xml:space="preserve">NONE</t>
        </is>
      </c>
    </row>
    <row r="2053">
      <c r="B2053" s="0" t="inlineStr">
        <is>
          <t xml:space="preserve">N3220519F6755</t>
        </is>
      </c>
      <c r="C2053" s="0" t="inlineStr">
        <is>
          <t xml:space="preserve">N3220517D4700</t>
        </is>
      </c>
      <c r="D2053" s="0" t="inlineStr">
        <is>
          <t xml:space="preserve">other_small</t>
        </is>
      </c>
      <c r="E2053" s="0" t="inlineStr">
        <is>
          <t xml:space="preserve">LAKE SHORE SYSTEMS, INC.</t>
        </is>
      </c>
      <c r="F2053" s="0" t="inlineStr">
        <is>
          <t xml:space="preserve">C</t>
        </is>
      </c>
      <c r="G2053" s="4">
        <v>0.0</v>
      </c>
      <c r="H2053" s="0" t="inlineStr">
        <is>
          <t xml:space="preserve">2019-03-03</t>
        </is>
      </c>
      <c r="I2053" s="0" t="inlineStr">
        <is>
          <t xml:space="preserve">no</t>
        </is>
      </c>
      <c r="K2053" s="0" t="inlineStr">
        <is>
          <t xml:space="preserve">NONE</t>
        </is>
      </c>
    </row>
    <row r="2054">
      <c r="B2054" s="0" t="inlineStr">
        <is>
          <t xml:space="preserve">N3220519F6709</t>
        </is>
      </c>
      <c r="C2054" s="0" t="inlineStr">
        <is>
          <t xml:space="preserve">N3220517D4700</t>
        </is>
      </c>
      <c r="D2054" s="0" t="inlineStr">
        <is>
          <t xml:space="preserve">other_small</t>
        </is>
      </c>
      <c r="E2054" s="0" t="inlineStr">
        <is>
          <t xml:space="preserve">LAKE SHORE SYSTEMS, INC.</t>
        </is>
      </c>
      <c r="F2054" s="0" t="inlineStr">
        <is>
          <t xml:space="preserve">C</t>
        </is>
      </c>
      <c r="G2054" s="4">
        <v>0.0</v>
      </c>
      <c r="H2054" s="0" t="inlineStr">
        <is>
          <t xml:space="preserve">2019-02-11</t>
        </is>
      </c>
      <c r="I2054" s="0" t="inlineStr">
        <is>
          <t xml:space="preserve">no</t>
        </is>
      </c>
      <c r="K2054" s="0" t="inlineStr">
        <is>
          <t xml:space="preserve">NONE</t>
        </is>
      </c>
    </row>
    <row r="2055">
      <c r="B2055" s="0" t="inlineStr">
        <is>
          <t xml:space="preserve">M6700414A0003</t>
        </is>
      </c>
      <c r="D2055" s="0" t="inlineStr">
        <is>
          <t xml:space="preserve">other_small</t>
        </is>
      </c>
      <c r="E2055" s="0" t="inlineStr">
        <is>
          <t xml:space="preserve">CANNON MARINE PARTNERS, LLC</t>
        </is>
      </c>
      <c r="F2055" s="0" t="inlineStr">
        <is>
          <t xml:space="preserve">IDV_E</t>
        </is>
      </c>
      <c r="G2055" s="4">
        <v>0.0</v>
      </c>
      <c r="H2055" s="0" t="inlineStr">
        <is>
          <t xml:space="preserve">2013-12-18</t>
        </is>
      </c>
      <c r="I2055" s="0" t="inlineStr">
        <is>
          <t xml:space="preserve">no</t>
        </is>
      </c>
      <c r="K2055" s="0" t="inlineStr">
        <is>
          <t xml:space="preserve">NONE</t>
        </is>
      </c>
    </row>
  </sheetData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6E6E6E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12" customWidth="1"/>
    <col min="3" max="3" width="15" customWidth="1"/>
    <col min="4" max="4" width="15" customWidth="1"/>
    <col min="5" max="5" width="12" customWidth="1"/>
    <col min="6" max="6" width="13" customWidth="1"/>
    <col min="7" max="7" width="16" customWidth="1"/>
    <col min="8" max="8" width="14" customWidth="1"/>
    <col min="9" max="9" width="6" customWidth="1"/>
    <col min="10" max="10" width="6" customWidth="1"/>
    <col min="11" max="11" width="6" customWidth="1"/>
    <col min="12" max="12" width="17" customWidth="1"/>
    <col min="13" max="13" width="10" customWidth="1"/>
    <col min="14" max="14" width="13" customWidth="1"/>
  </cols>
  <sheetData>
    <row r="1"/>
    <row r="2">
      <c r="B2" s="8" t="inlineStr">
        <is>
          <t xml:space="preserve">Backtest Events</t>
        </is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>
      <c r="B3" s="60" t="inlineStr">
        <is>
          <t xml:space="preserve">Each row is a predecessor-successor recompete pair. t-6/12/18 = whether the predecessor's then-known FPDS clock put it in the 36-month horizon at that freeze (no look-ahead). Event Class separates true turnovers from parallel vehicles a builder held at once.</t>
        </is>
      </c>
    </row>
    <row r="5">
      <c r="B5" s="9" t="inlineStr">
        <is>
          <t xml:space="preserve">§1 - Recompete events: would the radar have flagged each, point-in-time?</t>
        </is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7">
      <c r="B7" s="2" t="inlineStr">
        <is>
          <t xml:space="preserve">Builder</t>
        </is>
      </c>
      <c r="C7" s="2" t="inlineStr">
        <is>
          <t xml:space="preserve">Predecessor</t>
        </is>
      </c>
      <c r="D7" s="2" t="inlineStr">
        <is>
          <t xml:space="preserve">Successor</t>
        </is>
      </c>
      <c r="E7" s="2" t="inlineStr">
        <is>
          <t xml:space="preserve">Succ Award</t>
        </is>
      </c>
      <c r="F7" s="2" t="inlineStr">
        <is>
          <t xml:space="preserve">Pred Close</t>
        </is>
      </c>
      <c r="G7" s="22" t="inlineStr">
        <is>
          <t xml:space="preserve">Close vs Succ (mo)</t>
        </is>
      </c>
      <c r="H7" s="2" t="inlineStr">
        <is>
          <t xml:space="preserve">Event Class</t>
        </is>
      </c>
      <c r="I7" s="2" t="inlineStr">
        <is>
          <t xml:space="preserve">t-6</t>
        </is>
      </c>
      <c r="J7" s="2" t="inlineStr">
        <is>
          <t xml:space="preserve">t-12</t>
        </is>
      </c>
      <c r="K7" s="2" t="inlineStr">
        <is>
          <t xml:space="preserve">t-18</t>
        </is>
      </c>
      <c r="L7" s="2" t="inlineStr">
        <is>
          <t xml:space="preserve">Clock Known @ t-12</t>
        </is>
      </c>
      <c r="M7" s="22" t="inlineStr">
        <is>
          <t xml:space="preserve">Lead (mo)</t>
        </is>
      </c>
      <c r="N7" s="2" t="inlineStr">
        <is>
          <t xml:space="preserve">Clock Extended</t>
        </is>
      </c>
    </row>
    <row r="8">
      <c r="B8" s="0" t="inlineStr">
        <is>
          <t xml:space="preserve">METALCRAFT</t>
        </is>
      </c>
      <c r="C8" s="0" t="inlineStr">
        <is>
          <t xml:space="preserve">N0002413D2202</t>
        </is>
      </c>
      <c r="D8" s="0" t="inlineStr">
        <is>
          <t xml:space="preserve">N0002415D2214</t>
        </is>
      </c>
      <c r="E8" s="0" t="inlineStr">
        <is>
          <t xml:space="preserve">2015-09-30</t>
        </is>
      </c>
      <c r="F8" s="0" t="inlineStr">
        <is>
          <t xml:space="preserve">2018-02-22</t>
        </is>
      </c>
      <c r="G8" s="4">
        <v>28.8</v>
      </c>
      <c r="H8" s="0" t="inlineStr">
        <is>
          <t xml:space="preserve">parallel</t>
        </is>
      </c>
      <c r="I8" s="0" t="inlineStr">
        <is>
          <t xml:space="preserve">Y</t>
        </is>
      </c>
      <c r="J8" s="0" t="inlineStr">
        <is>
          <t xml:space="preserve">N</t>
        </is>
      </c>
      <c r="K8" s="0" t="inlineStr">
        <is>
          <t xml:space="preserve">N</t>
        </is>
      </c>
      <c r="L8" s="0" t="inlineStr">
        <is>
          <t xml:space="preserve">2018-02-22</t>
        </is>
      </c>
      <c r="M8" s="4">
        <v>7.2</v>
      </c>
      <c r="N8" s="0" t="inlineStr">
        <is>
          <t xml:space="preserve">N</t>
        </is>
      </c>
    </row>
    <row r="9">
      <c r="B9" s="0" t="inlineStr">
        <is>
          <t xml:space="preserve">GRAVOISALU</t>
        </is>
      </c>
      <c r="C9" s="0" t="inlineStr">
        <is>
          <t xml:space="preserve">N0002413D2253</t>
        </is>
      </c>
      <c r="D9" s="0" t="inlineStr">
        <is>
          <t xml:space="preserve">N0002414D2207</t>
        </is>
      </c>
      <c r="E9" s="0" t="inlineStr">
        <is>
          <t xml:space="preserve">2016-06-01</t>
        </is>
      </c>
      <c r="F9" s="0" t="inlineStr">
        <is>
          <t xml:space="preserve">2018-06-12</t>
        </is>
      </c>
      <c r="G9" s="4">
        <v>24.4</v>
      </c>
      <c r="H9" s="0" t="inlineStr">
        <is>
          <t xml:space="preserve">parallel</t>
        </is>
      </c>
      <c r="I9" s="0" t="inlineStr">
        <is>
          <t xml:space="preserve">Y</t>
        </is>
      </c>
      <c r="J9" s="0" t="inlineStr">
        <is>
          <t xml:space="preserve">N</t>
        </is>
      </c>
      <c r="K9" s="0" t="inlineStr">
        <is>
          <t xml:space="preserve">N</t>
        </is>
      </c>
      <c r="L9" s="0" t="inlineStr">
        <is>
          <t xml:space="preserve">2018-06-12</t>
        </is>
      </c>
      <c r="M9" s="4">
        <v>11.7</v>
      </c>
      <c r="N9" s="0" t="inlineStr">
        <is>
          <t xml:space="preserve">N</t>
        </is>
      </c>
    </row>
    <row r="10">
      <c r="B10" s="0" t="inlineStr">
        <is>
          <t xml:space="preserve">UNITEDSTAT</t>
        </is>
      </c>
      <c r="C10" s="0" t="inlineStr">
        <is>
          <t xml:space="preserve">N0002414D2203</t>
        </is>
      </c>
      <c r="D10" s="0" t="inlineStr">
        <is>
          <t xml:space="preserve">N0002416D2215</t>
        </is>
      </c>
      <c r="E10" s="0" t="inlineStr">
        <is>
          <t xml:space="preserve">2016-09-29</t>
        </is>
      </c>
      <c r="F10" s="0" t="inlineStr">
        <is>
          <t xml:space="preserve">2019-08-07</t>
        </is>
      </c>
      <c r="G10" s="4">
        <v>34.3</v>
      </c>
      <c r="H10" s="0" t="inlineStr">
        <is>
          <t xml:space="preserve">parallel</t>
        </is>
      </c>
      <c r="I10" s="0" t="inlineStr">
        <is>
          <t xml:space="preserve">N</t>
        </is>
      </c>
      <c r="J10" s="0" t="inlineStr">
        <is>
          <t xml:space="preserve">N</t>
        </is>
      </c>
      <c r="K10" s="0" t="inlineStr">
        <is>
          <t xml:space="preserve">N</t>
        </is>
      </c>
      <c r="L10" s="0" t="inlineStr">
        <is>
          <t xml:space="preserve">2019-08-07</t>
        </is>
      </c>
      <c r="M10" s="4">
        <v>1.7</v>
      </c>
      <c r="N10" s="0" t="inlineStr">
        <is>
          <t xml:space="preserve">N</t>
        </is>
      </c>
    </row>
    <row r="11">
      <c r="B11" s="0" t="inlineStr">
        <is>
          <t xml:space="preserve">WILLARDMAR</t>
        </is>
      </c>
      <c r="C11" s="0" t="inlineStr">
        <is>
          <t xml:space="preserve">GS07F0123H</t>
        </is>
      </c>
      <c r="D11" s="0" t="inlineStr">
        <is>
          <t xml:space="preserve">N0002417D2200</t>
        </is>
      </c>
      <c r="E11" s="0" t="inlineStr">
        <is>
          <t xml:space="preserve">2017-04-03</t>
        </is>
      </c>
      <c r="F11" s="0" t="inlineStr">
        <is>
          <t xml:space="preserve">2018-09-14</t>
        </is>
      </c>
      <c r="G11" s="4">
        <v>17.4</v>
      </c>
      <c r="H11" s="0" t="inlineStr">
        <is>
          <t xml:space="preserve">parallel</t>
        </is>
      </c>
      <c r="I11" s="0" t="inlineStr">
        <is>
          <t xml:space="preserve">Y</t>
        </is>
      </c>
      <c r="J11" s="0" t="inlineStr">
        <is>
          <t xml:space="preserve">Y</t>
        </is>
      </c>
      <c r="K11" s="0" t="inlineStr">
        <is>
          <t xml:space="preserve">Y</t>
        </is>
      </c>
      <c r="L11" s="0" t="inlineStr">
        <is>
          <t xml:space="preserve">2018-09-14</t>
        </is>
      </c>
      <c r="M11" s="4">
        <v>18.7</v>
      </c>
      <c r="N11" s="0" t="inlineStr">
        <is>
          <t xml:space="preserve">N</t>
        </is>
      </c>
    </row>
    <row r="12">
      <c r="B12" s="0" t="inlineStr">
        <is>
          <t xml:space="preserve">MODUTECHMA</t>
        </is>
      </c>
      <c r="C12" s="0" t="inlineStr">
        <is>
          <t xml:space="preserve">N0002416D2211</t>
        </is>
      </c>
      <c r="D12" s="0" t="inlineStr">
        <is>
          <t xml:space="preserve">GS07F5488P</t>
        </is>
      </c>
      <c r="E12" s="0" t="inlineStr">
        <is>
          <t xml:space="preserve">2019-08-16</t>
        </is>
      </c>
      <c r="F12" s="0" t="inlineStr">
        <is>
          <t xml:space="preserve">2021-08-30</t>
        </is>
      </c>
      <c r="G12" s="4">
        <v>24.5</v>
      </c>
      <c r="H12" s="0" t="inlineStr">
        <is>
          <t xml:space="preserve">parallel</t>
        </is>
      </c>
      <c r="I12" s="0" t="inlineStr">
        <is>
          <t xml:space="preserve">Y</t>
        </is>
      </c>
      <c r="J12" s="0" t="inlineStr">
        <is>
          <t xml:space="preserve">N</t>
        </is>
      </c>
      <c r="K12" s="0" t="inlineStr">
        <is>
          <t xml:space="preserve">N</t>
        </is>
      </c>
      <c r="L12" s="0" t="inlineStr">
        <is>
          <t xml:space="preserve">2021-08-30</t>
        </is>
      </c>
      <c r="M12" s="4">
        <v>11.6</v>
      </c>
      <c r="N12" s="0" t="inlineStr">
        <is>
          <t xml:space="preserve">N</t>
        </is>
      </c>
    </row>
    <row r="13">
      <c r="B13" s="0" t="inlineStr">
        <is>
          <t xml:space="preserve">UNITEDSTAT</t>
        </is>
      </c>
      <c r="C13" s="0" t="inlineStr">
        <is>
          <t xml:space="preserve">N0002416D2215</t>
        </is>
      </c>
      <c r="D13" s="0" t="inlineStr">
        <is>
          <t xml:space="preserve">N0002421D2220</t>
        </is>
      </c>
      <c r="E13" s="0" t="inlineStr">
        <is>
          <t xml:space="preserve">2021-09-29</t>
        </is>
      </c>
      <c r="F13" s="0" t="inlineStr">
        <is>
          <t xml:space="preserve">2023-09-30</t>
        </is>
      </c>
      <c r="G13" s="4">
        <v>24.0</v>
      </c>
      <c r="H13" s="0" t="inlineStr">
        <is>
          <t xml:space="preserve">parallel</t>
        </is>
      </c>
      <c r="I13" s="0" t="inlineStr">
        <is>
          <t xml:space="preserve">Y</t>
        </is>
      </c>
      <c r="J13" s="0" t="inlineStr">
        <is>
          <t xml:space="preserve">Y</t>
        </is>
      </c>
      <c r="K13" s="0" t="inlineStr">
        <is>
          <t xml:space="preserve">Y</t>
        </is>
      </c>
      <c r="L13" s="0" t="inlineStr">
        <is>
          <t xml:space="preserve">2021-09-30</t>
        </is>
      </c>
      <c r="M13" s="4">
        <v>12.0</v>
      </c>
      <c r="N13" s="0" t="inlineStr">
        <is>
          <t xml:space="preserve">Y</t>
        </is>
      </c>
    </row>
    <row r="14">
      <c r="B14" s="0" t="inlineStr">
        <is>
          <t xml:space="preserve">SILVERSHIP</t>
        </is>
      </c>
      <c r="C14" s="0" t="inlineStr">
        <is>
          <t xml:space="preserve">N0002414D2205</t>
        </is>
      </c>
      <c r="D14" s="0" t="inlineStr">
        <is>
          <t xml:space="preserve">N0002421D2205</t>
        </is>
      </c>
      <c r="E14" s="0" t="inlineStr">
        <is>
          <t xml:space="preserve">2021-09-30</t>
        </is>
      </c>
      <c r="F14" s="0" t="inlineStr">
        <is>
          <t xml:space="preserve">2018-11-21</t>
        </is>
      </c>
      <c r="G14" s="4">
        <v>-34.3</v>
      </c>
      <c r="H14" s="0" t="inlineStr">
        <is>
          <t xml:space="preserve">lapsed-rebuy</t>
        </is>
      </c>
      <c r="I14" s="0" t="inlineStr">
        <is>
          <t xml:space="preserve">Y</t>
        </is>
      </c>
      <c r="J14" s="0" t="inlineStr">
        <is>
          <t xml:space="preserve">Y</t>
        </is>
      </c>
      <c r="K14" s="0" t="inlineStr">
        <is>
          <t xml:space="preserve">Y</t>
        </is>
      </c>
      <c r="L14" s="0" t="inlineStr">
        <is>
          <t xml:space="preserve">2018-11-21</t>
        </is>
      </c>
      <c r="M14" s="4">
        <v>70.4</v>
      </c>
      <c r="N14" s="0" t="inlineStr">
        <is>
          <t xml:space="preserve">N</t>
        </is>
      </c>
    </row>
    <row r="15">
      <c r="B15" s="0" t="inlineStr">
        <is>
          <t xml:space="preserve">SNOWCOMPAN</t>
        </is>
      </c>
      <c r="C15" s="0" t="inlineStr">
        <is>
          <t xml:space="preserve">N0002417D2217</t>
        </is>
      </c>
      <c r="D15" s="0" t="inlineStr">
        <is>
          <t xml:space="preserve">N0002421D2255</t>
        </is>
      </c>
      <c r="E15" s="0" t="inlineStr">
        <is>
          <t xml:space="preserve">2021-09-30</t>
        </is>
      </c>
      <c r="F15" s="0" t="inlineStr">
        <is>
          <t xml:space="preserve">2023-09-29</t>
        </is>
      </c>
      <c r="G15" s="4">
        <v>24.0</v>
      </c>
      <c r="H15" s="0" t="inlineStr">
        <is>
          <t xml:space="preserve">parallel</t>
        </is>
      </c>
      <c r="I15" s="0" t="inlineStr">
        <is>
          <t xml:space="preserve">Y</t>
        </is>
      </c>
      <c r="J15" s="0" t="inlineStr">
        <is>
          <t xml:space="preserve">N</t>
        </is>
      </c>
      <c r="K15" s="0" t="inlineStr">
        <is>
          <t xml:space="preserve">N</t>
        </is>
      </c>
      <c r="L15" s="0" t="inlineStr">
        <is>
          <t xml:space="preserve">2023-09-29</t>
        </is>
      </c>
      <c r="M15" s="4">
        <v>12.1</v>
      </c>
      <c r="N15" s="0" t="inlineStr">
        <is>
          <t xml:space="preserve">N</t>
        </is>
      </c>
    </row>
    <row r="16">
      <c r="B16" s="0" t="inlineStr">
        <is>
          <t xml:space="preserve">METALCRAFT</t>
        </is>
      </c>
      <c r="C16" s="0" t="inlineStr">
        <is>
          <t xml:space="preserve">N0002415D2214</t>
        </is>
      </c>
      <c r="D16" s="0" t="inlineStr">
        <is>
          <t xml:space="preserve">N0002422D2270</t>
        </is>
      </c>
      <c r="E16" s="0" t="inlineStr">
        <is>
          <t xml:space="preserve">2022-03-09</t>
        </is>
      </c>
      <c r="F16" s="0" t="inlineStr">
        <is>
          <t xml:space="preserve">2022-09-30</t>
        </is>
      </c>
      <c r="G16" s="4">
        <v>6.7</v>
      </c>
      <c r="H16" s="0" t="inlineStr">
        <is>
          <t xml:space="preserve">recompete</t>
        </is>
      </c>
      <c r="I16" s="0" t="inlineStr">
        <is>
          <t xml:space="preserve">Y</t>
        </is>
      </c>
      <c r="J16" s="0" t="inlineStr">
        <is>
          <t xml:space="preserve">Y</t>
        </is>
      </c>
      <c r="K16" s="0" t="inlineStr">
        <is>
          <t xml:space="preserve">Y</t>
        </is>
      </c>
      <c r="L16" s="0" t="inlineStr">
        <is>
          <t xml:space="preserve">2022-09-30</t>
        </is>
      </c>
      <c r="M16" s="4">
        <v>29.4</v>
      </c>
      <c r="N16" s="0" t="inlineStr">
        <is>
          <t xml:space="preserve">N</t>
        </is>
      </c>
    </row>
    <row r="17">
      <c r="B17" s="0" t="inlineStr">
        <is>
          <t xml:space="preserve">RIBCRAFTUS</t>
        </is>
      </c>
      <c r="C17" s="0" t="inlineStr">
        <is>
          <t xml:space="preserve">N0002420D2210</t>
        </is>
      </c>
      <c r="D17" s="0" t="inlineStr">
        <is>
          <t xml:space="preserve">N0002423D2224</t>
        </is>
      </c>
      <c r="E17" s="0" t="inlineStr">
        <is>
          <t xml:space="preserve">2023-02-09</t>
        </is>
      </c>
      <c r="F17" s="0" t="inlineStr">
        <is>
          <t xml:space="preserve">2025-08-11</t>
        </is>
      </c>
      <c r="G17" s="4">
        <v>30.1</v>
      </c>
      <c r="H17" s="0" t="inlineStr">
        <is>
          <t xml:space="preserve">parallel</t>
        </is>
      </c>
      <c r="I17" s="0" t="inlineStr">
        <is>
          <t xml:space="preserve">N</t>
        </is>
      </c>
      <c r="J17" s="0" t="inlineStr">
        <is>
          <t xml:space="preserve">N</t>
        </is>
      </c>
      <c r="K17" s="0" t="inlineStr">
        <is>
          <t xml:space="preserve">N</t>
        </is>
      </c>
      <c r="L17" s="0" t="inlineStr">
        <is>
          <t xml:space="preserve">2025-08-11</t>
        </is>
      </c>
      <c r="M17" s="4">
        <v>6.0</v>
      </c>
      <c r="N17" s="0" t="inlineStr">
        <is>
          <t xml:space="preserve">N</t>
        </is>
      </c>
    </row>
    <row r="18">
      <c r="B18" s="0" t="inlineStr">
        <is>
          <t xml:space="preserve">GRAVOISALU</t>
        </is>
      </c>
      <c r="C18" s="0" t="inlineStr">
        <is>
          <t xml:space="preserve">N0002417D2209</t>
        </is>
      </c>
      <c r="D18" s="0" t="inlineStr">
        <is>
          <t xml:space="preserve">N0002424D2275</t>
        </is>
      </c>
      <c r="E18" s="0" t="inlineStr">
        <is>
          <t xml:space="preserve">2024-05-16</t>
        </is>
      </c>
      <c r="F18" s="0" t="inlineStr">
        <is>
          <t xml:space="preserve">2023-09-30</t>
        </is>
      </c>
      <c r="G18" s="4">
        <v>-7.5</v>
      </c>
      <c r="H18" s="0" t="inlineStr">
        <is>
          <t xml:space="preserve">recompete</t>
        </is>
      </c>
      <c r="I18" s="0" t="inlineStr">
        <is>
          <t xml:space="preserve">Y</t>
        </is>
      </c>
      <c r="J18" s="0" t="inlineStr">
        <is>
          <t xml:space="preserve">Y</t>
        </is>
      </c>
      <c r="K18" s="0" t="inlineStr">
        <is>
          <t xml:space="preserve">Y</t>
        </is>
      </c>
      <c r="L18" s="0" t="inlineStr">
        <is>
          <t xml:space="preserve">2023-09-30</t>
        </is>
      </c>
      <c r="M18" s="4">
        <v>43.6</v>
      </c>
      <c r="N18" s="0" t="inlineStr">
        <is>
          <t xml:space="preserve">N</t>
        </is>
      </c>
    </row>
  </sheetData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6E6E6E"/>
    <outlinePr summaryBelow="0"/>
  </sheetPr>
  <sheetViews>
    <sheetView showGridLines="0" workbookViewId="0" showOutlineSymbols="0"/>
  </sheetViews>
  <sheetFormatPr defaultRowHeight="10" customHeight="1"/>
  <cols>
    <col min="1" max="1" width="2.2109375" customWidth="1"/>
    <col min="2" max="2" width="16" customWidth="1"/>
    <col min="3" max="3" width="12" customWidth="1"/>
    <col min="4" max="4" width="14" customWidth="1"/>
    <col min="5" max="5" width="22" customWidth="1"/>
    <col min="6" max="6" width="18" customWidth="1"/>
    <col min="7" max="7" width="18" customWidth="1"/>
  </cols>
  <sheetData>
    <row r="1"/>
    <row r="2">
      <c r="B2" s="8" t="inlineStr">
        <is>
          <t xml:space="preserve">PoP Timeline</t>
        </is>
      </c>
      <c r="C2" s="8"/>
      <c r="D2" s="8"/>
      <c r="E2" s="8"/>
      <c r="F2" s="8"/>
      <c r="G2" s="8"/>
    </row>
    <row r="3">
      <c r="B3" s="60" t="inlineStr">
        <is>
          <t xml:space="preserve">Each row is a distinct lastDateToOrder value and the date a contract action first recorded it; the clock was on record years ahead, and a later mod extending it shows as EXTENDED.</t>
        </is>
      </c>
    </row>
    <row r="5">
      <c r="B5" s="9" t="inlineStr">
        <is>
          <t xml:space="preserve">§1 - Ordering-period clock history (point-in-time, per FPDS action)</t>
        </is>
      </c>
      <c r="C5" s="9"/>
      <c r="D5" s="9"/>
      <c r="E5" s="9"/>
      <c r="F5" s="9"/>
      <c r="G5" s="9"/>
    </row>
    <row r="7">
      <c r="B7" s="2" t="inlineStr">
        <is>
          <t xml:space="preserve">Vehicle PIID</t>
        </is>
      </c>
      <c r="C7" s="2" t="inlineStr">
        <is>
          <t xml:space="preserve">Role</t>
        </is>
      </c>
      <c r="D7" s="2" t="inlineStr">
        <is>
          <t xml:space="preserve">Clock Recorded</t>
        </is>
      </c>
      <c r="E7" s="2" t="inlineStr">
        <is>
          <t xml:space="preserve">Mod</t>
        </is>
      </c>
      <c r="F7" s="2" t="inlineStr">
        <is>
          <t xml:space="preserve">Last Date To Order</t>
        </is>
      </c>
      <c r="G7" s="2" t="inlineStr">
        <is>
          <t xml:space="preserve">Event</t>
        </is>
      </c>
    </row>
    <row r="8">
      <c r="B8" s="0" t="inlineStr">
        <is>
          <t xml:space="preserve">GS07F0123H</t>
        </is>
      </c>
      <c r="C8" s="0" t="inlineStr">
        <is>
          <t xml:space="preserve">predecessor</t>
        </is>
      </c>
      <c r="D8" s="0" t="inlineStr">
        <is>
          <t xml:space="preserve">1998-09-15</t>
        </is>
      </c>
      <c r="E8" s="0" t="inlineStr">
        <is>
          <t xml:space="preserve">0</t>
        </is>
      </c>
      <c r="F8" s="0" t="inlineStr">
        <is>
          <t xml:space="preserve">2009-03-14</t>
        </is>
      </c>
      <c r="G8" s="0" t="inlineStr">
        <is>
          <t xml:space="preserve">base clock</t>
        </is>
      </c>
    </row>
    <row r="9">
      <c r="B9" s="0" t="inlineStr">
        <is>
          <t xml:space="preserve">GS07F0123H</t>
        </is>
      </c>
      <c r="C9" s="0" t="inlineStr">
        <is>
          <t xml:space="preserve">predecessor</t>
        </is>
      </c>
      <c r="D9" s="0" t="inlineStr">
        <is>
          <t xml:space="preserve">2009-03-02</t>
        </is>
      </c>
      <c r="E9" s="0" t="inlineStr">
        <is>
          <t xml:space="preserve">2</t>
        </is>
      </c>
      <c r="F9" s="0" t="inlineStr">
        <is>
          <t xml:space="preserve">2013-09-14</t>
        </is>
      </c>
      <c r="G9" s="0" t="inlineStr">
        <is>
          <t xml:space="preserve">EXTENDED / changed</t>
        </is>
      </c>
    </row>
    <row r="10">
      <c r="B10" s="0" t="inlineStr">
        <is>
          <t xml:space="preserve">GS07F0123H</t>
        </is>
      </c>
      <c r="C10" s="0" t="inlineStr">
        <is>
          <t xml:space="preserve">predecessor</t>
        </is>
      </c>
      <c r="D10" s="0" t="inlineStr">
        <is>
          <t xml:space="preserve">2013-07-16</t>
        </is>
      </c>
      <c r="E10" s="0" t="inlineStr">
        <is>
          <t xml:space="preserve">42</t>
        </is>
      </c>
      <c r="F10" s="0" t="inlineStr">
        <is>
          <t xml:space="preserve">2018-09-14</t>
        </is>
      </c>
      <c r="G10" s="0" t="inlineStr">
        <is>
          <t xml:space="preserve">EXTENDED / changed</t>
        </is>
      </c>
    </row>
    <row r="11">
      <c r="B11" s="0" t="inlineStr">
        <is>
          <t xml:space="preserve">GS07F5488P</t>
        </is>
      </c>
      <c r="C11" s="0" t="inlineStr">
        <is>
          <t xml:space="preserve">successor</t>
        </is>
      </c>
      <c r="D11" s="0" t="inlineStr">
        <is>
          <t xml:space="preserve">2003-12-09</t>
        </is>
      </c>
      <c r="E11" s="0" t="inlineStr">
        <is>
          <t xml:space="preserve">0</t>
        </is>
      </c>
      <c r="F11" s="0" t="inlineStr">
        <is>
          <t xml:space="preserve">2008-12-08</t>
        </is>
      </c>
      <c r="G11" s="0" t="inlineStr">
        <is>
          <t xml:space="preserve">base clock</t>
        </is>
      </c>
    </row>
    <row r="12">
      <c r="B12" s="0" t="inlineStr">
        <is>
          <t xml:space="preserve">GS07F5488P</t>
        </is>
      </c>
      <c r="C12" s="0" t="inlineStr">
        <is>
          <t xml:space="preserve">successor</t>
        </is>
      </c>
      <c r="D12" s="0" t="inlineStr">
        <is>
          <t xml:space="preserve">2008-11-06</t>
        </is>
      </c>
      <c r="E12" s="0" t="inlineStr">
        <is>
          <t xml:space="preserve">2</t>
        </is>
      </c>
      <c r="F12" s="0" t="inlineStr">
        <is>
          <t xml:space="preserve">2013-12-08</t>
        </is>
      </c>
      <c r="G12" s="0" t="inlineStr">
        <is>
          <t xml:space="preserve">EXTENDED / changed</t>
        </is>
      </c>
    </row>
    <row r="13">
      <c r="B13" s="0" t="inlineStr">
        <is>
          <t xml:space="preserve">GS07F5488P</t>
        </is>
      </c>
      <c r="C13" s="0" t="inlineStr">
        <is>
          <t xml:space="preserve">successor</t>
        </is>
      </c>
      <c r="D13" s="0" t="inlineStr">
        <is>
          <t xml:space="preserve">2013-10-04</t>
        </is>
      </c>
      <c r="E13" s="0" t="inlineStr">
        <is>
          <t xml:space="preserve">PO0031EXERCISEOPTION</t>
        </is>
      </c>
      <c r="F13" s="0" t="inlineStr">
        <is>
          <t xml:space="preserve">2018-12-08</t>
        </is>
      </c>
      <c r="G13" s="0" t="inlineStr">
        <is>
          <t xml:space="preserve">EXTENDED / changed</t>
        </is>
      </c>
    </row>
    <row r="14">
      <c r="B14" s="0" t="inlineStr">
        <is>
          <t xml:space="preserve">GS07F5488P</t>
        </is>
      </c>
      <c r="C14" s="0" t="inlineStr">
        <is>
          <t xml:space="preserve">successor</t>
        </is>
      </c>
      <c r="D14" s="0" t="inlineStr">
        <is>
          <t xml:space="preserve">2018-08-06</t>
        </is>
      </c>
      <c r="E14" s="0" t="inlineStr">
        <is>
          <t xml:space="preserve">PGA617</t>
        </is>
      </c>
      <c r="F14" s="0" t="inlineStr">
        <is>
          <t xml:space="preserve">2023-12-08</t>
        </is>
      </c>
      <c r="G14" s="0" t="inlineStr">
        <is>
          <t xml:space="preserve">EXTENDED / changed</t>
        </is>
      </c>
    </row>
    <row r="15">
      <c r="B15" s="0" t="inlineStr">
        <is>
          <t xml:space="preserve">GS07F5488P</t>
        </is>
      </c>
      <c r="C15" s="0" t="inlineStr">
        <is>
          <t xml:space="preserve">successor</t>
        </is>
      </c>
      <c r="D15" s="0" t="inlineStr">
        <is>
          <t xml:space="preserve">2018-08-06</t>
        </is>
      </c>
      <c r="E15" s="0" t="inlineStr">
        <is>
          <t xml:space="preserve">PMA617</t>
        </is>
      </c>
      <c r="F15" s="0" t="inlineStr">
        <is>
          <t xml:space="preserve">2018-12-08</t>
        </is>
      </c>
      <c r="G15" s="0" t="inlineStr">
        <is>
          <t xml:space="preserve">EXTENDED / changed</t>
        </is>
      </c>
    </row>
    <row r="16">
      <c r="B16" s="0" t="inlineStr">
        <is>
          <t xml:space="preserve">GS07F5488P</t>
        </is>
      </c>
      <c r="C16" s="0" t="inlineStr">
        <is>
          <t xml:space="preserve">successor</t>
        </is>
      </c>
      <c r="D16" s="0" t="inlineStr">
        <is>
          <t xml:space="preserve">2018-12-20</t>
        </is>
      </c>
      <c r="E16" s="0" t="inlineStr">
        <is>
          <t xml:space="preserve">PMA707</t>
        </is>
      </c>
      <c r="F16" s="0" t="inlineStr">
        <is>
          <t xml:space="preserve">2023-12-08</t>
        </is>
      </c>
      <c r="G16" s="0" t="inlineStr">
        <is>
          <t xml:space="preserve">EXTENDED / changed</t>
        </is>
      </c>
    </row>
    <row r="17">
      <c r="B17" s="0" t="inlineStr">
        <is>
          <t xml:space="preserve">N0002413D2202</t>
        </is>
      </c>
      <c r="C17" s="0" t="inlineStr">
        <is>
          <t xml:space="preserve">predecessor</t>
        </is>
      </c>
      <c r="D17" s="0" t="inlineStr">
        <is>
          <t xml:space="preserve">2013-02-21</t>
        </is>
      </c>
      <c r="E17" s="0" t="inlineStr">
        <is>
          <t xml:space="preserve">0</t>
        </is>
      </c>
      <c r="F17" s="0" t="inlineStr">
        <is>
          <t xml:space="preserve">2018-02-22</t>
        </is>
      </c>
      <c r="G17" s="0" t="inlineStr">
        <is>
          <t xml:space="preserve">base clock</t>
        </is>
      </c>
    </row>
    <row r="18">
      <c r="B18" s="0" t="inlineStr">
        <is>
          <t xml:space="preserve">N0002413D2253</t>
        </is>
      </c>
      <c r="C18" s="0" t="inlineStr">
        <is>
          <t xml:space="preserve">predecessor</t>
        </is>
      </c>
      <c r="D18" s="0" t="inlineStr">
        <is>
          <t xml:space="preserve">2013-06-13</t>
        </is>
      </c>
      <c r="E18" s="0" t="inlineStr">
        <is>
          <t xml:space="preserve">0</t>
        </is>
      </c>
      <c r="F18" s="0" t="inlineStr">
        <is>
          <t xml:space="preserve">2018-06-12</t>
        </is>
      </c>
      <c r="G18" s="0" t="inlineStr">
        <is>
          <t xml:space="preserve">base clock</t>
        </is>
      </c>
    </row>
    <row r="19">
      <c r="B19" s="0" t="inlineStr">
        <is>
          <t xml:space="preserve">N0002414D2203</t>
        </is>
      </c>
      <c r="C19" s="0" t="inlineStr">
        <is>
          <t xml:space="preserve">predecessor</t>
        </is>
      </c>
      <c r="D19" s="0" t="inlineStr">
        <is>
          <t xml:space="preserve">2014-08-06</t>
        </is>
      </c>
      <c r="E19" s="0" t="inlineStr">
        <is>
          <t xml:space="preserve">0</t>
        </is>
      </c>
      <c r="F19" s="0" t="inlineStr">
        <is>
          <t xml:space="preserve">2019-08-07</t>
        </is>
      </c>
      <c r="G19" s="0" t="inlineStr">
        <is>
          <t xml:space="preserve">base clock</t>
        </is>
      </c>
    </row>
    <row r="20">
      <c r="B20" s="0" t="inlineStr">
        <is>
          <t xml:space="preserve">N0002414D2205</t>
        </is>
      </c>
      <c r="C20" s="0" t="inlineStr">
        <is>
          <t xml:space="preserve">predecessor</t>
        </is>
      </c>
      <c r="D20" s="0" t="inlineStr">
        <is>
          <t xml:space="preserve">2013-11-21</t>
        </is>
      </c>
      <c r="E20" s="0" t="inlineStr">
        <is>
          <t xml:space="preserve">0</t>
        </is>
      </c>
      <c r="F20" s="0" t="inlineStr">
        <is>
          <t xml:space="preserve">2018-11-21</t>
        </is>
      </c>
      <c r="G20" s="0" t="inlineStr">
        <is>
          <t xml:space="preserve">base clock</t>
        </is>
      </c>
    </row>
    <row r="21">
      <c r="B21" s="0" t="inlineStr">
        <is>
          <t xml:space="preserve">N0002414D2207</t>
        </is>
      </c>
      <c r="C21" s="0" t="inlineStr">
        <is>
          <t xml:space="preserve">successor</t>
        </is>
      </c>
      <c r="D21" s="0" t="inlineStr">
        <is>
          <t xml:space="preserve">2013-11-21</t>
        </is>
      </c>
      <c r="E21" s="0" t="inlineStr">
        <is>
          <t xml:space="preserve">0</t>
        </is>
      </c>
      <c r="F21" s="0" t="inlineStr">
        <is>
          <t xml:space="preserve">2018-11-21</t>
        </is>
      </c>
      <c r="G21" s="0" t="inlineStr">
        <is>
          <t xml:space="preserve">base clock</t>
        </is>
      </c>
    </row>
    <row r="22">
      <c r="B22" s="0" t="inlineStr">
        <is>
          <t xml:space="preserve">N0002415D2214</t>
        </is>
      </c>
      <c r="C22" s="0" t="inlineStr">
        <is>
          <t xml:space="preserve">predecessor</t>
        </is>
      </c>
      <c r="D22" s="0" t="inlineStr">
        <is>
          <t xml:space="preserve">2015-09-29</t>
        </is>
      </c>
      <c r="E22" s="0" t="inlineStr">
        <is>
          <t xml:space="preserve">0</t>
        </is>
      </c>
      <c r="F22" s="0" t="inlineStr">
        <is>
          <t xml:space="preserve">2019-09-30</t>
        </is>
      </c>
      <c r="G22" s="0" t="inlineStr">
        <is>
          <t xml:space="preserve">base clock</t>
        </is>
      </c>
    </row>
    <row r="23">
      <c r="B23" s="0" t="inlineStr">
        <is>
          <t xml:space="preserve">N0002415D2214</t>
        </is>
      </c>
      <c r="C23" s="0" t="inlineStr">
        <is>
          <t xml:space="preserve">predecessor</t>
        </is>
      </c>
      <c r="D23" s="0" t="inlineStr">
        <is>
          <t xml:space="preserve">2020-12-18</t>
        </is>
      </c>
      <c r="E23" s="0" t="inlineStr">
        <is>
          <t xml:space="preserve">P00010</t>
        </is>
      </c>
      <c r="F23" s="0" t="inlineStr">
        <is>
          <t xml:space="preserve">2022-09-30</t>
        </is>
      </c>
      <c r="G23" s="0" t="inlineStr">
        <is>
          <t xml:space="preserve">EXTENDED / changed</t>
        </is>
      </c>
    </row>
    <row r="24">
      <c r="B24" s="0" t="inlineStr">
        <is>
          <t xml:space="preserve">N0002416D2211</t>
        </is>
      </c>
      <c r="C24" s="0" t="inlineStr">
        <is>
          <t xml:space="preserve">predecessor</t>
        </is>
      </c>
      <c r="D24" s="0" t="inlineStr">
        <is>
          <t xml:space="preserve">2016-08-31</t>
        </is>
      </c>
      <c r="E24" s="0" t="inlineStr">
        <is>
          <t xml:space="preserve">0</t>
        </is>
      </c>
      <c r="F24" s="0" t="inlineStr">
        <is>
          <t xml:space="preserve">2021-08-30</t>
        </is>
      </c>
      <c r="G24" s="0" t="inlineStr">
        <is>
          <t xml:space="preserve">base clock</t>
        </is>
      </c>
    </row>
    <row r="25">
      <c r="B25" s="0" t="inlineStr">
        <is>
          <t xml:space="preserve">N0002416D2215</t>
        </is>
      </c>
      <c r="C25" s="0" t="inlineStr">
        <is>
          <t xml:space="preserve">predecessor</t>
        </is>
      </c>
      <c r="D25" s="0" t="inlineStr">
        <is>
          <t xml:space="preserve">2016-09-29</t>
        </is>
      </c>
      <c r="E25" s="0" t="inlineStr">
        <is>
          <t xml:space="preserve">0</t>
        </is>
      </c>
      <c r="F25" s="0" t="inlineStr">
        <is>
          <t xml:space="preserve">2021-09-30</t>
        </is>
      </c>
      <c r="G25" s="0" t="inlineStr">
        <is>
          <t xml:space="preserve">base clock</t>
        </is>
      </c>
    </row>
    <row r="26">
      <c r="B26" s="0" t="inlineStr">
        <is>
          <t xml:space="preserve">N0002416D2215</t>
        </is>
      </c>
      <c r="C26" s="0" t="inlineStr">
        <is>
          <t xml:space="preserve">predecessor</t>
        </is>
      </c>
      <c r="D26" s="0" t="inlineStr">
        <is>
          <t xml:space="preserve">2022-04-28</t>
        </is>
      </c>
      <c r="E26" s="0" t="inlineStr">
        <is>
          <t xml:space="preserve">P00010</t>
        </is>
      </c>
      <c r="F26" s="0" t="inlineStr">
        <is>
          <t xml:space="preserve">2023-09-30</t>
        </is>
      </c>
      <c r="G26" s="0" t="inlineStr">
        <is>
          <t xml:space="preserve">EXTENDED / changed</t>
        </is>
      </c>
    </row>
    <row r="27">
      <c r="B27" s="0" t="inlineStr">
        <is>
          <t xml:space="preserve">N0002417D2200</t>
        </is>
      </c>
      <c r="C27" s="0" t="inlineStr">
        <is>
          <t xml:space="preserve">successor</t>
        </is>
      </c>
      <c r="D27" s="0" t="inlineStr">
        <is>
          <t xml:space="preserve">2017-03-29</t>
        </is>
      </c>
      <c r="E27" s="0" t="inlineStr">
        <is>
          <t xml:space="preserve">0</t>
        </is>
      </c>
      <c r="F27" s="0" t="inlineStr">
        <is>
          <t xml:space="preserve">2021-09-30</t>
        </is>
      </c>
      <c r="G27" s="0" t="inlineStr">
        <is>
          <t xml:space="preserve">base clock</t>
        </is>
      </c>
    </row>
    <row r="28">
      <c r="B28" s="0" t="inlineStr">
        <is>
          <t xml:space="preserve">N0002417D2209</t>
        </is>
      </c>
      <c r="C28" s="0" t="inlineStr">
        <is>
          <t xml:space="preserve">predecessor</t>
        </is>
      </c>
      <c r="D28" s="0" t="inlineStr">
        <is>
          <t xml:space="preserve">2017-09-29</t>
        </is>
      </c>
      <c r="E28" s="0" t="inlineStr">
        <is>
          <t xml:space="preserve">0</t>
        </is>
      </c>
      <c r="F28" s="0" t="inlineStr">
        <is>
          <t xml:space="preserve">2023-09-30</t>
        </is>
      </c>
      <c r="G28" s="0" t="inlineStr">
        <is>
          <t xml:space="preserve">base clock</t>
        </is>
      </c>
    </row>
    <row r="29">
      <c r="B29" s="0" t="inlineStr">
        <is>
          <t xml:space="preserve">N0002417D2217</t>
        </is>
      </c>
      <c r="C29" s="0" t="inlineStr">
        <is>
          <t xml:space="preserve">predecessor</t>
        </is>
      </c>
      <c r="D29" s="0" t="inlineStr">
        <is>
          <t xml:space="preserve">2017-09-28</t>
        </is>
      </c>
      <c r="E29" s="0" t="inlineStr">
        <is>
          <t xml:space="preserve">0</t>
        </is>
      </c>
      <c r="F29" s="0" t="inlineStr">
        <is>
          <t xml:space="preserve">2023-09-29</t>
        </is>
      </c>
      <c r="G29" s="0" t="inlineStr">
        <is>
          <t xml:space="preserve">base clock</t>
        </is>
      </c>
    </row>
    <row r="30">
      <c r="B30" s="0" t="inlineStr">
        <is>
          <t xml:space="preserve">N0002420D2210</t>
        </is>
      </c>
      <c r="C30" s="0" t="inlineStr">
        <is>
          <t xml:space="preserve">predecessor</t>
        </is>
      </c>
      <c r="D30" s="0" t="inlineStr">
        <is>
          <t xml:space="preserve">2020-08-13</t>
        </is>
      </c>
      <c r="E30" s="0" t="inlineStr">
        <is>
          <t xml:space="preserve">0</t>
        </is>
      </c>
      <c r="F30" s="0" t="inlineStr">
        <is>
          <t xml:space="preserve">2025-08-11</t>
        </is>
      </c>
      <c r="G30" s="0" t="inlineStr">
        <is>
          <t xml:space="preserve">base clock</t>
        </is>
      </c>
    </row>
    <row r="31">
      <c r="B31" s="0" t="inlineStr">
        <is>
          <t xml:space="preserve">N0002421D2205</t>
        </is>
      </c>
      <c r="C31" s="0" t="inlineStr">
        <is>
          <t xml:space="preserve">successor</t>
        </is>
      </c>
      <c r="D31" s="0" t="inlineStr">
        <is>
          <t xml:space="preserve">2021-09-30</t>
        </is>
      </c>
      <c r="E31" s="0" t="inlineStr">
        <is>
          <t xml:space="preserve">0</t>
        </is>
      </c>
      <c r="F31" s="0" t="inlineStr">
        <is>
          <t xml:space="preserve">2026-10-01</t>
        </is>
      </c>
      <c r="G31" s="0" t="inlineStr">
        <is>
          <t xml:space="preserve">base clock</t>
        </is>
      </c>
    </row>
    <row r="32">
      <c r="B32" s="0" t="inlineStr">
        <is>
          <t xml:space="preserve">N0002421D2220</t>
        </is>
      </c>
      <c r="C32" s="0" t="inlineStr">
        <is>
          <t xml:space="preserve">successor</t>
        </is>
      </c>
      <c r="D32" s="0" t="inlineStr">
        <is>
          <t xml:space="preserve">2021-09-28</t>
        </is>
      </c>
      <c r="E32" s="0" t="inlineStr">
        <is>
          <t xml:space="preserve">0</t>
        </is>
      </c>
      <c r="F32" s="0" t="inlineStr">
        <is>
          <t xml:space="preserve">2025-09-29</t>
        </is>
      </c>
      <c r="G32" s="0" t="inlineStr">
        <is>
          <t xml:space="preserve">base clock</t>
        </is>
      </c>
    </row>
    <row r="33">
      <c r="B33" s="0" t="inlineStr">
        <is>
          <t xml:space="preserve">N0002421D2255</t>
        </is>
      </c>
      <c r="C33" s="0" t="inlineStr">
        <is>
          <t xml:space="preserve">successor</t>
        </is>
      </c>
      <c r="D33" s="0" t="inlineStr">
        <is>
          <t xml:space="preserve">2021-09-30</t>
        </is>
      </c>
      <c r="E33" s="0" t="inlineStr">
        <is>
          <t xml:space="preserve">0</t>
        </is>
      </c>
      <c r="F33" s="0" t="inlineStr">
        <is>
          <t xml:space="preserve">2028-10-01</t>
        </is>
      </c>
      <c r="G33" s="0" t="inlineStr">
        <is>
          <t xml:space="preserve">base clock</t>
        </is>
      </c>
    </row>
    <row r="34">
      <c r="B34" s="0" t="inlineStr">
        <is>
          <t xml:space="preserve">N0002422D2270</t>
        </is>
      </c>
      <c r="C34" s="0" t="inlineStr">
        <is>
          <t xml:space="preserve">successor</t>
        </is>
      </c>
      <c r="D34" s="0" t="inlineStr">
        <is>
          <t xml:space="preserve">2022-03-09</t>
        </is>
      </c>
      <c r="E34" s="0" t="inlineStr">
        <is>
          <t xml:space="preserve">0</t>
        </is>
      </c>
      <c r="F34" s="0" t="inlineStr">
        <is>
          <t xml:space="preserve">2027-03-09</t>
        </is>
      </c>
      <c r="G34" s="0" t="inlineStr">
        <is>
          <t xml:space="preserve">base clock</t>
        </is>
      </c>
    </row>
    <row r="35">
      <c r="B35" s="0" t="inlineStr">
        <is>
          <t xml:space="preserve">N0002423D2224</t>
        </is>
      </c>
      <c r="C35" s="0" t="inlineStr">
        <is>
          <t xml:space="preserve">successor</t>
        </is>
      </c>
      <c r="D35" s="0" t="inlineStr">
        <is>
          <t xml:space="preserve">2023-02-09</t>
        </is>
      </c>
      <c r="E35" s="0" t="inlineStr">
        <is>
          <t xml:space="preserve">0</t>
        </is>
      </c>
      <c r="F35" s="0" t="inlineStr">
        <is>
          <t xml:space="preserve">2028-02-09</t>
        </is>
      </c>
      <c r="G35" s="0" t="inlineStr">
        <is>
          <t xml:space="preserve">base clock</t>
        </is>
      </c>
    </row>
    <row r="36">
      <c r="B36" s="0" t="inlineStr">
        <is>
          <t xml:space="preserve">N0002424D2275</t>
        </is>
      </c>
      <c r="C36" s="0" t="inlineStr">
        <is>
          <t xml:space="preserve">successor</t>
        </is>
      </c>
      <c r="D36" s="0" t="inlineStr">
        <is>
          <t xml:space="preserve">2024-05-16</t>
        </is>
      </c>
      <c r="E36" s="0" t="inlineStr">
        <is>
          <t xml:space="preserve">0</t>
        </is>
      </c>
      <c r="F36" s="0" t="inlineStr">
        <is>
          <t xml:space="preserve">2031-05-16</t>
        </is>
      </c>
      <c r="G36" s="0" t="inlineStr">
        <is>
          <t xml:space="preserve">base clock</t>
        </is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Saronic awards workbook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OT Layer</vt:lpstr>
      <vt:lpstr>Recompete Radar</vt:lpstr>
      <vt:lpstr>Teaming Edges</vt:lpstr>
      <vt:lpstr>Prime Concentration</vt:lpstr>
      <vt:lpstr>Market Tiers</vt:lpstr>
      <vt:lpstr>Portal Notices</vt:lpstr>
      <vt:lpstr>Award-Opportunity Match</vt:lpstr>
      <vt:lpstr>Backtest Events</vt:lpstr>
      <vt:lpstr>PoP Timeline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Saronic USV Awards Evidence</dc:title>
  <dc:creator>Saronic market intelligence</dc:creator>
  <dcterms:created xsi:type="dcterms:W3CDTF">2026-06-24T17:55:39Z</dcterms:created>
  <dcterms:modified xsi:type="dcterms:W3CDTF">2026-06-24T17:55:39Z</dcterms:modified>
</cp:coreProperties>
</file>